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drawings/vmlDrawing3.vml" ContentType="application/vnd.openxmlformats-officedocument.vmlDrawing"/>
  <Override PartName="/xl/drawings/vmlDrawing4.vml" ContentType="application/vnd.openxmlformats-officedocument.vmlDrawing"/>
  <Override PartName="/xl/_rels/workbook.xml.rels" ContentType="application/vnd.openxmlformats-package.relationship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使い方" sheetId="1" state="visible" r:id="rId3"/>
    <sheet name="準備数計算" sheetId="2" state="visible" r:id="rId4"/>
    <sheet name="印刷用" sheetId="3" state="visible" r:id="rId5"/>
    <sheet name="期間データ" sheetId="4" state="visible" r:id="rId6"/>
    <sheet name="CSV貼付A" sheetId="5" state="visible" r:id="rId7"/>
    <sheet name="CSV貼付B" sheetId="6" state="visible" r:id="rId8"/>
  </sheets>
  <definedNames>
    <definedName function="false" hidden="false" localSheetId="4" name="_xlnm.Print_Area" vbProcedure="false">CSV貼付A!$A$1:$N$45</definedName>
    <definedName function="false" hidden="false" localSheetId="5" name="_xlnm.Print_Area" vbProcedure="false">CSV貼付B!$A$1:$N$45</definedName>
    <definedName function="false" hidden="false" localSheetId="2" name="_xlnm.Print_Area" vbProcedure="false">印刷用!$A$1:$F$28</definedName>
    <definedName function="false" hidden="false" localSheetId="3" name="_xlnm.Print_Area" vbProcedure="false">期間データ!$A$1:$K$34</definedName>
    <definedName function="false" hidden="false" localSheetId="1" name="_xlnm.Print_Area" vbProcedure="false">準備数計算!$A$1:$H$31</definedName>
    <definedName function="false" hidden="false" name="商品リスト" vbProcedure="false">OFFSET(期間データ!$Q$5,0,0,MAX(MAX(期間データ!$M$5:$M$1004)+MAX(期間データ!$O$5:$O$1004),1),1)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D5" authorId="0">
      <text>
        <r>
          <rPr>
            <sz val="10"/>
            <rFont val="WenQuanYi Zen Hei"/>
            <family val="2"/>
          </rPr>
          <t xml:space="preserve">これから準備する回（例：</t>
        </r>
        <r>
          <rPr>
            <sz val="10"/>
            <rFont val="Arial"/>
            <family val="2"/>
          </rPr>
          <t xml:space="preserve">1</t>
        </r>
        <r>
          <rPr>
            <sz val="10"/>
            <rFont val="WenQuanYi Zen Hei"/>
            <family val="2"/>
          </rPr>
          <t xml:space="preserve">時間後のピークの回）の合計動員数を入力してください。</t>
        </r>
      </text>
    </comment>
    <comment ref="I4" authorId="0">
      <text>
        <r>
          <rPr>
            <sz val="10"/>
            <rFont val="WenQuanYi Zen Hei"/>
            <family val="2"/>
          </rPr>
          <t xml:space="preserve">時間帯ごとの高低差はこの表で管理します。名前</t>
        </r>
        <r>
          <rPr>
            <sz val="10"/>
            <rFont val="Arial"/>
            <family val="2"/>
          </rPr>
          <t xml:space="preserve">(</t>
        </r>
        <r>
          <rPr>
            <sz val="10"/>
            <rFont val="WenQuanYi Zen Hei"/>
            <family val="2"/>
          </rPr>
          <t xml:space="preserve">例</t>
        </r>
        <r>
          <rPr>
            <sz val="10"/>
            <rFont val="Arial"/>
            <family val="2"/>
          </rPr>
          <t xml:space="preserve">:18</t>
        </r>
        <r>
          <rPr>
            <sz val="10"/>
            <rFont val="WenQuanYi Zen Hei"/>
            <family val="2"/>
          </rPr>
          <t xml:space="preserve">時台</t>
        </r>
        <r>
          <rPr>
            <sz val="10"/>
            <rFont val="Arial"/>
            <family val="2"/>
          </rPr>
          <t xml:space="preserve">)</t>
        </r>
        <r>
          <rPr>
            <sz val="10"/>
            <rFont val="WenQuanYi Zen Hei"/>
            <family val="2"/>
          </rPr>
          <t xml:space="preserve">も倍率も自由に書き換え・追加運用できます。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14" authorId="0">
      <text>
        <r>
          <rPr>
            <sz val="10"/>
            <rFont val="WenQuanYi Zen Hei"/>
            <family val="2"/>
          </rPr>
          <t xml:space="preserve">プルダウンには</t>
        </r>
        <r>
          <rPr>
            <sz val="10"/>
            <rFont val="Arial"/>
            <family val="2"/>
          </rPr>
          <t xml:space="preserve">CSV</t>
        </r>
        <r>
          <rPr>
            <sz val="10"/>
            <rFont val="WenQuanYi Zen Hei"/>
            <family val="2"/>
          </rPr>
          <t xml:space="preserve">貼付</t>
        </r>
        <r>
          <rPr>
            <sz val="10"/>
            <rFont val="Arial"/>
            <family val="2"/>
          </rPr>
          <t xml:space="preserve">A/B</t>
        </r>
        <r>
          <rPr>
            <sz val="10"/>
            <rFont val="WenQuanYi Zen Hei"/>
            <family val="2"/>
          </rPr>
          <t xml:space="preserve">の商品名が自動で並びます</t>
        </r>
        <r>
          <rPr>
            <sz val="10"/>
            <rFont val="Arial"/>
            <family val="2"/>
          </rPr>
          <t xml:space="preserve">(</t>
        </r>
        <r>
          <rPr>
            <sz val="10"/>
            <rFont val="WenQuanYi Zen Hei"/>
            <family val="2"/>
          </rPr>
          <t xml:space="preserve">最大</t>
        </r>
        <r>
          <rPr>
            <sz val="10"/>
            <rFont val="Arial"/>
            <family val="2"/>
          </rPr>
          <t xml:space="preserve">20</t>
        </r>
        <r>
          <rPr>
            <sz val="10"/>
            <rFont val="WenQuanYi Zen Hei"/>
            <family val="2"/>
          </rPr>
          <t xml:space="preserve">枠</t>
        </r>
        <r>
          <rPr>
            <sz val="10"/>
            <rFont val="Arial"/>
            <family val="2"/>
          </rPr>
          <t xml:space="preserve">)</t>
        </r>
        <r>
          <rPr>
            <sz val="10"/>
            <rFont val="WenQuanYi Zen Hei"/>
            <family val="2"/>
          </rPr>
          <t xml:space="preserve">。手入力する場合は</t>
        </r>
        <r>
          <rPr>
            <sz val="10"/>
            <rFont val="Arial"/>
            <family val="2"/>
          </rPr>
          <t xml:space="preserve">CSV</t>
        </r>
        <r>
          <rPr>
            <sz val="10"/>
            <rFont val="WenQuanYi Zen Hei"/>
            <family val="2"/>
          </rPr>
          <t xml:space="preserve">の商品名と完全一致させてください。</t>
        </r>
      </text>
    </comment>
    <comment ref="C4" authorId="0">
      <text>
        <r>
          <rPr>
            <sz val="10"/>
            <rFont val="WenQuanYi Zen Hei"/>
            <family val="2"/>
          </rPr>
          <t xml:space="preserve">直近の金土日の日付です。毎週書き換えてください。</t>
        </r>
      </text>
    </comment>
  </commentList>
</comments>
</file>

<file path=xl/comments5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5" authorId="0">
      <text>
        <r>
          <rPr>
            <sz val="10"/>
            <rFont val="WenQuanYi Zen Hei"/>
            <family val="2"/>
          </rPr>
          <t xml:space="preserve">ここに集計</t>
        </r>
        <r>
          <rPr>
            <sz val="10"/>
            <rFont val="Arial"/>
            <family val="2"/>
          </rPr>
          <t xml:space="preserve">CSV</t>
        </r>
        <r>
          <rPr>
            <sz val="10"/>
            <rFont val="WenQuanYi Zen Hei"/>
            <family val="2"/>
          </rPr>
          <t xml:space="preserve">のデータ部分を貼り付けます。</t>
        </r>
      </text>
    </comment>
  </commentList>
</comments>
</file>

<file path=xl/comments6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5" authorId="0">
      <text>
        <r>
          <rPr>
            <sz val="10"/>
            <rFont val="WenQuanYi Zen Hei"/>
            <family val="2"/>
          </rPr>
          <t xml:space="preserve">ここに集計</t>
        </r>
        <r>
          <rPr>
            <sz val="10"/>
            <rFont val="Arial"/>
            <family val="2"/>
          </rPr>
          <t xml:space="preserve">CSV</t>
        </r>
        <r>
          <rPr>
            <sz val="10"/>
            <rFont val="WenQuanYi Zen Hei"/>
            <family val="2"/>
          </rPr>
          <t xml:space="preserve">のデータ部分を貼り付けます。</t>
        </r>
      </text>
    </comment>
  </commentList>
</comments>
</file>

<file path=xl/sharedStrings.xml><?xml version="1.0" encoding="utf-8"?>
<sst xmlns="http://schemas.openxmlformats.org/spreadsheetml/2006/main" count="181" uniqueCount="139">
  <si>
    <t xml:space="preserve">　🍿 コンセッション 事前準備数ツール</t>
  </si>
  <si>
    <r>
      <rPr>
        <sz val="9.5"/>
        <color rgb="FF8A93A3"/>
        <rFont val="BIZ UDPゴシック"/>
        <family val="0"/>
        <charset val="1"/>
      </rPr>
      <t xml:space="preserve">TOHO</t>
    </r>
    <r>
      <rPr>
        <sz val="9.5"/>
        <color rgb="FF8A93A3"/>
        <rFont val="WenQuanYi Zen Hei"/>
        <family val="2"/>
      </rPr>
      <t xml:space="preserve">シネマズ新宿｜期間</t>
    </r>
    <r>
      <rPr>
        <sz val="9.5"/>
        <color rgb="FF8A93A3"/>
        <rFont val="BIZ UDPゴシック"/>
        <family val="0"/>
        <charset val="1"/>
      </rPr>
      <t xml:space="preserve">A(</t>
    </r>
    <r>
      <rPr>
        <sz val="9.5"/>
        <color rgb="FF8A93A3"/>
        <rFont val="WenQuanYi Zen Hei"/>
        <family val="2"/>
      </rPr>
      <t xml:space="preserve">直近 金土日</t>
    </r>
    <r>
      <rPr>
        <sz val="9.5"/>
        <color rgb="FF8A93A3"/>
        <rFont val="BIZ UDPゴシック"/>
        <family val="0"/>
        <charset val="1"/>
      </rPr>
      <t xml:space="preserve">)</t>
    </r>
    <r>
      <rPr>
        <sz val="9.5"/>
        <color rgb="FF8A93A3"/>
        <rFont val="WenQuanYi Zen Hei"/>
        <family val="2"/>
      </rPr>
      <t xml:space="preserve">・期間</t>
    </r>
    <r>
      <rPr>
        <sz val="9.5"/>
        <color rgb="FF8A93A3"/>
        <rFont val="BIZ UDPゴシック"/>
        <family val="0"/>
        <charset val="1"/>
      </rPr>
      <t xml:space="preserve">B(</t>
    </r>
    <r>
      <rPr>
        <sz val="9.5"/>
        <color rgb="FF8A93A3"/>
        <rFont val="WenQuanYi Zen Hei"/>
        <family val="2"/>
      </rPr>
      <t xml:space="preserve">前週 金〜木</t>
    </r>
    <r>
      <rPr>
        <sz val="9.5"/>
        <color rgb="FF8A93A3"/>
        <rFont val="BIZ UDPゴシック"/>
        <family val="0"/>
        <charset val="1"/>
      </rPr>
      <t xml:space="preserve">)</t>
    </r>
    <r>
      <rPr>
        <sz val="9.5"/>
        <color rgb="FF8A93A3"/>
        <rFont val="WenQuanYi Zen Hei"/>
        <family val="2"/>
      </rPr>
      <t xml:space="preserve">の購買率から、ピーク前の仕込み数を自動計算</t>
    </r>
  </si>
  <si>
    <r>
      <rPr>
        <b val="true"/>
        <sz val="10"/>
        <color rgb="FF2E3A59"/>
        <rFont val="WenQuanYi Zen Hei"/>
        <family val="2"/>
      </rPr>
      <t xml:space="preserve">  つかいかた（</t>
    </r>
    <r>
      <rPr>
        <b val="true"/>
        <sz val="10"/>
        <color rgb="FF2E3A59"/>
        <rFont val="BIZ UDPゴシック"/>
        <family val="0"/>
        <charset val="1"/>
      </rPr>
      <t xml:space="preserve">3</t>
    </r>
    <r>
      <rPr>
        <b val="true"/>
        <sz val="10"/>
        <color rgb="FF2E3A59"/>
        <rFont val="WenQuanYi Zen Hei"/>
        <family val="2"/>
      </rPr>
      <t xml:space="preserve">ステップ）</t>
    </r>
  </si>
  <si>
    <t xml:space="preserve">①</t>
  </si>
  <si>
    <t xml:space="preserve">「期間データ」シートに 日付 と 動員数 を入力</t>
  </si>
  <si>
    <r>
      <rPr>
        <sz val="9"/>
        <color rgb="FF8A93A3"/>
        <rFont val="WenQuanYi Zen Hei"/>
        <family val="2"/>
      </rPr>
      <t xml:space="preserve">期間</t>
    </r>
    <r>
      <rPr>
        <sz val="9"/>
        <color rgb="FF8A93A3"/>
        <rFont val="BIZ UDPゴシック"/>
        <family val="0"/>
        <charset val="1"/>
      </rPr>
      <t xml:space="preserve">A</t>
    </r>
    <r>
      <rPr>
        <sz val="9"/>
        <color rgb="FF8A93A3"/>
        <rFont val="WenQuanYi Zen Hei"/>
        <family val="2"/>
      </rPr>
      <t xml:space="preserve">＝直近の金土日（</t>
    </r>
    <r>
      <rPr>
        <sz val="9"/>
        <color rgb="FF8A93A3"/>
        <rFont val="BIZ UDPゴシック"/>
        <family val="0"/>
        <charset val="1"/>
      </rPr>
      <t xml:space="preserve">3</t>
    </r>
    <r>
      <rPr>
        <sz val="9"/>
        <color rgb="FF8A93A3"/>
        <rFont val="WenQuanYi Zen Hei"/>
        <family val="2"/>
      </rPr>
      <t xml:space="preserve">日分）、期間</t>
    </r>
    <r>
      <rPr>
        <sz val="9"/>
        <color rgb="FF8A93A3"/>
        <rFont val="BIZ UDPゴシック"/>
        <family val="0"/>
        <charset val="1"/>
      </rPr>
      <t xml:space="preserve">B</t>
    </r>
    <r>
      <rPr>
        <sz val="9"/>
        <color rgb="FF8A93A3"/>
        <rFont val="WenQuanYi Zen Hei"/>
        <family val="2"/>
      </rPr>
      <t xml:space="preserve">＝前週の金〜木（</t>
    </r>
    <r>
      <rPr>
        <sz val="9"/>
        <color rgb="FF8A93A3"/>
        <rFont val="BIZ UDPゴシック"/>
        <family val="0"/>
        <charset val="1"/>
      </rPr>
      <t xml:space="preserve">7</t>
    </r>
    <r>
      <rPr>
        <sz val="9"/>
        <color rgb="FF8A93A3"/>
        <rFont val="WenQuanYi Zen Hei"/>
        <family val="2"/>
      </rPr>
      <t xml:space="preserve">日分）。</t>
    </r>
    <r>
      <rPr>
        <sz val="9"/>
        <color rgb="FF8A93A3"/>
        <rFont val="BIZ UDPゴシック"/>
        <family val="0"/>
        <charset val="1"/>
      </rPr>
      <t xml:space="preserve">TOHO</t>
    </r>
    <r>
      <rPr>
        <sz val="9"/>
        <color rgb="FF8A93A3"/>
        <rFont val="WenQuanYi Zen Hei"/>
        <family val="2"/>
      </rPr>
      <t xml:space="preserve">の営業週</t>
    </r>
    <r>
      <rPr>
        <sz val="9"/>
        <color rgb="FF8A93A3"/>
        <rFont val="BIZ UDPゴシック"/>
        <family val="0"/>
        <charset val="1"/>
      </rPr>
      <t xml:space="preserve">(</t>
    </r>
    <r>
      <rPr>
        <sz val="9"/>
        <color rgb="FF8A93A3"/>
        <rFont val="WenQuanYi Zen Hei"/>
        <family val="2"/>
      </rPr>
      <t xml:space="preserve">金曜開始</t>
    </r>
    <r>
      <rPr>
        <sz val="9"/>
        <color rgb="FF8A93A3"/>
        <rFont val="BIZ UDPゴシック"/>
        <family val="0"/>
        <charset val="1"/>
      </rPr>
      <t xml:space="preserve">)</t>
    </r>
    <r>
      <rPr>
        <sz val="9"/>
        <color rgb="FF8A93A3"/>
        <rFont val="WenQuanYi Zen Hei"/>
        <family val="2"/>
      </rPr>
      <t xml:space="preserve">に対応。｜担当：社員</t>
    </r>
  </si>
  <si>
    <t xml:space="preserve">②</t>
  </si>
  <si>
    <r>
      <rPr>
        <b val="true"/>
        <sz val="11"/>
        <color rgb="FF333B4A"/>
        <rFont val="WenQuanYi Zen Hei"/>
        <family val="2"/>
      </rPr>
      <t xml:space="preserve">「</t>
    </r>
    <r>
      <rPr>
        <b val="true"/>
        <sz val="11"/>
        <color rgb="FF333B4A"/>
        <rFont val="BIZ UDPゴシック"/>
        <family val="0"/>
        <charset val="1"/>
      </rPr>
      <t xml:space="preserve">CSV</t>
    </r>
    <r>
      <rPr>
        <b val="true"/>
        <sz val="11"/>
        <color rgb="FF333B4A"/>
        <rFont val="WenQuanYi Zen Hei"/>
        <family val="2"/>
      </rPr>
      <t xml:space="preserve">貼付</t>
    </r>
    <r>
      <rPr>
        <b val="true"/>
        <sz val="11"/>
        <color rgb="FF333B4A"/>
        <rFont val="BIZ UDPゴシック"/>
        <family val="0"/>
        <charset val="1"/>
      </rPr>
      <t xml:space="preserve">A</t>
    </r>
    <r>
      <rPr>
        <b val="true"/>
        <sz val="11"/>
        <color rgb="FF333B4A"/>
        <rFont val="WenQuanYi Zen Hei"/>
        <family val="2"/>
      </rPr>
      <t xml:space="preserve">」「</t>
    </r>
    <r>
      <rPr>
        <b val="true"/>
        <sz val="11"/>
        <color rgb="FF333B4A"/>
        <rFont val="BIZ UDPゴシック"/>
        <family val="0"/>
        <charset val="1"/>
      </rPr>
      <t xml:space="preserve">CSV</t>
    </r>
    <r>
      <rPr>
        <b val="true"/>
        <sz val="11"/>
        <color rgb="FF333B4A"/>
        <rFont val="WenQuanYi Zen Hei"/>
        <family val="2"/>
      </rPr>
      <t xml:space="preserve">貼付</t>
    </r>
    <r>
      <rPr>
        <b val="true"/>
        <sz val="11"/>
        <color rgb="FF333B4A"/>
        <rFont val="BIZ UDPゴシック"/>
        <family val="0"/>
        <charset val="1"/>
      </rPr>
      <t xml:space="preserve">B</t>
    </r>
    <r>
      <rPr>
        <b val="true"/>
        <sz val="11"/>
        <color rgb="FF333B4A"/>
        <rFont val="WenQuanYi Zen Hei"/>
        <family val="2"/>
      </rPr>
      <t xml:space="preserve">」に 売上・在庫・原価</t>
    </r>
    <r>
      <rPr>
        <b val="true"/>
        <sz val="11"/>
        <color rgb="FF333B4A"/>
        <rFont val="BIZ UDPゴシック"/>
        <family val="0"/>
        <charset val="1"/>
      </rPr>
      <t xml:space="preserve">CSV </t>
    </r>
    <r>
      <rPr>
        <b val="true"/>
        <sz val="11"/>
        <color rgb="FF333B4A"/>
        <rFont val="WenQuanYi Zen Hei"/>
        <family val="2"/>
      </rPr>
      <t xml:space="preserve">を貼り付け</t>
    </r>
  </si>
  <si>
    <r>
      <rPr>
        <sz val="9"/>
        <color rgb="FF8A93A3"/>
        <rFont val="WenQuanYi Zen Hei"/>
        <family val="2"/>
      </rPr>
      <t xml:space="preserve">各期間で出力した</t>
    </r>
    <r>
      <rPr>
        <sz val="9"/>
        <color rgb="FF8A93A3"/>
        <rFont val="BIZ UDPゴシック"/>
        <family val="0"/>
        <charset val="1"/>
      </rPr>
      <t xml:space="preserve">CSV</t>
    </r>
    <r>
      <rPr>
        <sz val="9"/>
        <color rgb="FF8A93A3"/>
        <rFont val="WenQuanYi Zen Hei"/>
        <family val="2"/>
      </rPr>
      <t xml:space="preserve">を、</t>
    </r>
    <r>
      <rPr>
        <sz val="9"/>
        <color rgb="FF8A93A3"/>
        <rFont val="BIZ UDPゴシック"/>
        <family val="0"/>
        <charset val="1"/>
      </rPr>
      <t xml:space="preserve">5</t>
    </r>
    <r>
      <rPr>
        <sz val="9"/>
        <color rgb="FF8A93A3"/>
        <rFont val="WenQuanYi Zen Hei"/>
        <family val="2"/>
      </rPr>
      <t xml:space="preserve">行目の</t>
    </r>
    <r>
      <rPr>
        <sz val="9"/>
        <color rgb="FF8A93A3"/>
        <rFont val="BIZ UDPゴシック"/>
        <family val="0"/>
        <charset val="1"/>
      </rPr>
      <t xml:space="preserve">A</t>
    </r>
    <r>
      <rPr>
        <sz val="9"/>
        <color rgb="FF8A93A3"/>
        <rFont val="WenQuanYi Zen Hei"/>
        <family val="2"/>
      </rPr>
      <t xml:space="preserve">列からそのまま貼り付け（</t>
    </r>
    <r>
      <rPr>
        <sz val="9"/>
        <color rgb="FF8A93A3"/>
        <rFont val="BIZ UDPゴシック"/>
        <family val="0"/>
        <charset val="1"/>
      </rPr>
      <t xml:space="preserve">1</t>
    </r>
    <r>
      <rPr>
        <sz val="9"/>
        <color rgb="FF8A93A3"/>
        <rFont val="WenQuanYi Zen Hei"/>
        <family val="2"/>
      </rPr>
      <t xml:space="preserve">行目のヘッダーは不要）。行数と期間一致の表示を確認。｜担当：社員</t>
    </r>
  </si>
  <si>
    <t xml:space="preserve">③</t>
  </si>
  <si>
    <t xml:space="preserve">「準備数計算」で 参照期間・ピーク動員数・時間帯 を選ぶ</t>
  </si>
  <si>
    <r>
      <rPr>
        <sz val="9"/>
        <color rgb="FF8A93A3"/>
        <rFont val="WenQuanYi Zen Hei"/>
        <family val="2"/>
      </rPr>
      <t xml:space="preserve">ピーク動員数＝これから準備する回（例：</t>
    </r>
    <r>
      <rPr>
        <sz val="9"/>
        <color rgb="FF8A93A3"/>
        <rFont val="BIZ UDPゴシック"/>
        <family val="0"/>
        <charset val="1"/>
      </rPr>
      <t xml:space="preserve">1</t>
    </r>
    <r>
      <rPr>
        <sz val="9"/>
        <color rgb="FF8A93A3"/>
        <rFont val="WenQuanYi Zen Hei"/>
        <family val="2"/>
      </rPr>
      <t xml:space="preserve">時間後のピーク）の合計動員数。「印刷用」を</t>
    </r>
    <r>
      <rPr>
        <sz val="9"/>
        <color rgb="FF8A93A3"/>
        <rFont val="BIZ UDPゴシック"/>
        <family val="0"/>
        <charset val="1"/>
      </rPr>
      <t xml:space="preserve">A4</t>
    </r>
    <r>
      <rPr>
        <sz val="9"/>
        <color rgb="FF8A93A3"/>
        <rFont val="WenQuanYi Zen Hei"/>
        <family val="2"/>
      </rPr>
      <t xml:space="preserve">で刷って現場へ。｜担当：社員（確認：スタッフ）</t>
    </r>
  </si>
  <si>
    <t xml:space="preserve">  セルの色のルール</t>
  </si>
  <si>
    <t xml:space="preserve">✏️ 黄色 ＝ 入力するセル</t>
  </si>
  <si>
    <t xml:space="preserve">🔒 グレー ＝ 自動計算</t>
  </si>
  <si>
    <t xml:space="preserve">  計算のしくみ</t>
  </si>
  <si>
    <r>
      <rPr>
        <sz val="10"/>
        <color rgb="FF333B4A"/>
        <rFont val="WenQuanYi Zen Hei"/>
        <family val="2"/>
      </rPr>
      <t xml:space="preserve">購買率 ＝ 参照期間の販売数（</t>
    </r>
    <r>
      <rPr>
        <sz val="10"/>
        <color rgb="FF333B4A"/>
        <rFont val="BIZ UDPゴシック"/>
        <family val="0"/>
        <charset val="1"/>
      </rPr>
      <t xml:space="preserve">CSV</t>
    </r>
    <r>
      <rPr>
        <sz val="10"/>
        <color rgb="FF333B4A"/>
        <rFont val="WenQuanYi Zen Hei"/>
        <family val="2"/>
      </rPr>
      <t xml:space="preserve">の「売上数」列） </t>
    </r>
    <r>
      <rPr>
        <sz val="10"/>
        <color rgb="FF333B4A"/>
        <rFont val="BIZ UDPゴシック"/>
        <family val="0"/>
        <charset val="1"/>
      </rPr>
      <t xml:space="preserve">÷ </t>
    </r>
    <r>
      <rPr>
        <sz val="10"/>
        <color rgb="FF333B4A"/>
        <rFont val="WenQuanYi Zen Hei"/>
        <family val="2"/>
      </rPr>
      <t xml:space="preserve">参照期間の動員数合計</t>
    </r>
  </si>
  <si>
    <r>
      <rPr>
        <sz val="10"/>
        <color rgb="FF333B4A"/>
        <rFont val="WenQuanYi Zen Hei"/>
        <family val="2"/>
      </rPr>
      <t xml:space="preserve">作る数 ＝ ピーク動員数 </t>
    </r>
    <r>
      <rPr>
        <sz val="10"/>
        <color rgb="FF333B4A"/>
        <rFont val="BIZ UDPゴシック"/>
        <family val="0"/>
        <charset val="1"/>
      </rPr>
      <t xml:space="preserve">× </t>
    </r>
    <r>
      <rPr>
        <sz val="10"/>
        <color rgb="FF333B4A"/>
        <rFont val="WenQuanYi Zen Hei"/>
        <family val="2"/>
      </rPr>
      <t xml:space="preserve">購買率 </t>
    </r>
    <r>
      <rPr>
        <sz val="10"/>
        <color rgb="FF333B4A"/>
        <rFont val="BIZ UDPゴシック"/>
        <family val="0"/>
        <charset val="1"/>
      </rPr>
      <t xml:space="preserve">× </t>
    </r>
    <r>
      <rPr>
        <sz val="10"/>
        <color rgb="FF333B4A"/>
        <rFont val="WenQuanYi Zen Hei"/>
        <family val="2"/>
      </rPr>
      <t xml:space="preserve">時間帯プリセットの倍率（小数点以下は切り上げ）</t>
    </r>
  </si>
  <si>
    <t xml:space="preserve">  注意メモ</t>
  </si>
  <si>
    <r>
      <rPr>
        <sz val="9.5"/>
        <color rgb="FF333B4A"/>
        <rFont val="WenQuanYi Zen Hei"/>
        <family val="2"/>
      </rPr>
      <t xml:space="preserve">・商品名はプルダウンで選べます（貼られた</t>
    </r>
    <r>
      <rPr>
        <sz val="9.5"/>
        <color rgb="FF333B4A"/>
        <rFont val="BIZ UDPゴシック"/>
        <family val="0"/>
        <charset val="1"/>
      </rPr>
      <t xml:space="preserve">CSV</t>
    </r>
    <r>
      <rPr>
        <sz val="9.5"/>
        <color rgb="FF333B4A"/>
        <rFont val="WenQuanYi Zen Hei"/>
        <family val="2"/>
      </rPr>
      <t xml:space="preserve">の商品名から自動でリスト化）。手入力も可能ですが完全一致が必要です。</t>
    </r>
  </si>
  <si>
    <r>
      <rPr>
        <sz val="9.5"/>
        <color rgb="FF333B4A"/>
        <rFont val="WenQuanYi Zen Hei"/>
        <family val="2"/>
      </rPr>
      <t xml:space="preserve">・ピーク動員数には「これから準備する回」の合計動員数を入れます（例：</t>
    </r>
    <r>
      <rPr>
        <sz val="9.5"/>
        <color rgb="FF333B4A"/>
        <rFont val="BIZ UDPゴシック"/>
        <family val="0"/>
        <charset val="1"/>
      </rPr>
      <t xml:space="preserve">1</t>
    </r>
    <r>
      <rPr>
        <sz val="9.5"/>
        <color rgb="FF333B4A"/>
        <rFont val="WenQuanYi Zen Hei"/>
        <family val="2"/>
      </rPr>
      <t xml:space="preserve">時間後のピークの回の計）。</t>
    </r>
  </si>
  <si>
    <r>
      <rPr>
        <sz val="9.5"/>
        <color rgb="FF333B4A"/>
        <rFont val="WenQuanYi Zen Hei"/>
        <family val="2"/>
      </rPr>
      <t xml:space="preserve">・時間帯プリセット（平常</t>
    </r>
    <r>
      <rPr>
        <sz val="9.5"/>
        <color rgb="FF333B4A"/>
        <rFont val="BIZ UDPゴシック"/>
        <family val="0"/>
        <charset val="1"/>
      </rPr>
      <t xml:space="preserve">/</t>
    </r>
    <r>
      <rPr>
        <sz val="9.5"/>
        <color rgb="FF333B4A"/>
        <rFont val="WenQuanYi Zen Hei"/>
        <family val="2"/>
      </rPr>
      <t xml:space="preserve">朝いち</t>
    </r>
    <r>
      <rPr>
        <sz val="9.5"/>
        <color rgb="FF333B4A"/>
        <rFont val="BIZ UDPゴシック"/>
        <family val="0"/>
        <charset val="1"/>
      </rPr>
      <t xml:space="preserve">/</t>
    </r>
    <r>
      <rPr>
        <sz val="9.5"/>
        <color rgb="FF333B4A"/>
        <rFont val="WenQuanYi Zen Hei"/>
        <family val="2"/>
      </rPr>
      <t xml:space="preserve">昼ピーク…）は準備数計算シートの右側の表で、名前も倍率も自由に編集できます。</t>
    </r>
  </si>
  <si>
    <r>
      <rPr>
        <sz val="9.5"/>
        <color rgb="FF333B4A"/>
        <rFont val="WenQuanYi Zen Hei"/>
        <family val="2"/>
      </rPr>
      <t xml:space="preserve">・</t>
    </r>
    <r>
      <rPr>
        <sz val="9.5"/>
        <color rgb="FF333B4A"/>
        <rFont val="BIZ UDPゴシック"/>
        <family val="0"/>
        <charset val="1"/>
      </rPr>
      <t xml:space="preserve">CSV</t>
    </r>
    <r>
      <rPr>
        <sz val="9.5"/>
        <color rgb="FF333B4A"/>
        <rFont val="WenQuanYi Zen Hei"/>
        <family val="2"/>
      </rPr>
      <t xml:space="preserve">は各期間 最大</t>
    </r>
    <r>
      <rPr>
        <sz val="9.5"/>
        <color rgb="FF333B4A"/>
        <rFont val="BIZ UDPゴシック"/>
        <family val="0"/>
        <charset val="1"/>
      </rPr>
      <t xml:space="preserve">1000</t>
    </r>
    <r>
      <rPr>
        <sz val="9.5"/>
        <color rgb="FF333B4A"/>
        <rFont val="WenQuanYi Zen Hei"/>
        <family val="2"/>
      </rPr>
      <t xml:space="preserve">行。貼り付ける前に、前回貼ったデータを削除してください（</t>
    </r>
    <r>
      <rPr>
        <sz val="9.5"/>
        <color rgb="FF333B4A"/>
        <rFont val="BIZ UDPゴシック"/>
        <family val="0"/>
        <charset val="1"/>
      </rPr>
      <t xml:space="preserve">Ctrl+A</t>
    </r>
    <r>
      <rPr>
        <sz val="9.5"/>
        <color rgb="FF333B4A"/>
        <rFont val="WenQuanYi Zen Hei"/>
        <family val="2"/>
      </rPr>
      <t xml:space="preserve">的な全選択→</t>
    </r>
    <r>
      <rPr>
        <sz val="9.5"/>
        <color rgb="FF333B4A"/>
        <rFont val="BIZ UDPゴシック"/>
        <family val="0"/>
        <charset val="1"/>
      </rPr>
      <t xml:space="preserve">Delete</t>
    </r>
    <r>
      <rPr>
        <sz val="9.5"/>
        <color rgb="FF333B4A"/>
        <rFont val="WenQuanYi Zen Hei"/>
        <family val="2"/>
      </rPr>
      <t xml:space="preserve">）。</t>
    </r>
  </si>
  <si>
    <r>
      <rPr>
        <sz val="9.5"/>
        <color rgb="FF333B4A"/>
        <rFont val="WenQuanYi Zen Hei"/>
        <family val="2"/>
      </rPr>
      <t xml:space="preserve">・貼付後は「期間データ」の </t>
    </r>
    <r>
      <rPr>
        <sz val="9.5"/>
        <color rgb="FF333B4A"/>
        <rFont val="BIZ UDPゴシック"/>
        <family val="0"/>
        <charset val="1"/>
      </rPr>
      <t xml:space="preserve">CSV</t>
    </r>
    <r>
      <rPr>
        <sz val="9.5"/>
        <color rgb="FF333B4A"/>
        <rFont val="WenQuanYi Zen Hei"/>
        <family val="2"/>
      </rPr>
      <t xml:space="preserve">行数・期間一致（✔／⚠）を確認してください。違う週の</t>
    </r>
    <r>
      <rPr>
        <sz val="9.5"/>
        <color rgb="FF333B4A"/>
        <rFont val="BIZ UDPゴシック"/>
        <family val="0"/>
        <charset val="1"/>
      </rPr>
      <t xml:space="preserve">CSV</t>
    </r>
    <r>
      <rPr>
        <sz val="9.5"/>
        <color rgb="FF333B4A"/>
        <rFont val="WenQuanYi Zen Hei"/>
        <family val="2"/>
      </rPr>
      <t xml:space="preserve">を貼ると⚠が出ます。</t>
    </r>
  </si>
  <si>
    <r>
      <rPr>
        <sz val="9.5"/>
        <color rgb="FF333B4A"/>
        <rFont val="WenQuanYi Zen Hei"/>
        <family val="2"/>
      </rPr>
      <t xml:space="preserve">・日付を変えれば任意の期間（連休比較など）にも使えます。期間</t>
    </r>
    <r>
      <rPr>
        <sz val="9.5"/>
        <color rgb="FF333B4A"/>
        <rFont val="BIZ UDPゴシック"/>
        <family val="0"/>
        <charset val="1"/>
      </rPr>
      <t xml:space="preserve">A=3</t>
    </r>
    <r>
      <rPr>
        <sz val="9.5"/>
        <color rgb="FF333B4A"/>
        <rFont val="WenQuanYi Zen Hei"/>
        <family val="2"/>
      </rPr>
      <t xml:space="preserve">日・期間</t>
    </r>
    <r>
      <rPr>
        <sz val="9.5"/>
        <color rgb="FF333B4A"/>
        <rFont val="BIZ UDPゴシック"/>
        <family val="0"/>
        <charset val="1"/>
      </rPr>
      <t xml:space="preserve">B=7</t>
    </r>
    <r>
      <rPr>
        <sz val="9.5"/>
        <color rgb="FF333B4A"/>
        <rFont val="WenQuanYi Zen Hei"/>
        <family val="2"/>
      </rPr>
      <t xml:space="preserve">日の枠です。</t>
    </r>
  </si>
  <si>
    <t xml:space="preserve">・販売数を手入力したい場合は「期間データ」の販売数セルに直接数値を入れても使えます（数式は上書きされます）。</t>
  </si>
  <si>
    <r>
      <rPr>
        <sz val="9.5"/>
        <color rgb="FF333B4A"/>
        <rFont val="WenQuanYi Zen Hei"/>
        <family val="2"/>
      </rPr>
      <t xml:space="preserve">・時間帯別の購買率（朝昼夕夜で率を変える）は、</t>
    </r>
    <r>
      <rPr>
        <sz val="9.5"/>
        <color rgb="FF333B4A"/>
        <rFont val="BIZ UDPゴシック"/>
        <family val="0"/>
        <charset val="1"/>
      </rPr>
      <t xml:space="preserve">CSV</t>
    </r>
    <r>
      <rPr>
        <sz val="9.5"/>
        <color rgb="FF333B4A"/>
        <rFont val="WenQuanYi Zen Hei"/>
        <family val="2"/>
      </rPr>
      <t xml:space="preserve">に時刻情報が無いため今後の課題です。当面はプリセット倍率で調整します。</t>
    </r>
  </si>
  <si>
    <r>
      <rPr>
        <sz val="9.5"/>
        <color rgb="FF333B4A"/>
        <rFont val="WenQuanYi Zen Hei"/>
        <family val="2"/>
      </rPr>
      <t xml:space="preserve">・いまはサンプル週（</t>
    </r>
    <r>
      <rPr>
        <sz val="9.5"/>
        <color rgb="FF333B4A"/>
        <rFont val="BIZ UDPゴシック"/>
        <family val="0"/>
        <charset val="1"/>
      </rPr>
      <t xml:space="preserve">8/21</t>
    </r>
    <r>
      <rPr>
        <sz val="9.5"/>
        <color rgb="FF333B4A"/>
        <rFont val="WenQuanYi Zen Hei"/>
        <family val="2"/>
      </rPr>
      <t xml:space="preserve">週）の日付が入っています。毎週、日付と</t>
    </r>
    <r>
      <rPr>
        <sz val="9.5"/>
        <color rgb="FF333B4A"/>
        <rFont val="BIZ UDPゴシック"/>
        <family val="0"/>
        <charset val="1"/>
      </rPr>
      <t xml:space="preserve">CSV</t>
    </r>
    <r>
      <rPr>
        <sz val="9.5"/>
        <color rgb="FF333B4A"/>
        <rFont val="WenQuanYi Zen Hei"/>
        <family val="2"/>
      </rPr>
      <t xml:space="preserve">を差し替えてお使いください。</t>
    </r>
  </si>
  <si>
    <r>
      <rPr>
        <sz val="8.5"/>
        <color rgb="FF8A93A3"/>
        <rFont val="WenQuanYi Zen Hei"/>
        <family val="2"/>
      </rPr>
      <t xml:space="preserve">雛形版 </t>
    </r>
    <r>
      <rPr>
        <sz val="8.5"/>
        <color rgb="FF8A93A3"/>
        <rFont val="BIZ UDPゴシック"/>
        <family val="0"/>
        <charset val="1"/>
      </rPr>
      <t xml:space="preserve">v3.0</t>
    </r>
    <r>
      <rPr>
        <sz val="8.5"/>
        <color rgb="FF8A93A3"/>
        <rFont val="WenQuanYi Zen Hei"/>
        <family val="2"/>
      </rPr>
      <t xml:space="preserve">（</t>
    </r>
    <r>
      <rPr>
        <sz val="8.5"/>
        <color rgb="FF8A93A3"/>
        <rFont val="BIZ UDPゴシック"/>
        <family val="0"/>
        <charset val="1"/>
      </rPr>
      <t xml:space="preserve">2026/8</t>
    </r>
    <r>
      <rPr>
        <sz val="8.5"/>
        <color rgb="FF8A93A3"/>
        <rFont val="WenQuanYi Zen Hei"/>
        <family val="2"/>
      </rPr>
      <t xml:space="preserve">）｜数式・レイアウトは自由に調整してください</t>
    </r>
  </si>
  <si>
    <t xml:space="preserve">　🍿 準備数計算｜ピーク前の仕込み数</t>
  </si>
  <si>
    <r>
      <rPr>
        <sz val="9"/>
        <color rgb="FF8A93A3"/>
        <rFont val="WenQuanYi Zen Hei"/>
        <family val="2"/>
      </rPr>
      <t xml:space="preserve">参照期間</t>
    </r>
    <r>
      <rPr>
        <sz val="9"/>
        <color rgb="FF8A93A3"/>
        <rFont val="BIZ UDPゴシック"/>
        <family val="0"/>
        <charset val="1"/>
      </rPr>
      <t xml:space="preserve">(A/B)</t>
    </r>
    <r>
      <rPr>
        <sz val="9"/>
        <color rgb="FF8A93A3"/>
        <rFont val="WenQuanYi Zen Hei"/>
        <family val="2"/>
      </rPr>
      <t xml:space="preserve">の購買率 </t>
    </r>
    <r>
      <rPr>
        <sz val="9"/>
        <color rgb="FF8A93A3"/>
        <rFont val="BIZ UDPゴシック"/>
        <family val="0"/>
        <charset val="1"/>
      </rPr>
      <t xml:space="preserve">× </t>
    </r>
    <r>
      <rPr>
        <sz val="9"/>
        <color rgb="FF8A93A3"/>
        <rFont val="WenQuanYi Zen Hei"/>
        <family val="2"/>
      </rPr>
      <t xml:space="preserve">ピーク動員数 </t>
    </r>
    <r>
      <rPr>
        <sz val="9"/>
        <color rgb="FF8A93A3"/>
        <rFont val="BIZ UDPゴシック"/>
        <family val="0"/>
        <charset val="1"/>
      </rPr>
      <t xml:space="preserve">× </t>
    </r>
    <r>
      <rPr>
        <sz val="9"/>
        <color rgb="FF8A93A3"/>
        <rFont val="WenQuanYi Zen Hei"/>
        <family val="2"/>
      </rPr>
      <t xml:space="preserve">時間帯プリセット倍率 で「作る数」を自動計算します</t>
    </r>
  </si>
  <si>
    <r>
      <rPr>
        <b val="true"/>
        <sz val="8.5"/>
        <color rgb="FF333B4A"/>
        <rFont val="WenQuanYi Zen Hei"/>
        <family val="2"/>
      </rPr>
      <t xml:space="preserve"> ⏰ 時間帯プリセット（編集</t>
    </r>
    <r>
      <rPr>
        <b val="true"/>
        <sz val="8.5"/>
        <color rgb="FF333B4A"/>
        <rFont val="BIZ UDPゴシック"/>
        <family val="0"/>
        <charset val="1"/>
      </rPr>
      <t xml:space="preserve">OK</t>
    </r>
    <r>
      <rPr>
        <b val="true"/>
        <sz val="8.5"/>
        <color rgb="FF333B4A"/>
        <rFont val="WenQuanYi Zen Hei"/>
        <family val="2"/>
      </rPr>
      <t xml:space="preserve">）</t>
    </r>
  </si>
  <si>
    <t xml:space="preserve"> ⚙ 計算用（さわらない）</t>
  </si>
  <si>
    <t xml:space="preserve">  ① 参照期間</t>
  </si>
  <si>
    <r>
      <rPr>
        <b val="true"/>
        <sz val="10.5"/>
        <color rgb="FF333B4A"/>
        <rFont val="WenQuanYi Zen Hei"/>
        <family val="2"/>
      </rPr>
      <t xml:space="preserve">期間</t>
    </r>
    <r>
      <rPr>
        <b val="true"/>
        <sz val="10.5"/>
        <color rgb="FF333B4A"/>
        <rFont val="BIZ UDPゴシック"/>
        <family val="0"/>
        <charset val="1"/>
      </rPr>
      <t xml:space="preserve">A</t>
    </r>
    <r>
      <rPr>
        <b val="true"/>
        <sz val="10.5"/>
        <color rgb="FF333B4A"/>
        <rFont val="WenQuanYi Zen Hei"/>
        <family val="2"/>
      </rPr>
      <t xml:space="preserve">（金土日）</t>
    </r>
  </si>
  <si>
    <t xml:space="preserve">平常</t>
  </si>
  <si>
    <t xml:space="preserve">選択期間</t>
  </si>
  <si>
    <t xml:space="preserve">  ② ピーク動員数</t>
  </si>
  <si>
    <r>
      <rPr>
        <sz val="9"/>
        <color rgb="FF8A93A3"/>
        <rFont val="WenQuanYi Zen Hei"/>
        <family val="2"/>
      </rPr>
      <t xml:space="preserve">← これから準備する回の合計動員数（例：</t>
    </r>
    <r>
      <rPr>
        <sz val="9"/>
        <color rgb="FF8A93A3"/>
        <rFont val="BIZ UDPゴシック"/>
        <family val="0"/>
        <charset val="1"/>
      </rPr>
      <t xml:space="preserve">1</t>
    </r>
    <r>
      <rPr>
        <sz val="9"/>
        <color rgb="FF8A93A3"/>
        <rFont val="WenQuanYi Zen Hei"/>
        <family val="2"/>
      </rPr>
      <t xml:space="preserve">時間後のピークの回の計）</t>
    </r>
  </si>
  <si>
    <t xml:space="preserve">朝いち</t>
  </si>
  <si>
    <t xml:space="preserve">動員合計</t>
  </si>
  <si>
    <t xml:space="preserve">  ③ 時間帯</t>
  </si>
  <si>
    <t xml:space="preserve">← 時間帯の高低差はプリセット倍率で調整（右上の表で編集できます）</t>
  </si>
  <si>
    <t xml:space="preserve">昼ピーク</t>
  </si>
  <si>
    <t xml:space="preserve">他方動員</t>
  </si>
  <si>
    <t xml:space="preserve">  適用倍率</t>
  </si>
  <si>
    <t xml:space="preserve">（プリセット表から自動。手動にしたい時は表の倍率を書き換え）</t>
  </si>
  <si>
    <t xml:space="preserve">夕方</t>
  </si>
  <si>
    <t xml:space="preserve">夜ピーク</t>
  </si>
  <si>
    <t xml:space="preserve">レイト</t>
  </si>
  <si>
    <t xml:space="preserve">No.</t>
  </si>
  <si>
    <t xml:space="preserve">商品名</t>
  </si>
  <si>
    <t xml:space="preserve">期間販売数</t>
  </si>
  <si>
    <t xml:space="preserve">購買率</t>
  </si>
  <si>
    <r>
      <rPr>
        <b val="true"/>
        <sz val="11"/>
        <color rgb="FFFFFFFF"/>
        <rFont val="WenQuanYi Zen Hei"/>
        <family val="2"/>
      </rPr>
      <t xml:space="preserve">👉 作る数
</t>
    </r>
    <r>
      <rPr>
        <b val="true"/>
        <sz val="11"/>
        <color rgb="FFFFFFFF"/>
        <rFont val="BIZ UDPゴシック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この数を準備</t>
    </r>
    <r>
      <rPr>
        <b val="true"/>
        <sz val="11"/>
        <color rgb="FFFFFFFF"/>
        <rFont val="BIZ UDPゴシック"/>
        <family val="0"/>
        <charset val="1"/>
      </rPr>
      <t xml:space="preserve">)</t>
    </r>
  </si>
  <si>
    <t xml:space="preserve">（参考）
もう一方の期間</t>
  </si>
  <si>
    <r>
      <rPr>
        <sz val="8.5"/>
        <color rgb="FF8A93A3"/>
        <rFont val="WenQuanYi Zen Hei"/>
        <family val="2"/>
      </rPr>
      <t xml:space="preserve">※ 作る数 ＝ ピーク動員数 </t>
    </r>
    <r>
      <rPr>
        <sz val="8.5"/>
        <color rgb="FF8A93A3"/>
        <rFont val="BIZ UDPゴシック"/>
        <family val="0"/>
        <charset val="1"/>
      </rPr>
      <t xml:space="preserve">× </t>
    </r>
    <r>
      <rPr>
        <sz val="8.5"/>
        <color rgb="FF8A93A3"/>
        <rFont val="WenQuanYi Zen Hei"/>
        <family val="2"/>
      </rPr>
      <t xml:space="preserve">購買率 </t>
    </r>
    <r>
      <rPr>
        <sz val="8.5"/>
        <color rgb="FF8A93A3"/>
        <rFont val="BIZ UDPゴシック"/>
        <family val="0"/>
        <charset val="1"/>
      </rPr>
      <t xml:space="preserve">× </t>
    </r>
    <r>
      <rPr>
        <sz val="8.5"/>
        <color rgb="FF8A93A3"/>
        <rFont val="WenQuanYi Zen Hei"/>
        <family val="2"/>
      </rPr>
      <t xml:space="preserve">倍率（小数点以下切り上げ）｜購買率 ＝ 参照期間の販売数 </t>
    </r>
    <r>
      <rPr>
        <sz val="8.5"/>
        <color rgb="FF8A93A3"/>
        <rFont val="BIZ UDPゴシック"/>
        <family val="0"/>
        <charset val="1"/>
      </rPr>
      <t xml:space="preserve">÷ </t>
    </r>
    <r>
      <rPr>
        <sz val="8.5"/>
        <color rgb="FF8A93A3"/>
        <rFont val="WenQuanYi Zen Hei"/>
        <family val="2"/>
      </rPr>
      <t xml:space="preserve">動員数合計</t>
    </r>
  </si>
  <si>
    <t xml:space="preserve">　🍿 仕込み指示書（コンセッション）</t>
  </si>
  <si>
    <t xml:space="preserve">  👇 この数を作ってください</t>
  </si>
  <si>
    <t xml:space="preserve">日付・回：＿＿＿＿＿＿＿＿＿＿　　作成者：＿＿＿＿＿＿　　確認者：＿＿＿＿＿＿</t>
  </si>
  <si>
    <t xml:space="preserve">作る数</t>
  </si>
  <si>
    <t xml:space="preserve">できたら✓</t>
  </si>
  <si>
    <r>
      <rPr>
        <sz val="8"/>
        <color rgb="FF8A93A3"/>
        <rFont val="WenQuanYi Zen Hei"/>
        <family val="2"/>
      </rPr>
      <t xml:space="preserve">※ 数字は「準備数計算」シートから自動で入ります｜</t>
    </r>
    <r>
      <rPr>
        <sz val="8"/>
        <color rgb="FF8A93A3"/>
        <rFont val="BIZ UDPゴシック"/>
        <family val="0"/>
        <charset val="1"/>
      </rPr>
      <t xml:space="preserve">A4</t>
    </r>
    <r>
      <rPr>
        <sz val="8"/>
        <color rgb="FF8A93A3"/>
        <rFont val="WenQuanYi Zen Hei"/>
        <family val="2"/>
      </rPr>
      <t xml:space="preserve">縦・</t>
    </r>
    <r>
      <rPr>
        <sz val="8"/>
        <color rgb="FF8A93A3"/>
        <rFont val="BIZ UDPゴシック"/>
        <family val="0"/>
        <charset val="1"/>
      </rPr>
      <t xml:space="preserve">1</t>
    </r>
    <r>
      <rPr>
        <sz val="8"/>
        <color rgb="FF8A93A3"/>
        <rFont val="WenQuanYi Zen Hei"/>
        <family val="2"/>
      </rPr>
      <t xml:space="preserve">ページ印刷</t>
    </r>
  </si>
  <si>
    <t xml:space="preserve">　📅 期間データ（動員数・販売実績）</t>
  </si>
  <si>
    <r>
      <rPr>
        <sz val="8.5"/>
        <color rgb="FF8A93A3"/>
        <rFont val="WenQuanYi Zen Hei"/>
        <family val="2"/>
      </rPr>
      <t xml:space="preserve">凡例</t>
    </r>
    <r>
      <rPr>
        <sz val="8.5"/>
        <color rgb="FF8A93A3"/>
        <rFont val="BIZ UDPゴシック"/>
        <family val="0"/>
        <charset val="1"/>
      </rPr>
      <t xml:space="preserve">:</t>
    </r>
  </si>
  <si>
    <t xml:space="preserve">✏️ 入力セル</t>
  </si>
  <si>
    <t xml:space="preserve">🔒 自動計算</t>
  </si>
  <si>
    <r>
      <rPr>
        <sz val="8.5"/>
        <color rgb="FF8A93A3"/>
        <rFont val="WenQuanYi Zen Hei"/>
        <family val="2"/>
      </rPr>
      <t xml:space="preserve">販売数は「</t>
    </r>
    <r>
      <rPr>
        <sz val="8.5"/>
        <color rgb="FF8A93A3"/>
        <rFont val="BIZ UDPゴシック"/>
        <family val="0"/>
        <charset val="1"/>
      </rPr>
      <t xml:space="preserve">CSV</t>
    </r>
    <r>
      <rPr>
        <sz val="8.5"/>
        <color rgb="FF8A93A3"/>
        <rFont val="WenQuanYi Zen Hei"/>
        <family val="2"/>
      </rPr>
      <t xml:space="preserve">貼付</t>
    </r>
    <r>
      <rPr>
        <sz val="8.5"/>
        <color rgb="FF8A93A3"/>
        <rFont val="BIZ UDPゴシック"/>
        <family val="0"/>
        <charset val="1"/>
      </rPr>
      <t xml:space="preserve">A/B</t>
    </r>
    <r>
      <rPr>
        <sz val="8.5"/>
        <color rgb="FF8A93A3"/>
        <rFont val="WenQuanYi Zen Hei"/>
        <family val="2"/>
      </rPr>
      <t xml:space="preserve">」から自動集計。商品名はプルダウンで選択（手入力も可）。</t>
    </r>
  </si>
  <si>
    <r>
      <rPr>
        <b val="true"/>
        <sz val="10"/>
        <color rgb="FF333B4A"/>
        <rFont val="WenQuanYi Zen Hei"/>
        <family val="2"/>
      </rPr>
      <t xml:space="preserve">  期間</t>
    </r>
    <r>
      <rPr>
        <b val="true"/>
        <sz val="10"/>
        <color rgb="FF333B4A"/>
        <rFont val="BIZ UDPゴシック"/>
        <family val="0"/>
        <charset val="1"/>
      </rPr>
      <t xml:space="preserve">A</t>
    </r>
    <r>
      <rPr>
        <b val="true"/>
        <sz val="10"/>
        <color rgb="FF333B4A"/>
        <rFont val="WenQuanYi Zen Hei"/>
        <family val="2"/>
      </rPr>
      <t xml:space="preserve">（直近 金土日）｜日付</t>
    </r>
  </si>
  <si>
    <r>
      <rPr>
        <sz val="8"/>
        <color rgb="FF8A93A3"/>
        <rFont val="BIZ UDPゴシック"/>
        <family val="0"/>
        <charset val="1"/>
      </rPr>
      <t xml:space="preserve">⚙A</t>
    </r>
    <r>
      <rPr>
        <sz val="8"/>
        <color rgb="FF8A93A3"/>
        <rFont val="WenQuanYi Zen Hei"/>
        <family val="2"/>
      </rPr>
      <t xml:space="preserve">順</t>
    </r>
  </si>
  <si>
    <r>
      <rPr>
        <sz val="8"/>
        <color rgb="FF8A93A3"/>
        <rFont val="BIZ UDPゴシック"/>
        <family val="0"/>
        <charset val="1"/>
      </rPr>
      <t xml:space="preserve">⚙A</t>
    </r>
    <r>
      <rPr>
        <sz val="8"/>
        <color rgb="FF8A93A3"/>
        <rFont val="WenQuanYi Zen Hei"/>
        <family val="2"/>
      </rPr>
      <t xml:space="preserve">リスト</t>
    </r>
  </si>
  <si>
    <r>
      <rPr>
        <sz val="8"/>
        <color rgb="FF8A93A3"/>
        <rFont val="BIZ UDPゴシック"/>
        <family val="0"/>
        <charset val="1"/>
      </rPr>
      <t xml:space="preserve">⚙B</t>
    </r>
    <r>
      <rPr>
        <sz val="8"/>
        <color rgb="FF8A93A3"/>
        <rFont val="WenQuanYi Zen Hei"/>
        <family val="2"/>
      </rPr>
      <t xml:space="preserve">順</t>
    </r>
  </si>
  <si>
    <r>
      <rPr>
        <sz val="8"/>
        <color rgb="FF8A93A3"/>
        <rFont val="BIZ UDPゴシック"/>
        <family val="0"/>
        <charset val="1"/>
      </rPr>
      <t xml:space="preserve">⚙B</t>
    </r>
    <r>
      <rPr>
        <sz val="8"/>
        <color rgb="FF8A93A3"/>
        <rFont val="WenQuanYi Zen Hei"/>
        <family val="2"/>
      </rPr>
      <t xml:space="preserve">リスト</t>
    </r>
  </si>
  <si>
    <t xml:space="preserve">⚙商品リスト</t>
  </si>
  <si>
    <t xml:space="preserve">  曜日</t>
  </si>
  <si>
    <r>
      <rPr>
        <sz val="8"/>
        <color rgb="FF8A93A3"/>
        <rFont val="BIZ UDPゴシック"/>
        <family val="0"/>
        <charset val="1"/>
      </rPr>
      <t xml:space="preserve">A</t>
    </r>
    <r>
      <rPr>
        <sz val="8"/>
        <color rgb="FF8A93A3"/>
        <rFont val="WenQuanYi Zen Hei"/>
        <family val="2"/>
      </rPr>
      <t xml:space="preserve">計</t>
    </r>
  </si>
  <si>
    <t xml:space="preserve">  動員数（人）</t>
  </si>
  <si>
    <r>
      <rPr>
        <b val="true"/>
        <sz val="10"/>
        <color rgb="FF333B4A"/>
        <rFont val="WenQuanYi Zen Hei"/>
        <family val="2"/>
      </rPr>
      <t xml:space="preserve">  期間</t>
    </r>
    <r>
      <rPr>
        <b val="true"/>
        <sz val="10"/>
        <color rgb="FF333B4A"/>
        <rFont val="BIZ UDPゴシック"/>
        <family val="0"/>
        <charset val="1"/>
      </rPr>
      <t xml:space="preserve">B</t>
    </r>
    <r>
      <rPr>
        <b val="true"/>
        <sz val="10"/>
        <color rgb="FF333B4A"/>
        <rFont val="WenQuanYi Zen Hei"/>
        <family val="2"/>
      </rPr>
      <t xml:space="preserve">（前週 金〜木）｜日付</t>
    </r>
  </si>
  <si>
    <r>
      <rPr>
        <sz val="8"/>
        <color rgb="FF8A93A3"/>
        <rFont val="BIZ UDPゴシック"/>
        <family val="0"/>
        <charset val="1"/>
      </rPr>
      <t xml:space="preserve">B</t>
    </r>
    <r>
      <rPr>
        <sz val="8"/>
        <color rgb="FF8A93A3"/>
        <rFont val="WenQuanYi Zen Hei"/>
        <family val="2"/>
      </rPr>
      <t xml:space="preserve">計</t>
    </r>
  </si>
  <si>
    <t xml:space="preserve">商品名（プルダウンで選択）</t>
  </si>
  <si>
    <r>
      <rPr>
        <b val="true"/>
        <sz val="9.5"/>
        <color rgb="FFFFFFFF"/>
        <rFont val="WenQuanYi Zen Hei"/>
        <family val="2"/>
      </rPr>
      <t xml:space="preserve">期間</t>
    </r>
    <r>
      <rPr>
        <b val="true"/>
        <sz val="9.5"/>
        <color rgb="FFFFFFFF"/>
        <rFont val="BIZ UDPゴシック"/>
        <family val="0"/>
        <charset val="1"/>
      </rPr>
      <t xml:space="preserve">A
</t>
    </r>
    <r>
      <rPr>
        <b val="true"/>
        <sz val="9.5"/>
        <color rgb="FFFFFFFF"/>
        <rFont val="WenQuanYi Zen Hei"/>
        <family val="2"/>
      </rPr>
      <t xml:space="preserve">販売数</t>
    </r>
  </si>
  <si>
    <r>
      <rPr>
        <b val="true"/>
        <sz val="9.5"/>
        <color rgb="FFFFFFFF"/>
        <rFont val="WenQuanYi Zen Hei"/>
        <family val="2"/>
      </rPr>
      <t xml:space="preserve">期間</t>
    </r>
    <r>
      <rPr>
        <b val="true"/>
        <sz val="9.5"/>
        <color rgb="FFFFFFFF"/>
        <rFont val="BIZ UDPゴシック"/>
        <family val="0"/>
        <charset val="1"/>
      </rPr>
      <t xml:space="preserve">B
</t>
    </r>
    <r>
      <rPr>
        <b val="true"/>
        <sz val="9.5"/>
        <color rgb="FFFFFFFF"/>
        <rFont val="WenQuanYi Zen Hei"/>
        <family val="2"/>
      </rPr>
      <t xml:space="preserve">販売数</t>
    </r>
  </si>
  <si>
    <t xml:space="preserve">メモ</t>
  </si>
  <si>
    <t xml:space="preserve">ハーフ＆ハーフ（塩／キャラメル）</t>
  </si>
  <si>
    <t xml:space="preserve">ポップコーン　キャラメルＭ</t>
  </si>
  <si>
    <t xml:space="preserve">ポップコーン　塩Ｍ</t>
  </si>
  <si>
    <t xml:space="preserve">ポップコーン　キャラメルＳ</t>
  </si>
  <si>
    <t xml:space="preserve">ポップコーン　塩Ｓ</t>
  </si>
  <si>
    <t xml:space="preserve">ポップコーン　キャラメルＬ</t>
  </si>
  <si>
    <t xml:space="preserve">ポップコーン　塩Ｌ</t>
  </si>
  <si>
    <t xml:space="preserve">北海道濃厚バターしょうゆ味</t>
  </si>
  <si>
    <t xml:space="preserve">トリュフソルト＆バター味</t>
  </si>
  <si>
    <t xml:space="preserve">シネマイク　ハッピーターン味</t>
  </si>
  <si>
    <t xml:space="preserve">パーティーポップ　キャラメル</t>
  </si>
  <si>
    <t xml:space="preserve">スパイシー！ポップチキン</t>
  </si>
  <si>
    <t xml:space="preserve">スナックじゃがトリュフソルトバタ</t>
  </si>
  <si>
    <t xml:space="preserve">スナックじゃが　シチリアハーブ</t>
  </si>
  <si>
    <t xml:space="preserve">ケチャップ＆マスタード</t>
  </si>
  <si>
    <t xml:space="preserve">４種のチーズ</t>
  </si>
  <si>
    <t xml:space="preserve">プレミアム　ハラペーニョ</t>
  </si>
  <si>
    <t xml:space="preserve">チュリトス　シナモンシュガー</t>
  </si>
  <si>
    <t xml:space="preserve">チュリトス　チョコクリーム</t>
  </si>
  <si>
    <r>
      <rPr>
        <sz val="8.5"/>
        <color rgb="FF8A93A3"/>
        <rFont val="WenQuanYi Zen Hei"/>
        <family val="2"/>
      </rPr>
      <t xml:space="preserve">※ 販売数のセルは自動計算です（</t>
    </r>
    <r>
      <rPr>
        <sz val="8.5"/>
        <color rgb="FF8A93A3"/>
        <rFont val="BIZ UDPゴシック"/>
        <family val="0"/>
        <charset val="1"/>
      </rPr>
      <t xml:space="preserve">CSV</t>
    </r>
    <r>
      <rPr>
        <sz val="8.5"/>
        <color rgb="FF8A93A3"/>
        <rFont val="WenQuanYi Zen Hei"/>
        <family val="2"/>
      </rPr>
      <t xml:space="preserve">の「売上数」列を商品名で集計）。</t>
    </r>
    <r>
      <rPr>
        <sz val="8.5"/>
        <color rgb="FF8A93A3"/>
        <rFont val="BIZ UDPゴシック"/>
        <family val="0"/>
        <charset val="1"/>
      </rPr>
      <t xml:space="preserve">CSV</t>
    </r>
    <r>
      <rPr>
        <sz val="8.5"/>
        <color rgb="FF8A93A3"/>
        <rFont val="WenQuanYi Zen Hei"/>
        <family val="2"/>
      </rPr>
      <t xml:space="preserve">を使わず手入力したい場合は、数値を直接入力しても使えます（自動集計に戻すには、となりのセルの数式をコピーしてください）。</t>
    </r>
  </si>
  <si>
    <r>
      <rPr>
        <b val="true"/>
        <sz val="14"/>
        <color rgb="FFFFFFFF"/>
        <rFont val="WenQuanYi Zen Hei"/>
        <family val="2"/>
      </rPr>
      <t xml:space="preserve">　📋 </t>
    </r>
    <r>
      <rPr>
        <b val="true"/>
        <sz val="14"/>
        <color rgb="FFFFFFFF"/>
        <rFont val="BIZ UDPゴシック"/>
        <family val="0"/>
        <charset val="1"/>
      </rPr>
      <t xml:space="preserve">CSV</t>
    </r>
    <r>
      <rPr>
        <b val="true"/>
        <sz val="14"/>
        <color rgb="FFFFFFFF"/>
        <rFont val="WenQuanYi Zen Hei"/>
        <family val="2"/>
      </rPr>
      <t xml:space="preserve">貼付</t>
    </r>
    <r>
      <rPr>
        <b val="true"/>
        <sz val="14"/>
        <color rgb="FFFFFFFF"/>
        <rFont val="BIZ UDPゴシック"/>
        <family val="0"/>
        <charset val="1"/>
      </rPr>
      <t xml:space="preserve">A</t>
    </r>
    <r>
      <rPr>
        <b val="true"/>
        <sz val="14"/>
        <color rgb="FFFFFFFF"/>
        <rFont val="WenQuanYi Zen Hei"/>
        <family val="2"/>
      </rPr>
      <t xml:space="preserve">｜期間</t>
    </r>
    <r>
      <rPr>
        <b val="true"/>
        <sz val="14"/>
        <color rgb="FFFFFFFF"/>
        <rFont val="BIZ UDPゴシック"/>
        <family val="0"/>
        <charset val="1"/>
      </rPr>
      <t xml:space="preserve">A</t>
    </r>
    <r>
      <rPr>
        <b val="true"/>
        <sz val="14"/>
        <color rgb="FFFFFFFF"/>
        <rFont val="WenQuanYi Zen Hei"/>
        <family val="2"/>
      </rPr>
      <t xml:space="preserve">（直近 金土日）の「売上・在庫・原価」</t>
    </r>
    <r>
      <rPr>
        <b val="true"/>
        <sz val="14"/>
        <color rgb="FFFFFFFF"/>
        <rFont val="BIZ UDPゴシック"/>
        <family val="0"/>
        <charset val="1"/>
      </rPr>
      <t xml:space="preserve">CSV</t>
    </r>
  </si>
  <si>
    <r>
      <rPr>
        <sz val="9"/>
        <color rgb="FF8A93A3"/>
        <rFont val="WenQuanYi Zen Hei"/>
        <family val="2"/>
      </rPr>
      <t xml:space="preserve">本社集計ソフトの「売上・在庫・原価」</t>
    </r>
    <r>
      <rPr>
        <sz val="9"/>
        <color rgb="FF8A93A3"/>
        <rFont val="BIZ UDPゴシック"/>
        <family val="0"/>
        <charset val="1"/>
      </rPr>
      <t xml:space="preserve">CSV</t>
    </r>
    <r>
      <rPr>
        <sz val="9"/>
        <color rgb="FF8A93A3"/>
        <rFont val="WenQuanYi Zen Hei"/>
        <family val="2"/>
      </rPr>
      <t xml:space="preserve">を、</t>
    </r>
    <r>
      <rPr>
        <sz val="9"/>
        <color rgb="FF8A93A3"/>
        <rFont val="BIZ UDPゴシック"/>
        <family val="0"/>
        <charset val="1"/>
      </rPr>
      <t xml:space="preserve">5</t>
    </r>
    <r>
      <rPr>
        <sz val="9"/>
        <color rgb="FF8A93A3"/>
        <rFont val="WenQuanYi Zen Hei"/>
        <family val="2"/>
      </rPr>
      <t xml:space="preserve">行目の</t>
    </r>
    <r>
      <rPr>
        <sz val="9"/>
        <color rgb="FF8A93A3"/>
        <rFont val="BIZ UDPゴシック"/>
        <family val="0"/>
        <charset val="1"/>
      </rPr>
      <t xml:space="preserve">A</t>
    </r>
    <r>
      <rPr>
        <sz val="9"/>
        <color rgb="FF8A93A3"/>
        <rFont val="WenQuanYi Zen Hei"/>
        <family val="2"/>
      </rPr>
      <t xml:space="preserve">列を選択してそのまま貼り付けてください（</t>
    </r>
    <r>
      <rPr>
        <sz val="9"/>
        <color rgb="FF8A93A3"/>
        <rFont val="BIZ UDPゴシック"/>
        <family val="0"/>
        <charset val="1"/>
      </rPr>
      <t xml:space="preserve">1</t>
    </r>
    <r>
      <rPr>
        <sz val="9"/>
        <color rgb="FF8A93A3"/>
        <rFont val="WenQuanYi Zen Hei"/>
        <family val="2"/>
      </rPr>
      <t xml:space="preserve">行目のヘッダー行は不要、最大</t>
    </r>
    <r>
      <rPr>
        <sz val="9"/>
        <color rgb="FF8A93A3"/>
        <rFont val="BIZ UDPゴシック"/>
        <family val="0"/>
        <charset val="1"/>
      </rPr>
      <t xml:space="preserve">1000</t>
    </r>
    <r>
      <rPr>
        <sz val="9"/>
        <color rgb="FF8A93A3"/>
        <rFont val="WenQuanYi Zen Hei"/>
        <family val="2"/>
      </rPr>
      <t xml:space="preserve">行）。貼り替えるときは、先に前回のデータを削除してください。</t>
    </r>
  </si>
  <si>
    <t xml:space="preserve">タイトル</t>
  </si>
  <si>
    <t xml:space="preserve">劇場コード</t>
  </si>
  <si>
    <t xml:space="preserve">劇場名</t>
  </si>
  <si>
    <t xml:space="preserve">対象期間開始</t>
  </si>
  <si>
    <t xml:space="preserve">対象期間終了</t>
  </si>
  <si>
    <t xml:space="preserve">大分類コード</t>
  </si>
  <si>
    <t xml:space="preserve">小分類コード</t>
  </si>
  <si>
    <t xml:space="preserve">小分類名</t>
  </si>
  <si>
    <t xml:space="preserve">作品コード</t>
  </si>
  <si>
    <t xml:space="preserve">作品名</t>
  </si>
  <si>
    <t xml:space="preserve">支払先コード</t>
  </si>
  <si>
    <t xml:space="preserve">支払先名</t>
  </si>
  <si>
    <t xml:space="preserve">商品コード</t>
  </si>
  <si>
    <t xml:space="preserve">買取区分</t>
  </si>
  <si>
    <t xml:space="preserve">買取区分名</t>
  </si>
  <si>
    <t xml:space="preserve">前日残数</t>
  </si>
  <si>
    <t xml:space="preserve">仕入数</t>
  </si>
  <si>
    <t xml:space="preserve">移動入庫数</t>
  </si>
  <si>
    <t xml:space="preserve">返品数</t>
  </si>
  <si>
    <t xml:space="preserve">廃棄数</t>
  </si>
  <si>
    <t xml:space="preserve">移動出庫数</t>
  </si>
  <si>
    <t xml:space="preserve">差異数</t>
  </si>
  <si>
    <t xml:space="preserve">資産廃棄数</t>
  </si>
  <si>
    <t xml:space="preserve">減算数</t>
  </si>
  <si>
    <t xml:space="preserve">残数</t>
  </si>
  <si>
    <t xml:space="preserve">売上数</t>
  </si>
  <si>
    <t xml:space="preserve">売上金額（税込）</t>
  </si>
  <si>
    <t xml:space="preserve">軽減売上数</t>
  </si>
  <si>
    <t xml:space="preserve">軽減売上金額（税込）</t>
  </si>
  <si>
    <t xml:space="preserve">売上金額（税抜）</t>
  </si>
  <si>
    <t xml:space="preserve">平均単価（税抜）</t>
  </si>
  <si>
    <t xml:space="preserve">売上原価（税抜）</t>
  </si>
  <si>
    <t xml:space="preserve">仕入先商品コード</t>
  </si>
  <si>
    <r>
      <rPr>
        <b val="true"/>
        <sz val="14"/>
        <color rgb="FFFFFFFF"/>
        <rFont val="WenQuanYi Zen Hei"/>
        <family val="2"/>
      </rPr>
      <t xml:space="preserve">　📋 </t>
    </r>
    <r>
      <rPr>
        <b val="true"/>
        <sz val="14"/>
        <color rgb="FFFFFFFF"/>
        <rFont val="BIZ UDPゴシック"/>
        <family val="0"/>
        <charset val="1"/>
      </rPr>
      <t xml:space="preserve">CSV</t>
    </r>
    <r>
      <rPr>
        <b val="true"/>
        <sz val="14"/>
        <color rgb="FFFFFFFF"/>
        <rFont val="WenQuanYi Zen Hei"/>
        <family val="2"/>
      </rPr>
      <t xml:space="preserve">貼付</t>
    </r>
    <r>
      <rPr>
        <b val="true"/>
        <sz val="14"/>
        <color rgb="FFFFFFFF"/>
        <rFont val="BIZ UDPゴシック"/>
        <family val="0"/>
        <charset val="1"/>
      </rPr>
      <t xml:space="preserve">B</t>
    </r>
    <r>
      <rPr>
        <b val="true"/>
        <sz val="14"/>
        <color rgb="FFFFFFFF"/>
        <rFont val="WenQuanYi Zen Hei"/>
        <family val="2"/>
      </rPr>
      <t xml:space="preserve">｜期間</t>
    </r>
    <r>
      <rPr>
        <b val="true"/>
        <sz val="14"/>
        <color rgb="FFFFFFFF"/>
        <rFont val="BIZ UDPゴシック"/>
        <family val="0"/>
        <charset val="1"/>
      </rPr>
      <t xml:space="preserve">B</t>
    </r>
    <r>
      <rPr>
        <b val="true"/>
        <sz val="14"/>
        <color rgb="FFFFFFFF"/>
        <rFont val="WenQuanYi Zen Hei"/>
        <family val="2"/>
      </rPr>
      <t xml:space="preserve">（前週 金〜木）の「売上・在庫・原価」</t>
    </r>
    <r>
      <rPr>
        <b val="true"/>
        <sz val="14"/>
        <color rgb="FFFFFFFF"/>
        <rFont val="BIZ UDPゴシック"/>
        <family val="0"/>
        <charset val="1"/>
      </rPr>
      <t xml:space="preserve">CSV</t>
    </r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</si>
</sst>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\×0%"/>
    <numFmt numFmtId="166" formatCode="#,##0"/>
    <numFmt numFmtId="167" formatCode="0.0%"/>
    <numFmt numFmtId="168" formatCode="General"/>
    <numFmt numFmtId="169" formatCode="m/d"/>
  </numFmts>
  <fonts count="6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WenQuanYi Zen Hei"/>
      <family val="2"/>
    </font>
    <font>
      <sz val="9.5"/>
      <color rgb="FF8A93A3"/>
      <name val="BIZ UDPゴシック"/>
      <family val="0"/>
      <charset val="1"/>
    </font>
    <font>
      <sz val="9.5"/>
      <color rgb="FF8A93A3"/>
      <name val="WenQuanYi Zen Hei"/>
      <family val="2"/>
    </font>
    <font>
      <b val="true"/>
      <sz val="10"/>
      <color rgb="FF2E3A59"/>
      <name val="WenQuanYi Zen Hei"/>
      <family val="2"/>
    </font>
    <font>
      <b val="true"/>
      <sz val="10"/>
      <color rgb="FF2E3A59"/>
      <name val="BIZ UDPゴシック"/>
      <family val="0"/>
      <charset val="1"/>
    </font>
    <font>
      <b val="true"/>
      <sz val="16"/>
      <color rgb="FFE8604C"/>
      <name val="BIZ UDPゴシック"/>
      <family val="0"/>
      <charset val="1"/>
    </font>
    <font>
      <b val="true"/>
      <sz val="11"/>
      <color rgb="FF333B4A"/>
      <name val="WenQuanYi Zen Hei"/>
      <family val="2"/>
    </font>
    <font>
      <sz val="9"/>
      <color rgb="FF8A93A3"/>
      <name val="WenQuanYi Zen Hei"/>
      <family val="2"/>
    </font>
    <font>
      <sz val="9"/>
      <color rgb="FF8A93A3"/>
      <name val="BIZ UDPゴシック"/>
      <family val="0"/>
      <charset val="1"/>
    </font>
    <font>
      <b val="true"/>
      <sz val="16"/>
      <color rgb="FFE9A13B"/>
      <name val="BIZ UDPゴシック"/>
      <family val="0"/>
      <charset val="1"/>
    </font>
    <font>
      <b val="true"/>
      <sz val="11"/>
      <color rgb="FF333B4A"/>
      <name val="BIZ UDPゴシック"/>
      <family val="0"/>
      <charset val="1"/>
    </font>
    <font>
      <b val="true"/>
      <sz val="16"/>
      <color rgb="FF1F9E92"/>
      <name val="BIZ UDPゴシック"/>
      <family val="0"/>
      <charset val="1"/>
    </font>
    <font>
      <sz val="9.5"/>
      <color rgb="FF333B4A"/>
      <name val="WenQuanYi Zen Hei"/>
      <family val="2"/>
    </font>
    <font>
      <sz val="9.5"/>
      <color rgb="FF5B6472"/>
      <name val="WenQuanYi Zen Hei"/>
      <family val="2"/>
    </font>
    <font>
      <sz val="10"/>
      <color rgb="FF333B4A"/>
      <name val="WenQuanYi Zen Hei"/>
      <family val="2"/>
    </font>
    <font>
      <sz val="10"/>
      <color rgb="FF333B4A"/>
      <name val="BIZ UDPゴシック"/>
      <family val="0"/>
      <charset val="1"/>
    </font>
    <font>
      <sz val="9.5"/>
      <color rgb="FF333B4A"/>
      <name val="BIZ UDPゴシック"/>
      <family val="0"/>
      <charset val="1"/>
    </font>
    <font>
      <sz val="8.5"/>
      <color rgb="FF8A93A3"/>
      <name val="WenQuanYi Zen Hei"/>
      <family val="2"/>
    </font>
    <font>
      <sz val="8.5"/>
      <color rgb="FF8A93A3"/>
      <name val="BIZ UDPゴシック"/>
      <family val="0"/>
      <charset val="1"/>
    </font>
    <font>
      <b val="true"/>
      <sz val="8.5"/>
      <color rgb="FF333B4A"/>
      <name val="WenQuanYi Zen Hei"/>
      <family val="2"/>
    </font>
    <font>
      <b val="true"/>
      <sz val="8.5"/>
      <color rgb="FF333B4A"/>
      <name val="BIZ UDPゴシック"/>
      <family val="0"/>
      <charset val="1"/>
    </font>
    <font>
      <sz val="8"/>
      <color rgb="FF8A93A3"/>
      <name val="WenQuanYi Zen Hei"/>
      <family val="2"/>
    </font>
    <font>
      <b val="true"/>
      <sz val="10"/>
      <color rgb="FF333B4A"/>
      <name val="WenQuanYi Zen Hei"/>
      <family val="2"/>
    </font>
    <font>
      <b val="true"/>
      <sz val="10.5"/>
      <color rgb="FF333B4A"/>
      <name val="WenQuanYi Zen Hei"/>
      <family val="2"/>
    </font>
    <font>
      <b val="true"/>
      <sz val="10.5"/>
      <color rgb="FF333B4A"/>
      <name val="BIZ UDPゴシック"/>
      <family val="0"/>
      <charset val="1"/>
    </font>
    <font>
      <b val="true"/>
      <sz val="9"/>
      <color rgb="FF333B4A"/>
      <name val="WenQuanYi Zen Hei"/>
      <family val="2"/>
    </font>
    <font>
      <b val="true"/>
      <sz val="9"/>
      <color rgb="FFE8604C"/>
      <name val="BIZ UDPゴシック"/>
      <family val="0"/>
      <charset val="1"/>
    </font>
    <font>
      <sz val="9"/>
      <color rgb="FF5B6472"/>
      <name val="WenQuanYi Zen Hei"/>
      <family val="2"/>
    </font>
    <font>
      <b val="true"/>
      <sz val="10"/>
      <color rgb="FFE8604C"/>
      <name val="BIZ UDPゴシック"/>
      <family val="0"/>
      <charset val="1"/>
    </font>
    <font>
      <b val="true"/>
      <sz val="8.5"/>
      <color rgb="FFD14343"/>
      <name val="WenQuanYi Zen Hei"/>
      <family val="2"/>
    </font>
    <font>
      <b val="true"/>
      <sz val="9.5"/>
      <color rgb="FFFFFFFF"/>
      <name val="BIZ UDPゴシック"/>
      <family val="0"/>
      <charset val="1"/>
    </font>
    <font>
      <b val="true"/>
      <sz val="9.5"/>
      <color rgb="FFFFFFFF"/>
      <name val="WenQuanYi Zen Hei"/>
      <family val="2"/>
    </font>
    <font>
      <b val="true"/>
      <sz val="11"/>
      <color rgb="FFFFFFFF"/>
      <name val="WenQuanYi Zen Hei"/>
      <family val="2"/>
    </font>
    <font>
      <b val="true"/>
      <sz val="11"/>
      <color rgb="FFFFFFFF"/>
      <name val="BIZ UDPゴシック"/>
      <family val="0"/>
      <charset val="1"/>
    </font>
    <font>
      <sz val="10.5"/>
      <color rgb="FF333B4A"/>
      <name val="WenQuanYi Zen Hei"/>
      <family val="2"/>
    </font>
    <font>
      <sz val="10"/>
      <color rgb="FF5B6472"/>
      <name val="BIZ UDPゴシック"/>
      <family val="0"/>
      <charset val="1"/>
    </font>
    <font>
      <b val="true"/>
      <sz val="13"/>
      <color rgb="FFE8604C"/>
      <name val="BIZ UDPゴシック"/>
      <family val="0"/>
      <charset val="1"/>
    </font>
    <font>
      <sz val="10"/>
      <name val="WenQuanYi Zen Hei"/>
      <family val="2"/>
    </font>
    <font>
      <sz val="10"/>
      <name val="Arial"/>
      <family val="2"/>
    </font>
    <font>
      <b val="true"/>
      <sz val="12"/>
      <color rgb="FFE8604C"/>
      <name val="WenQuanYi Zen Hei"/>
      <family val="2"/>
    </font>
    <font>
      <b val="true"/>
      <sz val="8"/>
      <color rgb="FFD14343"/>
      <name val="WenQuanYi Zen Hei"/>
      <family val="2"/>
    </font>
    <font>
      <b val="true"/>
      <sz val="10"/>
      <color rgb="FFFFFFFF"/>
      <name val="BIZ UDPゴシック"/>
      <family val="0"/>
      <charset val="1"/>
    </font>
    <font>
      <b val="true"/>
      <sz val="10"/>
      <color rgb="FFFFFFFF"/>
      <name val="WenQuanYi Zen Hei"/>
      <family val="2"/>
    </font>
    <font>
      <sz val="11"/>
      <color rgb="FF333B4A"/>
      <name val="WenQuanYi Zen Hei"/>
      <family val="2"/>
    </font>
    <font>
      <b val="true"/>
      <sz val="14"/>
      <color rgb="FFE8604C"/>
      <name val="BIZ UDPゴシック"/>
      <family val="0"/>
      <charset val="1"/>
    </font>
    <font>
      <sz val="12"/>
      <color rgb="FFB9C0CC"/>
      <name val="BIZ UDPゴシック"/>
      <family val="0"/>
      <charset val="1"/>
    </font>
    <font>
      <sz val="8"/>
      <color rgb="FF8A93A3"/>
      <name val="BIZ UDPゴシック"/>
      <family val="0"/>
      <charset val="1"/>
    </font>
    <font>
      <sz val="8.5"/>
      <color rgb="FF333B4A"/>
      <name val="WenQuanYi Zen Hei"/>
      <family val="2"/>
    </font>
    <font>
      <sz val="8.5"/>
      <color rgb="FF5B6472"/>
      <name val="WenQuanYi Zen Hei"/>
      <family val="2"/>
    </font>
    <font>
      <b val="true"/>
      <sz val="10"/>
      <color rgb="FF333B4A"/>
      <name val="BIZ UDPゴシック"/>
      <family val="0"/>
      <charset val="1"/>
    </font>
    <font>
      <sz val="10.5"/>
      <color rgb="FF333B4A"/>
      <name val="BIZ UDPゴシック"/>
      <family val="0"/>
      <charset val="1"/>
    </font>
    <font>
      <b val="true"/>
      <sz val="10.5"/>
      <color rgb="FF1F9E92"/>
      <name val="BIZ UDPゴシック"/>
      <family val="0"/>
      <charset val="1"/>
    </font>
    <font>
      <sz val="9"/>
      <color rgb="FF333B4A"/>
      <name val="BIZ UDPゴシック"/>
      <family val="0"/>
      <charset val="1"/>
    </font>
    <font>
      <b val="true"/>
      <sz val="14"/>
      <color rgb="FFFFFFFF"/>
      <name val="BIZ UDPゴシック"/>
      <family val="0"/>
      <charset val="1"/>
    </font>
    <font>
      <b val="true"/>
      <sz val="9"/>
      <color rgb="FF5B6472"/>
      <name val="WenQuanYi Zen Hei"/>
      <family val="2"/>
    </font>
    <font>
      <b val="true"/>
      <sz val="8.5"/>
      <color rgb="FFFFFFFF"/>
      <name val="WenQuanYi Zen Hei"/>
      <family val="2"/>
    </font>
  </fonts>
  <fills count="14">
    <fill>
      <patternFill patternType="none"/>
    </fill>
    <fill>
      <patternFill patternType="gray125"/>
    </fill>
    <fill>
      <patternFill patternType="solid">
        <fgColor rgb="FF2E3A59"/>
        <bgColor rgb="FF333B4A"/>
      </patternFill>
    </fill>
    <fill>
      <patternFill patternType="solid">
        <fgColor rgb="FFE9EDF5"/>
        <bgColor rgb="FFDFF2F0"/>
      </patternFill>
    </fill>
    <fill>
      <patternFill patternType="solid">
        <fgColor rgb="FFFFFFFF"/>
        <bgColor rgb="FFF8FAFC"/>
      </patternFill>
    </fill>
    <fill>
      <patternFill patternType="solid">
        <fgColor rgb="FFFFF4D6"/>
        <bgColor rgb="FFFDF0DA"/>
      </patternFill>
    </fill>
    <fill>
      <patternFill patternType="solid">
        <fgColor rgb="FFF2F4F7"/>
        <bgColor rgb="FFF7F8FA"/>
      </patternFill>
    </fill>
    <fill>
      <patternFill patternType="solid">
        <fgColor rgb="FFFDF0DA"/>
        <bgColor rgb="FFFFF4D6"/>
      </patternFill>
    </fill>
    <fill>
      <patternFill patternType="solid">
        <fgColor rgb="FFF7F8FA"/>
        <bgColor rgb="FFF8FAFC"/>
      </patternFill>
    </fill>
    <fill>
      <patternFill patternType="solid">
        <fgColor rgb="FFFCE7E2"/>
        <bgColor rgb="FFFDECEC"/>
      </patternFill>
    </fill>
    <fill>
      <patternFill patternType="solid">
        <fgColor rgb="FFE8604C"/>
        <bgColor rgb="FFD14343"/>
      </patternFill>
    </fill>
    <fill>
      <patternFill patternType="solid">
        <fgColor rgb="FFFFF1EE"/>
        <bgColor rgb="FFFDECEC"/>
      </patternFill>
    </fill>
    <fill>
      <patternFill patternType="solid">
        <fgColor rgb="FFF8FAFC"/>
        <bgColor rgb="FFF7F8FA"/>
      </patternFill>
    </fill>
    <fill>
      <patternFill patternType="solid">
        <fgColor rgb="FFDFF2F0"/>
        <bgColor rgb="FFE9EDF5"/>
      </patternFill>
    </fill>
  </fills>
  <borders count="11">
    <border diagonalUp="false" diagonalDown="false">
      <left/>
      <right/>
      <top/>
      <bottom/>
      <diagonal/>
    </border>
    <border diagonalUp="false" diagonalDown="false">
      <left style="medium">
        <color rgb="FFE8604C"/>
      </left>
      <right/>
      <top style="medium">
        <color rgb="FFE8604C"/>
      </top>
      <bottom style="medium">
        <color rgb="FFE8604C"/>
      </bottom>
      <diagonal/>
    </border>
    <border diagonalUp="false" diagonalDown="false">
      <left style="medium">
        <color rgb="FFE9A13B"/>
      </left>
      <right/>
      <top style="medium">
        <color rgb="FFE9A13B"/>
      </top>
      <bottom style="medium">
        <color rgb="FFE9A13B"/>
      </bottom>
      <diagonal/>
    </border>
    <border diagonalUp="false" diagonalDown="false">
      <left style="medium">
        <color rgb="FF1F9E92"/>
      </left>
      <right/>
      <top style="medium">
        <color rgb="FF1F9E92"/>
      </top>
      <bottom style="medium">
        <color rgb="FF1F9E92"/>
      </bottom>
      <diagonal/>
    </border>
    <border diagonalUp="false" diagonalDown="false">
      <left style="thin">
        <color rgb="FFF0D48A"/>
      </left>
      <right style="thin">
        <color rgb="FFF0D48A"/>
      </right>
      <top style="thin">
        <color rgb="FFF0D48A"/>
      </top>
      <bottom style="thin">
        <color rgb="FFF0D48A"/>
      </bottom>
      <diagonal/>
    </border>
    <border diagonalUp="false" diagonalDown="false">
      <left style="thin">
        <color rgb="FFDFE3EA"/>
      </left>
      <right style="thin">
        <color rgb="FFDFE3EA"/>
      </right>
      <top style="thin">
        <color rgb="FFDFE3EA"/>
      </top>
      <bottom style="thin">
        <color rgb="FFDFE3EA"/>
      </bottom>
      <diagonal/>
    </border>
    <border diagonalUp="false" diagonalDown="false">
      <left style="hair">
        <color rgb="FFDFE3EA"/>
      </left>
      <right style="hair">
        <color rgb="FFDFE3EA"/>
      </right>
      <top style="hair">
        <color rgb="FFDFE3EA"/>
      </top>
      <bottom style="hair">
        <color rgb="FFDFE3EA"/>
      </bottom>
      <diagonal/>
    </border>
    <border diagonalUp="false" diagonalDown="false">
      <left style="hair">
        <color rgb="FFDFE3EA"/>
      </left>
      <right style="hair">
        <color rgb="FFDFE3EA"/>
      </right>
      <top/>
      <bottom style="hair">
        <color rgb="FFDFE3EA"/>
      </bottom>
      <diagonal/>
    </border>
    <border diagonalUp="false" diagonalDown="false">
      <left style="medium">
        <color rgb="FFE8604C"/>
      </left>
      <right style="medium">
        <color rgb="FFE8604C"/>
      </right>
      <top/>
      <bottom style="hair">
        <color rgb="FFDFE3EA"/>
      </bottom>
      <diagonal/>
    </border>
    <border diagonalUp="false" diagonalDown="false">
      <left style="medium">
        <color rgb="FFE8604C"/>
      </left>
      <right style="medium">
        <color rgb="FFE8604C"/>
      </right>
      <top/>
      <bottom style="medium">
        <color rgb="FFE8604C"/>
      </bottom>
      <diagonal/>
    </border>
    <border diagonalUp="false" diagonalDown="false">
      <left style="medium">
        <color rgb="FFE8604C"/>
      </left>
      <right style="medium">
        <color rgb="FFE8604C"/>
      </right>
      <top style="thin">
        <color rgb="FFDFE3EA"/>
      </top>
      <bottom style="thin">
        <color rgb="FFDFE3EA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3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3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4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5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6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1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3" fillId="7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5" fillId="8" borderId="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6" fillId="9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7" fillId="5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9" fillId="5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30" fillId="5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0" borderId="6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22" fillId="0" borderId="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28" fillId="5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1" fillId="3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32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3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34" fillId="2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5" fillId="2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6" fillId="10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8" fillId="0" borderId="7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39" fillId="0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39" fillId="0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40" fillId="11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2" fillId="0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12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8" fillId="12" borderId="7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39" fillId="12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39" fillId="12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2" fillId="12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40" fillId="11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3" fillId="9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44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45" fillId="2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6" fillId="2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6" fillId="10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5" fillId="0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7" fillId="0" borderId="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48" fillId="11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9" fillId="0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5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1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51" fillId="5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2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6" fillId="13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9" fontId="53" fillId="5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1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0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25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21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21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5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6" fontId="54" fillId="5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55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2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8" fillId="5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39" fillId="6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6" fillId="0" borderId="7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1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1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58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9" fillId="2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6" fillId="0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ont>
        <name val="BIZ UDPゴシック"/>
        <charset val="1"/>
        <family val="0"/>
        <b val="1"/>
        <color rgb="FFD14343"/>
        <sz val="9"/>
      </font>
    </dxf>
    <dxf>
      <font>
        <name val="BIZ UDPゴシック"/>
        <charset val="1"/>
        <family val="0"/>
        <b val="1"/>
        <color rgb="FFD14343"/>
      </font>
    </dxf>
    <dxf>
      <font>
        <name val="BIZ UDPゴシック"/>
        <charset val="1"/>
        <family val="0"/>
        <b val="1"/>
        <color rgb="FF3B6FD4"/>
      </font>
    </dxf>
    <dxf>
      <font>
        <name val="BIZ UDPゴシック"/>
        <charset val="1"/>
        <family val="0"/>
        <b val="1"/>
        <color rgb="FFD14343"/>
      </font>
      <fill>
        <patternFill>
          <bgColor rgb="FFFDEC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7F8FA"/>
      <rgbColor rgb="FFFF00FF"/>
      <rgbColor rgb="FF00FFFF"/>
      <rgbColor rgb="FF800000"/>
      <rgbColor rgb="FF008000"/>
      <rgbColor rgb="FF000080"/>
      <rgbColor rgb="FFC77E23"/>
      <rgbColor rgb="FF800080"/>
      <rgbColor rgb="FF1F9E92"/>
      <rgbColor rgb="FFB9C0CC"/>
      <rgbColor rgb="FF808080"/>
      <rgbColor rgb="FF9999FF"/>
      <rgbColor rgb="FFD14343"/>
      <rgbColor rgb="FFFFF4D6"/>
      <rgbColor rgb="FFDFF2F0"/>
      <rgbColor rgb="FF660066"/>
      <rgbColor rgb="FFFF8080"/>
      <rgbColor rgb="FF0066CC"/>
      <rgbColor rgb="FFDFE3EA"/>
      <rgbColor rgb="FF000080"/>
      <rgbColor rgb="FFFF00FF"/>
      <rgbColor rgb="FFF8FAFC"/>
      <rgbColor rgb="FF00FFFF"/>
      <rgbColor rgb="FF800080"/>
      <rgbColor rgb="FF800000"/>
      <rgbColor rgb="FF008080"/>
      <rgbColor rgb="FF0000FF"/>
      <rgbColor rgb="FF00CCFF"/>
      <rgbColor rgb="FFE9EDF5"/>
      <rgbColor rgb="FFF2F4F7"/>
      <rgbColor rgb="FFFDF0DA"/>
      <rgbColor rgb="FFFCE7E2"/>
      <rgbColor rgb="FFFDECEC"/>
      <rgbColor rgb="FFFFF1EE"/>
      <rgbColor rgb="FFF0D48A"/>
      <rgbColor rgb="FF3B6FD4"/>
      <rgbColor rgb="FF33CCCC"/>
      <rgbColor rgb="FF99CC00"/>
      <rgbColor rgb="FFFFCC00"/>
      <rgbColor rgb="FFE9A13B"/>
      <rgbColor rgb="FFE8604C"/>
      <rgbColor rgb="FF5B6472"/>
      <rgbColor rgb="FF8A93A3"/>
      <rgbColor rgb="FF003366"/>
      <rgbColor rgb="FF2E9E5B"/>
      <rgbColor rgb="FF003300"/>
      <rgbColor rgb="FF333300"/>
      <rgbColor rgb="FF993300"/>
      <rgbColor rgb="FF993366"/>
      <rgbColor rgb="FF2E3A59"/>
      <rgbColor rgb="FF333B4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2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3.v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vmlDrawing" Target="../drawings/vmlDrawing4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3A59"/>
    <pageSetUpPr fitToPage="true"/>
  </sheetPr>
  <dimension ref="A1:J34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.5"/>
    <col collapsed="false" customWidth="true" hidden="false" outlineLevel="0" max="2" min="2" style="0" width="6"/>
    <col collapsed="false" customWidth="true" hidden="false" outlineLevel="0" max="10" min="3" style="0" width="13"/>
  </cols>
  <sheetData>
    <row r="1" customFormat="false" ht="37.5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</row>
    <row r="2" customFormat="false" ht="19.5" hidden="false" customHeight="true" outlineLevel="0" collapsed="false">
      <c r="B2" s="2" t="s">
        <v>1</v>
      </c>
      <c r="C2" s="2"/>
      <c r="D2" s="2"/>
      <c r="E2" s="2"/>
      <c r="F2" s="2"/>
      <c r="G2" s="2"/>
      <c r="H2" s="2"/>
      <c r="I2" s="2"/>
      <c r="J2" s="2"/>
    </row>
    <row r="4" customFormat="false" ht="21.75" hidden="false" customHeight="true" outlineLevel="0" collapsed="false">
      <c r="B4" s="3" t="s">
        <v>2</v>
      </c>
      <c r="C4" s="3"/>
      <c r="D4" s="3"/>
    </row>
    <row r="6" customFormat="false" ht="24" hidden="false" customHeight="true" outlineLevel="0" collapsed="false">
      <c r="B6" s="4" t="s">
        <v>3</v>
      </c>
      <c r="C6" s="5" t="s">
        <v>4</v>
      </c>
      <c r="D6" s="5"/>
      <c r="E6" s="5"/>
      <c r="F6" s="5"/>
      <c r="G6" s="5"/>
      <c r="H6" s="5"/>
      <c r="I6" s="5"/>
      <c r="J6" s="5"/>
    </row>
    <row r="7" customFormat="false" ht="19.5" hidden="false" customHeight="true" outlineLevel="0" collapsed="false">
      <c r="B7" s="4"/>
      <c r="C7" s="6" t="s">
        <v>5</v>
      </c>
      <c r="D7" s="6"/>
      <c r="E7" s="6"/>
      <c r="F7" s="6"/>
      <c r="G7" s="6"/>
      <c r="H7" s="6"/>
      <c r="I7" s="6"/>
      <c r="J7" s="6"/>
    </row>
    <row r="9" customFormat="false" ht="24" hidden="false" customHeight="true" outlineLevel="0" collapsed="false">
      <c r="B9" s="7" t="s">
        <v>6</v>
      </c>
      <c r="C9" s="5" t="s">
        <v>7</v>
      </c>
      <c r="D9" s="5"/>
      <c r="E9" s="5"/>
      <c r="F9" s="5"/>
      <c r="G9" s="5"/>
      <c r="H9" s="5"/>
      <c r="I9" s="5"/>
      <c r="J9" s="5"/>
    </row>
    <row r="10" customFormat="false" ht="19.5" hidden="false" customHeight="true" outlineLevel="0" collapsed="false">
      <c r="B10" s="7"/>
      <c r="C10" s="6" t="s">
        <v>8</v>
      </c>
      <c r="D10" s="6"/>
      <c r="E10" s="6"/>
      <c r="F10" s="6"/>
      <c r="G10" s="6"/>
      <c r="H10" s="6"/>
      <c r="I10" s="6"/>
      <c r="J10" s="6"/>
    </row>
    <row r="12" customFormat="false" ht="24" hidden="false" customHeight="true" outlineLevel="0" collapsed="false">
      <c r="B12" s="8" t="s">
        <v>9</v>
      </c>
      <c r="C12" s="5" t="s">
        <v>10</v>
      </c>
      <c r="D12" s="5"/>
      <c r="E12" s="5"/>
      <c r="F12" s="5"/>
      <c r="G12" s="5"/>
      <c r="H12" s="5"/>
      <c r="I12" s="5"/>
      <c r="J12" s="5"/>
    </row>
    <row r="13" customFormat="false" ht="19.5" hidden="false" customHeight="true" outlineLevel="0" collapsed="false">
      <c r="B13" s="8"/>
      <c r="C13" s="6" t="s">
        <v>11</v>
      </c>
      <c r="D13" s="6"/>
      <c r="E13" s="6"/>
      <c r="F13" s="6"/>
      <c r="G13" s="6"/>
      <c r="H13" s="6"/>
      <c r="I13" s="6"/>
      <c r="J13" s="6"/>
    </row>
    <row r="16" customFormat="false" ht="21.75" hidden="false" customHeight="true" outlineLevel="0" collapsed="false">
      <c r="B16" s="3" t="s">
        <v>12</v>
      </c>
      <c r="C16" s="3"/>
      <c r="D16" s="3"/>
    </row>
    <row r="17" customFormat="false" ht="19.5" hidden="false" customHeight="true" outlineLevel="0" collapsed="false">
      <c r="C17" s="9" t="s">
        <v>13</v>
      </c>
      <c r="D17" s="9"/>
      <c r="F17" s="10" t="s">
        <v>14</v>
      </c>
      <c r="G17" s="10"/>
    </row>
    <row r="19" customFormat="false" ht="21.75" hidden="false" customHeight="true" outlineLevel="0" collapsed="false">
      <c r="B19" s="3" t="s">
        <v>15</v>
      </c>
      <c r="C19" s="3"/>
      <c r="D19" s="3"/>
    </row>
    <row r="20" customFormat="false" ht="15" hidden="false" customHeight="false" outlineLevel="0" collapsed="false">
      <c r="C20" s="11" t="s">
        <v>16</v>
      </c>
      <c r="D20" s="11"/>
      <c r="E20" s="11"/>
      <c r="F20" s="11"/>
      <c r="G20" s="11"/>
      <c r="H20" s="11"/>
      <c r="I20" s="11"/>
      <c r="J20" s="11"/>
    </row>
    <row r="21" customFormat="false" ht="15" hidden="false" customHeight="false" outlineLevel="0" collapsed="false">
      <c r="C21" s="11" t="s">
        <v>17</v>
      </c>
      <c r="D21" s="11"/>
      <c r="E21" s="11"/>
      <c r="F21" s="11"/>
      <c r="G21" s="11"/>
      <c r="H21" s="11"/>
      <c r="I21" s="11"/>
      <c r="J21" s="11"/>
    </row>
    <row r="23" customFormat="false" ht="21.75" hidden="false" customHeight="true" outlineLevel="0" collapsed="false">
      <c r="B23" s="3" t="s">
        <v>18</v>
      </c>
      <c r="C23" s="3"/>
      <c r="D23" s="3"/>
    </row>
    <row r="24" customFormat="false" ht="18" hidden="false" customHeight="true" outlineLevel="0" collapsed="false">
      <c r="C24" s="12" t="s">
        <v>19</v>
      </c>
      <c r="D24" s="12"/>
      <c r="E24" s="12"/>
      <c r="F24" s="12"/>
      <c r="G24" s="12"/>
      <c r="H24" s="12"/>
      <c r="I24" s="12"/>
      <c r="J24" s="12"/>
    </row>
    <row r="25" customFormat="false" ht="18" hidden="false" customHeight="true" outlineLevel="0" collapsed="false">
      <c r="C25" s="12" t="s">
        <v>20</v>
      </c>
      <c r="D25" s="12"/>
      <c r="E25" s="12"/>
      <c r="F25" s="12"/>
      <c r="G25" s="12"/>
      <c r="H25" s="12"/>
      <c r="I25" s="12"/>
      <c r="J25" s="12"/>
    </row>
    <row r="26" customFormat="false" ht="18" hidden="false" customHeight="true" outlineLevel="0" collapsed="false">
      <c r="C26" s="12" t="s">
        <v>21</v>
      </c>
      <c r="D26" s="12"/>
      <c r="E26" s="12"/>
      <c r="F26" s="12"/>
      <c r="G26" s="12"/>
      <c r="H26" s="12"/>
      <c r="I26" s="12"/>
      <c r="J26" s="12"/>
    </row>
    <row r="27" customFormat="false" ht="18" hidden="false" customHeight="true" outlineLevel="0" collapsed="false">
      <c r="C27" s="12" t="s">
        <v>22</v>
      </c>
      <c r="D27" s="12"/>
      <c r="E27" s="12"/>
      <c r="F27" s="12"/>
      <c r="G27" s="12"/>
      <c r="H27" s="12"/>
      <c r="I27" s="12"/>
      <c r="J27" s="12"/>
    </row>
    <row r="28" customFormat="false" ht="18" hidden="false" customHeight="true" outlineLevel="0" collapsed="false">
      <c r="C28" s="12" t="s">
        <v>23</v>
      </c>
      <c r="D28" s="12"/>
      <c r="E28" s="12"/>
      <c r="F28" s="12"/>
      <c r="G28" s="12"/>
      <c r="H28" s="12"/>
      <c r="I28" s="12"/>
      <c r="J28" s="12"/>
    </row>
    <row r="29" customFormat="false" ht="18" hidden="false" customHeight="true" outlineLevel="0" collapsed="false">
      <c r="C29" s="12" t="s">
        <v>24</v>
      </c>
      <c r="D29" s="12"/>
      <c r="E29" s="12"/>
      <c r="F29" s="12"/>
      <c r="G29" s="12"/>
      <c r="H29" s="12"/>
      <c r="I29" s="12"/>
      <c r="J29" s="12"/>
    </row>
    <row r="30" customFormat="false" ht="18" hidden="false" customHeight="true" outlineLevel="0" collapsed="false">
      <c r="C30" s="12" t="s">
        <v>25</v>
      </c>
      <c r="D30" s="12"/>
      <c r="E30" s="12"/>
      <c r="F30" s="12"/>
      <c r="G30" s="12"/>
      <c r="H30" s="12"/>
      <c r="I30" s="12"/>
      <c r="J30" s="12"/>
    </row>
    <row r="31" customFormat="false" ht="18" hidden="false" customHeight="true" outlineLevel="0" collapsed="false">
      <c r="C31" s="12" t="s">
        <v>26</v>
      </c>
      <c r="D31" s="12"/>
      <c r="E31" s="12"/>
      <c r="F31" s="12"/>
      <c r="G31" s="12"/>
      <c r="H31" s="12"/>
      <c r="I31" s="12"/>
      <c r="J31" s="12"/>
    </row>
    <row r="32" customFormat="false" ht="18" hidden="false" customHeight="true" outlineLevel="0" collapsed="false">
      <c r="C32" s="12" t="s">
        <v>27</v>
      </c>
      <c r="D32" s="12"/>
      <c r="E32" s="12"/>
      <c r="F32" s="12"/>
      <c r="G32" s="12"/>
      <c r="H32" s="12"/>
      <c r="I32" s="12"/>
      <c r="J32" s="12"/>
    </row>
    <row r="34" customFormat="false" ht="15" hidden="false" customHeight="false" outlineLevel="0" collapsed="false">
      <c r="C34" s="13" t="s">
        <v>28</v>
      </c>
      <c r="D34" s="13"/>
      <c r="E34" s="13"/>
      <c r="F34" s="13"/>
      <c r="G34" s="13"/>
      <c r="H34" s="13"/>
      <c r="I34" s="13"/>
      <c r="J34" s="13"/>
    </row>
  </sheetData>
  <mergeCells count="29">
    <mergeCell ref="A1:J1"/>
    <mergeCell ref="B2:J2"/>
    <mergeCell ref="B4:D4"/>
    <mergeCell ref="B6:B7"/>
    <mergeCell ref="C6:J6"/>
    <mergeCell ref="C7:J7"/>
    <mergeCell ref="B9:B10"/>
    <mergeCell ref="C9:J9"/>
    <mergeCell ref="C10:J10"/>
    <mergeCell ref="B12:B13"/>
    <mergeCell ref="C12:J12"/>
    <mergeCell ref="C13:J13"/>
    <mergeCell ref="B16:D16"/>
    <mergeCell ref="C17:D17"/>
    <mergeCell ref="F17:G17"/>
    <mergeCell ref="B19:D19"/>
    <mergeCell ref="C20:J20"/>
    <mergeCell ref="C21:J21"/>
    <mergeCell ref="B23:D23"/>
    <mergeCell ref="C24:J24"/>
    <mergeCell ref="C25:J25"/>
    <mergeCell ref="C26:J26"/>
    <mergeCell ref="C27:J27"/>
    <mergeCell ref="C28:J28"/>
    <mergeCell ref="C29:J29"/>
    <mergeCell ref="C30:J30"/>
    <mergeCell ref="C31:J31"/>
    <mergeCell ref="C32:J32"/>
    <mergeCell ref="C34:J3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8604C"/>
    <pageSetUpPr fitToPage="true"/>
  </sheetPr>
  <dimension ref="B1:M3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0" topLeftCell="A11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.5"/>
    <col collapsed="false" customWidth="true" hidden="false" outlineLevel="0" max="2" min="2" style="0" width="6"/>
    <col collapsed="false" customWidth="true" hidden="false" outlineLevel="0" max="3" min="3" style="0" width="32"/>
    <col collapsed="false" customWidth="true" hidden="false" outlineLevel="0" max="4" min="4" style="0" width="14"/>
    <col collapsed="false" customWidth="true" hidden="false" outlineLevel="0" max="5" min="5" style="0" width="11"/>
    <col collapsed="false" customWidth="true" hidden="false" outlineLevel="0" max="6" min="6" style="0" width="16"/>
    <col collapsed="false" customWidth="true" hidden="false" outlineLevel="0" max="7" min="7" style="0" width="13"/>
    <col collapsed="false" customWidth="true" hidden="false" outlineLevel="0" max="8" min="8" style="0" width="8"/>
    <col collapsed="false" customWidth="true" hidden="false" outlineLevel="0" max="9" min="9" style="0" width="12"/>
    <col collapsed="false" customWidth="true" hidden="false" outlineLevel="0" max="10" min="10" style="0" width="9"/>
    <col collapsed="false" customWidth="true" hidden="false" outlineLevel="0" max="11" min="11" style="0" width="2.5"/>
    <col collapsed="false" customWidth="true" hidden="false" outlineLevel="0" max="12" min="12" style="0" width="12"/>
    <col collapsed="false" customWidth="true" hidden="false" outlineLevel="0" max="13" min="13" style="0" width="10"/>
  </cols>
  <sheetData>
    <row r="1" customFormat="false" ht="33.75" hidden="false" customHeight="true" outlineLevel="0" collapsed="false">
      <c r="B1" s="1" t="s">
        <v>29</v>
      </c>
      <c r="C1" s="1"/>
      <c r="D1" s="1"/>
      <c r="E1" s="1"/>
      <c r="F1" s="1"/>
      <c r="G1" s="1"/>
      <c r="H1" s="1"/>
    </row>
    <row r="2" customFormat="false" ht="18" hidden="false" customHeight="true" outlineLevel="0" collapsed="false">
      <c r="B2" s="6" t="s">
        <v>30</v>
      </c>
      <c r="C2" s="6"/>
      <c r="D2" s="6"/>
      <c r="E2" s="6"/>
      <c r="F2" s="6"/>
      <c r="G2" s="6"/>
      <c r="H2" s="6"/>
    </row>
    <row r="3" customFormat="false" ht="6" hidden="false" customHeight="true" outlineLevel="0" collapsed="false">
      <c r="I3" s="14" t="s">
        <v>31</v>
      </c>
      <c r="J3" s="14"/>
      <c r="L3" s="15" t="s">
        <v>32</v>
      </c>
      <c r="M3" s="15"/>
    </row>
    <row r="4" customFormat="false" ht="24" hidden="false" customHeight="true" outlineLevel="0" collapsed="false">
      <c r="B4" s="16" t="s">
        <v>33</v>
      </c>
      <c r="C4" s="16"/>
      <c r="D4" s="17" t="s">
        <v>34</v>
      </c>
      <c r="E4" s="18" t="str">
        <f aca="false">IF($M$4=1,"参照: "&amp;IF(期間データ!$C$4="","—",TEXT(期間データ!$C$4,"m/d"))&amp;"〜"&amp;IF(期間データ!$E$4="","—",TEXT(期間データ!$E$4,"m/d"))&amp;"（期間A 金土日）","参照: "&amp;IF(期間データ!$C$8="","—",TEXT(期間データ!$C$8,"m/d"))&amp;"〜"&amp;IF(期間データ!$I$8="","—",TEXT(期間データ!$I$8,"m/d"))&amp;"（期間B 金〜木）")&amp;"｜動員合計 "&amp;TEXT($M$5,"#,##0")&amp;"人"</f>
        <v>参照: 8/21〜8/23（期間A 金土日）｜動員合計 0人</v>
      </c>
      <c r="F4" s="18"/>
      <c r="G4" s="18"/>
      <c r="H4" s="18"/>
      <c r="I4" s="19" t="s">
        <v>35</v>
      </c>
      <c r="J4" s="20" t="n">
        <v>1</v>
      </c>
      <c r="L4" s="21" t="s">
        <v>36</v>
      </c>
      <c r="M4" s="22" t="n">
        <f aca="false">IF($D$4="期間B（金〜木）",2,1)</f>
        <v>1</v>
      </c>
    </row>
    <row r="5" customFormat="false" ht="24" hidden="false" customHeight="true" outlineLevel="0" collapsed="false">
      <c r="B5" s="16" t="s">
        <v>37</v>
      </c>
      <c r="C5" s="16"/>
      <c r="D5" s="23"/>
      <c r="E5" s="6" t="s">
        <v>38</v>
      </c>
      <c r="F5" s="6"/>
      <c r="G5" s="6"/>
      <c r="H5" s="6"/>
      <c r="I5" s="19" t="s">
        <v>39</v>
      </c>
      <c r="J5" s="20" t="n">
        <v>0.8</v>
      </c>
      <c r="L5" s="21" t="s">
        <v>40</v>
      </c>
      <c r="M5" s="22" t="n">
        <f aca="false">IF($M$4=1,SUM(期間データ!$C$6:$E$6),SUM(期間データ!$C$10:$I$10))</f>
        <v>0</v>
      </c>
    </row>
    <row r="6" customFormat="false" ht="24" hidden="false" customHeight="true" outlineLevel="0" collapsed="false">
      <c r="B6" s="16" t="s">
        <v>41</v>
      </c>
      <c r="C6" s="16"/>
      <c r="D6" s="17" t="s">
        <v>35</v>
      </c>
      <c r="E6" s="6" t="s">
        <v>42</v>
      </c>
      <c r="F6" s="6"/>
      <c r="G6" s="6"/>
      <c r="H6" s="6"/>
      <c r="I6" s="19" t="s">
        <v>43</v>
      </c>
      <c r="J6" s="20" t="n">
        <v>1.2</v>
      </c>
      <c r="L6" s="21" t="s">
        <v>44</v>
      </c>
      <c r="M6" s="22" t="n">
        <f aca="false">IF($M$4=1,SUM(期間データ!$C$10:$I$10),SUM(期間データ!$C$6:$E$6))</f>
        <v>0</v>
      </c>
    </row>
    <row r="7" customFormat="false" ht="19.5" hidden="false" customHeight="true" outlineLevel="0" collapsed="false">
      <c r="B7" s="24" t="s">
        <v>45</v>
      </c>
      <c r="C7" s="24"/>
      <c r="D7" s="25" t="n">
        <f aca="false">IFERROR(INDEX($J$4:$J$9,MATCH($D$6,$I$4:$I$9,0)),1)</f>
        <v>1</v>
      </c>
      <c r="E7" s="13" t="s">
        <v>46</v>
      </c>
      <c r="F7" s="13"/>
      <c r="G7" s="13"/>
      <c r="H7" s="13"/>
      <c r="I7" s="19" t="s">
        <v>47</v>
      </c>
      <c r="J7" s="20" t="n">
        <v>1.1</v>
      </c>
    </row>
    <row r="8" customFormat="false" ht="13.5" hidden="false" customHeight="true" outlineLevel="0" collapsed="false">
      <c r="B8" s="26" t="str">
        <f aca="false">TRIM(IF(IF($M$4=1,CSV貼付A!$N$5,CSV貼付B!$N$5)="","⚠ 選択した期間のCSVが未貼付です（CSV貼付"&amp;IF($M$4=1,"A","B")&amp;"シート）。","")&amp;" "&amp;IF(ISNUMBER(SEARCH("⚠",IF($M$4=1,期間データ!$G$4,期間データ!$J$8))),"⚠ 貼られたCSVの対象期間と日付が一致していません。","")&amp;" "&amp;IF(IF($M$4=1,COUNT(期間データ!$C$6:$E$6)&lt;3,COUNT(期間データ!$C$10:$I$10)&lt;7),"⚠ 選択した期間の動員数がそろっていません。","")&amp;" "&amp;IF(SUMPRODUCT((期間データ!$B$14:$B$33&lt;&gt;"")*(COUNTIF(期間データ!$B$14:$B$33,期間データ!$B$14:$B$33)&gt;1))&gt;0,"⚠ 商品名が重複しています（集計が二重になります）。","")&amp;" "&amp;IF(OR($D$5="",$D$5=0),"⚠ ピーク動員数が未入力です。","")&amp;" "&amp;IF($D$7=0,"⚠ 適用倍率が0%です。",""))</f>
        <v>⚠ 選択した期間のCSVが未貼付です（CSV貼付Aシート）。 ⚠ 選択した期間の動員数がそろっていません。 ⚠ ピーク動員数が未入力です。</v>
      </c>
      <c r="C8" s="26"/>
      <c r="D8" s="26"/>
      <c r="E8" s="26"/>
      <c r="F8" s="26"/>
      <c r="G8" s="26"/>
      <c r="H8" s="26"/>
      <c r="I8" s="19" t="s">
        <v>48</v>
      </c>
      <c r="J8" s="20" t="n">
        <v>1.3</v>
      </c>
    </row>
    <row r="9" customFormat="false" ht="6" hidden="false" customHeight="true" outlineLevel="0" collapsed="false">
      <c r="I9" s="19" t="s">
        <v>49</v>
      </c>
      <c r="J9" s="20" t="n">
        <v>0.9</v>
      </c>
    </row>
    <row r="10" customFormat="false" ht="33.75" hidden="false" customHeight="true" outlineLevel="0" collapsed="false">
      <c r="B10" s="27" t="s">
        <v>50</v>
      </c>
      <c r="C10" s="28" t="s">
        <v>51</v>
      </c>
      <c r="D10" s="28" t="s">
        <v>52</v>
      </c>
      <c r="E10" s="28" t="s">
        <v>53</v>
      </c>
      <c r="F10" s="29" t="s">
        <v>54</v>
      </c>
      <c r="G10" s="28" t="s">
        <v>55</v>
      </c>
    </row>
    <row r="11" customFormat="false" ht="21" hidden="false" customHeight="true" outlineLevel="0" collapsed="false">
      <c r="B11" s="30" t="n">
        <v>1</v>
      </c>
      <c r="C11" s="31" t="str">
        <f aca="false">IF(期間データ!B14="","",期間データ!B14)</f>
        <v>ハーフ＆ハーフ（塩／キャラメル）</v>
      </c>
      <c r="D11" s="32" t="n">
        <f aca="false">IF($C11="","",IF($M$4=1,期間データ!C14,期間データ!D14))</f>
        <v>0</v>
      </c>
      <c r="E11" s="33" t="str">
        <f aca="false">IF($C11="","",IF($M$5&lt;=0,"要確認",D11/$M$5))</f>
        <v>要確認</v>
      </c>
      <c r="F11" s="34" t="str">
        <f aca="false">IF(OR($C11="",$D$5=""),"",IF(ISNUMBER($E11),ROUNDUP($D$5*$E11*$D$7,0),"—"))</f>
        <v/>
      </c>
      <c r="G11" s="35" t="str">
        <f aca="false">IF($C11="","",IF($M$6&lt;=0,"－",IF($M$4=1,期間データ!D14,期間データ!C14)/$M$6))</f>
        <v>－</v>
      </c>
    </row>
    <row r="12" customFormat="false" ht="21" hidden="false" customHeight="true" outlineLevel="0" collapsed="false">
      <c r="B12" s="36" t="n">
        <v>2</v>
      </c>
      <c r="C12" s="37" t="str">
        <f aca="false">IF(期間データ!B15="","",期間データ!B15)</f>
        <v>ポップコーン　キャラメルＭ</v>
      </c>
      <c r="D12" s="38" t="n">
        <f aca="false">IF($C12="","",IF($M$4=1,期間データ!C15,期間データ!D15))</f>
        <v>0</v>
      </c>
      <c r="E12" s="39" t="str">
        <f aca="false">IF($C12="","",IF($M$5&lt;=0,"要確認",D12/$M$5))</f>
        <v>要確認</v>
      </c>
      <c r="F12" s="34" t="str">
        <f aca="false">IF(OR($C12="",$D$5=""),"",IF(ISNUMBER($E12),ROUNDUP($D$5*$E12*$D$7,0),"—"))</f>
        <v/>
      </c>
      <c r="G12" s="40" t="str">
        <f aca="false">IF($C12="","",IF($M$6&lt;=0,"－",IF($M$4=1,期間データ!D15,期間データ!C15)/$M$6))</f>
        <v>－</v>
      </c>
    </row>
    <row r="13" customFormat="false" ht="21" hidden="false" customHeight="true" outlineLevel="0" collapsed="false">
      <c r="B13" s="30" t="n">
        <v>3</v>
      </c>
      <c r="C13" s="31" t="str">
        <f aca="false">IF(期間データ!B16="","",期間データ!B16)</f>
        <v>ポップコーン　塩Ｍ</v>
      </c>
      <c r="D13" s="32" t="n">
        <f aca="false">IF($C13="","",IF($M$4=1,期間データ!C16,期間データ!D16))</f>
        <v>0</v>
      </c>
      <c r="E13" s="33" t="str">
        <f aca="false">IF($C13="","",IF($M$5&lt;=0,"要確認",D13/$M$5))</f>
        <v>要確認</v>
      </c>
      <c r="F13" s="34" t="str">
        <f aca="false">IF(OR($C13="",$D$5=""),"",IF(ISNUMBER($E13),ROUNDUP($D$5*$E13*$D$7,0),"—"))</f>
        <v/>
      </c>
      <c r="G13" s="35" t="str">
        <f aca="false">IF($C13="","",IF($M$6&lt;=0,"－",IF($M$4=1,期間データ!D16,期間データ!C16)/$M$6))</f>
        <v>－</v>
      </c>
    </row>
    <row r="14" customFormat="false" ht="21" hidden="false" customHeight="true" outlineLevel="0" collapsed="false">
      <c r="B14" s="36" t="n">
        <v>4</v>
      </c>
      <c r="C14" s="37" t="str">
        <f aca="false">IF(期間データ!B17="","",期間データ!B17)</f>
        <v>ポップコーン　キャラメルＳ</v>
      </c>
      <c r="D14" s="38" t="n">
        <f aca="false">IF($C14="","",IF($M$4=1,期間データ!C17,期間データ!D17))</f>
        <v>0</v>
      </c>
      <c r="E14" s="39" t="str">
        <f aca="false">IF($C14="","",IF($M$5&lt;=0,"要確認",D14/$M$5))</f>
        <v>要確認</v>
      </c>
      <c r="F14" s="34" t="str">
        <f aca="false">IF(OR($C14="",$D$5=""),"",IF(ISNUMBER($E14),ROUNDUP($D$5*$E14*$D$7,0),"—"))</f>
        <v/>
      </c>
      <c r="G14" s="40" t="str">
        <f aca="false">IF($C14="","",IF($M$6&lt;=0,"－",IF($M$4=1,期間データ!D17,期間データ!C17)/$M$6))</f>
        <v>－</v>
      </c>
    </row>
    <row r="15" customFormat="false" ht="21" hidden="false" customHeight="true" outlineLevel="0" collapsed="false">
      <c r="B15" s="30" t="n">
        <v>5</v>
      </c>
      <c r="C15" s="31" t="str">
        <f aca="false">IF(期間データ!B18="","",期間データ!B18)</f>
        <v>ポップコーン　塩Ｓ</v>
      </c>
      <c r="D15" s="32" t="n">
        <f aca="false">IF($C15="","",IF($M$4=1,期間データ!C18,期間データ!D18))</f>
        <v>0</v>
      </c>
      <c r="E15" s="33" t="str">
        <f aca="false">IF($C15="","",IF($M$5&lt;=0,"要確認",D15/$M$5))</f>
        <v>要確認</v>
      </c>
      <c r="F15" s="34" t="str">
        <f aca="false">IF(OR($C15="",$D$5=""),"",IF(ISNUMBER($E15),ROUNDUP($D$5*$E15*$D$7,0),"—"))</f>
        <v/>
      </c>
      <c r="G15" s="35" t="str">
        <f aca="false">IF($C15="","",IF($M$6&lt;=0,"－",IF($M$4=1,期間データ!D18,期間データ!C18)/$M$6))</f>
        <v>－</v>
      </c>
    </row>
    <row r="16" customFormat="false" ht="21" hidden="false" customHeight="true" outlineLevel="0" collapsed="false">
      <c r="B16" s="36" t="n">
        <v>6</v>
      </c>
      <c r="C16" s="37" t="str">
        <f aca="false">IF(期間データ!B19="","",期間データ!B19)</f>
        <v>ポップコーン　キャラメルＬ</v>
      </c>
      <c r="D16" s="38" t="n">
        <f aca="false">IF($C16="","",IF($M$4=1,期間データ!C19,期間データ!D19))</f>
        <v>0</v>
      </c>
      <c r="E16" s="39" t="str">
        <f aca="false">IF($C16="","",IF($M$5&lt;=0,"要確認",D16/$M$5))</f>
        <v>要確認</v>
      </c>
      <c r="F16" s="34" t="str">
        <f aca="false">IF(OR($C16="",$D$5=""),"",IF(ISNUMBER($E16),ROUNDUP($D$5*$E16*$D$7,0),"—"))</f>
        <v/>
      </c>
      <c r="G16" s="40" t="str">
        <f aca="false">IF($C16="","",IF($M$6&lt;=0,"－",IF($M$4=1,期間データ!D19,期間データ!C19)/$M$6))</f>
        <v>－</v>
      </c>
    </row>
    <row r="17" customFormat="false" ht="21" hidden="false" customHeight="true" outlineLevel="0" collapsed="false">
      <c r="B17" s="30" t="n">
        <v>7</v>
      </c>
      <c r="C17" s="31" t="str">
        <f aca="false">IF(期間データ!B20="","",期間データ!B20)</f>
        <v>ポップコーン　塩Ｌ</v>
      </c>
      <c r="D17" s="32" t="n">
        <f aca="false">IF($C17="","",IF($M$4=1,期間データ!C20,期間データ!D20))</f>
        <v>0</v>
      </c>
      <c r="E17" s="33" t="str">
        <f aca="false">IF($C17="","",IF($M$5&lt;=0,"要確認",D17/$M$5))</f>
        <v>要確認</v>
      </c>
      <c r="F17" s="34" t="str">
        <f aca="false">IF(OR($C17="",$D$5=""),"",IF(ISNUMBER($E17),ROUNDUP($D$5*$E17*$D$7,0),"—"))</f>
        <v/>
      </c>
      <c r="G17" s="35" t="str">
        <f aca="false">IF($C17="","",IF($M$6&lt;=0,"－",IF($M$4=1,期間データ!D20,期間データ!C20)/$M$6))</f>
        <v>－</v>
      </c>
    </row>
    <row r="18" customFormat="false" ht="21" hidden="false" customHeight="true" outlineLevel="0" collapsed="false">
      <c r="B18" s="36" t="n">
        <v>8</v>
      </c>
      <c r="C18" s="37" t="str">
        <f aca="false">IF(期間データ!B21="","",期間データ!B21)</f>
        <v>北海道濃厚バターしょうゆ味</v>
      </c>
      <c r="D18" s="38" t="n">
        <f aca="false">IF($C18="","",IF($M$4=1,期間データ!C21,期間データ!D21))</f>
        <v>0</v>
      </c>
      <c r="E18" s="39" t="str">
        <f aca="false">IF($C18="","",IF($M$5&lt;=0,"要確認",D18/$M$5))</f>
        <v>要確認</v>
      </c>
      <c r="F18" s="34" t="str">
        <f aca="false">IF(OR($C18="",$D$5=""),"",IF(ISNUMBER($E18),ROUNDUP($D$5*$E18*$D$7,0),"—"))</f>
        <v/>
      </c>
      <c r="G18" s="40" t="str">
        <f aca="false">IF($C18="","",IF($M$6&lt;=0,"－",IF($M$4=1,期間データ!D21,期間データ!C21)/$M$6))</f>
        <v>－</v>
      </c>
    </row>
    <row r="19" customFormat="false" ht="21" hidden="false" customHeight="true" outlineLevel="0" collapsed="false">
      <c r="B19" s="30" t="n">
        <v>9</v>
      </c>
      <c r="C19" s="31" t="str">
        <f aca="false">IF(期間データ!B22="","",期間データ!B22)</f>
        <v>トリュフソルト＆バター味</v>
      </c>
      <c r="D19" s="32" t="n">
        <f aca="false">IF($C19="","",IF($M$4=1,期間データ!C22,期間データ!D22))</f>
        <v>0</v>
      </c>
      <c r="E19" s="33" t="str">
        <f aca="false">IF($C19="","",IF($M$5&lt;=0,"要確認",D19/$M$5))</f>
        <v>要確認</v>
      </c>
      <c r="F19" s="34" t="str">
        <f aca="false">IF(OR($C19="",$D$5=""),"",IF(ISNUMBER($E19),ROUNDUP($D$5*$E19*$D$7,0),"—"))</f>
        <v/>
      </c>
      <c r="G19" s="35" t="str">
        <f aca="false">IF($C19="","",IF($M$6&lt;=0,"－",IF($M$4=1,期間データ!D22,期間データ!C22)/$M$6))</f>
        <v>－</v>
      </c>
    </row>
    <row r="20" customFormat="false" ht="21" hidden="false" customHeight="true" outlineLevel="0" collapsed="false">
      <c r="B20" s="36" t="n">
        <v>10</v>
      </c>
      <c r="C20" s="37" t="str">
        <f aca="false">IF(期間データ!B23="","",期間データ!B23)</f>
        <v>シネマイク　ハッピーターン味</v>
      </c>
      <c r="D20" s="38" t="n">
        <f aca="false">IF($C20="","",IF($M$4=1,期間データ!C23,期間データ!D23))</f>
        <v>0</v>
      </c>
      <c r="E20" s="39" t="str">
        <f aca="false">IF($C20="","",IF($M$5&lt;=0,"要確認",D20/$M$5))</f>
        <v>要確認</v>
      </c>
      <c r="F20" s="34" t="str">
        <f aca="false">IF(OR($C20="",$D$5=""),"",IF(ISNUMBER($E20),ROUNDUP($D$5*$E20*$D$7,0),"—"))</f>
        <v/>
      </c>
      <c r="G20" s="40" t="str">
        <f aca="false">IF($C20="","",IF($M$6&lt;=0,"－",IF($M$4=1,期間データ!D23,期間データ!C23)/$M$6))</f>
        <v>－</v>
      </c>
    </row>
    <row r="21" customFormat="false" ht="21" hidden="false" customHeight="true" outlineLevel="0" collapsed="false">
      <c r="B21" s="30" t="n">
        <v>11</v>
      </c>
      <c r="C21" s="31" t="str">
        <f aca="false">IF(期間データ!B24="","",期間データ!B24)</f>
        <v>パーティーポップ　キャラメル</v>
      </c>
      <c r="D21" s="32" t="n">
        <f aca="false">IF($C21="","",IF($M$4=1,期間データ!C24,期間データ!D24))</f>
        <v>0</v>
      </c>
      <c r="E21" s="33" t="str">
        <f aca="false">IF($C21="","",IF($M$5&lt;=0,"要確認",D21/$M$5))</f>
        <v>要確認</v>
      </c>
      <c r="F21" s="34" t="str">
        <f aca="false">IF(OR($C21="",$D$5=""),"",IF(ISNUMBER($E21),ROUNDUP($D$5*$E21*$D$7,0),"—"))</f>
        <v/>
      </c>
      <c r="G21" s="35" t="str">
        <f aca="false">IF($C21="","",IF($M$6&lt;=0,"－",IF($M$4=1,期間データ!D24,期間データ!C24)/$M$6))</f>
        <v>－</v>
      </c>
    </row>
    <row r="22" customFormat="false" ht="21" hidden="false" customHeight="true" outlineLevel="0" collapsed="false">
      <c r="B22" s="36" t="n">
        <v>12</v>
      </c>
      <c r="C22" s="37" t="str">
        <f aca="false">IF(期間データ!B25="","",期間データ!B25)</f>
        <v>スパイシー！ポップチキン</v>
      </c>
      <c r="D22" s="38" t="n">
        <f aca="false">IF($C22="","",IF($M$4=1,期間データ!C25,期間データ!D25))</f>
        <v>0</v>
      </c>
      <c r="E22" s="39" t="str">
        <f aca="false">IF($C22="","",IF($M$5&lt;=0,"要確認",D22/$M$5))</f>
        <v>要確認</v>
      </c>
      <c r="F22" s="34" t="str">
        <f aca="false">IF(OR($C22="",$D$5=""),"",IF(ISNUMBER($E22),ROUNDUP($D$5*$E22*$D$7,0),"—"))</f>
        <v/>
      </c>
      <c r="G22" s="40" t="str">
        <f aca="false">IF($C22="","",IF($M$6&lt;=0,"－",IF($M$4=1,期間データ!D25,期間データ!C25)/$M$6))</f>
        <v>－</v>
      </c>
    </row>
    <row r="23" customFormat="false" ht="21" hidden="false" customHeight="true" outlineLevel="0" collapsed="false">
      <c r="B23" s="30" t="n">
        <v>13</v>
      </c>
      <c r="C23" s="31" t="str">
        <f aca="false">IF(期間データ!B26="","",期間データ!B26)</f>
        <v>スナックじゃがトリュフソルトバタ</v>
      </c>
      <c r="D23" s="32" t="n">
        <f aca="false">IF($C23="","",IF($M$4=1,期間データ!C26,期間データ!D26))</f>
        <v>0</v>
      </c>
      <c r="E23" s="33" t="str">
        <f aca="false">IF($C23="","",IF($M$5&lt;=0,"要確認",D23/$M$5))</f>
        <v>要確認</v>
      </c>
      <c r="F23" s="34" t="str">
        <f aca="false">IF(OR($C23="",$D$5=""),"",IF(ISNUMBER($E23),ROUNDUP($D$5*$E23*$D$7,0),"—"))</f>
        <v/>
      </c>
      <c r="G23" s="35" t="str">
        <f aca="false">IF($C23="","",IF($M$6&lt;=0,"－",IF($M$4=1,期間データ!D26,期間データ!C26)/$M$6))</f>
        <v>－</v>
      </c>
    </row>
    <row r="24" customFormat="false" ht="21" hidden="false" customHeight="true" outlineLevel="0" collapsed="false">
      <c r="B24" s="36" t="n">
        <v>14</v>
      </c>
      <c r="C24" s="37" t="str">
        <f aca="false">IF(期間データ!B27="","",期間データ!B27)</f>
        <v>スナックじゃが　シチリアハーブ</v>
      </c>
      <c r="D24" s="38" t="n">
        <f aca="false">IF($C24="","",IF($M$4=1,期間データ!C27,期間データ!D27))</f>
        <v>0</v>
      </c>
      <c r="E24" s="39" t="str">
        <f aca="false">IF($C24="","",IF($M$5&lt;=0,"要確認",D24/$M$5))</f>
        <v>要確認</v>
      </c>
      <c r="F24" s="34" t="str">
        <f aca="false">IF(OR($C24="",$D$5=""),"",IF(ISNUMBER($E24),ROUNDUP($D$5*$E24*$D$7,0),"—"))</f>
        <v/>
      </c>
      <c r="G24" s="40" t="str">
        <f aca="false">IF($C24="","",IF($M$6&lt;=0,"－",IF($M$4=1,期間データ!D27,期間データ!C27)/$M$6))</f>
        <v>－</v>
      </c>
    </row>
    <row r="25" customFormat="false" ht="21" hidden="false" customHeight="true" outlineLevel="0" collapsed="false">
      <c r="B25" s="30" t="n">
        <v>15</v>
      </c>
      <c r="C25" s="31" t="str">
        <f aca="false">IF(期間データ!B28="","",期間データ!B28)</f>
        <v>ケチャップ＆マスタード</v>
      </c>
      <c r="D25" s="32" t="n">
        <f aca="false">IF($C25="","",IF($M$4=1,期間データ!C28,期間データ!D28))</f>
        <v>0</v>
      </c>
      <c r="E25" s="33" t="str">
        <f aca="false">IF($C25="","",IF($M$5&lt;=0,"要確認",D25/$M$5))</f>
        <v>要確認</v>
      </c>
      <c r="F25" s="34" t="str">
        <f aca="false">IF(OR($C25="",$D$5=""),"",IF(ISNUMBER($E25),ROUNDUP($D$5*$E25*$D$7,0),"—"))</f>
        <v/>
      </c>
      <c r="G25" s="35" t="str">
        <f aca="false">IF($C25="","",IF($M$6&lt;=0,"－",IF($M$4=1,期間データ!D28,期間データ!C28)/$M$6))</f>
        <v>－</v>
      </c>
    </row>
    <row r="26" customFormat="false" ht="21" hidden="false" customHeight="true" outlineLevel="0" collapsed="false">
      <c r="B26" s="36" t="n">
        <v>16</v>
      </c>
      <c r="C26" s="37" t="str">
        <f aca="false">IF(期間データ!B29="","",期間データ!B29)</f>
        <v>４種のチーズ</v>
      </c>
      <c r="D26" s="38" t="n">
        <f aca="false">IF($C26="","",IF($M$4=1,期間データ!C29,期間データ!D29))</f>
        <v>0</v>
      </c>
      <c r="E26" s="39" t="str">
        <f aca="false">IF($C26="","",IF($M$5&lt;=0,"要確認",D26/$M$5))</f>
        <v>要確認</v>
      </c>
      <c r="F26" s="34" t="str">
        <f aca="false">IF(OR($C26="",$D$5=""),"",IF(ISNUMBER($E26),ROUNDUP($D$5*$E26*$D$7,0),"—"))</f>
        <v/>
      </c>
      <c r="G26" s="40" t="str">
        <f aca="false">IF($C26="","",IF($M$6&lt;=0,"－",IF($M$4=1,期間データ!D29,期間データ!C29)/$M$6))</f>
        <v>－</v>
      </c>
    </row>
    <row r="27" customFormat="false" ht="21" hidden="false" customHeight="true" outlineLevel="0" collapsed="false">
      <c r="B27" s="30" t="n">
        <v>17</v>
      </c>
      <c r="C27" s="31" t="str">
        <f aca="false">IF(期間データ!B30="","",期間データ!B30)</f>
        <v>プレミアム　ハラペーニョ</v>
      </c>
      <c r="D27" s="32" t="n">
        <f aca="false">IF($C27="","",IF($M$4=1,期間データ!C30,期間データ!D30))</f>
        <v>0</v>
      </c>
      <c r="E27" s="33" t="str">
        <f aca="false">IF($C27="","",IF($M$5&lt;=0,"要確認",D27/$M$5))</f>
        <v>要確認</v>
      </c>
      <c r="F27" s="34" t="str">
        <f aca="false">IF(OR($C27="",$D$5=""),"",IF(ISNUMBER($E27),ROUNDUP($D$5*$E27*$D$7,0),"—"))</f>
        <v/>
      </c>
      <c r="G27" s="35" t="str">
        <f aca="false">IF($C27="","",IF($M$6&lt;=0,"－",IF($M$4=1,期間データ!D30,期間データ!C30)/$M$6))</f>
        <v>－</v>
      </c>
    </row>
    <row r="28" customFormat="false" ht="21" hidden="false" customHeight="true" outlineLevel="0" collapsed="false">
      <c r="B28" s="36" t="n">
        <v>18</v>
      </c>
      <c r="C28" s="37" t="str">
        <f aca="false">IF(期間データ!B31="","",期間データ!B31)</f>
        <v>チュリトス　シナモンシュガー</v>
      </c>
      <c r="D28" s="38" t="n">
        <f aca="false">IF($C28="","",IF($M$4=1,期間データ!C31,期間データ!D31))</f>
        <v>0</v>
      </c>
      <c r="E28" s="39" t="str">
        <f aca="false">IF($C28="","",IF($M$5&lt;=0,"要確認",D28/$M$5))</f>
        <v>要確認</v>
      </c>
      <c r="F28" s="34" t="str">
        <f aca="false">IF(OR($C28="",$D$5=""),"",IF(ISNUMBER($E28),ROUNDUP($D$5*$E28*$D$7,0),"—"))</f>
        <v/>
      </c>
      <c r="G28" s="40" t="str">
        <f aca="false">IF($C28="","",IF($M$6&lt;=0,"－",IF($M$4=1,期間データ!D31,期間データ!C31)/$M$6))</f>
        <v>－</v>
      </c>
    </row>
    <row r="29" customFormat="false" ht="21" hidden="false" customHeight="true" outlineLevel="0" collapsed="false">
      <c r="B29" s="30" t="n">
        <v>19</v>
      </c>
      <c r="C29" s="31" t="str">
        <f aca="false">IF(期間データ!B32="","",期間データ!B32)</f>
        <v>チュリトス　チョコクリーム</v>
      </c>
      <c r="D29" s="32" t="n">
        <f aca="false">IF($C29="","",IF($M$4=1,期間データ!C32,期間データ!D32))</f>
        <v>0</v>
      </c>
      <c r="E29" s="33" t="str">
        <f aca="false">IF($C29="","",IF($M$5&lt;=0,"要確認",D29/$M$5))</f>
        <v>要確認</v>
      </c>
      <c r="F29" s="34" t="str">
        <f aca="false">IF(OR($C29="",$D$5=""),"",IF(ISNUMBER($E29),ROUNDUP($D$5*$E29*$D$7,0),"—"))</f>
        <v/>
      </c>
      <c r="G29" s="35" t="str">
        <f aca="false">IF($C29="","",IF($M$6&lt;=0,"－",IF($M$4=1,期間データ!D32,期間データ!C32)/$M$6))</f>
        <v>－</v>
      </c>
    </row>
    <row r="30" customFormat="false" ht="21" hidden="false" customHeight="true" outlineLevel="0" collapsed="false">
      <c r="B30" s="36" t="n">
        <v>20</v>
      </c>
      <c r="C30" s="37" t="str">
        <f aca="false">IF(期間データ!B33="","",期間データ!B33)</f>
        <v/>
      </c>
      <c r="D30" s="38" t="str">
        <f aca="false">IF($C30="","",IF($M$4=1,期間データ!C33,期間データ!D33))</f>
        <v/>
      </c>
      <c r="E30" s="39" t="str">
        <f aca="false">IF($C30="","",IF($M$5&lt;=0,"要確認",D30/$M$5))</f>
        <v/>
      </c>
      <c r="F30" s="41" t="str">
        <f aca="false">IF(OR($C30="",$D$5=""),"",IF(ISNUMBER($E30),ROUNDUP($D$5*$E30*$D$7,0),"—"))</f>
        <v/>
      </c>
      <c r="G30" s="40" t="str">
        <f aca="false">IF($C30="","",IF($M$6&lt;=0,"－",IF($M$4=1,期間データ!D33,期間データ!C33)/$M$6))</f>
        <v/>
      </c>
    </row>
    <row r="31" customFormat="false" ht="18" hidden="false" customHeight="true" outlineLevel="0" collapsed="false">
      <c r="B31" s="13" t="s">
        <v>56</v>
      </c>
      <c r="C31" s="13"/>
      <c r="D31" s="13"/>
      <c r="E31" s="13"/>
      <c r="F31" s="13"/>
      <c r="G31" s="13"/>
      <c r="H31" s="13"/>
    </row>
  </sheetData>
  <mergeCells count="14">
    <mergeCell ref="B1:H1"/>
    <mergeCell ref="B2:H2"/>
    <mergeCell ref="I3:J3"/>
    <mergeCell ref="L3:M3"/>
    <mergeCell ref="B4:C4"/>
    <mergeCell ref="E4:H4"/>
    <mergeCell ref="B5:C5"/>
    <mergeCell ref="E5:H5"/>
    <mergeCell ref="B6:C6"/>
    <mergeCell ref="E6:H6"/>
    <mergeCell ref="B7:C7"/>
    <mergeCell ref="E7:H7"/>
    <mergeCell ref="B8:H8"/>
    <mergeCell ref="B31:H31"/>
  </mergeCells>
  <conditionalFormatting sqref="F11:F30">
    <cfRule type="dataBar" priority="2">
      <dataBar showValue="1" minLength="10" maxLength="90">
        <cfvo type="num" val="0"/>
        <cfvo type="max" val="0"/>
        <color rgb="FFE8604C"/>
      </dataBar>
      <extLst>
        <ext xmlns:x14="http://schemas.microsoft.com/office/spreadsheetml/2009/9/main" uri="{B025F937-C7B1-47D3-B67F-A62EFF666E3E}">
          <x14:id>{4D76D012-455F-41F1-89FB-398C95F1F651}</x14:id>
        </ext>
      </extLst>
    </cfRule>
  </conditionalFormatting>
  <conditionalFormatting sqref="E11:E30">
    <cfRule type="expression" priority="3" aboveAverage="0" equalAverage="0" bottom="0" percent="0" rank="0" text="" dxfId="0">
      <formula>ISTEXT(E11)</formula>
    </cfRule>
  </conditionalFormatting>
  <dataValidations count="3">
    <dataValidation allowBlank="false" error="リストから選んでください（期間A（金土日）／期間B（金〜木））" errorStyle="stop" errorTitle="参照期間" operator="between" showDropDown="false" showErrorMessage="true" showInputMessage="false" sqref="D4" type="list">
      <formula1>"期間A（金土日）,期間B（金〜木）"</formula1>
      <formula2>0</formula2>
    </dataValidation>
    <dataValidation allowBlank="false" error="ピーク動員数は 0〜999,999 の整数で入力してください" errorStyle="stop" errorTitle="ピーク動員数" operator="between" showDropDown="false" showErrorMessage="true" showInputMessage="false" sqref="D5" type="whole">
      <formula1>0</formula1>
      <formula2>999999</formula2>
    </dataValidation>
    <dataValidation allowBlank="true" errorStyle="stop" operator="between" showDropDown="false" showErrorMessage="false" showInputMessage="false" sqref="D6" type="list">
      <formula1>$I$4:$I$9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4D76D012-455F-41F1-89FB-398C95F1F651}">
            <x14:dataBar minLength="10" maxLength="90" axisPosition="none" gradient="true">
              <x14:cfvo type="num">
                <xm:f>0</xm:f>
              </x14:cfvo>
              <x14:cfvo type="max"/>
              <x14:negativeFillColor rgb="FFE8604C"/>
              <x14:axisColor rgb="FF000000"/>
            </x14:dataBar>
          </x14:cfRule>
          <xm:sqref>F11:F30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9E5B"/>
    <pageSetUpPr fitToPage="true"/>
  </sheetPr>
  <dimension ref="B1:E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.5"/>
    <col collapsed="false" customWidth="true" hidden="false" outlineLevel="0" max="2" min="2" style="0" width="7"/>
    <col collapsed="false" customWidth="true" hidden="false" outlineLevel="0" max="3" min="3" style="0" width="32"/>
    <col collapsed="false" customWidth="true" hidden="false" outlineLevel="0" max="4" min="4" style="0" width="16"/>
    <col collapsed="false" customWidth="true" hidden="false" outlineLevel="0" max="5" min="5" style="0" width="13"/>
    <col collapsed="false" customWidth="true" hidden="false" outlineLevel="0" max="6" min="6" style="0" width="2.5"/>
  </cols>
  <sheetData>
    <row r="1" customFormat="false" ht="36" hidden="false" customHeight="true" outlineLevel="0" collapsed="false">
      <c r="B1" s="1" t="s">
        <v>57</v>
      </c>
      <c r="C1" s="1"/>
      <c r="D1" s="1"/>
      <c r="E1" s="1"/>
    </row>
    <row r="2" customFormat="false" ht="24" hidden="false" customHeight="true" outlineLevel="0" collapsed="false">
      <c r="B2" s="42" t="s">
        <v>58</v>
      </c>
      <c r="C2" s="42"/>
      <c r="D2" s="42"/>
      <c r="E2" s="42"/>
    </row>
    <row r="3" customFormat="false" ht="21.75" hidden="false" customHeight="true" outlineLevel="0" collapsed="false">
      <c r="B3" s="43" t="str">
        <f aca="false">"参照期間: "&amp;IF(準備数計算!$M$4=1,"期間A（金土日）","期間B（金〜木）")&amp;"　｜　ピーク動員数: "&amp;IF(準備数計算!$D$5="","（未入力）",TEXT(準備数計算!$D$5,"#,##0")&amp;"人")</f>
        <v>参照期間: 期間A（金土日）　｜　ピーク動員数: （未入力）</v>
      </c>
      <c r="C3" s="43"/>
      <c r="D3" s="43"/>
      <c r="E3" s="43"/>
    </row>
    <row r="4" customFormat="false" ht="19.5" hidden="false" customHeight="true" outlineLevel="0" collapsed="false">
      <c r="B4" s="18" t="str">
        <f aca="false">"時間帯: "&amp;準備数計算!$D$6&amp;"（適用倍率 ×"&amp;TEXT(準備数計算!$D$7*100,"0")&amp;"%）　｜　"&amp;準備数計算!$E$4</f>
        <v>時間帯: 平常（適用倍率 ×100%）　｜　参照: 8/21〜8/23（期間A 金土日）｜動員合計 0人</v>
      </c>
      <c r="C4" s="18"/>
      <c r="D4" s="18"/>
      <c r="E4" s="18"/>
    </row>
    <row r="5" customFormat="false" ht="21.75" hidden="false" customHeight="true" outlineLevel="0" collapsed="false">
      <c r="B5" s="11" t="s">
        <v>59</v>
      </c>
      <c r="C5" s="11"/>
      <c r="D5" s="11"/>
      <c r="E5" s="11"/>
    </row>
    <row r="6" customFormat="false" ht="13.5" hidden="false" customHeight="true" outlineLevel="0" collapsed="false">
      <c r="B6" s="44" t="str">
        <f aca="false">準備数計算!$B$8</f>
        <v>⚠ 選択した期間のCSVが未貼付です（CSV貼付Aシート）。 ⚠ 選択した期間の動員数がそろっていません。 ⚠ ピーク動員数が未入力です。</v>
      </c>
      <c r="C6" s="44"/>
      <c r="D6" s="44"/>
      <c r="E6" s="44"/>
    </row>
    <row r="7" customFormat="false" ht="25.5" hidden="false" customHeight="true" outlineLevel="0" collapsed="false">
      <c r="B7" s="45" t="s">
        <v>50</v>
      </c>
      <c r="C7" s="46" t="s">
        <v>51</v>
      </c>
      <c r="D7" s="47" t="s">
        <v>60</v>
      </c>
      <c r="E7" s="46" t="s">
        <v>61</v>
      </c>
    </row>
    <row r="8" customFormat="false" ht="24" hidden="false" customHeight="true" outlineLevel="0" collapsed="false">
      <c r="B8" s="48" t="n">
        <f aca="false">IF(準備数計算!$C11="","",1)</f>
        <v>1</v>
      </c>
      <c r="C8" s="49" t="str">
        <f aca="false">IF(準備数計算!$C11="","",準備数計算!$C11)</f>
        <v>ハーフ＆ハーフ（塩／キャラメル）</v>
      </c>
      <c r="D8" s="50" t="str">
        <f aca="false">IF(準備数計算!$C11="","",準備数計算!$F11)</f>
        <v/>
      </c>
      <c r="E8" s="51" t="str">
        <f aca="false">IF(準備数計算!$C11="","","☐")</f>
        <v>☐</v>
      </c>
    </row>
    <row r="9" customFormat="false" ht="24" hidden="false" customHeight="true" outlineLevel="0" collapsed="false">
      <c r="B9" s="48" t="n">
        <f aca="false">IF(準備数計算!$C12="","",2)</f>
        <v>2</v>
      </c>
      <c r="C9" s="49" t="str">
        <f aca="false">IF(準備数計算!$C12="","",準備数計算!$C12)</f>
        <v>ポップコーン　キャラメルＭ</v>
      </c>
      <c r="D9" s="50" t="str">
        <f aca="false">IF(準備数計算!$C12="","",準備数計算!$F12)</f>
        <v/>
      </c>
      <c r="E9" s="51" t="str">
        <f aca="false">IF(準備数計算!$C12="","","☐")</f>
        <v>☐</v>
      </c>
    </row>
    <row r="10" customFormat="false" ht="24" hidden="false" customHeight="true" outlineLevel="0" collapsed="false">
      <c r="B10" s="48" t="n">
        <f aca="false">IF(準備数計算!$C13="","",3)</f>
        <v>3</v>
      </c>
      <c r="C10" s="49" t="str">
        <f aca="false">IF(準備数計算!$C13="","",準備数計算!$C13)</f>
        <v>ポップコーン　塩Ｍ</v>
      </c>
      <c r="D10" s="50" t="str">
        <f aca="false">IF(準備数計算!$C13="","",準備数計算!$F13)</f>
        <v/>
      </c>
      <c r="E10" s="51" t="str">
        <f aca="false">IF(準備数計算!$C13="","","☐")</f>
        <v>☐</v>
      </c>
    </row>
    <row r="11" customFormat="false" ht="24" hidden="false" customHeight="true" outlineLevel="0" collapsed="false">
      <c r="B11" s="48" t="n">
        <f aca="false">IF(準備数計算!$C14="","",4)</f>
        <v>4</v>
      </c>
      <c r="C11" s="49" t="str">
        <f aca="false">IF(準備数計算!$C14="","",準備数計算!$C14)</f>
        <v>ポップコーン　キャラメルＳ</v>
      </c>
      <c r="D11" s="50" t="str">
        <f aca="false">IF(準備数計算!$C14="","",準備数計算!$F14)</f>
        <v/>
      </c>
      <c r="E11" s="51" t="str">
        <f aca="false">IF(準備数計算!$C14="","","☐")</f>
        <v>☐</v>
      </c>
    </row>
    <row r="12" customFormat="false" ht="24" hidden="false" customHeight="true" outlineLevel="0" collapsed="false">
      <c r="B12" s="48" t="n">
        <f aca="false">IF(準備数計算!$C15="","",5)</f>
        <v>5</v>
      </c>
      <c r="C12" s="49" t="str">
        <f aca="false">IF(準備数計算!$C15="","",準備数計算!$C15)</f>
        <v>ポップコーン　塩Ｓ</v>
      </c>
      <c r="D12" s="50" t="str">
        <f aca="false">IF(準備数計算!$C15="","",準備数計算!$F15)</f>
        <v/>
      </c>
      <c r="E12" s="51" t="str">
        <f aca="false">IF(準備数計算!$C15="","","☐")</f>
        <v>☐</v>
      </c>
    </row>
    <row r="13" customFormat="false" ht="24" hidden="false" customHeight="true" outlineLevel="0" collapsed="false">
      <c r="B13" s="48" t="n">
        <f aca="false">IF(準備数計算!$C16="","",6)</f>
        <v>6</v>
      </c>
      <c r="C13" s="49" t="str">
        <f aca="false">IF(準備数計算!$C16="","",準備数計算!$C16)</f>
        <v>ポップコーン　キャラメルＬ</v>
      </c>
      <c r="D13" s="50" t="str">
        <f aca="false">IF(準備数計算!$C16="","",準備数計算!$F16)</f>
        <v/>
      </c>
      <c r="E13" s="51" t="str">
        <f aca="false">IF(準備数計算!$C16="","","☐")</f>
        <v>☐</v>
      </c>
    </row>
    <row r="14" customFormat="false" ht="24" hidden="false" customHeight="true" outlineLevel="0" collapsed="false">
      <c r="B14" s="48" t="n">
        <f aca="false">IF(準備数計算!$C17="","",7)</f>
        <v>7</v>
      </c>
      <c r="C14" s="49" t="str">
        <f aca="false">IF(準備数計算!$C17="","",準備数計算!$C17)</f>
        <v>ポップコーン　塩Ｌ</v>
      </c>
      <c r="D14" s="50" t="str">
        <f aca="false">IF(準備数計算!$C17="","",準備数計算!$F17)</f>
        <v/>
      </c>
      <c r="E14" s="51" t="str">
        <f aca="false">IF(準備数計算!$C17="","","☐")</f>
        <v>☐</v>
      </c>
    </row>
    <row r="15" customFormat="false" ht="24" hidden="false" customHeight="true" outlineLevel="0" collapsed="false">
      <c r="B15" s="48" t="n">
        <f aca="false">IF(準備数計算!$C18="","",8)</f>
        <v>8</v>
      </c>
      <c r="C15" s="49" t="str">
        <f aca="false">IF(準備数計算!$C18="","",準備数計算!$C18)</f>
        <v>北海道濃厚バターしょうゆ味</v>
      </c>
      <c r="D15" s="50" t="str">
        <f aca="false">IF(準備数計算!$C18="","",準備数計算!$F18)</f>
        <v/>
      </c>
      <c r="E15" s="51" t="str">
        <f aca="false">IF(準備数計算!$C18="","","☐")</f>
        <v>☐</v>
      </c>
    </row>
    <row r="16" customFormat="false" ht="24" hidden="false" customHeight="true" outlineLevel="0" collapsed="false">
      <c r="B16" s="48" t="n">
        <f aca="false">IF(準備数計算!$C19="","",9)</f>
        <v>9</v>
      </c>
      <c r="C16" s="49" t="str">
        <f aca="false">IF(準備数計算!$C19="","",準備数計算!$C19)</f>
        <v>トリュフソルト＆バター味</v>
      </c>
      <c r="D16" s="50" t="str">
        <f aca="false">IF(準備数計算!$C19="","",準備数計算!$F19)</f>
        <v/>
      </c>
      <c r="E16" s="51" t="str">
        <f aca="false">IF(準備数計算!$C19="","","☐")</f>
        <v>☐</v>
      </c>
    </row>
    <row r="17" customFormat="false" ht="24" hidden="false" customHeight="true" outlineLevel="0" collapsed="false">
      <c r="B17" s="48" t="n">
        <f aca="false">IF(準備数計算!$C20="","",10)</f>
        <v>10</v>
      </c>
      <c r="C17" s="49" t="str">
        <f aca="false">IF(準備数計算!$C20="","",準備数計算!$C20)</f>
        <v>シネマイク　ハッピーターン味</v>
      </c>
      <c r="D17" s="50" t="str">
        <f aca="false">IF(準備数計算!$C20="","",準備数計算!$F20)</f>
        <v/>
      </c>
      <c r="E17" s="51" t="str">
        <f aca="false">IF(準備数計算!$C20="","","☐")</f>
        <v>☐</v>
      </c>
    </row>
    <row r="18" customFormat="false" ht="24" hidden="false" customHeight="true" outlineLevel="0" collapsed="false">
      <c r="B18" s="48" t="n">
        <f aca="false">IF(準備数計算!$C21="","",11)</f>
        <v>11</v>
      </c>
      <c r="C18" s="49" t="str">
        <f aca="false">IF(準備数計算!$C21="","",準備数計算!$C21)</f>
        <v>パーティーポップ　キャラメル</v>
      </c>
      <c r="D18" s="50" t="str">
        <f aca="false">IF(準備数計算!$C21="","",準備数計算!$F21)</f>
        <v/>
      </c>
      <c r="E18" s="51" t="str">
        <f aca="false">IF(準備数計算!$C21="","","☐")</f>
        <v>☐</v>
      </c>
    </row>
    <row r="19" customFormat="false" ht="24" hidden="false" customHeight="true" outlineLevel="0" collapsed="false">
      <c r="B19" s="48" t="n">
        <f aca="false">IF(準備数計算!$C22="","",12)</f>
        <v>12</v>
      </c>
      <c r="C19" s="49" t="str">
        <f aca="false">IF(準備数計算!$C22="","",準備数計算!$C22)</f>
        <v>スパイシー！ポップチキン</v>
      </c>
      <c r="D19" s="50" t="str">
        <f aca="false">IF(準備数計算!$C22="","",準備数計算!$F22)</f>
        <v/>
      </c>
      <c r="E19" s="51" t="str">
        <f aca="false">IF(準備数計算!$C22="","","☐")</f>
        <v>☐</v>
      </c>
    </row>
    <row r="20" customFormat="false" ht="24" hidden="false" customHeight="true" outlineLevel="0" collapsed="false">
      <c r="B20" s="48" t="n">
        <f aca="false">IF(準備数計算!$C23="","",13)</f>
        <v>13</v>
      </c>
      <c r="C20" s="49" t="str">
        <f aca="false">IF(準備数計算!$C23="","",準備数計算!$C23)</f>
        <v>スナックじゃがトリュフソルトバタ</v>
      </c>
      <c r="D20" s="50" t="str">
        <f aca="false">IF(準備数計算!$C23="","",準備数計算!$F23)</f>
        <v/>
      </c>
      <c r="E20" s="51" t="str">
        <f aca="false">IF(準備数計算!$C23="","","☐")</f>
        <v>☐</v>
      </c>
    </row>
    <row r="21" customFormat="false" ht="24" hidden="false" customHeight="true" outlineLevel="0" collapsed="false">
      <c r="B21" s="48" t="n">
        <f aca="false">IF(準備数計算!$C24="","",14)</f>
        <v>14</v>
      </c>
      <c r="C21" s="49" t="str">
        <f aca="false">IF(準備数計算!$C24="","",準備数計算!$C24)</f>
        <v>スナックじゃが　シチリアハーブ</v>
      </c>
      <c r="D21" s="50" t="str">
        <f aca="false">IF(準備数計算!$C24="","",準備数計算!$F24)</f>
        <v/>
      </c>
      <c r="E21" s="51" t="str">
        <f aca="false">IF(準備数計算!$C24="","","☐")</f>
        <v>☐</v>
      </c>
    </row>
    <row r="22" customFormat="false" ht="24" hidden="false" customHeight="true" outlineLevel="0" collapsed="false">
      <c r="B22" s="48" t="n">
        <f aca="false">IF(準備数計算!$C25="","",15)</f>
        <v>15</v>
      </c>
      <c r="C22" s="49" t="str">
        <f aca="false">IF(準備数計算!$C25="","",準備数計算!$C25)</f>
        <v>ケチャップ＆マスタード</v>
      </c>
      <c r="D22" s="50" t="str">
        <f aca="false">IF(準備数計算!$C25="","",準備数計算!$F25)</f>
        <v/>
      </c>
      <c r="E22" s="51" t="str">
        <f aca="false">IF(準備数計算!$C25="","","☐")</f>
        <v>☐</v>
      </c>
    </row>
    <row r="23" customFormat="false" ht="24" hidden="false" customHeight="true" outlineLevel="0" collapsed="false">
      <c r="B23" s="48" t="n">
        <f aca="false">IF(準備数計算!$C26="","",16)</f>
        <v>16</v>
      </c>
      <c r="C23" s="49" t="str">
        <f aca="false">IF(準備数計算!$C26="","",準備数計算!$C26)</f>
        <v>４種のチーズ</v>
      </c>
      <c r="D23" s="50" t="str">
        <f aca="false">IF(準備数計算!$C26="","",準備数計算!$F26)</f>
        <v/>
      </c>
      <c r="E23" s="51" t="str">
        <f aca="false">IF(準備数計算!$C26="","","☐")</f>
        <v>☐</v>
      </c>
    </row>
    <row r="24" customFormat="false" ht="24" hidden="false" customHeight="true" outlineLevel="0" collapsed="false">
      <c r="B24" s="48" t="n">
        <f aca="false">IF(準備数計算!$C27="","",17)</f>
        <v>17</v>
      </c>
      <c r="C24" s="49" t="str">
        <f aca="false">IF(準備数計算!$C27="","",準備数計算!$C27)</f>
        <v>プレミアム　ハラペーニョ</v>
      </c>
      <c r="D24" s="50" t="str">
        <f aca="false">IF(準備数計算!$C27="","",準備数計算!$F27)</f>
        <v/>
      </c>
      <c r="E24" s="51" t="str">
        <f aca="false">IF(準備数計算!$C27="","","☐")</f>
        <v>☐</v>
      </c>
    </row>
    <row r="25" customFormat="false" ht="24" hidden="false" customHeight="true" outlineLevel="0" collapsed="false">
      <c r="B25" s="48" t="n">
        <f aca="false">IF(準備数計算!$C28="","",18)</f>
        <v>18</v>
      </c>
      <c r="C25" s="49" t="str">
        <f aca="false">IF(準備数計算!$C28="","",準備数計算!$C28)</f>
        <v>チュリトス　シナモンシュガー</v>
      </c>
      <c r="D25" s="50" t="str">
        <f aca="false">IF(準備数計算!$C28="","",準備数計算!$F28)</f>
        <v/>
      </c>
      <c r="E25" s="51" t="str">
        <f aca="false">IF(準備数計算!$C28="","","☐")</f>
        <v>☐</v>
      </c>
    </row>
    <row r="26" customFormat="false" ht="24" hidden="false" customHeight="true" outlineLevel="0" collapsed="false">
      <c r="B26" s="48" t="n">
        <f aca="false">IF(準備数計算!$C29="","",19)</f>
        <v>19</v>
      </c>
      <c r="C26" s="49" t="str">
        <f aca="false">IF(準備数計算!$C29="","",準備数計算!$C29)</f>
        <v>チュリトス　チョコクリーム</v>
      </c>
      <c r="D26" s="50" t="str">
        <f aca="false">IF(準備数計算!$C29="","",準備数計算!$F29)</f>
        <v/>
      </c>
      <c r="E26" s="51" t="str">
        <f aca="false">IF(準備数計算!$C29="","","☐")</f>
        <v>☐</v>
      </c>
    </row>
    <row r="27" customFormat="false" ht="24" hidden="false" customHeight="true" outlineLevel="0" collapsed="false">
      <c r="B27" s="48" t="str">
        <f aca="false">IF(準備数計算!$C30="","",20)</f>
        <v/>
      </c>
      <c r="C27" s="49" t="str">
        <f aca="false">IF(準備数計算!$C30="","",準備数計算!$C30)</f>
        <v/>
      </c>
      <c r="D27" s="50" t="str">
        <f aca="false">IF(準備数計算!$C30="","",準備数計算!$F30)</f>
        <v/>
      </c>
      <c r="E27" s="51" t="str">
        <f aca="false">IF(準備数計算!$C30="","","☐")</f>
        <v/>
      </c>
    </row>
    <row r="28" customFormat="false" ht="15.75" hidden="false" customHeight="true" outlineLevel="0" collapsed="false">
      <c r="B28" s="52" t="s">
        <v>62</v>
      </c>
      <c r="C28" s="52"/>
      <c r="D28" s="52"/>
      <c r="E28" s="52"/>
    </row>
  </sheetData>
  <mergeCells count="7">
    <mergeCell ref="B1:E1"/>
    <mergeCell ref="B2:E2"/>
    <mergeCell ref="B3:E3"/>
    <mergeCell ref="B4:E4"/>
    <mergeCell ref="B5:E5"/>
    <mergeCell ref="B6:E6"/>
    <mergeCell ref="B28:E2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9E92"/>
    <pageSetUpPr fitToPage="true"/>
  </sheetPr>
  <dimension ref="A1:Q100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3" topLeftCell="C14" activePane="bottomRight" state="frozen"/>
      <selection pane="topLeft" activeCell="A1" activeCellId="0" sqref="A1"/>
      <selection pane="topRight" activeCell="C1" activeCellId="0" sqref="C1"/>
      <selection pane="bottomLeft" activeCell="A14" activeCellId="0" sqref="A1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30"/>
    <col collapsed="false" customWidth="true" hidden="false" outlineLevel="0" max="9" min="3" style="0" width="10.5"/>
    <col collapsed="false" customWidth="true" hidden="false" outlineLevel="0" max="10" min="10" style="0" width="11"/>
    <col collapsed="false" customWidth="true" hidden="false" outlineLevel="0" max="11" min="11" style="0" width="14"/>
    <col collapsed="false" customWidth="true" hidden="false" outlineLevel="0" max="12" min="12" style="0" width="2.5"/>
    <col collapsed="false" customWidth="true" hidden="true" outlineLevel="0" max="13" min="13" style="0" width="6"/>
    <col collapsed="false" customWidth="true" hidden="true" outlineLevel="0" max="14" min="14" style="0" width="28"/>
    <col collapsed="false" customWidth="true" hidden="true" outlineLevel="0" max="15" min="15" style="0" width="6"/>
    <col collapsed="false" customWidth="true" hidden="true" outlineLevel="0" max="17" min="16" style="0" width="28"/>
  </cols>
  <sheetData>
    <row r="1" customFormat="false" ht="33.75" hidden="false" customHeight="true" outlineLevel="0" collapsed="false">
      <c r="A1" s="1" t="s">
        <v>63</v>
      </c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9.5" hidden="false" customHeight="true" outlineLevel="0" collapsed="false">
      <c r="A2" s="53" t="s">
        <v>64</v>
      </c>
      <c r="B2" s="54" t="s">
        <v>65</v>
      </c>
      <c r="C2" s="55" t="s">
        <v>66</v>
      </c>
      <c r="D2" s="55"/>
      <c r="F2" s="13" t="s">
        <v>67</v>
      </c>
      <c r="G2" s="13"/>
      <c r="H2" s="13"/>
      <c r="I2" s="13"/>
      <c r="J2" s="13"/>
      <c r="K2" s="13"/>
    </row>
    <row r="3" customFormat="false" ht="6" hidden="false" customHeight="true" outlineLevel="0" collapsed="false"/>
    <row r="4" customFormat="false" ht="21.75" hidden="false" customHeight="true" outlineLevel="0" collapsed="false">
      <c r="B4" s="56" t="s">
        <v>68</v>
      </c>
      <c r="C4" s="57" t="n">
        <v>46255</v>
      </c>
      <c r="D4" s="57" t="n">
        <v>46256</v>
      </c>
      <c r="E4" s="57" t="n">
        <v>46257</v>
      </c>
      <c r="G4" s="58" t="str">
        <f aca="false">IF(CSV貼付A!$N$5="","（CSV貼付Aにデータを貼り付けてください）","CSV "&amp;COUNTA(CSV貼付A!$N$5:$N$1004)&amp;"行｜対象期間 "&amp;IF(OR($C$4="",$E$4=""),"未確認",IF(AND(IFERROR(DATEVALUE(TEXT(VALUE(CSV貼付A!$D$5),"0000-00-00")),-1)=$C$4,IFERROR(DATEVALUE(TEXT(VALUE(CSV貼付A!$E$5),"0000-00-00")),-1)=$E$4),"✔一致","⚠不一致")))</f>
        <v>（CSV貼付Aにデータを貼り付けてください）</v>
      </c>
      <c r="H4" s="58"/>
      <c r="I4" s="58"/>
      <c r="J4" s="58"/>
      <c r="K4" s="58"/>
      <c r="M4" s="59" t="s">
        <v>69</v>
      </c>
      <c r="N4" s="59" t="s">
        <v>70</v>
      </c>
      <c r="O4" s="59" t="s">
        <v>71</v>
      </c>
      <c r="P4" s="59" t="s">
        <v>72</v>
      </c>
      <c r="Q4" s="60" t="s">
        <v>73</v>
      </c>
    </row>
    <row r="5" customFormat="false" ht="15.75" hidden="false" customHeight="true" outlineLevel="0" collapsed="false">
      <c r="B5" s="61" t="s">
        <v>74</v>
      </c>
      <c r="C5" s="62" t="str">
        <f aca="false">IF(C$4="","",CHOOSE(WEEKDAY(C$4),"日","月","火","水","木","金","土"))</f>
        <v>金</v>
      </c>
      <c r="D5" s="62" t="str">
        <f aca="false">IF(D$4="","",CHOOSE(WEEKDAY(D$4),"日","月","火","水","木","金","土"))</f>
        <v>土</v>
      </c>
      <c r="E5" s="62" t="str">
        <f aca="false">IF(E$4="","",CHOOSE(WEEKDAY(E$4),"日","月","火","水","木","金","土"))</f>
        <v>日</v>
      </c>
      <c r="F5" s="63" t="s">
        <v>75</v>
      </c>
      <c r="M5" s="0" t="str">
        <f aca="false">IF(CSV貼付A!$N5="","",IF(COUNTIF(CSV貼付A!$N$5:$N5,CSV貼付A!$N5)&gt;1,"",MAX($M$4:M4)+1))</f>
        <v/>
      </c>
      <c r="N5" s="0" t="str">
        <f aca="false">IFERROR(INDEX(CSV貼付A!$N$5:$N$1004,MATCH(ROW()-4,$M$5:$M$1004,0)),"")</f>
        <v/>
      </c>
      <c r="O5" s="0" t="str">
        <f aca="false">IF(CSV貼付B!$N5="","",IF(COUNTIF(CSV貼付B!$N$5:$N5,CSV貼付B!$N5)&gt;1,"",MAX($O$4:O4)+1))</f>
        <v/>
      </c>
      <c r="P5" s="0" t="str">
        <f aca="false">IFERROR(INDEX(CSV貼付B!$N$5:$N$1004,MATCH(ROW()-4,$O$5:$O$1004,0)),"")</f>
        <v/>
      </c>
      <c r="Q5" s="0" t="str">
        <f aca="false">IF(ROW()-4&lt;=MAX($M$5:$M$1004),IFERROR(INDEX($N$5:$N$404,ROW()-4),""),IFERROR(INDEX($P$5:$P$404,ROW()-4-MAX($M$5:$M$1004)),""))</f>
        <v/>
      </c>
    </row>
    <row r="6" customFormat="false" ht="21.75" hidden="false" customHeight="true" outlineLevel="0" collapsed="false">
      <c r="B6" s="56" t="s">
        <v>76</v>
      </c>
      <c r="C6" s="64"/>
      <c r="D6" s="64"/>
      <c r="E6" s="64"/>
      <c r="F6" s="65" t="str">
        <f aca="false">IF(COUNT(C6:E6)=0,"",SUM(C6:E6))</f>
        <v/>
      </c>
      <c r="M6" s="0" t="str">
        <f aca="false">IF(CSV貼付A!$N6="","",IF(COUNTIF(CSV貼付A!$N$5:$N6,CSV貼付A!$N6)&gt;1,"",MAX($M$4:M5)+1))</f>
        <v/>
      </c>
      <c r="N6" s="0" t="str">
        <f aca="false">IFERROR(INDEX(CSV貼付A!$N$5:$N$1004,MATCH(ROW()-4,$M$5:$M$1004,0)),"")</f>
        <v/>
      </c>
      <c r="O6" s="0" t="str">
        <f aca="false">IF(CSV貼付B!$N6="","",IF(COUNTIF(CSV貼付B!$N$5:$N6,CSV貼付B!$N6)&gt;1,"",MAX($O$4:O5)+1))</f>
        <v/>
      </c>
      <c r="P6" s="0" t="str">
        <f aca="false">IFERROR(INDEX(CSV貼付B!$N$5:$N$1004,MATCH(ROW()-4,$O$5:$O$1004,0)),"")</f>
        <v/>
      </c>
      <c r="Q6" s="0" t="str">
        <f aca="false">IF(ROW()-4&lt;=MAX($M$5:$M$1004),IFERROR(INDEX($N$5:$N$404,ROW()-4),""),IFERROR(INDEX($P$5:$P$404,ROW()-4-MAX($M$5:$M$1004)),""))</f>
        <v/>
      </c>
    </row>
    <row r="7" customFormat="false" ht="6" hidden="false" customHeight="true" outlineLevel="0" collapsed="false">
      <c r="M7" s="0" t="str">
        <f aca="false">IF(CSV貼付A!$N7="","",IF(COUNTIF(CSV貼付A!$N$5:$N7,CSV貼付A!$N7)&gt;1,"",MAX($M$4:M6)+1))</f>
        <v/>
      </c>
      <c r="N7" s="0" t="str">
        <f aca="false">IFERROR(INDEX(CSV貼付A!$N$5:$N$1004,MATCH(ROW()-4,$M$5:$M$1004,0)),"")</f>
        <v/>
      </c>
      <c r="O7" s="0" t="str">
        <f aca="false">IF(CSV貼付B!$N7="","",IF(COUNTIF(CSV貼付B!$N$5:$N7,CSV貼付B!$N7)&gt;1,"",MAX($O$4:O6)+1))</f>
        <v/>
      </c>
      <c r="P7" s="0" t="str">
        <f aca="false">IFERROR(INDEX(CSV貼付B!$N$5:$N$1004,MATCH(ROW()-4,$O$5:$O$1004,0)),"")</f>
        <v/>
      </c>
      <c r="Q7" s="0" t="str">
        <f aca="false">IF(ROW()-4&lt;=MAX($M$5:$M$1004),IFERROR(INDEX($N$5:$N$404,ROW()-4),""),IFERROR(INDEX($P$5:$P$404,ROW()-4-MAX($M$5:$M$1004)),""))</f>
        <v/>
      </c>
    </row>
    <row r="8" customFormat="false" ht="21.75" hidden="false" customHeight="true" outlineLevel="0" collapsed="false">
      <c r="B8" s="56" t="s">
        <v>77</v>
      </c>
      <c r="C8" s="57" t="n">
        <v>46248</v>
      </c>
      <c r="D8" s="57" t="n">
        <v>46249</v>
      </c>
      <c r="E8" s="57" t="n">
        <v>46250</v>
      </c>
      <c r="F8" s="57" t="n">
        <v>46251</v>
      </c>
      <c r="G8" s="57" t="n">
        <v>46252</v>
      </c>
      <c r="H8" s="57" t="n">
        <v>46253</v>
      </c>
      <c r="I8" s="57" t="n">
        <v>46254</v>
      </c>
      <c r="J8" s="66" t="str">
        <f aca="false">IF(CSV貼付B!$N$5="","（B未貼付）","CSV "&amp;COUNTA(CSV貼付B!$N$5:$N$1004)&amp;"行 "&amp;IF(OR($C$8="",$I$8=""),"未確認",IF(AND(IFERROR(DATEVALUE(TEXT(VALUE(CSV貼付B!$D$5),"0000-00-00")),-1)=$C$8,IFERROR(DATEVALUE(TEXT(VALUE(CSV貼付B!$E$5),"0000-00-00")),-1)=$I$8),"✔一致","⚠不一致")))</f>
        <v>（B未貼付）</v>
      </c>
      <c r="K8" s="66"/>
      <c r="M8" s="0" t="str">
        <f aca="false">IF(CSV貼付A!$N8="","",IF(COUNTIF(CSV貼付A!$N$5:$N8,CSV貼付A!$N8)&gt;1,"",MAX($M$4:M7)+1))</f>
        <v/>
      </c>
      <c r="N8" s="0" t="str">
        <f aca="false">IFERROR(INDEX(CSV貼付A!$N$5:$N$1004,MATCH(ROW()-4,$M$5:$M$1004,0)),"")</f>
        <v/>
      </c>
      <c r="O8" s="0" t="str">
        <f aca="false">IF(CSV貼付B!$N8="","",IF(COUNTIF(CSV貼付B!$N$5:$N8,CSV貼付B!$N8)&gt;1,"",MAX($O$4:O7)+1))</f>
        <v/>
      </c>
      <c r="P8" s="0" t="str">
        <f aca="false">IFERROR(INDEX(CSV貼付B!$N$5:$N$1004,MATCH(ROW()-4,$O$5:$O$1004,0)),"")</f>
        <v/>
      </c>
      <c r="Q8" s="0" t="str">
        <f aca="false">IF(ROW()-4&lt;=MAX($M$5:$M$1004),IFERROR(INDEX($N$5:$N$404,ROW()-4),""),IFERROR(INDEX($P$5:$P$404,ROW()-4-MAX($M$5:$M$1004)),""))</f>
        <v/>
      </c>
    </row>
    <row r="9" customFormat="false" ht="15.75" hidden="false" customHeight="true" outlineLevel="0" collapsed="false">
      <c r="B9" s="61" t="s">
        <v>74</v>
      </c>
      <c r="C9" s="62" t="str">
        <f aca="false">IF(C$8="","",CHOOSE(WEEKDAY(C$8),"日","月","火","水","木","金","土"))</f>
        <v>金</v>
      </c>
      <c r="D9" s="62" t="str">
        <f aca="false">IF(D$8="","",CHOOSE(WEEKDAY(D$8),"日","月","火","水","木","金","土"))</f>
        <v>土</v>
      </c>
      <c r="E9" s="62" t="str">
        <f aca="false">IF(E$8="","",CHOOSE(WEEKDAY(E$8),"日","月","火","水","木","金","土"))</f>
        <v>日</v>
      </c>
      <c r="F9" s="62" t="str">
        <f aca="false">IF(F$8="","",CHOOSE(WEEKDAY(F$8),"日","月","火","水","木","金","土"))</f>
        <v>月</v>
      </c>
      <c r="G9" s="62" t="str">
        <f aca="false">IF(G$8="","",CHOOSE(WEEKDAY(G$8),"日","月","火","水","木","金","土"))</f>
        <v>火</v>
      </c>
      <c r="H9" s="62" t="str">
        <f aca="false">IF(H$8="","",CHOOSE(WEEKDAY(H$8),"日","月","火","水","木","金","土"))</f>
        <v>水</v>
      </c>
      <c r="I9" s="62" t="str">
        <f aca="false">IF(I$8="","",CHOOSE(WEEKDAY(I$8),"日","月","火","水","木","金","土"))</f>
        <v>木</v>
      </c>
      <c r="J9" s="63" t="s">
        <v>78</v>
      </c>
      <c r="M9" s="0" t="str">
        <f aca="false">IF(CSV貼付A!$N9="","",IF(COUNTIF(CSV貼付A!$N$5:$N9,CSV貼付A!$N9)&gt;1,"",MAX($M$4:M8)+1))</f>
        <v/>
      </c>
      <c r="N9" s="0" t="str">
        <f aca="false">IFERROR(INDEX(CSV貼付A!$N$5:$N$1004,MATCH(ROW()-4,$M$5:$M$1004,0)),"")</f>
        <v/>
      </c>
      <c r="O9" s="0" t="str">
        <f aca="false">IF(CSV貼付B!$N9="","",IF(COUNTIF(CSV貼付B!$N$5:$N9,CSV貼付B!$N9)&gt;1,"",MAX($O$4:O8)+1))</f>
        <v/>
      </c>
      <c r="P9" s="0" t="str">
        <f aca="false">IFERROR(INDEX(CSV貼付B!$N$5:$N$1004,MATCH(ROW()-4,$O$5:$O$1004,0)),"")</f>
        <v/>
      </c>
      <c r="Q9" s="0" t="str">
        <f aca="false">IF(ROW()-4&lt;=MAX($M$5:$M$1004),IFERROR(INDEX($N$5:$N$404,ROW()-4),""),IFERROR(INDEX($P$5:$P$404,ROW()-4-MAX($M$5:$M$1004)),""))</f>
        <v/>
      </c>
    </row>
    <row r="10" customFormat="false" ht="21.75" hidden="false" customHeight="true" outlineLevel="0" collapsed="false">
      <c r="B10" s="56" t="s">
        <v>76</v>
      </c>
      <c r="C10" s="64"/>
      <c r="D10" s="64"/>
      <c r="E10" s="64"/>
      <c r="F10" s="64"/>
      <c r="G10" s="64"/>
      <c r="H10" s="64"/>
      <c r="I10" s="64"/>
      <c r="J10" s="65" t="str">
        <f aca="false">IF(COUNT(C10:I10)=0,"",SUM(C10:I10))</f>
        <v/>
      </c>
      <c r="M10" s="0" t="str">
        <f aca="false">IF(CSV貼付A!$N10="","",IF(COUNTIF(CSV貼付A!$N$5:$N10,CSV貼付A!$N10)&gt;1,"",MAX($M$4:M9)+1))</f>
        <v/>
      </c>
      <c r="N10" s="0" t="str">
        <f aca="false">IFERROR(INDEX(CSV貼付A!$N$5:$N$1004,MATCH(ROW()-4,$M$5:$M$1004,0)),"")</f>
        <v/>
      </c>
      <c r="O10" s="0" t="str">
        <f aca="false">IF(CSV貼付B!$N10="","",IF(COUNTIF(CSV貼付B!$N$5:$N10,CSV貼付B!$N10)&gt;1,"",MAX($O$4:O9)+1))</f>
        <v/>
      </c>
      <c r="P10" s="0" t="str">
        <f aca="false">IFERROR(INDEX(CSV貼付B!$N$5:$N$1004,MATCH(ROW()-4,$O$5:$O$1004,0)),"")</f>
        <v/>
      </c>
      <c r="Q10" s="0" t="str">
        <f aca="false">IF(ROW()-4&lt;=MAX($M$5:$M$1004),IFERROR(INDEX($N$5:$N$404,ROW()-4),""),IFERROR(INDEX($P$5:$P$404,ROW()-4-MAX($M$5:$M$1004)),""))</f>
        <v/>
      </c>
    </row>
    <row r="11" customFormat="false" ht="15" hidden="false" customHeight="false" outlineLevel="0" collapsed="false">
      <c r="M11" s="0" t="str">
        <f aca="false">IF(CSV貼付A!$N11="","",IF(COUNTIF(CSV貼付A!$N$5:$N11,CSV貼付A!$N11)&gt;1,"",MAX($M$4:M10)+1))</f>
        <v/>
      </c>
      <c r="N11" s="0" t="str">
        <f aca="false">IFERROR(INDEX(CSV貼付A!$N$5:$N$1004,MATCH(ROW()-4,$M$5:$M$1004,0)),"")</f>
        <v/>
      </c>
      <c r="O11" s="0" t="str">
        <f aca="false">IF(CSV貼付B!$N11="","",IF(COUNTIF(CSV貼付B!$N$5:$N11,CSV貼付B!$N11)&gt;1,"",MAX($O$4:O10)+1))</f>
        <v/>
      </c>
      <c r="P11" s="0" t="str">
        <f aca="false">IFERROR(INDEX(CSV貼付B!$N$5:$N$1004,MATCH(ROW()-4,$O$5:$O$1004,0)),"")</f>
        <v/>
      </c>
      <c r="Q11" s="0" t="str">
        <f aca="false">IF(ROW()-4&lt;=MAX($M$5:$M$1004),IFERROR(INDEX($N$5:$N$404,ROW()-4),""),IFERROR(INDEX($P$5:$P$404,ROW()-4-MAX($M$5:$M$1004)),""))</f>
        <v/>
      </c>
    </row>
    <row r="12" customFormat="false" ht="6" hidden="false" customHeight="true" outlineLevel="0" collapsed="false">
      <c r="M12" s="0" t="str">
        <f aca="false">IF(CSV貼付A!$N12="","",IF(COUNTIF(CSV貼付A!$N$5:$N12,CSV貼付A!$N12)&gt;1,"",MAX($M$4:M11)+1))</f>
        <v/>
      </c>
      <c r="N12" s="0" t="str">
        <f aca="false">IFERROR(INDEX(CSV貼付A!$N$5:$N$1004,MATCH(ROW()-4,$M$5:$M$1004,0)),"")</f>
        <v/>
      </c>
      <c r="O12" s="0" t="str">
        <f aca="false">IF(CSV貼付B!$N12="","",IF(COUNTIF(CSV貼付B!$N$5:$N12,CSV貼付B!$N12)&gt;1,"",MAX($O$4:O11)+1))</f>
        <v/>
      </c>
      <c r="P12" s="0" t="str">
        <f aca="false">IFERROR(INDEX(CSV貼付B!$N$5:$N$1004,MATCH(ROW()-4,$O$5:$O$1004,0)),"")</f>
        <v/>
      </c>
      <c r="Q12" s="0" t="str">
        <f aca="false">IF(ROW()-4&lt;=MAX($M$5:$M$1004),IFERROR(INDEX($N$5:$N$404,ROW()-4),""),IFERROR(INDEX($P$5:$P$404,ROW()-4-MAX($M$5:$M$1004)),""))</f>
        <v/>
      </c>
    </row>
    <row r="13" customFormat="false" ht="30" hidden="false" customHeight="true" outlineLevel="0" collapsed="false">
      <c r="A13" s="27" t="s">
        <v>50</v>
      </c>
      <c r="B13" s="28" t="s">
        <v>79</v>
      </c>
      <c r="C13" s="28" t="s">
        <v>80</v>
      </c>
      <c r="D13" s="28" t="s">
        <v>81</v>
      </c>
      <c r="K13" s="28" t="s">
        <v>82</v>
      </c>
      <c r="M13" s="0" t="str">
        <f aca="false">IF(CSV貼付A!$N13="","",IF(COUNTIF(CSV貼付A!$N$5:$N13,CSV貼付A!$N13)&gt;1,"",MAX($M$4:M12)+1))</f>
        <v/>
      </c>
      <c r="N13" s="0" t="str">
        <f aca="false">IFERROR(INDEX(CSV貼付A!$N$5:$N$1004,MATCH(ROW()-4,$M$5:$M$1004,0)),"")</f>
        <v/>
      </c>
      <c r="O13" s="0" t="str">
        <f aca="false">IF(CSV貼付B!$N13="","",IF(COUNTIF(CSV貼付B!$N$5:$N13,CSV貼付B!$N13)&gt;1,"",MAX($O$4:O12)+1))</f>
        <v/>
      </c>
      <c r="P13" s="0" t="str">
        <f aca="false">IFERROR(INDEX(CSV貼付B!$N$5:$N$1004,MATCH(ROW()-4,$O$5:$O$1004,0)),"")</f>
        <v/>
      </c>
      <c r="Q13" s="0" t="str">
        <f aca="false">IF(ROW()-4&lt;=MAX($M$5:$M$1004),IFERROR(INDEX($N$5:$N$404,ROW()-4),""),IFERROR(INDEX($P$5:$P$404,ROW()-4-MAX($M$5:$M$1004)),""))</f>
        <v/>
      </c>
    </row>
    <row r="14" customFormat="false" ht="19.5" hidden="false" customHeight="true" outlineLevel="0" collapsed="false">
      <c r="A14" s="30" t="n">
        <v>1</v>
      </c>
      <c r="B14" s="67" t="s">
        <v>83</v>
      </c>
      <c r="C14" s="68" t="n">
        <f aca="false">IF($B14="","",SUMIF(CSV貼付A!$N$5:$N$1004,$B14,CSV貼付A!$AA$5:$AA$1004))</f>
        <v>0</v>
      </c>
      <c r="D14" s="68" t="n">
        <f aca="false">IF($B14="","",SUMIF(CSV貼付B!$N$5:$N$1004,$B14,CSV貼付B!$AA$5:$AA$1004))</f>
        <v>0</v>
      </c>
      <c r="K14" s="69"/>
      <c r="M14" s="0" t="str">
        <f aca="false">IF(CSV貼付A!$N14="","",IF(COUNTIF(CSV貼付A!$N$5:$N14,CSV貼付A!$N14)&gt;1,"",MAX($M$4:M13)+1))</f>
        <v/>
      </c>
      <c r="N14" s="0" t="str">
        <f aca="false">IFERROR(INDEX(CSV貼付A!$N$5:$N$1004,MATCH(ROW()-4,$M$5:$M$1004,0)),"")</f>
        <v/>
      </c>
      <c r="O14" s="0" t="str">
        <f aca="false">IF(CSV貼付B!$N14="","",IF(COUNTIF(CSV貼付B!$N$5:$N14,CSV貼付B!$N14)&gt;1,"",MAX($O$4:O13)+1))</f>
        <v/>
      </c>
      <c r="P14" s="0" t="str">
        <f aca="false">IFERROR(INDEX(CSV貼付B!$N$5:$N$1004,MATCH(ROW()-4,$O$5:$O$1004,0)),"")</f>
        <v/>
      </c>
      <c r="Q14" s="0" t="str">
        <f aca="false">IF(ROW()-4&lt;=MAX($M$5:$M$1004),IFERROR(INDEX($N$5:$N$404,ROW()-4),""),IFERROR(INDEX($P$5:$P$404,ROW()-4-MAX($M$5:$M$1004)),""))</f>
        <v/>
      </c>
    </row>
    <row r="15" customFormat="false" ht="19.5" hidden="false" customHeight="true" outlineLevel="0" collapsed="false">
      <c r="A15" s="30" t="n">
        <v>2</v>
      </c>
      <c r="B15" s="67" t="s">
        <v>84</v>
      </c>
      <c r="C15" s="38" t="n">
        <f aca="false">IF($B15="","",SUMIF(CSV貼付A!$N$5:$N$1004,$B15,CSV貼付A!$AA$5:$AA$1004))</f>
        <v>0</v>
      </c>
      <c r="D15" s="38" t="n">
        <f aca="false">IF($B15="","",SUMIF(CSV貼付B!$N$5:$N$1004,$B15,CSV貼付B!$AA$5:$AA$1004))</f>
        <v>0</v>
      </c>
      <c r="K15" s="69"/>
      <c r="M15" s="0" t="str">
        <f aca="false">IF(CSV貼付A!$N15="","",IF(COUNTIF(CSV貼付A!$N$5:$N15,CSV貼付A!$N15)&gt;1,"",MAX($M$4:M14)+1))</f>
        <v/>
      </c>
      <c r="N15" s="0" t="str">
        <f aca="false">IFERROR(INDEX(CSV貼付A!$N$5:$N$1004,MATCH(ROW()-4,$M$5:$M$1004,0)),"")</f>
        <v/>
      </c>
      <c r="O15" s="0" t="str">
        <f aca="false">IF(CSV貼付B!$N15="","",IF(COUNTIF(CSV貼付B!$N$5:$N15,CSV貼付B!$N15)&gt;1,"",MAX($O$4:O14)+1))</f>
        <v/>
      </c>
      <c r="P15" s="0" t="str">
        <f aca="false">IFERROR(INDEX(CSV貼付B!$N$5:$N$1004,MATCH(ROW()-4,$O$5:$O$1004,0)),"")</f>
        <v/>
      </c>
      <c r="Q15" s="0" t="str">
        <f aca="false">IF(ROW()-4&lt;=MAX($M$5:$M$1004),IFERROR(INDEX($N$5:$N$404,ROW()-4),""),IFERROR(INDEX($P$5:$P$404,ROW()-4-MAX($M$5:$M$1004)),""))</f>
        <v/>
      </c>
    </row>
    <row r="16" customFormat="false" ht="19.5" hidden="false" customHeight="true" outlineLevel="0" collapsed="false">
      <c r="A16" s="30" t="n">
        <v>3</v>
      </c>
      <c r="B16" s="67" t="s">
        <v>85</v>
      </c>
      <c r="C16" s="68" t="n">
        <f aca="false">IF($B16="","",SUMIF(CSV貼付A!$N$5:$N$1004,$B16,CSV貼付A!$AA$5:$AA$1004))</f>
        <v>0</v>
      </c>
      <c r="D16" s="68" t="n">
        <f aca="false">IF($B16="","",SUMIF(CSV貼付B!$N$5:$N$1004,$B16,CSV貼付B!$AA$5:$AA$1004))</f>
        <v>0</v>
      </c>
      <c r="K16" s="69"/>
      <c r="M16" s="0" t="str">
        <f aca="false">IF(CSV貼付A!$N16="","",IF(COUNTIF(CSV貼付A!$N$5:$N16,CSV貼付A!$N16)&gt;1,"",MAX($M$4:M15)+1))</f>
        <v/>
      </c>
      <c r="N16" s="0" t="str">
        <f aca="false">IFERROR(INDEX(CSV貼付A!$N$5:$N$1004,MATCH(ROW()-4,$M$5:$M$1004,0)),"")</f>
        <v/>
      </c>
      <c r="O16" s="0" t="str">
        <f aca="false">IF(CSV貼付B!$N16="","",IF(COUNTIF(CSV貼付B!$N$5:$N16,CSV貼付B!$N16)&gt;1,"",MAX($O$4:O15)+1))</f>
        <v/>
      </c>
      <c r="P16" s="0" t="str">
        <f aca="false">IFERROR(INDEX(CSV貼付B!$N$5:$N$1004,MATCH(ROW()-4,$O$5:$O$1004,0)),"")</f>
        <v/>
      </c>
      <c r="Q16" s="0" t="str">
        <f aca="false">IF(ROW()-4&lt;=MAX($M$5:$M$1004),IFERROR(INDEX($N$5:$N$404,ROW()-4),""),IFERROR(INDEX($P$5:$P$404,ROW()-4-MAX($M$5:$M$1004)),""))</f>
        <v/>
      </c>
    </row>
    <row r="17" customFormat="false" ht="19.5" hidden="false" customHeight="true" outlineLevel="0" collapsed="false">
      <c r="A17" s="30" t="n">
        <v>4</v>
      </c>
      <c r="B17" s="67" t="s">
        <v>86</v>
      </c>
      <c r="C17" s="38" t="n">
        <f aca="false">IF($B17="","",SUMIF(CSV貼付A!$N$5:$N$1004,$B17,CSV貼付A!$AA$5:$AA$1004))</f>
        <v>0</v>
      </c>
      <c r="D17" s="38" t="n">
        <f aca="false">IF($B17="","",SUMIF(CSV貼付B!$N$5:$N$1004,$B17,CSV貼付B!$AA$5:$AA$1004))</f>
        <v>0</v>
      </c>
      <c r="K17" s="69"/>
      <c r="M17" s="0" t="str">
        <f aca="false">IF(CSV貼付A!$N17="","",IF(COUNTIF(CSV貼付A!$N$5:$N17,CSV貼付A!$N17)&gt;1,"",MAX($M$4:M16)+1))</f>
        <v/>
      </c>
      <c r="N17" s="0" t="str">
        <f aca="false">IFERROR(INDEX(CSV貼付A!$N$5:$N$1004,MATCH(ROW()-4,$M$5:$M$1004,0)),"")</f>
        <v/>
      </c>
      <c r="O17" s="0" t="str">
        <f aca="false">IF(CSV貼付B!$N17="","",IF(COUNTIF(CSV貼付B!$N$5:$N17,CSV貼付B!$N17)&gt;1,"",MAX($O$4:O16)+1))</f>
        <v/>
      </c>
      <c r="P17" s="0" t="str">
        <f aca="false">IFERROR(INDEX(CSV貼付B!$N$5:$N$1004,MATCH(ROW()-4,$O$5:$O$1004,0)),"")</f>
        <v/>
      </c>
      <c r="Q17" s="0" t="str">
        <f aca="false">IF(ROW()-4&lt;=MAX($M$5:$M$1004),IFERROR(INDEX($N$5:$N$404,ROW()-4),""),IFERROR(INDEX($P$5:$P$404,ROW()-4-MAX($M$5:$M$1004)),""))</f>
        <v/>
      </c>
    </row>
    <row r="18" customFormat="false" ht="19.5" hidden="false" customHeight="true" outlineLevel="0" collapsed="false">
      <c r="A18" s="30" t="n">
        <v>5</v>
      </c>
      <c r="B18" s="67" t="s">
        <v>87</v>
      </c>
      <c r="C18" s="68" t="n">
        <f aca="false">IF($B18="","",SUMIF(CSV貼付A!$N$5:$N$1004,$B18,CSV貼付A!$AA$5:$AA$1004))</f>
        <v>0</v>
      </c>
      <c r="D18" s="68" t="n">
        <f aca="false">IF($B18="","",SUMIF(CSV貼付B!$N$5:$N$1004,$B18,CSV貼付B!$AA$5:$AA$1004))</f>
        <v>0</v>
      </c>
      <c r="K18" s="69"/>
      <c r="M18" s="0" t="str">
        <f aca="false">IF(CSV貼付A!$N18="","",IF(COUNTIF(CSV貼付A!$N$5:$N18,CSV貼付A!$N18)&gt;1,"",MAX($M$4:M17)+1))</f>
        <v/>
      </c>
      <c r="N18" s="0" t="str">
        <f aca="false">IFERROR(INDEX(CSV貼付A!$N$5:$N$1004,MATCH(ROW()-4,$M$5:$M$1004,0)),"")</f>
        <v/>
      </c>
      <c r="O18" s="0" t="str">
        <f aca="false">IF(CSV貼付B!$N18="","",IF(COUNTIF(CSV貼付B!$N$5:$N18,CSV貼付B!$N18)&gt;1,"",MAX($O$4:O17)+1))</f>
        <v/>
      </c>
      <c r="P18" s="0" t="str">
        <f aca="false">IFERROR(INDEX(CSV貼付B!$N$5:$N$1004,MATCH(ROW()-4,$O$5:$O$1004,0)),"")</f>
        <v/>
      </c>
      <c r="Q18" s="0" t="str">
        <f aca="false">IF(ROW()-4&lt;=MAX($M$5:$M$1004),IFERROR(INDEX($N$5:$N$404,ROW()-4),""),IFERROR(INDEX($P$5:$P$404,ROW()-4-MAX($M$5:$M$1004)),""))</f>
        <v/>
      </c>
    </row>
    <row r="19" customFormat="false" ht="19.5" hidden="false" customHeight="true" outlineLevel="0" collapsed="false">
      <c r="A19" s="30" t="n">
        <v>6</v>
      </c>
      <c r="B19" s="67" t="s">
        <v>88</v>
      </c>
      <c r="C19" s="38" t="n">
        <f aca="false">IF($B19="","",SUMIF(CSV貼付A!$N$5:$N$1004,$B19,CSV貼付A!$AA$5:$AA$1004))</f>
        <v>0</v>
      </c>
      <c r="D19" s="38" t="n">
        <f aca="false">IF($B19="","",SUMIF(CSV貼付B!$N$5:$N$1004,$B19,CSV貼付B!$AA$5:$AA$1004))</f>
        <v>0</v>
      </c>
      <c r="K19" s="69"/>
      <c r="M19" s="0" t="str">
        <f aca="false">IF(CSV貼付A!$N19="","",IF(COUNTIF(CSV貼付A!$N$5:$N19,CSV貼付A!$N19)&gt;1,"",MAX($M$4:M18)+1))</f>
        <v/>
      </c>
      <c r="N19" s="0" t="str">
        <f aca="false">IFERROR(INDEX(CSV貼付A!$N$5:$N$1004,MATCH(ROW()-4,$M$5:$M$1004,0)),"")</f>
        <v/>
      </c>
      <c r="O19" s="0" t="str">
        <f aca="false">IF(CSV貼付B!$N19="","",IF(COUNTIF(CSV貼付B!$N$5:$N19,CSV貼付B!$N19)&gt;1,"",MAX($O$4:O18)+1))</f>
        <v/>
      </c>
      <c r="P19" s="0" t="str">
        <f aca="false">IFERROR(INDEX(CSV貼付B!$N$5:$N$1004,MATCH(ROW()-4,$O$5:$O$1004,0)),"")</f>
        <v/>
      </c>
      <c r="Q19" s="0" t="str">
        <f aca="false">IF(ROW()-4&lt;=MAX($M$5:$M$1004),IFERROR(INDEX($N$5:$N$404,ROW()-4),""),IFERROR(INDEX($P$5:$P$404,ROW()-4-MAX($M$5:$M$1004)),""))</f>
        <v/>
      </c>
    </row>
    <row r="20" customFormat="false" ht="19.5" hidden="false" customHeight="true" outlineLevel="0" collapsed="false">
      <c r="A20" s="30" t="n">
        <v>7</v>
      </c>
      <c r="B20" s="67" t="s">
        <v>89</v>
      </c>
      <c r="C20" s="68" t="n">
        <f aca="false">IF($B20="","",SUMIF(CSV貼付A!$N$5:$N$1004,$B20,CSV貼付A!$AA$5:$AA$1004))</f>
        <v>0</v>
      </c>
      <c r="D20" s="68" t="n">
        <f aca="false">IF($B20="","",SUMIF(CSV貼付B!$N$5:$N$1004,$B20,CSV貼付B!$AA$5:$AA$1004))</f>
        <v>0</v>
      </c>
      <c r="K20" s="69"/>
      <c r="M20" s="0" t="str">
        <f aca="false">IF(CSV貼付A!$N20="","",IF(COUNTIF(CSV貼付A!$N$5:$N20,CSV貼付A!$N20)&gt;1,"",MAX($M$4:M19)+1))</f>
        <v/>
      </c>
      <c r="N20" s="0" t="str">
        <f aca="false">IFERROR(INDEX(CSV貼付A!$N$5:$N$1004,MATCH(ROW()-4,$M$5:$M$1004,0)),"")</f>
        <v/>
      </c>
      <c r="O20" s="0" t="str">
        <f aca="false">IF(CSV貼付B!$N20="","",IF(COUNTIF(CSV貼付B!$N$5:$N20,CSV貼付B!$N20)&gt;1,"",MAX($O$4:O19)+1))</f>
        <v/>
      </c>
      <c r="P20" s="0" t="str">
        <f aca="false">IFERROR(INDEX(CSV貼付B!$N$5:$N$1004,MATCH(ROW()-4,$O$5:$O$1004,0)),"")</f>
        <v/>
      </c>
      <c r="Q20" s="0" t="str">
        <f aca="false">IF(ROW()-4&lt;=MAX($M$5:$M$1004),IFERROR(INDEX($N$5:$N$404,ROW()-4),""),IFERROR(INDEX($P$5:$P$404,ROW()-4-MAX($M$5:$M$1004)),""))</f>
        <v/>
      </c>
    </row>
    <row r="21" customFormat="false" ht="19.5" hidden="false" customHeight="true" outlineLevel="0" collapsed="false">
      <c r="A21" s="30" t="n">
        <v>8</v>
      </c>
      <c r="B21" s="67" t="s">
        <v>90</v>
      </c>
      <c r="C21" s="38" t="n">
        <f aca="false">IF($B21="","",SUMIF(CSV貼付A!$N$5:$N$1004,$B21,CSV貼付A!$AA$5:$AA$1004))</f>
        <v>0</v>
      </c>
      <c r="D21" s="38" t="n">
        <f aca="false">IF($B21="","",SUMIF(CSV貼付B!$N$5:$N$1004,$B21,CSV貼付B!$AA$5:$AA$1004))</f>
        <v>0</v>
      </c>
      <c r="K21" s="69"/>
      <c r="M21" s="0" t="str">
        <f aca="false">IF(CSV貼付A!$N21="","",IF(COUNTIF(CSV貼付A!$N$5:$N21,CSV貼付A!$N21)&gt;1,"",MAX($M$4:M20)+1))</f>
        <v/>
      </c>
      <c r="N21" s="0" t="str">
        <f aca="false">IFERROR(INDEX(CSV貼付A!$N$5:$N$1004,MATCH(ROW()-4,$M$5:$M$1004,0)),"")</f>
        <v/>
      </c>
      <c r="O21" s="0" t="str">
        <f aca="false">IF(CSV貼付B!$N21="","",IF(COUNTIF(CSV貼付B!$N$5:$N21,CSV貼付B!$N21)&gt;1,"",MAX($O$4:O20)+1))</f>
        <v/>
      </c>
      <c r="P21" s="0" t="str">
        <f aca="false">IFERROR(INDEX(CSV貼付B!$N$5:$N$1004,MATCH(ROW()-4,$O$5:$O$1004,0)),"")</f>
        <v/>
      </c>
      <c r="Q21" s="0" t="str">
        <f aca="false">IF(ROW()-4&lt;=MAX($M$5:$M$1004),IFERROR(INDEX($N$5:$N$404,ROW()-4),""),IFERROR(INDEX($P$5:$P$404,ROW()-4-MAX($M$5:$M$1004)),""))</f>
        <v/>
      </c>
    </row>
    <row r="22" customFormat="false" ht="19.5" hidden="false" customHeight="true" outlineLevel="0" collapsed="false">
      <c r="A22" s="30" t="n">
        <v>9</v>
      </c>
      <c r="B22" s="67" t="s">
        <v>91</v>
      </c>
      <c r="C22" s="68" t="n">
        <f aca="false">IF($B22="","",SUMIF(CSV貼付A!$N$5:$N$1004,$B22,CSV貼付A!$AA$5:$AA$1004))</f>
        <v>0</v>
      </c>
      <c r="D22" s="68" t="n">
        <f aca="false">IF($B22="","",SUMIF(CSV貼付B!$N$5:$N$1004,$B22,CSV貼付B!$AA$5:$AA$1004))</f>
        <v>0</v>
      </c>
      <c r="K22" s="69"/>
      <c r="M22" s="0" t="str">
        <f aca="false">IF(CSV貼付A!$N22="","",IF(COUNTIF(CSV貼付A!$N$5:$N22,CSV貼付A!$N22)&gt;1,"",MAX($M$4:M21)+1))</f>
        <v/>
      </c>
      <c r="N22" s="0" t="str">
        <f aca="false">IFERROR(INDEX(CSV貼付A!$N$5:$N$1004,MATCH(ROW()-4,$M$5:$M$1004,0)),"")</f>
        <v/>
      </c>
      <c r="O22" s="0" t="str">
        <f aca="false">IF(CSV貼付B!$N22="","",IF(COUNTIF(CSV貼付B!$N$5:$N22,CSV貼付B!$N22)&gt;1,"",MAX($O$4:O21)+1))</f>
        <v/>
      </c>
      <c r="P22" s="0" t="str">
        <f aca="false">IFERROR(INDEX(CSV貼付B!$N$5:$N$1004,MATCH(ROW()-4,$O$5:$O$1004,0)),"")</f>
        <v/>
      </c>
      <c r="Q22" s="0" t="str">
        <f aca="false">IF(ROW()-4&lt;=MAX($M$5:$M$1004),IFERROR(INDEX($N$5:$N$404,ROW()-4),""),IFERROR(INDEX($P$5:$P$404,ROW()-4-MAX($M$5:$M$1004)),""))</f>
        <v/>
      </c>
    </row>
    <row r="23" customFormat="false" ht="19.5" hidden="false" customHeight="true" outlineLevel="0" collapsed="false">
      <c r="A23" s="30" t="n">
        <v>10</v>
      </c>
      <c r="B23" s="67" t="s">
        <v>92</v>
      </c>
      <c r="C23" s="38" t="n">
        <f aca="false">IF($B23="","",SUMIF(CSV貼付A!$N$5:$N$1004,$B23,CSV貼付A!$AA$5:$AA$1004))</f>
        <v>0</v>
      </c>
      <c r="D23" s="38" t="n">
        <f aca="false">IF($B23="","",SUMIF(CSV貼付B!$N$5:$N$1004,$B23,CSV貼付B!$AA$5:$AA$1004))</f>
        <v>0</v>
      </c>
      <c r="K23" s="69"/>
      <c r="M23" s="0" t="str">
        <f aca="false">IF(CSV貼付A!$N23="","",IF(COUNTIF(CSV貼付A!$N$5:$N23,CSV貼付A!$N23)&gt;1,"",MAX($M$4:M22)+1))</f>
        <v/>
      </c>
      <c r="N23" s="0" t="str">
        <f aca="false">IFERROR(INDEX(CSV貼付A!$N$5:$N$1004,MATCH(ROW()-4,$M$5:$M$1004,0)),"")</f>
        <v/>
      </c>
      <c r="O23" s="0" t="str">
        <f aca="false">IF(CSV貼付B!$N23="","",IF(COUNTIF(CSV貼付B!$N$5:$N23,CSV貼付B!$N23)&gt;1,"",MAX($O$4:O22)+1))</f>
        <v/>
      </c>
      <c r="P23" s="0" t="str">
        <f aca="false">IFERROR(INDEX(CSV貼付B!$N$5:$N$1004,MATCH(ROW()-4,$O$5:$O$1004,0)),"")</f>
        <v/>
      </c>
      <c r="Q23" s="0" t="str">
        <f aca="false">IF(ROW()-4&lt;=MAX($M$5:$M$1004),IFERROR(INDEX($N$5:$N$404,ROW()-4),""),IFERROR(INDEX($P$5:$P$404,ROW()-4-MAX($M$5:$M$1004)),""))</f>
        <v/>
      </c>
    </row>
    <row r="24" customFormat="false" ht="19.5" hidden="false" customHeight="true" outlineLevel="0" collapsed="false">
      <c r="A24" s="30" t="n">
        <v>11</v>
      </c>
      <c r="B24" s="67" t="s">
        <v>93</v>
      </c>
      <c r="C24" s="68" t="n">
        <f aca="false">IF($B24="","",SUMIF(CSV貼付A!$N$5:$N$1004,$B24,CSV貼付A!$AA$5:$AA$1004))</f>
        <v>0</v>
      </c>
      <c r="D24" s="68" t="n">
        <f aca="false">IF($B24="","",SUMIF(CSV貼付B!$N$5:$N$1004,$B24,CSV貼付B!$AA$5:$AA$1004))</f>
        <v>0</v>
      </c>
      <c r="K24" s="69"/>
      <c r="M24" s="0" t="str">
        <f aca="false">IF(CSV貼付A!$N24="","",IF(COUNTIF(CSV貼付A!$N$5:$N24,CSV貼付A!$N24)&gt;1,"",MAX($M$4:M23)+1))</f>
        <v/>
      </c>
      <c r="N24" s="0" t="str">
        <f aca="false">IFERROR(INDEX(CSV貼付A!$N$5:$N$1004,MATCH(ROW()-4,$M$5:$M$1004,0)),"")</f>
        <v/>
      </c>
      <c r="O24" s="0" t="str">
        <f aca="false">IF(CSV貼付B!$N24="","",IF(COUNTIF(CSV貼付B!$N$5:$N24,CSV貼付B!$N24)&gt;1,"",MAX($O$4:O23)+1))</f>
        <v/>
      </c>
      <c r="P24" s="0" t="str">
        <f aca="false">IFERROR(INDEX(CSV貼付B!$N$5:$N$1004,MATCH(ROW()-4,$O$5:$O$1004,0)),"")</f>
        <v/>
      </c>
      <c r="Q24" s="0" t="str">
        <f aca="false">IF(ROW()-4&lt;=MAX($M$5:$M$1004),IFERROR(INDEX($N$5:$N$404,ROW()-4),""),IFERROR(INDEX($P$5:$P$404,ROW()-4-MAX($M$5:$M$1004)),""))</f>
        <v/>
      </c>
    </row>
    <row r="25" customFormat="false" ht="19.5" hidden="false" customHeight="true" outlineLevel="0" collapsed="false">
      <c r="A25" s="30" t="n">
        <v>12</v>
      </c>
      <c r="B25" s="67" t="s">
        <v>94</v>
      </c>
      <c r="C25" s="38" t="n">
        <f aca="false">IF($B25="","",SUMIF(CSV貼付A!$N$5:$N$1004,$B25,CSV貼付A!$AA$5:$AA$1004))</f>
        <v>0</v>
      </c>
      <c r="D25" s="38" t="n">
        <f aca="false">IF($B25="","",SUMIF(CSV貼付B!$N$5:$N$1004,$B25,CSV貼付B!$AA$5:$AA$1004))</f>
        <v>0</v>
      </c>
      <c r="K25" s="69"/>
      <c r="M25" s="0" t="str">
        <f aca="false">IF(CSV貼付A!$N25="","",IF(COUNTIF(CSV貼付A!$N$5:$N25,CSV貼付A!$N25)&gt;1,"",MAX($M$4:M24)+1))</f>
        <v/>
      </c>
      <c r="N25" s="0" t="str">
        <f aca="false">IFERROR(INDEX(CSV貼付A!$N$5:$N$1004,MATCH(ROW()-4,$M$5:$M$1004,0)),"")</f>
        <v/>
      </c>
      <c r="O25" s="0" t="str">
        <f aca="false">IF(CSV貼付B!$N25="","",IF(COUNTIF(CSV貼付B!$N$5:$N25,CSV貼付B!$N25)&gt;1,"",MAX($O$4:O24)+1))</f>
        <v/>
      </c>
      <c r="P25" s="0" t="str">
        <f aca="false">IFERROR(INDEX(CSV貼付B!$N$5:$N$1004,MATCH(ROW()-4,$O$5:$O$1004,0)),"")</f>
        <v/>
      </c>
      <c r="Q25" s="0" t="str">
        <f aca="false">IF(ROW()-4&lt;=MAX($M$5:$M$1004),IFERROR(INDEX($N$5:$N$404,ROW()-4),""),IFERROR(INDEX($P$5:$P$404,ROW()-4-MAX($M$5:$M$1004)),""))</f>
        <v/>
      </c>
    </row>
    <row r="26" customFormat="false" ht="19.5" hidden="false" customHeight="true" outlineLevel="0" collapsed="false">
      <c r="A26" s="30" t="n">
        <v>13</v>
      </c>
      <c r="B26" s="67" t="s">
        <v>95</v>
      </c>
      <c r="C26" s="68" t="n">
        <f aca="false">IF($B26="","",SUMIF(CSV貼付A!$N$5:$N$1004,$B26,CSV貼付A!$AA$5:$AA$1004))</f>
        <v>0</v>
      </c>
      <c r="D26" s="68" t="n">
        <f aca="false">IF($B26="","",SUMIF(CSV貼付B!$N$5:$N$1004,$B26,CSV貼付B!$AA$5:$AA$1004))</f>
        <v>0</v>
      </c>
      <c r="K26" s="69"/>
      <c r="M26" s="0" t="str">
        <f aca="false">IF(CSV貼付A!$N26="","",IF(COUNTIF(CSV貼付A!$N$5:$N26,CSV貼付A!$N26)&gt;1,"",MAX($M$4:M25)+1))</f>
        <v/>
      </c>
      <c r="N26" s="0" t="str">
        <f aca="false">IFERROR(INDEX(CSV貼付A!$N$5:$N$1004,MATCH(ROW()-4,$M$5:$M$1004,0)),"")</f>
        <v/>
      </c>
      <c r="O26" s="0" t="str">
        <f aca="false">IF(CSV貼付B!$N26="","",IF(COUNTIF(CSV貼付B!$N$5:$N26,CSV貼付B!$N26)&gt;1,"",MAX($O$4:O25)+1))</f>
        <v/>
      </c>
      <c r="P26" s="0" t="str">
        <f aca="false">IFERROR(INDEX(CSV貼付B!$N$5:$N$1004,MATCH(ROW()-4,$O$5:$O$1004,0)),"")</f>
        <v/>
      </c>
      <c r="Q26" s="0" t="str">
        <f aca="false">IF(ROW()-4&lt;=MAX($M$5:$M$1004),IFERROR(INDEX($N$5:$N$404,ROW()-4),""),IFERROR(INDEX($P$5:$P$404,ROW()-4-MAX($M$5:$M$1004)),""))</f>
        <v/>
      </c>
    </row>
    <row r="27" customFormat="false" ht="19.5" hidden="false" customHeight="true" outlineLevel="0" collapsed="false">
      <c r="A27" s="30" t="n">
        <v>14</v>
      </c>
      <c r="B27" s="67" t="s">
        <v>96</v>
      </c>
      <c r="C27" s="38" t="n">
        <f aca="false">IF($B27="","",SUMIF(CSV貼付A!$N$5:$N$1004,$B27,CSV貼付A!$AA$5:$AA$1004))</f>
        <v>0</v>
      </c>
      <c r="D27" s="38" t="n">
        <f aca="false">IF($B27="","",SUMIF(CSV貼付B!$N$5:$N$1004,$B27,CSV貼付B!$AA$5:$AA$1004))</f>
        <v>0</v>
      </c>
      <c r="K27" s="69"/>
      <c r="M27" s="0" t="str">
        <f aca="false">IF(CSV貼付A!$N27="","",IF(COUNTIF(CSV貼付A!$N$5:$N27,CSV貼付A!$N27)&gt;1,"",MAX($M$4:M26)+1))</f>
        <v/>
      </c>
      <c r="N27" s="0" t="str">
        <f aca="false">IFERROR(INDEX(CSV貼付A!$N$5:$N$1004,MATCH(ROW()-4,$M$5:$M$1004,0)),"")</f>
        <v/>
      </c>
      <c r="O27" s="0" t="str">
        <f aca="false">IF(CSV貼付B!$N27="","",IF(COUNTIF(CSV貼付B!$N$5:$N27,CSV貼付B!$N27)&gt;1,"",MAX($O$4:O26)+1))</f>
        <v/>
      </c>
      <c r="P27" s="0" t="str">
        <f aca="false">IFERROR(INDEX(CSV貼付B!$N$5:$N$1004,MATCH(ROW()-4,$O$5:$O$1004,0)),"")</f>
        <v/>
      </c>
      <c r="Q27" s="0" t="str">
        <f aca="false">IF(ROW()-4&lt;=MAX($M$5:$M$1004),IFERROR(INDEX($N$5:$N$404,ROW()-4),""),IFERROR(INDEX($P$5:$P$404,ROW()-4-MAX($M$5:$M$1004)),""))</f>
        <v/>
      </c>
    </row>
    <row r="28" customFormat="false" ht="19.5" hidden="false" customHeight="true" outlineLevel="0" collapsed="false">
      <c r="A28" s="30" t="n">
        <v>15</v>
      </c>
      <c r="B28" s="67" t="s">
        <v>97</v>
      </c>
      <c r="C28" s="68" t="n">
        <f aca="false">IF($B28="","",SUMIF(CSV貼付A!$N$5:$N$1004,$B28,CSV貼付A!$AA$5:$AA$1004))</f>
        <v>0</v>
      </c>
      <c r="D28" s="68" t="n">
        <f aca="false">IF($B28="","",SUMIF(CSV貼付B!$N$5:$N$1004,$B28,CSV貼付B!$AA$5:$AA$1004))</f>
        <v>0</v>
      </c>
      <c r="K28" s="69"/>
      <c r="M28" s="0" t="str">
        <f aca="false">IF(CSV貼付A!$N28="","",IF(COUNTIF(CSV貼付A!$N$5:$N28,CSV貼付A!$N28)&gt;1,"",MAX($M$4:M27)+1))</f>
        <v/>
      </c>
      <c r="N28" s="0" t="str">
        <f aca="false">IFERROR(INDEX(CSV貼付A!$N$5:$N$1004,MATCH(ROW()-4,$M$5:$M$1004,0)),"")</f>
        <v/>
      </c>
      <c r="O28" s="0" t="str">
        <f aca="false">IF(CSV貼付B!$N28="","",IF(COUNTIF(CSV貼付B!$N$5:$N28,CSV貼付B!$N28)&gt;1,"",MAX($O$4:O27)+1))</f>
        <v/>
      </c>
      <c r="P28" s="0" t="str">
        <f aca="false">IFERROR(INDEX(CSV貼付B!$N$5:$N$1004,MATCH(ROW()-4,$O$5:$O$1004,0)),"")</f>
        <v/>
      </c>
      <c r="Q28" s="0" t="str">
        <f aca="false">IF(ROW()-4&lt;=MAX($M$5:$M$1004),IFERROR(INDEX($N$5:$N$404,ROW()-4),""),IFERROR(INDEX($P$5:$P$404,ROW()-4-MAX($M$5:$M$1004)),""))</f>
        <v/>
      </c>
    </row>
    <row r="29" customFormat="false" ht="19.5" hidden="false" customHeight="true" outlineLevel="0" collapsed="false">
      <c r="A29" s="30" t="n">
        <v>16</v>
      </c>
      <c r="B29" s="67" t="s">
        <v>98</v>
      </c>
      <c r="C29" s="38" t="n">
        <f aca="false">IF($B29="","",SUMIF(CSV貼付A!$N$5:$N$1004,$B29,CSV貼付A!$AA$5:$AA$1004))</f>
        <v>0</v>
      </c>
      <c r="D29" s="38" t="n">
        <f aca="false">IF($B29="","",SUMIF(CSV貼付B!$N$5:$N$1004,$B29,CSV貼付B!$AA$5:$AA$1004))</f>
        <v>0</v>
      </c>
      <c r="K29" s="69"/>
      <c r="M29" s="0" t="str">
        <f aca="false">IF(CSV貼付A!$N29="","",IF(COUNTIF(CSV貼付A!$N$5:$N29,CSV貼付A!$N29)&gt;1,"",MAX($M$4:M28)+1))</f>
        <v/>
      </c>
      <c r="N29" s="0" t="str">
        <f aca="false">IFERROR(INDEX(CSV貼付A!$N$5:$N$1004,MATCH(ROW()-4,$M$5:$M$1004,0)),"")</f>
        <v/>
      </c>
      <c r="O29" s="0" t="str">
        <f aca="false">IF(CSV貼付B!$N29="","",IF(COUNTIF(CSV貼付B!$N$5:$N29,CSV貼付B!$N29)&gt;1,"",MAX($O$4:O28)+1))</f>
        <v/>
      </c>
      <c r="P29" s="0" t="str">
        <f aca="false">IFERROR(INDEX(CSV貼付B!$N$5:$N$1004,MATCH(ROW()-4,$O$5:$O$1004,0)),"")</f>
        <v/>
      </c>
      <c r="Q29" s="0" t="str">
        <f aca="false">IF(ROW()-4&lt;=MAX($M$5:$M$1004),IFERROR(INDEX($N$5:$N$404,ROW()-4),""),IFERROR(INDEX($P$5:$P$404,ROW()-4-MAX($M$5:$M$1004)),""))</f>
        <v/>
      </c>
    </row>
    <row r="30" customFormat="false" ht="19.5" hidden="false" customHeight="true" outlineLevel="0" collapsed="false">
      <c r="A30" s="30" t="n">
        <v>17</v>
      </c>
      <c r="B30" s="67" t="s">
        <v>99</v>
      </c>
      <c r="C30" s="68" t="n">
        <f aca="false">IF($B30="","",SUMIF(CSV貼付A!$N$5:$N$1004,$B30,CSV貼付A!$AA$5:$AA$1004))</f>
        <v>0</v>
      </c>
      <c r="D30" s="68" t="n">
        <f aca="false">IF($B30="","",SUMIF(CSV貼付B!$N$5:$N$1004,$B30,CSV貼付B!$AA$5:$AA$1004))</f>
        <v>0</v>
      </c>
      <c r="K30" s="69"/>
      <c r="M30" s="0" t="str">
        <f aca="false">IF(CSV貼付A!$N30="","",IF(COUNTIF(CSV貼付A!$N$5:$N30,CSV貼付A!$N30)&gt;1,"",MAX($M$4:M29)+1))</f>
        <v/>
      </c>
      <c r="N30" s="0" t="str">
        <f aca="false">IFERROR(INDEX(CSV貼付A!$N$5:$N$1004,MATCH(ROW()-4,$M$5:$M$1004,0)),"")</f>
        <v/>
      </c>
      <c r="O30" s="0" t="str">
        <f aca="false">IF(CSV貼付B!$N30="","",IF(COUNTIF(CSV貼付B!$N$5:$N30,CSV貼付B!$N30)&gt;1,"",MAX($O$4:O29)+1))</f>
        <v/>
      </c>
      <c r="P30" s="0" t="str">
        <f aca="false">IFERROR(INDEX(CSV貼付B!$N$5:$N$1004,MATCH(ROW()-4,$O$5:$O$1004,0)),"")</f>
        <v/>
      </c>
      <c r="Q30" s="0" t="str">
        <f aca="false">IF(ROW()-4&lt;=MAX($M$5:$M$1004),IFERROR(INDEX($N$5:$N$404,ROW()-4),""),IFERROR(INDEX($P$5:$P$404,ROW()-4-MAX($M$5:$M$1004)),""))</f>
        <v/>
      </c>
    </row>
    <row r="31" customFormat="false" ht="19.5" hidden="false" customHeight="true" outlineLevel="0" collapsed="false">
      <c r="A31" s="30" t="n">
        <v>18</v>
      </c>
      <c r="B31" s="67" t="s">
        <v>100</v>
      </c>
      <c r="C31" s="38" t="n">
        <f aca="false">IF($B31="","",SUMIF(CSV貼付A!$N$5:$N$1004,$B31,CSV貼付A!$AA$5:$AA$1004))</f>
        <v>0</v>
      </c>
      <c r="D31" s="38" t="n">
        <f aca="false">IF($B31="","",SUMIF(CSV貼付B!$N$5:$N$1004,$B31,CSV貼付B!$AA$5:$AA$1004))</f>
        <v>0</v>
      </c>
      <c r="K31" s="69"/>
      <c r="M31" s="0" t="str">
        <f aca="false">IF(CSV貼付A!$N31="","",IF(COUNTIF(CSV貼付A!$N$5:$N31,CSV貼付A!$N31)&gt;1,"",MAX($M$4:M30)+1))</f>
        <v/>
      </c>
      <c r="N31" s="0" t="str">
        <f aca="false">IFERROR(INDEX(CSV貼付A!$N$5:$N$1004,MATCH(ROW()-4,$M$5:$M$1004,0)),"")</f>
        <v/>
      </c>
      <c r="O31" s="0" t="str">
        <f aca="false">IF(CSV貼付B!$N31="","",IF(COUNTIF(CSV貼付B!$N$5:$N31,CSV貼付B!$N31)&gt;1,"",MAX($O$4:O30)+1))</f>
        <v/>
      </c>
      <c r="P31" s="0" t="str">
        <f aca="false">IFERROR(INDEX(CSV貼付B!$N$5:$N$1004,MATCH(ROW()-4,$O$5:$O$1004,0)),"")</f>
        <v/>
      </c>
      <c r="Q31" s="0" t="str">
        <f aca="false">IF(ROW()-4&lt;=MAX($M$5:$M$1004),IFERROR(INDEX($N$5:$N$404,ROW()-4),""),IFERROR(INDEX($P$5:$P$404,ROW()-4-MAX($M$5:$M$1004)),""))</f>
        <v/>
      </c>
    </row>
    <row r="32" customFormat="false" ht="19.5" hidden="false" customHeight="true" outlineLevel="0" collapsed="false">
      <c r="A32" s="30" t="n">
        <v>19</v>
      </c>
      <c r="B32" s="67" t="s">
        <v>101</v>
      </c>
      <c r="C32" s="68" t="n">
        <f aca="false">IF($B32="","",SUMIF(CSV貼付A!$N$5:$N$1004,$B32,CSV貼付A!$AA$5:$AA$1004))</f>
        <v>0</v>
      </c>
      <c r="D32" s="68" t="n">
        <f aca="false">IF($B32="","",SUMIF(CSV貼付B!$N$5:$N$1004,$B32,CSV貼付B!$AA$5:$AA$1004))</f>
        <v>0</v>
      </c>
      <c r="K32" s="69"/>
      <c r="M32" s="0" t="str">
        <f aca="false">IF(CSV貼付A!$N32="","",IF(COUNTIF(CSV貼付A!$N$5:$N32,CSV貼付A!$N32)&gt;1,"",MAX($M$4:M31)+1))</f>
        <v/>
      </c>
      <c r="N32" s="0" t="str">
        <f aca="false">IFERROR(INDEX(CSV貼付A!$N$5:$N$1004,MATCH(ROW()-4,$M$5:$M$1004,0)),"")</f>
        <v/>
      </c>
      <c r="O32" s="0" t="str">
        <f aca="false">IF(CSV貼付B!$N32="","",IF(COUNTIF(CSV貼付B!$N$5:$N32,CSV貼付B!$N32)&gt;1,"",MAX($O$4:O31)+1))</f>
        <v/>
      </c>
      <c r="P32" s="0" t="str">
        <f aca="false">IFERROR(INDEX(CSV貼付B!$N$5:$N$1004,MATCH(ROW()-4,$O$5:$O$1004,0)),"")</f>
        <v/>
      </c>
      <c r="Q32" s="0" t="str">
        <f aca="false">IF(ROW()-4&lt;=MAX($M$5:$M$1004),IFERROR(INDEX($N$5:$N$404,ROW()-4),""),IFERROR(INDEX($P$5:$P$404,ROW()-4-MAX($M$5:$M$1004)),""))</f>
        <v/>
      </c>
    </row>
    <row r="33" customFormat="false" ht="19.5" hidden="false" customHeight="true" outlineLevel="0" collapsed="false">
      <c r="A33" s="30" t="n">
        <v>20</v>
      </c>
      <c r="B33" s="67"/>
      <c r="C33" s="38" t="str">
        <f aca="false">IF($B33="","",SUMIF(CSV貼付A!$N$5:$N$1004,$B33,CSV貼付A!$AA$5:$AA$1004))</f>
        <v/>
      </c>
      <c r="D33" s="38" t="str">
        <f aca="false">IF($B33="","",SUMIF(CSV貼付B!$N$5:$N$1004,$B33,CSV貼付B!$AA$5:$AA$1004))</f>
        <v/>
      </c>
      <c r="K33" s="69"/>
      <c r="M33" s="0" t="str">
        <f aca="false">IF(CSV貼付A!$N33="","",IF(COUNTIF(CSV貼付A!$N$5:$N33,CSV貼付A!$N33)&gt;1,"",MAX($M$4:M32)+1))</f>
        <v/>
      </c>
      <c r="N33" s="0" t="str">
        <f aca="false">IFERROR(INDEX(CSV貼付A!$N$5:$N$1004,MATCH(ROW()-4,$M$5:$M$1004,0)),"")</f>
        <v/>
      </c>
      <c r="O33" s="0" t="str">
        <f aca="false">IF(CSV貼付B!$N33="","",IF(COUNTIF(CSV貼付B!$N$5:$N33,CSV貼付B!$N33)&gt;1,"",MAX($O$4:O32)+1))</f>
        <v/>
      </c>
      <c r="P33" s="0" t="str">
        <f aca="false">IFERROR(INDEX(CSV貼付B!$N$5:$N$1004,MATCH(ROW()-4,$O$5:$O$1004,0)),"")</f>
        <v/>
      </c>
      <c r="Q33" s="0" t="str">
        <f aca="false">IF(ROW()-4&lt;=MAX($M$5:$M$1004),IFERROR(INDEX($N$5:$N$404,ROW()-4),""),IFERROR(INDEX($P$5:$P$404,ROW()-4-MAX($M$5:$M$1004)),""))</f>
        <v/>
      </c>
    </row>
    <row r="34" customFormat="false" ht="25.5" hidden="false" customHeight="true" outlineLevel="0" collapsed="false">
      <c r="A34" s="70" t="s">
        <v>102</v>
      </c>
      <c r="B34" s="70"/>
      <c r="C34" s="70"/>
      <c r="D34" s="70"/>
      <c r="E34" s="70"/>
      <c r="F34" s="70"/>
      <c r="G34" s="70"/>
      <c r="H34" s="70"/>
      <c r="I34" s="70"/>
      <c r="J34" s="70"/>
      <c r="K34" s="70"/>
      <c r="M34" s="0" t="str">
        <f aca="false">IF(CSV貼付A!$N34="","",IF(COUNTIF(CSV貼付A!$N$5:$N34,CSV貼付A!$N34)&gt;1,"",MAX($M$4:M33)+1))</f>
        <v/>
      </c>
      <c r="N34" s="0" t="str">
        <f aca="false">IFERROR(INDEX(CSV貼付A!$N$5:$N$1004,MATCH(ROW()-4,$M$5:$M$1004,0)),"")</f>
        <v/>
      </c>
      <c r="O34" s="0" t="str">
        <f aca="false">IF(CSV貼付B!$N34="","",IF(COUNTIF(CSV貼付B!$N$5:$N34,CSV貼付B!$N34)&gt;1,"",MAX($O$4:O33)+1))</f>
        <v/>
      </c>
      <c r="P34" s="0" t="str">
        <f aca="false">IFERROR(INDEX(CSV貼付B!$N$5:$N$1004,MATCH(ROW()-4,$O$5:$O$1004,0)),"")</f>
        <v/>
      </c>
      <c r="Q34" s="0" t="str">
        <f aca="false">IF(ROW()-4&lt;=MAX($M$5:$M$1004),IFERROR(INDEX($N$5:$N$404,ROW()-4),""),IFERROR(INDEX($P$5:$P$404,ROW()-4-MAX($M$5:$M$1004)),""))</f>
        <v/>
      </c>
    </row>
    <row r="35" customFormat="false" ht="15" hidden="false" customHeight="false" outlineLevel="0" collapsed="false">
      <c r="M35" s="0" t="str">
        <f aca="false">IF(CSV貼付A!$N35="","",IF(COUNTIF(CSV貼付A!$N$5:$N35,CSV貼付A!$N35)&gt;1,"",MAX($M$4:M34)+1))</f>
        <v/>
      </c>
      <c r="N35" s="0" t="str">
        <f aca="false">IFERROR(INDEX(CSV貼付A!$N$5:$N$1004,MATCH(ROW()-4,$M$5:$M$1004,0)),"")</f>
        <v/>
      </c>
      <c r="O35" s="0" t="str">
        <f aca="false">IF(CSV貼付B!$N35="","",IF(COUNTIF(CSV貼付B!$N$5:$N35,CSV貼付B!$N35)&gt;1,"",MAX($O$4:O34)+1))</f>
        <v/>
      </c>
      <c r="P35" s="0" t="str">
        <f aca="false">IFERROR(INDEX(CSV貼付B!$N$5:$N$1004,MATCH(ROW()-4,$O$5:$O$1004,0)),"")</f>
        <v/>
      </c>
      <c r="Q35" s="0" t="str">
        <f aca="false">IF(ROW()-4&lt;=MAX($M$5:$M$1004),IFERROR(INDEX($N$5:$N$404,ROW()-4),""),IFERROR(INDEX($P$5:$P$404,ROW()-4-MAX($M$5:$M$1004)),""))</f>
        <v/>
      </c>
    </row>
    <row r="36" customFormat="false" ht="15" hidden="false" customHeight="false" outlineLevel="0" collapsed="false">
      <c r="M36" s="0" t="str">
        <f aca="false">IF(CSV貼付A!$N36="","",IF(COUNTIF(CSV貼付A!$N$5:$N36,CSV貼付A!$N36)&gt;1,"",MAX($M$4:M35)+1))</f>
        <v/>
      </c>
      <c r="N36" s="0" t="str">
        <f aca="false">IFERROR(INDEX(CSV貼付A!$N$5:$N$1004,MATCH(ROW()-4,$M$5:$M$1004,0)),"")</f>
        <v/>
      </c>
      <c r="O36" s="0" t="str">
        <f aca="false">IF(CSV貼付B!$N36="","",IF(COUNTIF(CSV貼付B!$N$5:$N36,CSV貼付B!$N36)&gt;1,"",MAX($O$4:O35)+1))</f>
        <v/>
      </c>
      <c r="P36" s="0" t="str">
        <f aca="false">IFERROR(INDEX(CSV貼付B!$N$5:$N$1004,MATCH(ROW()-4,$O$5:$O$1004,0)),"")</f>
        <v/>
      </c>
      <c r="Q36" s="0" t="str">
        <f aca="false">IF(ROW()-4&lt;=MAX($M$5:$M$1004),IFERROR(INDEX($N$5:$N$404,ROW()-4),""),IFERROR(INDEX($P$5:$P$404,ROW()-4-MAX($M$5:$M$1004)),""))</f>
        <v/>
      </c>
    </row>
    <row r="37" customFormat="false" ht="15" hidden="false" customHeight="false" outlineLevel="0" collapsed="false">
      <c r="M37" s="0" t="str">
        <f aca="false">IF(CSV貼付A!$N37="","",IF(COUNTIF(CSV貼付A!$N$5:$N37,CSV貼付A!$N37)&gt;1,"",MAX($M$4:M36)+1))</f>
        <v/>
      </c>
      <c r="N37" s="0" t="str">
        <f aca="false">IFERROR(INDEX(CSV貼付A!$N$5:$N$1004,MATCH(ROW()-4,$M$5:$M$1004,0)),"")</f>
        <v/>
      </c>
      <c r="O37" s="0" t="str">
        <f aca="false">IF(CSV貼付B!$N37="","",IF(COUNTIF(CSV貼付B!$N$5:$N37,CSV貼付B!$N37)&gt;1,"",MAX($O$4:O36)+1))</f>
        <v/>
      </c>
      <c r="P37" s="0" t="str">
        <f aca="false">IFERROR(INDEX(CSV貼付B!$N$5:$N$1004,MATCH(ROW()-4,$O$5:$O$1004,0)),"")</f>
        <v/>
      </c>
      <c r="Q37" s="0" t="str">
        <f aca="false">IF(ROW()-4&lt;=MAX($M$5:$M$1004),IFERROR(INDEX($N$5:$N$404,ROW()-4),""),IFERROR(INDEX($P$5:$P$404,ROW()-4-MAX($M$5:$M$1004)),""))</f>
        <v/>
      </c>
    </row>
    <row r="38" customFormat="false" ht="15" hidden="false" customHeight="false" outlineLevel="0" collapsed="false">
      <c r="M38" s="0" t="str">
        <f aca="false">IF(CSV貼付A!$N38="","",IF(COUNTIF(CSV貼付A!$N$5:$N38,CSV貼付A!$N38)&gt;1,"",MAX($M$4:M37)+1))</f>
        <v/>
      </c>
      <c r="N38" s="0" t="str">
        <f aca="false">IFERROR(INDEX(CSV貼付A!$N$5:$N$1004,MATCH(ROW()-4,$M$5:$M$1004,0)),"")</f>
        <v/>
      </c>
      <c r="O38" s="0" t="str">
        <f aca="false">IF(CSV貼付B!$N38="","",IF(COUNTIF(CSV貼付B!$N$5:$N38,CSV貼付B!$N38)&gt;1,"",MAX($O$4:O37)+1))</f>
        <v/>
      </c>
      <c r="P38" s="0" t="str">
        <f aca="false">IFERROR(INDEX(CSV貼付B!$N$5:$N$1004,MATCH(ROW()-4,$O$5:$O$1004,0)),"")</f>
        <v/>
      </c>
      <c r="Q38" s="0" t="str">
        <f aca="false">IF(ROW()-4&lt;=MAX($M$5:$M$1004),IFERROR(INDEX($N$5:$N$404,ROW()-4),""),IFERROR(INDEX($P$5:$P$404,ROW()-4-MAX($M$5:$M$1004)),""))</f>
        <v/>
      </c>
    </row>
    <row r="39" customFormat="false" ht="15" hidden="false" customHeight="false" outlineLevel="0" collapsed="false">
      <c r="M39" s="0" t="str">
        <f aca="false">IF(CSV貼付A!$N39="","",IF(COUNTIF(CSV貼付A!$N$5:$N39,CSV貼付A!$N39)&gt;1,"",MAX($M$4:M38)+1))</f>
        <v/>
      </c>
      <c r="N39" s="0" t="str">
        <f aca="false">IFERROR(INDEX(CSV貼付A!$N$5:$N$1004,MATCH(ROW()-4,$M$5:$M$1004,0)),"")</f>
        <v/>
      </c>
      <c r="O39" s="0" t="str">
        <f aca="false">IF(CSV貼付B!$N39="","",IF(COUNTIF(CSV貼付B!$N$5:$N39,CSV貼付B!$N39)&gt;1,"",MAX($O$4:O38)+1))</f>
        <v/>
      </c>
      <c r="P39" s="0" t="str">
        <f aca="false">IFERROR(INDEX(CSV貼付B!$N$5:$N$1004,MATCH(ROW()-4,$O$5:$O$1004,0)),"")</f>
        <v/>
      </c>
      <c r="Q39" s="0" t="str">
        <f aca="false">IF(ROW()-4&lt;=MAX($M$5:$M$1004),IFERROR(INDEX($N$5:$N$404,ROW()-4),""),IFERROR(INDEX($P$5:$P$404,ROW()-4-MAX($M$5:$M$1004)),""))</f>
        <v/>
      </c>
    </row>
    <row r="40" customFormat="false" ht="15" hidden="false" customHeight="false" outlineLevel="0" collapsed="false">
      <c r="M40" s="0" t="str">
        <f aca="false">IF(CSV貼付A!$N40="","",IF(COUNTIF(CSV貼付A!$N$5:$N40,CSV貼付A!$N40)&gt;1,"",MAX($M$4:M39)+1))</f>
        <v/>
      </c>
      <c r="N40" s="0" t="str">
        <f aca="false">IFERROR(INDEX(CSV貼付A!$N$5:$N$1004,MATCH(ROW()-4,$M$5:$M$1004,0)),"")</f>
        <v/>
      </c>
      <c r="O40" s="0" t="str">
        <f aca="false">IF(CSV貼付B!$N40="","",IF(COUNTIF(CSV貼付B!$N$5:$N40,CSV貼付B!$N40)&gt;1,"",MAX($O$4:O39)+1))</f>
        <v/>
      </c>
      <c r="P40" s="0" t="str">
        <f aca="false">IFERROR(INDEX(CSV貼付B!$N$5:$N$1004,MATCH(ROW()-4,$O$5:$O$1004,0)),"")</f>
        <v/>
      </c>
      <c r="Q40" s="0" t="str">
        <f aca="false">IF(ROW()-4&lt;=MAX($M$5:$M$1004),IFERROR(INDEX($N$5:$N$404,ROW()-4),""),IFERROR(INDEX($P$5:$P$404,ROW()-4-MAX($M$5:$M$1004)),""))</f>
        <v/>
      </c>
    </row>
    <row r="41" customFormat="false" ht="15" hidden="false" customHeight="false" outlineLevel="0" collapsed="false">
      <c r="M41" s="0" t="str">
        <f aca="false">IF(CSV貼付A!$N41="","",IF(COUNTIF(CSV貼付A!$N$5:$N41,CSV貼付A!$N41)&gt;1,"",MAX($M$4:M40)+1))</f>
        <v/>
      </c>
      <c r="N41" s="0" t="str">
        <f aca="false">IFERROR(INDEX(CSV貼付A!$N$5:$N$1004,MATCH(ROW()-4,$M$5:$M$1004,0)),"")</f>
        <v/>
      </c>
      <c r="O41" s="0" t="str">
        <f aca="false">IF(CSV貼付B!$N41="","",IF(COUNTIF(CSV貼付B!$N$5:$N41,CSV貼付B!$N41)&gt;1,"",MAX($O$4:O40)+1))</f>
        <v/>
      </c>
      <c r="P41" s="0" t="str">
        <f aca="false">IFERROR(INDEX(CSV貼付B!$N$5:$N$1004,MATCH(ROW()-4,$O$5:$O$1004,0)),"")</f>
        <v/>
      </c>
      <c r="Q41" s="0" t="str">
        <f aca="false">IF(ROW()-4&lt;=MAX($M$5:$M$1004),IFERROR(INDEX($N$5:$N$404,ROW()-4),""),IFERROR(INDEX($P$5:$P$404,ROW()-4-MAX($M$5:$M$1004)),""))</f>
        <v/>
      </c>
    </row>
    <row r="42" customFormat="false" ht="15" hidden="false" customHeight="false" outlineLevel="0" collapsed="false">
      <c r="M42" s="0" t="str">
        <f aca="false">IF(CSV貼付A!$N42="","",IF(COUNTIF(CSV貼付A!$N$5:$N42,CSV貼付A!$N42)&gt;1,"",MAX($M$4:M41)+1))</f>
        <v/>
      </c>
      <c r="N42" s="0" t="str">
        <f aca="false">IFERROR(INDEX(CSV貼付A!$N$5:$N$1004,MATCH(ROW()-4,$M$5:$M$1004,0)),"")</f>
        <v/>
      </c>
      <c r="O42" s="0" t="str">
        <f aca="false">IF(CSV貼付B!$N42="","",IF(COUNTIF(CSV貼付B!$N$5:$N42,CSV貼付B!$N42)&gt;1,"",MAX($O$4:O41)+1))</f>
        <v/>
      </c>
      <c r="P42" s="0" t="str">
        <f aca="false">IFERROR(INDEX(CSV貼付B!$N$5:$N$1004,MATCH(ROW()-4,$O$5:$O$1004,0)),"")</f>
        <v/>
      </c>
      <c r="Q42" s="0" t="str">
        <f aca="false">IF(ROW()-4&lt;=MAX($M$5:$M$1004),IFERROR(INDEX($N$5:$N$404,ROW()-4),""),IFERROR(INDEX($P$5:$P$404,ROW()-4-MAX($M$5:$M$1004)),""))</f>
        <v/>
      </c>
    </row>
    <row r="43" customFormat="false" ht="15" hidden="false" customHeight="false" outlineLevel="0" collapsed="false">
      <c r="M43" s="0" t="str">
        <f aca="false">IF(CSV貼付A!$N43="","",IF(COUNTIF(CSV貼付A!$N$5:$N43,CSV貼付A!$N43)&gt;1,"",MAX($M$4:M42)+1))</f>
        <v/>
      </c>
      <c r="N43" s="0" t="str">
        <f aca="false">IFERROR(INDEX(CSV貼付A!$N$5:$N$1004,MATCH(ROW()-4,$M$5:$M$1004,0)),"")</f>
        <v/>
      </c>
      <c r="O43" s="0" t="str">
        <f aca="false">IF(CSV貼付B!$N43="","",IF(COUNTIF(CSV貼付B!$N$5:$N43,CSV貼付B!$N43)&gt;1,"",MAX($O$4:O42)+1))</f>
        <v/>
      </c>
      <c r="P43" s="0" t="str">
        <f aca="false">IFERROR(INDEX(CSV貼付B!$N$5:$N$1004,MATCH(ROW()-4,$O$5:$O$1004,0)),"")</f>
        <v/>
      </c>
      <c r="Q43" s="0" t="str">
        <f aca="false">IF(ROW()-4&lt;=MAX($M$5:$M$1004),IFERROR(INDEX($N$5:$N$404,ROW()-4),""),IFERROR(INDEX($P$5:$P$404,ROW()-4-MAX($M$5:$M$1004)),""))</f>
        <v/>
      </c>
    </row>
    <row r="44" customFormat="false" ht="15" hidden="false" customHeight="false" outlineLevel="0" collapsed="false">
      <c r="M44" s="0" t="str">
        <f aca="false">IF(CSV貼付A!$N44="","",IF(COUNTIF(CSV貼付A!$N$5:$N44,CSV貼付A!$N44)&gt;1,"",MAX($M$4:M43)+1))</f>
        <v/>
      </c>
      <c r="N44" s="0" t="str">
        <f aca="false">IFERROR(INDEX(CSV貼付A!$N$5:$N$1004,MATCH(ROW()-4,$M$5:$M$1004,0)),"")</f>
        <v/>
      </c>
      <c r="O44" s="0" t="str">
        <f aca="false">IF(CSV貼付B!$N44="","",IF(COUNTIF(CSV貼付B!$N$5:$N44,CSV貼付B!$N44)&gt;1,"",MAX($O$4:O43)+1))</f>
        <v/>
      </c>
      <c r="P44" s="0" t="str">
        <f aca="false">IFERROR(INDEX(CSV貼付B!$N$5:$N$1004,MATCH(ROW()-4,$O$5:$O$1004,0)),"")</f>
        <v/>
      </c>
      <c r="Q44" s="0" t="str">
        <f aca="false">IF(ROW()-4&lt;=MAX($M$5:$M$1004),IFERROR(INDEX($N$5:$N$404,ROW()-4),""),IFERROR(INDEX($P$5:$P$404,ROW()-4-MAX($M$5:$M$1004)),""))</f>
        <v/>
      </c>
    </row>
    <row r="45" customFormat="false" ht="15" hidden="false" customHeight="false" outlineLevel="0" collapsed="false">
      <c r="M45" s="0" t="str">
        <f aca="false">IF(CSV貼付A!$N45="","",IF(COUNTIF(CSV貼付A!$N$5:$N45,CSV貼付A!$N45)&gt;1,"",MAX($M$4:M44)+1))</f>
        <v/>
      </c>
      <c r="N45" s="0" t="str">
        <f aca="false">IFERROR(INDEX(CSV貼付A!$N$5:$N$1004,MATCH(ROW()-4,$M$5:$M$1004,0)),"")</f>
        <v/>
      </c>
      <c r="O45" s="0" t="str">
        <f aca="false">IF(CSV貼付B!$N45="","",IF(COUNTIF(CSV貼付B!$N$5:$N45,CSV貼付B!$N45)&gt;1,"",MAX($O$4:O44)+1))</f>
        <v/>
      </c>
      <c r="P45" s="0" t="str">
        <f aca="false">IFERROR(INDEX(CSV貼付B!$N$5:$N$1004,MATCH(ROW()-4,$O$5:$O$1004,0)),"")</f>
        <v/>
      </c>
      <c r="Q45" s="0" t="str">
        <f aca="false">IF(ROW()-4&lt;=MAX($M$5:$M$1004),IFERROR(INDEX($N$5:$N$404,ROW()-4),""),IFERROR(INDEX($P$5:$P$404,ROW()-4-MAX($M$5:$M$1004)),""))</f>
        <v/>
      </c>
    </row>
    <row r="46" customFormat="false" ht="15" hidden="false" customHeight="false" outlineLevel="0" collapsed="false">
      <c r="M46" s="0" t="str">
        <f aca="false">IF(CSV貼付A!$N46="","",IF(COUNTIF(CSV貼付A!$N$5:$N46,CSV貼付A!$N46)&gt;1,"",MAX($M$4:M45)+1))</f>
        <v/>
      </c>
      <c r="N46" s="0" t="str">
        <f aca="false">IFERROR(INDEX(CSV貼付A!$N$5:$N$1004,MATCH(ROW()-4,$M$5:$M$1004,0)),"")</f>
        <v/>
      </c>
      <c r="O46" s="0" t="str">
        <f aca="false">IF(CSV貼付B!$N46="","",IF(COUNTIF(CSV貼付B!$N$5:$N46,CSV貼付B!$N46)&gt;1,"",MAX($O$4:O45)+1))</f>
        <v/>
      </c>
      <c r="P46" s="0" t="str">
        <f aca="false">IFERROR(INDEX(CSV貼付B!$N$5:$N$1004,MATCH(ROW()-4,$O$5:$O$1004,0)),"")</f>
        <v/>
      </c>
      <c r="Q46" s="0" t="str">
        <f aca="false">IF(ROW()-4&lt;=MAX($M$5:$M$1004),IFERROR(INDEX($N$5:$N$404,ROW()-4),""),IFERROR(INDEX($P$5:$P$404,ROW()-4-MAX($M$5:$M$1004)),""))</f>
        <v/>
      </c>
    </row>
    <row r="47" customFormat="false" ht="15" hidden="false" customHeight="false" outlineLevel="0" collapsed="false">
      <c r="M47" s="0" t="str">
        <f aca="false">IF(CSV貼付A!$N47="","",IF(COUNTIF(CSV貼付A!$N$5:$N47,CSV貼付A!$N47)&gt;1,"",MAX($M$4:M46)+1))</f>
        <v/>
      </c>
      <c r="N47" s="0" t="str">
        <f aca="false">IFERROR(INDEX(CSV貼付A!$N$5:$N$1004,MATCH(ROW()-4,$M$5:$M$1004,0)),"")</f>
        <v/>
      </c>
      <c r="O47" s="0" t="str">
        <f aca="false">IF(CSV貼付B!$N47="","",IF(COUNTIF(CSV貼付B!$N$5:$N47,CSV貼付B!$N47)&gt;1,"",MAX($O$4:O46)+1))</f>
        <v/>
      </c>
      <c r="P47" s="0" t="str">
        <f aca="false">IFERROR(INDEX(CSV貼付B!$N$5:$N$1004,MATCH(ROW()-4,$O$5:$O$1004,0)),"")</f>
        <v/>
      </c>
      <c r="Q47" s="0" t="str">
        <f aca="false">IF(ROW()-4&lt;=MAX($M$5:$M$1004),IFERROR(INDEX($N$5:$N$404,ROW()-4),""),IFERROR(INDEX($P$5:$P$404,ROW()-4-MAX($M$5:$M$1004)),""))</f>
        <v/>
      </c>
    </row>
    <row r="48" customFormat="false" ht="15" hidden="false" customHeight="false" outlineLevel="0" collapsed="false">
      <c r="M48" s="0" t="str">
        <f aca="false">IF(CSV貼付A!$N48="","",IF(COUNTIF(CSV貼付A!$N$5:$N48,CSV貼付A!$N48)&gt;1,"",MAX($M$4:M47)+1))</f>
        <v/>
      </c>
      <c r="N48" s="0" t="str">
        <f aca="false">IFERROR(INDEX(CSV貼付A!$N$5:$N$1004,MATCH(ROW()-4,$M$5:$M$1004,0)),"")</f>
        <v/>
      </c>
      <c r="O48" s="0" t="str">
        <f aca="false">IF(CSV貼付B!$N48="","",IF(COUNTIF(CSV貼付B!$N$5:$N48,CSV貼付B!$N48)&gt;1,"",MAX($O$4:O47)+1))</f>
        <v/>
      </c>
      <c r="P48" s="0" t="str">
        <f aca="false">IFERROR(INDEX(CSV貼付B!$N$5:$N$1004,MATCH(ROW()-4,$O$5:$O$1004,0)),"")</f>
        <v/>
      </c>
      <c r="Q48" s="0" t="str">
        <f aca="false">IF(ROW()-4&lt;=MAX($M$5:$M$1004),IFERROR(INDEX($N$5:$N$404,ROW()-4),""),IFERROR(INDEX($P$5:$P$404,ROW()-4-MAX($M$5:$M$1004)),""))</f>
        <v/>
      </c>
    </row>
    <row r="49" customFormat="false" ht="15" hidden="false" customHeight="false" outlineLevel="0" collapsed="false">
      <c r="M49" s="0" t="str">
        <f aca="false">IF(CSV貼付A!$N49="","",IF(COUNTIF(CSV貼付A!$N$5:$N49,CSV貼付A!$N49)&gt;1,"",MAX($M$4:M48)+1))</f>
        <v/>
      </c>
      <c r="N49" s="0" t="str">
        <f aca="false">IFERROR(INDEX(CSV貼付A!$N$5:$N$1004,MATCH(ROW()-4,$M$5:$M$1004,0)),"")</f>
        <v/>
      </c>
      <c r="O49" s="0" t="str">
        <f aca="false">IF(CSV貼付B!$N49="","",IF(COUNTIF(CSV貼付B!$N$5:$N49,CSV貼付B!$N49)&gt;1,"",MAX($O$4:O48)+1))</f>
        <v/>
      </c>
      <c r="P49" s="0" t="str">
        <f aca="false">IFERROR(INDEX(CSV貼付B!$N$5:$N$1004,MATCH(ROW()-4,$O$5:$O$1004,0)),"")</f>
        <v/>
      </c>
      <c r="Q49" s="0" t="str">
        <f aca="false">IF(ROW()-4&lt;=MAX($M$5:$M$1004),IFERROR(INDEX($N$5:$N$404,ROW()-4),""),IFERROR(INDEX($P$5:$P$404,ROW()-4-MAX($M$5:$M$1004)),""))</f>
        <v/>
      </c>
    </row>
    <row r="50" customFormat="false" ht="15" hidden="false" customHeight="false" outlineLevel="0" collapsed="false">
      <c r="M50" s="0" t="str">
        <f aca="false">IF(CSV貼付A!$N50="","",IF(COUNTIF(CSV貼付A!$N$5:$N50,CSV貼付A!$N50)&gt;1,"",MAX($M$4:M49)+1))</f>
        <v/>
      </c>
      <c r="N50" s="0" t="str">
        <f aca="false">IFERROR(INDEX(CSV貼付A!$N$5:$N$1004,MATCH(ROW()-4,$M$5:$M$1004,0)),"")</f>
        <v/>
      </c>
      <c r="O50" s="0" t="str">
        <f aca="false">IF(CSV貼付B!$N50="","",IF(COUNTIF(CSV貼付B!$N$5:$N50,CSV貼付B!$N50)&gt;1,"",MAX($O$4:O49)+1))</f>
        <v/>
      </c>
      <c r="P50" s="0" t="str">
        <f aca="false">IFERROR(INDEX(CSV貼付B!$N$5:$N$1004,MATCH(ROW()-4,$O$5:$O$1004,0)),"")</f>
        <v/>
      </c>
      <c r="Q50" s="0" t="str">
        <f aca="false">IF(ROW()-4&lt;=MAX($M$5:$M$1004),IFERROR(INDEX($N$5:$N$404,ROW()-4),""),IFERROR(INDEX($P$5:$P$404,ROW()-4-MAX($M$5:$M$1004)),""))</f>
        <v/>
      </c>
    </row>
    <row r="51" customFormat="false" ht="15" hidden="false" customHeight="false" outlineLevel="0" collapsed="false">
      <c r="M51" s="0" t="str">
        <f aca="false">IF(CSV貼付A!$N51="","",IF(COUNTIF(CSV貼付A!$N$5:$N51,CSV貼付A!$N51)&gt;1,"",MAX($M$4:M50)+1))</f>
        <v/>
      </c>
      <c r="N51" s="0" t="str">
        <f aca="false">IFERROR(INDEX(CSV貼付A!$N$5:$N$1004,MATCH(ROW()-4,$M$5:$M$1004,0)),"")</f>
        <v/>
      </c>
      <c r="O51" s="0" t="str">
        <f aca="false">IF(CSV貼付B!$N51="","",IF(COUNTIF(CSV貼付B!$N$5:$N51,CSV貼付B!$N51)&gt;1,"",MAX($O$4:O50)+1))</f>
        <v/>
      </c>
      <c r="P51" s="0" t="str">
        <f aca="false">IFERROR(INDEX(CSV貼付B!$N$5:$N$1004,MATCH(ROW()-4,$O$5:$O$1004,0)),"")</f>
        <v/>
      </c>
      <c r="Q51" s="0" t="str">
        <f aca="false">IF(ROW()-4&lt;=MAX($M$5:$M$1004),IFERROR(INDEX($N$5:$N$404,ROW()-4),""),IFERROR(INDEX($P$5:$P$404,ROW()-4-MAX($M$5:$M$1004)),""))</f>
        <v/>
      </c>
    </row>
    <row r="52" customFormat="false" ht="15" hidden="false" customHeight="false" outlineLevel="0" collapsed="false">
      <c r="M52" s="0" t="str">
        <f aca="false">IF(CSV貼付A!$N52="","",IF(COUNTIF(CSV貼付A!$N$5:$N52,CSV貼付A!$N52)&gt;1,"",MAX($M$4:M51)+1))</f>
        <v/>
      </c>
      <c r="N52" s="0" t="str">
        <f aca="false">IFERROR(INDEX(CSV貼付A!$N$5:$N$1004,MATCH(ROW()-4,$M$5:$M$1004,0)),"")</f>
        <v/>
      </c>
      <c r="O52" s="0" t="str">
        <f aca="false">IF(CSV貼付B!$N52="","",IF(COUNTIF(CSV貼付B!$N$5:$N52,CSV貼付B!$N52)&gt;1,"",MAX($O$4:O51)+1))</f>
        <v/>
      </c>
      <c r="P52" s="0" t="str">
        <f aca="false">IFERROR(INDEX(CSV貼付B!$N$5:$N$1004,MATCH(ROW()-4,$O$5:$O$1004,0)),"")</f>
        <v/>
      </c>
      <c r="Q52" s="0" t="str">
        <f aca="false">IF(ROW()-4&lt;=MAX($M$5:$M$1004),IFERROR(INDEX($N$5:$N$404,ROW()-4),""),IFERROR(INDEX($P$5:$P$404,ROW()-4-MAX($M$5:$M$1004)),""))</f>
        <v/>
      </c>
    </row>
    <row r="53" customFormat="false" ht="15" hidden="false" customHeight="false" outlineLevel="0" collapsed="false">
      <c r="M53" s="0" t="str">
        <f aca="false">IF(CSV貼付A!$N53="","",IF(COUNTIF(CSV貼付A!$N$5:$N53,CSV貼付A!$N53)&gt;1,"",MAX($M$4:M52)+1))</f>
        <v/>
      </c>
      <c r="N53" s="0" t="str">
        <f aca="false">IFERROR(INDEX(CSV貼付A!$N$5:$N$1004,MATCH(ROW()-4,$M$5:$M$1004,0)),"")</f>
        <v/>
      </c>
      <c r="O53" s="0" t="str">
        <f aca="false">IF(CSV貼付B!$N53="","",IF(COUNTIF(CSV貼付B!$N$5:$N53,CSV貼付B!$N53)&gt;1,"",MAX($O$4:O52)+1))</f>
        <v/>
      </c>
      <c r="P53" s="0" t="str">
        <f aca="false">IFERROR(INDEX(CSV貼付B!$N$5:$N$1004,MATCH(ROW()-4,$O$5:$O$1004,0)),"")</f>
        <v/>
      </c>
      <c r="Q53" s="0" t="str">
        <f aca="false">IF(ROW()-4&lt;=MAX($M$5:$M$1004),IFERROR(INDEX($N$5:$N$404,ROW()-4),""),IFERROR(INDEX($P$5:$P$404,ROW()-4-MAX($M$5:$M$1004)),""))</f>
        <v/>
      </c>
    </row>
    <row r="54" customFormat="false" ht="15" hidden="false" customHeight="false" outlineLevel="0" collapsed="false">
      <c r="M54" s="0" t="str">
        <f aca="false">IF(CSV貼付A!$N54="","",IF(COUNTIF(CSV貼付A!$N$5:$N54,CSV貼付A!$N54)&gt;1,"",MAX($M$4:M53)+1))</f>
        <v/>
      </c>
      <c r="N54" s="0" t="str">
        <f aca="false">IFERROR(INDEX(CSV貼付A!$N$5:$N$1004,MATCH(ROW()-4,$M$5:$M$1004,0)),"")</f>
        <v/>
      </c>
      <c r="O54" s="0" t="str">
        <f aca="false">IF(CSV貼付B!$N54="","",IF(COUNTIF(CSV貼付B!$N$5:$N54,CSV貼付B!$N54)&gt;1,"",MAX($O$4:O53)+1))</f>
        <v/>
      </c>
      <c r="P54" s="0" t="str">
        <f aca="false">IFERROR(INDEX(CSV貼付B!$N$5:$N$1004,MATCH(ROW()-4,$O$5:$O$1004,0)),"")</f>
        <v/>
      </c>
      <c r="Q54" s="0" t="str">
        <f aca="false">IF(ROW()-4&lt;=MAX($M$5:$M$1004),IFERROR(INDEX($N$5:$N$404,ROW()-4),""),IFERROR(INDEX($P$5:$P$404,ROW()-4-MAX($M$5:$M$1004)),""))</f>
        <v/>
      </c>
    </row>
    <row r="55" customFormat="false" ht="15" hidden="false" customHeight="false" outlineLevel="0" collapsed="false">
      <c r="M55" s="0" t="str">
        <f aca="false">IF(CSV貼付A!$N55="","",IF(COUNTIF(CSV貼付A!$N$5:$N55,CSV貼付A!$N55)&gt;1,"",MAX($M$4:M54)+1))</f>
        <v/>
      </c>
      <c r="N55" s="0" t="str">
        <f aca="false">IFERROR(INDEX(CSV貼付A!$N$5:$N$1004,MATCH(ROW()-4,$M$5:$M$1004,0)),"")</f>
        <v/>
      </c>
      <c r="O55" s="0" t="str">
        <f aca="false">IF(CSV貼付B!$N55="","",IF(COUNTIF(CSV貼付B!$N$5:$N55,CSV貼付B!$N55)&gt;1,"",MAX($O$4:O54)+1))</f>
        <v/>
      </c>
      <c r="P55" s="0" t="str">
        <f aca="false">IFERROR(INDEX(CSV貼付B!$N$5:$N$1004,MATCH(ROW()-4,$O$5:$O$1004,0)),"")</f>
        <v/>
      </c>
      <c r="Q55" s="0" t="str">
        <f aca="false">IF(ROW()-4&lt;=MAX($M$5:$M$1004),IFERROR(INDEX($N$5:$N$404,ROW()-4),""),IFERROR(INDEX($P$5:$P$404,ROW()-4-MAX($M$5:$M$1004)),""))</f>
        <v/>
      </c>
    </row>
    <row r="56" customFormat="false" ht="15" hidden="false" customHeight="false" outlineLevel="0" collapsed="false">
      <c r="M56" s="0" t="str">
        <f aca="false">IF(CSV貼付A!$N56="","",IF(COUNTIF(CSV貼付A!$N$5:$N56,CSV貼付A!$N56)&gt;1,"",MAX($M$4:M55)+1))</f>
        <v/>
      </c>
      <c r="N56" s="0" t="str">
        <f aca="false">IFERROR(INDEX(CSV貼付A!$N$5:$N$1004,MATCH(ROW()-4,$M$5:$M$1004,0)),"")</f>
        <v/>
      </c>
      <c r="O56" s="0" t="str">
        <f aca="false">IF(CSV貼付B!$N56="","",IF(COUNTIF(CSV貼付B!$N$5:$N56,CSV貼付B!$N56)&gt;1,"",MAX($O$4:O55)+1))</f>
        <v/>
      </c>
      <c r="P56" s="0" t="str">
        <f aca="false">IFERROR(INDEX(CSV貼付B!$N$5:$N$1004,MATCH(ROW()-4,$O$5:$O$1004,0)),"")</f>
        <v/>
      </c>
      <c r="Q56" s="0" t="str">
        <f aca="false">IF(ROW()-4&lt;=MAX($M$5:$M$1004),IFERROR(INDEX($N$5:$N$404,ROW()-4),""),IFERROR(INDEX($P$5:$P$404,ROW()-4-MAX($M$5:$M$1004)),""))</f>
        <v/>
      </c>
    </row>
    <row r="57" customFormat="false" ht="15" hidden="false" customHeight="false" outlineLevel="0" collapsed="false">
      <c r="M57" s="0" t="str">
        <f aca="false">IF(CSV貼付A!$N57="","",IF(COUNTIF(CSV貼付A!$N$5:$N57,CSV貼付A!$N57)&gt;1,"",MAX($M$4:M56)+1))</f>
        <v/>
      </c>
      <c r="N57" s="0" t="str">
        <f aca="false">IFERROR(INDEX(CSV貼付A!$N$5:$N$1004,MATCH(ROW()-4,$M$5:$M$1004,0)),"")</f>
        <v/>
      </c>
      <c r="O57" s="0" t="str">
        <f aca="false">IF(CSV貼付B!$N57="","",IF(COUNTIF(CSV貼付B!$N$5:$N57,CSV貼付B!$N57)&gt;1,"",MAX($O$4:O56)+1))</f>
        <v/>
      </c>
      <c r="P57" s="0" t="str">
        <f aca="false">IFERROR(INDEX(CSV貼付B!$N$5:$N$1004,MATCH(ROW()-4,$O$5:$O$1004,0)),"")</f>
        <v/>
      </c>
      <c r="Q57" s="0" t="str">
        <f aca="false">IF(ROW()-4&lt;=MAX($M$5:$M$1004),IFERROR(INDEX($N$5:$N$404,ROW()-4),""),IFERROR(INDEX($P$5:$P$404,ROW()-4-MAX($M$5:$M$1004)),""))</f>
        <v/>
      </c>
    </row>
    <row r="58" customFormat="false" ht="15" hidden="false" customHeight="false" outlineLevel="0" collapsed="false">
      <c r="M58" s="0" t="str">
        <f aca="false">IF(CSV貼付A!$N58="","",IF(COUNTIF(CSV貼付A!$N$5:$N58,CSV貼付A!$N58)&gt;1,"",MAX($M$4:M57)+1))</f>
        <v/>
      </c>
      <c r="N58" s="0" t="str">
        <f aca="false">IFERROR(INDEX(CSV貼付A!$N$5:$N$1004,MATCH(ROW()-4,$M$5:$M$1004,0)),"")</f>
        <v/>
      </c>
      <c r="O58" s="0" t="str">
        <f aca="false">IF(CSV貼付B!$N58="","",IF(COUNTIF(CSV貼付B!$N$5:$N58,CSV貼付B!$N58)&gt;1,"",MAX($O$4:O57)+1))</f>
        <v/>
      </c>
      <c r="P58" s="0" t="str">
        <f aca="false">IFERROR(INDEX(CSV貼付B!$N$5:$N$1004,MATCH(ROW()-4,$O$5:$O$1004,0)),"")</f>
        <v/>
      </c>
      <c r="Q58" s="0" t="str">
        <f aca="false">IF(ROW()-4&lt;=MAX($M$5:$M$1004),IFERROR(INDEX($N$5:$N$404,ROW()-4),""),IFERROR(INDEX($P$5:$P$404,ROW()-4-MAX($M$5:$M$1004)),""))</f>
        <v/>
      </c>
    </row>
    <row r="59" customFormat="false" ht="15" hidden="false" customHeight="false" outlineLevel="0" collapsed="false">
      <c r="M59" s="0" t="str">
        <f aca="false">IF(CSV貼付A!$N59="","",IF(COUNTIF(CSV貼付A!$N$5:$N59,CSV貼付A!$N59)&gt;1,"",MAX($M$4:M58)+1))</f>
        <v/>
      </c>
      <c r="N59" s="0" t="str">
        <f aca="false">IFERROR(INDEX(CSV貼付A!$N$5:$N$1004,MATCH(ROW()-4,$M$5:$M$1004,0)),"")</f>
        <v/>
      </c>
      <c r="O59" s="0" t="str">
        <f aca="false">IF(CSV貼付B!$N59="","",IF(COUNTIF(CSV貼付B!$N$5:$N59,CSV貼付B!$N59)&gt;1,"",MAX($O$4:O58)+1))</f>
        <v/>
      </c>
      <c r="P59" s="0" t="str">
        <f aca="false">IFERROR(INDEX(CSV貼付B!$N$5:$N$1004,MATCH(ROW()-4,$O$5:$O$1004,0)),"")</f>
        <v/>
      </c>
      <c r="Q59" s="0" t="str">
        <f aca="false">IF(ROW()-4&lt;=MAX($M$5:$M$1004),IFERROR(INDEX($N$5:$N$404,ROW()-4),""),IFERROR(INDEX($P$5:$P$404,ROW()-4-MAX($M$5:$M$1004)),""))</f>
        <v/>
      </c>
    </row>
    <row r="60" customFormat="false" ht="15" hidden="false" customHeight="false" outlineLevel="0" collapsed="false">
      <c r="M60" s="0" t="str">
        <f aca="false">IF(CSV貼付A!$N60="","",IF(COUNTIF(CSV貼付A!$N$5:$N60,CSV貼付A!$N60)&gt;1,"",MAX($M$4:M59)+1))</f>
        <v/>
      </c>
      <c r="N60" s="0" t="str">
        <f aca="false">IFERROR(INDEX(CSV貼付A!$N$5:$N$1004,MATCH(ROW()-4,$M$5:$M$1004,0)),"")</f>
        <v/>
      </c>
      <c r="O60" s="0" t="str">
        <f aca="false">IF(CSV貼付B!$N60="","",IF(COUNTIF(CSV貼付B!$N$5:$N60,CSV貼付B!$N60)&gt;1,"",MAX($O$4:O59)+1))</f>
        <v/>
      </c>
      <c r="P60" s="0" t="str">
        <f aca="false">IFERROR(INDEX(CSV貼付B!$N$5:$N$1004,MATCH(ROW()-4,$O$5:$O$1004,0)),"")</f>
        <v/>
      </c>
      <c r="Q60" s="0" t="str">
        <f aca="false">IF(ROW()-4&lt;=MAX($M$5:$M$1004),IFERROR(INDEX($N$5:$N$404,ROW()-4),""),IFERROR(INDEX($P$5:$P$404,ROW()-4-MAX($M$5:$M$1004)),""))</f>
        <v/>
      </c>
    </row>
    <row r="61" customFormat="false" ht="15" hidden="false" customHeight="false" outlineLevel="0" collapsed="false">
      <c r="M61" s="0" t="str">
        <f aca="false">IF(CSV貼付A!$N61="","",IF(COUNTIF(CSV貼付A!$N$5:$N61,CSV貼付A!$N61)&gt;1,"",MAX($M$4:M60)+1))</f>
        <v/>
      </c>
      <c r="N61" s="0" t="str">
        <f aca="false">IFERROR(INDEX(CSV貼付A!$N$5:$N$1004,MATCH(ROW()-4,$M$5:$M$1004,0)),"")</f>
        <v/>
      </c>
      <c r="O61" s="0" t="str">
        <f aca="false">IF(CSV貼付B!$N61="","",IF(COUNTIF(CSV貼付B!$N$5:$N61,CSV貼付B!$N61)&gt;1,"",MAX($O$4:O60)+1))</f>
        <v/>
      </c>
      <c r="P61" s="0" t="str">
        <f aca="false">IFERROR(INDEX(CSV貼付B!$N$5:$N$1004,MATCH(ROW()-4,$O$5:$O$1004,0)),"")</f>
        <v/>
      </c>
      <c r="Q61" s="0" t="str">
        <f aca="false">IF(ROW()-4&lt;=MAX($M$5:$M$1004),IFERROR(INDEX($N$5:$N$404,ROW()-4),""),IFERROR(INDEX($P$5:$P$404,ROW()-4-MAX($M$5:$M$1004)),""))</f>
        <v/>
      </c>
    </row>
    <row r="62" customFormat="false" ht="15" hidden="false" customHeight="false" outlineLevel="0" collapsed="false">
      <c r="M62" s="0" t="str">
        <f aca="false">IF(CSV貼付A!$N62="","",IF(COUNTIF(CSV貼付A!$N$5:$N62,CSV貼付A!$N62)&gt;1,"",MAX($M$4:M61)+1))</f>
        <v/>
      </c>
      <c r="N62" s="0" t="str">
        <f aca="false">IFERROR(INDEX(CSV貼付A!$N$5:$N$1004,MATCH(ROW()-4,$M$5:$M$1004,0)),"")</f>
        <v/>
      </c>
      <c r="O62" s="0" t="str">
        <f aca="false">IF(CSV貼付B!$N62="","",IF(COUNTIF(CSV貼付B!$N$5:$N62,CSV貼付B!$N62)&gt;1,"",MAX($O$4:O61)+1))</f>
        <v/>
      </c>
      <c r="P62" s="0" t="str">
        <f aca="false">IFERROR(INDEX(CSV貼付B!$N$5:$N$1004,MATCH(ROW()-4,$O$5:$O$1004,0)),"")</f>
        <v/>
      </c>
      <c r="Q62" s="0" t="str">
        <f aca="false">IF(ROW()-4&lt;=MAX($M$5:$M$1004),IFERROR(INDEX($N$5:$N$404,ROW()-4),""),IFERROR(INDEX($P$5:$P$404,ROW()-4-MAX($M$5:$M$1004)),""))</f>
        <v/>
      </c>
    </row>
    <row r="63" customFormat="false" ht="15" hidden="false" customHeight="false" outlineLevel="0" collapsed="false">
      <c r="M63" s="0" t="str">
        <f aca="false">IF(CSV貼付A!$N63="","",IF(COUNTIF(CSV貼付A!$N$5:$N63,CSV貼付A!$N63)&gt;1,"",MAX($M$4:M62)+1))</f>
        <v/>
      </c>
      <c r="N63" s="0" t="str">
        <f aca="false">IFERROR(INDEX(CSV貼付A!$N$5:$N$1004,MATCH(ROW()-4,$M$5:$M$1004,0)),"")</f>
        <v/>
      </c>
      <c r="O63" s="0" t="str">
        <f aca="false">IF(CSV貼付B!$N63="","",IF(COUNTIF(CSV貼付B!$N$5:$N63,CSV貼付B!$N63)&gt;1,"",MAX($O$4:O62)+1))</f>
        <v/>
      </c>
      <c r="P63" s="0" t="str">
        <f aca="false">IFERROR(INDEX(CSV貼付B!$N$5:$N$1004,MATCH(ROW()-4,$O$5:$O$1004,0)),"")</f>
        <v/>
      </c>
      <c r="Q63" s="0" t="str">
        <f aca="false">IF(ROW()-4&lt;=MAX($M$5:$M$1004),IFERROR(INDEX($N$5:$N$404,ROW()-4),""),IFERROR(INDEX($P$5:$P$404,ROW()-4-MAX($M$5:$M$1004)),""))</f>
        <v/>
      </c>
    </row>
    <row r="64" customFormat="false" ht="15" hidden="false" customHeight="false" outlineLevel="0" collapsed="false">
      <c r="M64" s="0" t="str">
        <f aca="false">IF(CSV貼付A!$N64="","",IF(COUNTIF(CSV貼付A!$N$5:$N64,CSV貼付A!$N64)&gt;1,"",MAX($M$4:M63)+1))</f>
        <v/>
      </c>
      <c r="N64" s="0" t="str">
        <f aca="false">IFERROR(INDEX(CSV貼付A!$N$5:$N$1004,MATCH(ROW()-4,$M$5:$M$1004,0)),"")</f>
        <v/>
      </c>
      <c r="O64" s="0" t="str">
        <f aca="false">IF(CSV貼付B!$N64="","",IF(COUNTIF(CSV貼付B!$N$5:$N64,CSV貼付B!$N64)&gt;1,"",MAX($O$4:O63)+1))</f>
        <v/>
      </c>
      <c r="P64" s="0" t="str">
        <f aca="false">IFERROR(INDEX(CSV貼付B!$N$5:$N$1004,MATCH(ROW()-4,$O$5:$O$1004,0)),"")</f>
        <v/>
      </c>
      <c r="Q64" s="0" t="str">
        <f aca="false">IF(ROW()-4&lt;=MAX($M$5:$M$1004),IFERROR(INDEX($N$5:$N$404,ROW()-4),""),IFERROR(INDEX($P$5:$P$404,ROW()-4-MAX($M$5:$M$1004)),""))</f>
        <v/>
      </c>
    </row>
    <row r="65" customFormat="false" ht="15" hidden="false" customHeight="false" outlineLevel="0" collapsed="false">
      <c r="M65" s="0" t="str">
        <f aca="false">IF(CSV貼付A!$N65="","",IF(COUNTIF(CSV貼付A!$N$5:$N65,CSV貼付A!$N65)&gt;1,"",MAX($M$4:M64)+1))</f>
        <v/>
      </c>
      <c r="N65" s="0" t="str">
        <f aca="false">IFERROR(INDEX(CSV貼付A!$N$5:$N$1004,MATCH(ROW()-4,$M$5:$M$1004,0)),"")</f>
        <v/>
      </c>
      <c r="O65" s="0" t="str">
        <f aca="false">IF(CSV貼付B!$N65="","",IF(COUNTIF(CSV貼付B!$N$5:$N65,CSV貼付B!$N65)&gt;1,"",MAX($O$4:O64)+1))</f>
        <v/>
      </c>
      <c r="P65" s="0" t="str">
        <f aca="false">IFERROR(INDEX(CSV貼付B!$N$5:$N$1004,MATCH(ROW()-4,$O$5:$O$1004,0)),"")</f>
        <v/>
      </c>
      <c r="Q65" s="0" t="str">
        <f aca="false">IF(ROW()-4&lt;=MAX($M$5:$M$1004),IFERROR(INDEX($N$5:$N$404,ROW()-4),""),IFERROR(INDEX($P$5:$P$404,ROW()-4-MAX($M$5:$M$1004)),""))</f>
        <v/>
      </c>
    </row>
    <row r="66" customFormat="false" ht="15" hidden="false" customHeight="false" outlineLevel="0" collapsed="false">
      <c r="M66" s="0" t="str">
        <f aca="false">IF(CSV貼付A!$N66="","",IF(COUNTIF(CSV貼付A!$N$5:$N66,CSV貼付A!$N66)&gt;1,"",MAX($M$4:M65)+1))</f>
        <v/>
      </c>
      <c r="N66" s="0" t="str">
        <f aca="false">IFERROR(INDEX(CSV貼付A!$N$5:$N$1004,MATCH(ROW()-4,$M$5:$M$1004,0)),"")</f>
        <v/>
      </c>
      <c r="O66" s="0" t="str">
        <f aca="false">IF(CSV貼付B!$N66="","",IF(COUNTIF(CSV貼付B!$N$5:$N66,CSV貼付B!$N66)&gt;1,"",MAX($O$4:O65)+1))</f>
        <v/>
      </c>
      <c r="P66" s="0" t="str">
        <f aca="false">IFERROR(INDEX(CSV貼付B!$N$5:$N$1004,MATCH(ROW()-4,$O$5:$O$1004,0)),"")</f>
        <v/>
      </c>
      <c r="Q66" s="0" t="str">
        <f aca="false">IF(ROW()-4&lt;=MAX($M$5:$M$1004),IFERROR(INDEX($N$5:$N$404,ROW()-4),""),IFERROR(INDEX($P$5:$P$404,ROW()-4-MAX($M$5:$M$1004)),""))</f>
        <v/>
      </c>
    </row>
    <row r="67" customFormat="false" ht="15" hidden="false" customHeight="false" outlineLevel="0" collapsed="false">
      <c r="M67" s="0" t="str">
        <f aca="false">IF(CSV貼付A!$N67="","",IF(COUNTIF(CSV貼付A!$N$5:$N67,CSV貼付A!$N67)&gt;1,"",MAX($M$4:M66)+1))</f>
        <v/>
      </c>
      <c r="N67" s="0" t="str">
        <f aca="false">IFERROR(INDEX(CSV貼付A!$N$5:$N$1004,MATCH(ROW()-4,$M$5:$M$1004,0)),"")</f>
        <v/>
      </c>
      <c r="O67" s="0" t="str">
        <f aca="false">IF(CSV貼付B!$N67="","",IF(COUNTIF(CSV貼付B!$N$5:$N67,CSV貼付B!$N67)&gt;1,"",MAX($O$4:O66)+1))</f>
        <v/>
      </c>
      <c r="P67" s="0" t="str">
        <f aca="false">IFERROR(INDEX(CSV貼付B!$N$5:$N$1004,MATCH(ROW()-4,$O$5:$O$1004,0)),"")</f>
        <v/>
      </c>
      <c r="Q67" s="0" t="str">
        <f aca="false">IF(ROW()-4&lt;=MAX($M$5:$M$1004),IFERROR(INDEX($N$5:$N$404,ROW()-4),""),IFERROR(INDEX($P$5:$P$404,ROW()-4-MAX($M$5:$M$1004)),""))</f>
        <v/>
      </c>
    </row>
    <row r="68" customFormat="false" ht="15" hidden="false" customHeight="false" outlineLevel="0" collapsed="false">
      <c r="M68" s="0" t="str">
        <f aca="false">IF(CSV貼付A!$N68="","",IF(COUNTIF(CSV貼付A!$N$5:$N68,CSV貼付A!$N68)&gt;1,"",MAX($M$4:M67)+1))</f>
        <v/>
      </c>
      <c r="N68" s="0" t="str">
        <f aca="false">IFERROR(INDEX(CSV貼付A!$N$5:$N$1004,MATCH(ROW()-4,$M$5:$M$1004,0)),"")</f>
        <v/>
      </c>
      <c r="O68" s="0" t="str">
        <f aca="false">IF(CSV貼付B!$N68="","",IF(COUNTIF(CSV貼付B!$N$5:$N68,CSV貼付B!$N68)&gt;1,"",MAX($O$4:O67)+1))</f>
        <v/>
      </c>
      <c r="P68" s="0" t="str">
        <f aca="false">IFERROR(INDEX(CSV貼付B!$N$5:$N$1004,MATCH(ROW()-4,$O$5:$O$1004,0)),"")</f>
        <v/>
      </c>
      <c r="Q68" s="0" t="str">
        <f aca="false">IF(ROW()-4&lt;=MAX($M$5:$M$1004),IFERROR(INDEX($N$5:$N$404,ROW()-4),""),IFERROR(INDEX($P$5:$P$404,ROW()-4-MAX($M$5:$M$1004)),""))</f>
        <v/>
      </c>
    </row>
    <row r="69" customFormat="false" ht="15" hidden="false" customHeight="false" outlineLevel="0" collapsed="false">
      <c r="M69" s="0" t="str">
        <f aca="false">IF(CSV貼付A!$N69="","",IF(COUNTIF(CSV貼付A!$N$5:$N69,CSV貼付A!$N69)&gt;1,"",MAX($M$4:M68)+1))</f>
        <v/>
      </c>
      <c r="N69" s="0" t="str">
        <f aca="false">IFERROR(INDEX(CSV貼付A!$N$5:$N$1004,MATCH(ROW()-4,$M$5:$M$1004,0)),"")</f>
        <v/>
      </c>
      <c r="O69" s="0" t="str">
        <f aca="false">IF(CSV貼付B!$N69="","",IF(COUNTIF(CSV貼付B!$N$5:$N69,CSV貼付B!$N69)&gt;1,"",MAX($O$4:O68)+1))</f>
        <v/>
      </c>
      <c r="P69" s="0" t="str">
        <f aca="false">IFERROR(INDEX(CSV貼付B!$N$5:$N$1004,MATCH(ROW()-4,$O$5:$O$1004,0)),"")</f>
        <v/>
      </c>
      <c r="Q69" s="0" t="str">
        <f aca="false">IF(ROW()-4&lt;=MAX($M$5:$M$1004),IFERROR(INDEX($N$5:$N$404,ROW()-4),""),IFERROR(INDEX($P$5:$P$404,ROW()-4-MAX($M$5:$M$1004)),""))</f>
        <v/>
      </c>
    </row>
    <row r="70" customFormat="false" ht="15" hidden="false" customHeight="false" outlineLevel="0" collapsed="false">
      <c r="M70" s="0" t="str">
        <f aca="false">IF(CSV貼付A!$N70="","",IF(COUNTIF(CSV貼付A!$N$5:$N70,CSV貼付A!$N70)&gt;1,"",MAX($M$4:M69)+1))</f>
        <v/>
      </c>
      <c r="N70" s="0" t="str">
        <f aca="false">IFERROR(INDEX(CSV貼付A!$N$5:$N$1004,MATCH(ROW()-4,$M$5:$M$1004,0)),"")</f>
        <v/>
      </c>
      <c r="O70" s="0" t="str">
        <f aca="false">IF(CSV貼付B!$N70="","",IF(COUNTIF(CSV貼付B!$N$5:$N70,CSV貼付B!$N70)&gt;1,"",MAX($O$4:O69)+1))</f>
        <v/>
      </c>
      <c r="P70" s="0" t="str">
        <f aca="false">IFERROR(INDEX(CSV貼付B!$N$5:$N$1004,MATCH(ROW()-4,$O$5:$O$1004,0)),"")</f>
        <v/>
      </c>
      <c r="Q70" s="0" t="str">
        <f aca="false">IF(ROW()-4&lt;=MAX($M$5:$M$1004),IFERROR(INDEX($N$5:$N$404,ROW()-4),""),IFERROR(INDEX($P$5:$P$404,ROW()-4-MAX($M$5:$M$1004)),""))</f>
        <v/>
      </c>
    </row>
    <row r="71" customFormat="false" ht="15" hidden="false" customHeight="false" outlineLevel="0" collapsed="false">
      <c r="M71" s="0" t="str">
        <f aca="false">IF(CSV貼付A!$N71="","",IF(COUNTIF(CSV貼付A!$N$5:$N71,CSV貼付A!$N71)&gt;1,"",MAX($M$4:M70)+1))</f>
        <v/>
      </c>
      <c r="N71" s="0" t="str">
        <f aca="false">IFERROR(INDEX(CSV貼付A!$N$5:$N$1004,MATCH(ROW()-4,$M$5:$M$1004,0)),"")</f>
        <v/>
      </c>
      <c r="O71" s="0" t="str">
        <f aca="false">IF(CSV貼付B!$N71="","",IF(COUNTIF(CSV貼付B!$N$5:$N71,CSV貼付B!$N71)&gt;1,"",MAX($O$4:O70)+1))</f>
        <v/>
      </c>
      <c r="P71" s="0" t="str">
        <f aca="false">IFERROR(INDEX(CSV貼付B!$N$5:$N$1004,MATCH(ROW()-4,$O$5:$O$1004,0)),"")</f>
        <v/>
      </c>
      <c r="Q71" s="0" t="str">
        <f aca="false">IF(ROW()-4&lt;=MAX($M$5:$M$1004),IFERROR(INDEX($N$5:$N$404,ROW()-4),""),IFERROR(INDEX($P$5:$P$404,ROW()-4-MAX($M$5:$M$1004)),""))</f>
        <v/>
      </c>
    </row>
    <row r="72" customFormat="false" ht="15" hidden="false" customHeight="false" outlineLevel="0" collapsed="false">
      <c r="M72" s="0" t="str">
        <f aca="false">IF(CSV貼付A!$N72="","",IF(COUNTIF(CSV貼付A!$N$5:$N72,CSV貼付A!$N72)&gt;1,"",MAX($M$4:M71)+1))</f>
        <v/>
      </c>
      <c r="N72" s="0" t="str">
        <f aca="false">IFERROR(INDEX(CSV貼付A!$N$5:$N$1004,MATCH(ROW()-4,$M$5:$M$1004,0)),"")</f>
        <v/>
      </c>
      <c r="O72" s="0" t="str">
        <f aca="false">IF(CSV貼付B!$N72="","",IF(COUNTIF(CSV貼付B!$N$5:$N72,CSV貼付B!$N72)&gt;1,"",MAX($O$4:O71)+1))</f>
        <v/>
      </c>
      <c r="P72" s="0" t="str">
        <f aca="false">IFERROR(INDEX(CSV貼付B!$N$5:$N$1004,MATCH(ROW()-4,$O$5:$O$1004,0)),"")</f>
        <v/>
      </c>
      <c r="Q72" s="0" t="str">
        <f aca="false">IF(ROW()-4&lt;=MAX($M$5:$M$1004),IFERROR(INDEX($N$5:$N$404,ROW()-4),""),IFERROR(INDEX($P$5:$P$404,ROW()-4-MAX($M$5:$M$1004)),""))</f>
        <v/>
      </c>
    </row>
    <row r="73" customFormat="false" ht="15" hidden="false" customHeight="false" outlineLevel="0" collapsed="false">
      <c r="M73" s="0" t="str">
        <f aca="false">IF(CSV貼付A!$N73="","",IF(COUNTIF(CSV貼付A!$N$5:$N73,CSV貼付A!$N73)&gt;1,"",MAX($M$4:M72)+1))</f>
        <v/>
      </c>
      <c r="N73" s="0" t="str">
        <f aca="false">IFERROR(INDEX(CSV貼付A!$N$5:$N$1004,MATCH(ROW()-4,$M$5:$M$1004,0)),"")</f>
        <v/>
      </c>
      <c r="O73" s="0" t="str">
        <f aca="false">IF(CSV貼付B!$N73="","",IF(COUNTIF(CSV貼付B!$N$5:$N73,CSV貼付B!$N73)&gt;1,"",MAX($O$4:O72)+1))</f>
        <v/>
      </c>
      <c r="P73" s="0" t="str">
        <f aca="false">IFERROR(INDEX(CSV貼付B!$N$5:$N$1004,MATCH(ROW()-4,$O$5:$O$1004,0)),"")</f>
        <v/>
      </c>
      <c r="Q73" s="0" t="str">
        <f aca="false">IF(ROW()-4&lt;=MAX($M$5:$M$1004),IFERROR(INDEX($N$5:$N$404,ROW()-4),""),IFERROR(INDEX($P$5:$P$404,ROW()-4-MAX($M$5:$M$1004)),""))</f>
        <v/>
      </c>
    </row>
    <row r="74" customFormat="false" ht="15" hidden="false" customHeight="false" outlineLevel="0" collapsed="false">
      <c r="M74" s="0" t="str">
        <f aca="false">IF(CSV貼付A!$N74="","",IF(COUNTIF(CSV貼付A!$N$5:$N74,CSV貼付A!$N74)&gt;1,"",MAX($M$4:M73)+1))</f>
        <v/>
      </c>
      <c r="N74" s="0" t="str">
        <f aca="false">IFERROR(INDEX(CSV貼付A!$N$5:$N$1004,MATCH(ROW()-4,$M$5:$M$1004,0)),"")</f>
        <v/>
      </c>
      <c r="O74" s="0" t="str">
        <f aca="false">IF(CSV貼付B!$N74="","",IF(COUNTIF(CSV貼付B!$N$5:$N74,CSV貼付B!$N74)&gt;1,"",MAX($O$4:O73)+1))</f>
        <v/>
      </c>
      <c r="P74" s="0" t="str">
        <f aca="false">IFERROR(INDEX(CSV貼付B!$N$5:$N$1004,MATCH(ROW()-4,$O$5:$O$1004,0)),"")</f>
        <v/>
      </c>
      <c r="Q74" s="0" t="str">
        <f aca="false">IF(ROW()-4&lt;=MAX($M$5:$M$1004),IFERROR(INDEX($N$5:$N$404,ROW()-4),""),IFERROR(INDEX($P$5:$P$404,ROW()-4-MAX($M$5:$M$1004)),""))</f>
        <v/>
      </c>
    </row>
    <row r="75" customFormat="false" ht="15" hidden="false" customHeight="false" outlineLevel="0" collapsed="false">
      <c r="M75" s="0" t="str">
        <f aca="false">IF(CSV貼付A!$N75="","",IF(COUNTIF(CSV貼付A!$N$5:$N75,CSV貼付A!$N75)&gt;1,"",MAX($M$4:M74)+1))</f>
        <v/>
      </c>
      <c r="N75" s="0" t="str">
        <f aca="false">IFERROR(INDEX(CSV貼付A!$N$5:$N$1004,MATCH(ROW()-4,$M$5:$M$1004,0)),"")</f>
        <v/>
      </c>
      <c r="O75" s="0" t="str">
        <f aca="false">IF(CSV貼付B!$N75="","",IF(COUNTIF(CSV貼付B!$N$5:$N75,CSV貼付B!$N75)&gt;1,"",MAX($O$4:O74)+1))</f>
        <v/>
      </c>
      <c r="P75" s="0" t="str">
        <f aca="false">IFERROR(INDEX(CSV貼付B!$N$5:$N$1004,MATCH(ROW()-4,$O$5:$O$1004,0)),"")</f>
        <v/>
      </c>
      <c r="Q75" s="0" t="str">
        <f aca="false">IF(ROW()-4&lt;=MAX($M$5:$M$1004),IFERROR(INDEX($N$5:$N$404,ROW()-4),""),IFERROR(INDEX($P$5:$P$404,ROW()-4-MAX($M$5:$M$1004)),""))</f>
        <v/>
      </c>
    </row>
    <row r="76" customFormat="false" ht="15" hidden="false" customHeight="false" outlineLevel="0" collapsed="false">
      <c r="M76" s="0" t="str">
        <f aca="false">IF(CSV貼付A!$N76="","",IF(COUNTIF(CSV貼付A!$N$5:$N76,CSV貼付A!$N76)&gt;1,"",MAX($M$4:M75)+1))</f>
        <v/>
      </c>
      <c r="N76" s="0" t="str">
        <f aca="false">IFERROR(INDEX(CSV貼付A!$N$5:$N$1004,MATCH(ROW()-4,$M$5:$M$1004,0)),"")</f>
        <v/>
      </c>
      <c r="O76" s="0" t="str">
        <f aca="false">IF(CSV貼付B!$N76="","",IF(COUNTIF(CSV貼付B!$N$5:$N76,CSV貼付B!$N76)&gt;1,"",MAX($O$4:O75)+1))</f>
        <v/>
      </c>
      <c r="P76" s="0" t="str">
        <f aca="false">IFERROR(INDEX(CSV貼付B!$N$5:$N$1004,MATCH(ROW()-4,$O$5:$O$1004,0)),"")</f>
        <v/>
      </c>
      <c r="Q76" s="0" t="str">
        <f aca="false">IF(ROW()-4&lt;=MAX($M$5:$M$1004),IFERROR(INDEX($N$5:$N$404,ROW()-4),""),IFERROR(INDEX($P$5:$P$404,ROW()-4-MAX($M$5:$M$1004)),""))</f>
        <v/>
      </c>
    </row>
    <row r="77" customFormat="false" ht="15" hidden="false" customHeight="false" outlineLevel="0" collapsed="false">
      <c r="M77" s="0" t="str">
        <f aca="false">IF(CSV貼付A!$N77="","",IF(COUNTIF(CSV貼付A!$N$5:$N77,CSV貼付A!$N77)&gt;1,"",MAX($M$4:M76)+1))</f>
        <v/>
      </c>
      <c r="N77" s="0" t="str">
        <f aca="false">IFERROR(INDEX(CSV貼付A!$N$5:$N$1004,MATCH(ROW()-4,$M$5:$M$1004,0)),"")</f>
        <v/>
      </c>
      <c r="O77" s="0" t="str">
        <f aca="false">IF(CSV貼付B!$N77="","",IF(COUNTIF(CSV貼付B!$N$5:$N77,CSV貼付B!$N77)&gt;1,"",MAX($O$4:O76)+1))</f>
        <v/>
      </c>
      <c r="P77" s="0" t="str">
        <f aca="false">IFERROR(INDEX(CSV貼付B!$N$5:$N$1004,MATCH(ROW()-4,$O$5:$O$1004,0)),"")</f>
        <v/>
      </c>
      <c r="Q77" s="0" t="str">
        <f aca="false">IF(ROW()-4&lt;=MAX($M$5:$M$1004),IFERROR(INDEX($N$5:$N$404,ROW()-4),""),IFERROR(INDEX($P$5:$P$404,ROW()-4-MAX($M$5:$M$1004)),""))</f>
        <v/>
      </c>
    </row>
    <row r="78" customFormat="false" ht="15" hidden="false" customHeight="false" outlineLevel="0" collapsed="false">
      <c r="M78" s="0" t="str">
        <f aca="false">IF(CSV貼付A!$N78="","",IF(COUNTIF(CSV貼付A!$N$5:$N78,CSV貼付A!$N78)&gt;1,"",MAX($M$4:M77)+1))</f>
        <v/>
      </c>
      <c r="N78" s="0" t="str">
        <f aca="false">IFERROR(INDEX(CSV貼付A!$N$5:$N$1004,MATCH(ROW()-4,$M$5:$M$1004,0)),"")</f>
        <v/>
      </c>
      <c r="O78" s="0" t="str">
        <f aca="false">IF(CSV貼付B!$N78="","",IF(COUNTIF(CSV貼付B!$N$5:$N78,CSV貼付B!$N78)&gt;1,"",MAX($O$4:O77)+1))</f>
        <v/>
      </c>
      <c r="P78" s="0" t="str">
        <f aca="false">IFERROR(INDEX(CSV貼付B!$N$5:$N$1004,MATCH(ROW()-4,$O$5:$O$1004,0)),"")</f>
        <v/>
      </c>
      <c r="Q78" s="0" t="str">
        <f aca="false">IF(ROW()-4&lt;=MAX($M$5:$M$1004),IFERROR(INDEX($N$5:$N$404,ROW()-4),""),IFERROR(INDEX($P$5:$P$404,ROW()-4-MAX($M$5:$M$1004)),""))</f>
        <v/>
      </c>
    </row>
    <row r="79" customFormat="false" ht="15" hidden="false" customHeight="false" outlineLevel="0" collapsed="false">
      <c r="M79" s="0" t="str">
        <f aca="false">IF(CSV貼付A!$N79="","",IF(COUNTIF(CSV貼付A!$N$5:$N79,CSV貼付A!$N79)&gt;1,"",MAX($M$4:M78)+1))</f>
        <v/>
      </c>
      <c r="N79" s="0" t="str">
        <f aca="false">IFERROR(INDEX(CSV貼付A!$N$5:$N$1004,MATCH(ROW()-4,$M$5:$M$1004,0)),"")</f>
        <v/>
      </c>
      <c r="O79" s="0" t="str">
        <f aca="false">IF(CSV貼付B!$N79="","",IF(COUNTIF(CSV貼付B!$N$5:$N79,CSV貼付B!$N79)&gt;1,"",MAX($O$4:O78)+1))</f>
        <v/>
      </c>
      <c r="P79" s="0" t="str">
        <f aca="false">IFERROR(INDEX(CSV貼付B!$N$5:$N$1004,MATCH(ROW()-4,$O$5:$O$1004,0)),"")</f>
        <v/>
      </c>
      <c r="Q79" s="0" t="str">
        <f aca="false">IF(ROW()-4&lt;=MAX($M$5:$M$1004),IFERROR(INDEX($N$5:$N$404,ROW()-4),""),IFERROR(INDEX($P$5:$P$404,ROW()-4-MAX($M$5:$M$1004)),""))</f>
        <v/>
      </c>
    </row>
    <row r="80" customFormat="false" ht="15" hidden="false" customHeight="false" outlineLevel="0" collapsed="false">
      <c r="M80" s="0" t="str">
        <f aca="false">IF(CSV貼付A!$N80="","",IF(COUNTIF(CSV貼付A!$N$5:$N80,CSV貼付A!$N80)&gt;1,"",MAX($M$4:M79)+1))</f>
        <v/>
      </c>
      <c r="N80" s="0" t="str">
        <f aca="false">IFERROR(INDEX(CSV貼付A!$N$5:$N$1004,MATCH(ROW()-4,$M$5:$M$1004,0)),"")</f>
        <v/>
      </c>
      <c r="O80" s="0" t="str">
        <f aca="false">IF(CSV貼付B!$N80="","",IF(COUNTIF(CSV貼付B!$N$5:$N80,CSV貼付B!$N80)&gt;1,"",MAX($O$4:O79)+1))</f>
        <v/>
      </c>
      <c r="P80" s="0" t="str">
        <f aca="false">IFERROR(INDEX(CSV貼付B!$N$5:$N$1004,MATCH(ROW()-4,$O$5:$O$1004,0)),"")</f>
        <v/>
      </c>
      <c r="Q80" s="0" t="str">
        <f aca="false">IF(ROW()-4&lt;=MAX($M$5:$M$1004),IFERROR(INDEX($N$5:$N$404,ROW()-4),""),IFERROR(INDEX($P$5:$P$404,ROW()-4-MAX($M$5:$M$1004)),""))</f>
        <v/>
      </c>
    </row>
    <row r="81" customFormat="false" ht="15" hidden="false" customHeight="false" outlineLevel="0" collapsed="false">
      <c r="M81" s="0" t="str">
        <f aca="false">IF(CSV貼付A!$N81="","",IF(COUNTIF(CSV貼付A!$N$5:$N81,CSV貼付A!$N81)&gt;1,"",MAX($M$4:M80)+1))</f>
        <v/>
      </c>
      <c r="N81" s="0" t="str">
        <f aca="false">IFERROR(INDEX(CSV貼付A!$N$5:$N$1004,MATCH(ROW()-4,$M$5:$M$1004,0)),"")</f>
        <v/>
      </c>
      <c r="O81" s="0" t="str">
        <f aca="false">IF(CSV貼付B!$N81="","",IF(COUNTIF(CSV貼付B!$N$5:$N81,CSV貼付B!$N81)&gt;1,"",MAX($O$4:O80)+1))</f>
        <v/>
      </c>
      <c r="P81" s="0" t="str">
        <f aca="false">IFERROR(INDEX(CSV貼付B!$N$5:$N$1004,MATCH(ROW()-4,$O$5:$O$1004,0)),"")</f>
        <v/>
      </c>
      <c r="Q81" s="0" t="str">
        <f aca="false">IF(ROW()-4&lt;=MAX($M$5:$M$1004),IFERROR(INDEX($N$5:$N$404,ROW()-4),""),IFERROR(INDEX($P$5:$P$404,ROW()-4-MAX($M$5:$M$1004)),""))</f>
        <v/>
      </c>
    </row>
    <row r="82" customFormat="false" ht="15" hidden="false" customHeight="false" outlineLevel="0" collapsed="false">
      <c r="M82" s="0" t="str">
        <f aca="false">IF(CSV貼付A!$N82="","",IF(COUNTIF(CSV貼付A!$N$5:$N82,CSV貼付A!$N82)&gt;1,"",MAX($M$4:M81)+1))</f>
        <v/>
      </c>
      <c r="N82" s="0" t="str">
        <f aca="false">IFERROR(INDEX(CSV貼付A!$N$5:$N$1004,MATCH(ROW()-4,$M$5:$M$1004,0)),"")</f>
        <v/>
      </c>
      <c r="O82" s="0" t="str">
        <f aca="false">IF(CSV貼付B!$N82="","",IF(COUNTIF(CSV貼付B!$N$5:$N82,CSV貼付B!$N82)&gt;1,"",MAX($O$4:O81)+1))</f>
        <v/>
      </c>
      <c r="P82" s="0" t="str">
        <f aca="false">IFERROR(INDEX(CSV貼付B!$N$5:$N$1004,MATCH(ROW()-4,$O$5:$O$1004,0)),"")</f>
        <v/>
      </c>
      <c r="Q82" s="0" t="str">
        <f aca="false">IF(ROW()-4&lt;=MAX($M$5:$M$1004),IFERROR(INDEX($N$5:$N$404,ROW()-4),""),IFERROR(INDEX($P$5:$P$404,ROW()-4-MAX($M$5:$M$1004)),""))</f>
        <v/>
      </c>
    </row>
    <row r="83" customFormat="false" ht="15" hidden="false" customHeight="false" outlineLevel="0" collapsed="false">
      <c r="M83" s="0" t="str">
        <f aca="false">IF(CSV貼付A!$N83="","",IF(COUNTIF(CSV貼付A!$N$5:$N83,CSV貼付A!$N83)&gt;1,"",MAX($M$4:M82)+1))</f>
        <v/>
      </c>
      <c r="N83" s="0" t="str">
        <f aca="false">IFERROR(INDEX(CSV貼付A!$N$5:$N$1004,MATCH(ROW()-4,$M$5:$M$1004,0)),"")</f>
        <v/>
      </c>
      <c r="O83" s="0" t="str">
        <f aca="false">IF(CSV貼付B!$N83="","",IF(COUNTIF(CSV貼付B!$N$5:$N83,CSV貼付B!$N83)&gt;1,"",MAX($O$4:O82)+1))</f>
        <v/>
      </c>
      <c r="P83" s="0" t="str">
        <f aca="false">IFERROR(INDEX(CSV貼付B!$N$5:$N$1004,MATCH(ROW()-4,$O$5:$O$1004,0)),"")</f>
        <v/>
      </c>
      <c r="Q83" s="0" t="str">
        <f aca="false">IF(ROW()-4&lt;=MAX($M$5:$M$1004),IFERROR(INDEX($N$5:$N$404,ROW()-4),""),IFERROR(INDEX($P$5:$P$404,ROW()-4-MAX($M$5:$M$1004)),""))</f>
        <v/>
      </c>
    </row>
    <row r="84" customFormat="false" ht="15" hidden="false" customHeight="false" outlineLevel="0" collapsed="false">
      <c r="M84" s="0" t="str">
        <f aca="false">IF(CSV貼付A!$N84="","",IF(COUNTIF(CSV貼付A!$N$5:$N84,CSV貼付A!$N84)&gt;1,"",MAX($M$4:M83)+1))</f>
        <v/>
      </c>
      <c r="N84" s="0" t="str">
        <f aca="false">IFERROR(INDEX(CSV貼付A!$N$5:$N$1004,MATCH(ROW()-4,$M$5:$M$1004,0)),"")</f>
        <v/>
      </c>
      <c r="O84" s="0" t="str">
        <f aca="false">IF(CSV貼付B!$N84="","",IF(COUNTIF(CSV貼付B!$N$5:$N84,CSV貼付B!$N84)&gt;1,"",MAX($O$4:O83)+1))</f>
        <v/>
      </c>
      <c r="P84" s="0" t="str">
        <f aca="false">IFERROR(INDEX(CSV貼付B!$N$5:$N$1004,MATCH(ROW()-4,$O$5:$O$1004,0)),"")</f>
        <v/>
      </c>
      <c r="Q84" s="0" t="str">
        <f aca="false">IF(ROW()-4&lt;=MAX($M$5:$M$1004),IFERROR(INDEX($N$5:$N$404,ROW()-4),""),IFERROR(INDEX($P$5:$P$404,ROW()-4-MAX($M$5:$M$1004)),""))</f>
        <v/>
      </c>
    </row>
    <row r="85" customFormat="false" ht="15" hidden="false" customHeight="false" outlineLevel="0" collapsed="false">
      <c r="M85" s="0" t="str">
        <f aca="false">IF(CSV貼付A!$N85="","",IF(COUNTIF(CSV貼付A!$N$5:$N85,CSV貼付A!$N85)&gt;1,"",MAX($M$4:M84)+1))</f>
        <v/>
      </c>
      <c r="N85" s="0" t="str">
        <f aca="false">IFERROR(INDEX(CSV貼付A!$N$5:$N$1004,MATCH(ROW()-4,$M$5:$M$1004,0)),"")</f>
        <v/>
      </c>
      <c r="O85" s="0" t="str">
        <f aca="false">IF(CSV貼付B!$N85="","",IF(COUNTIF(CSV貼付B!$N$5:$N85,CSV貼付B!$N85)&gt;1,"",MAX($O$4:O84)+1))</f>
        <v/>
      </c>
      <c r="P85" s="0" t="str">
        <f aca="false">IFERROR(INDEX(CSV貼付B!$N$5:$N$1004,MATCH(ROW()-4,$O$5:$O$1004,0)),"")</f>
        <v/>
      </c>
      <c r="Q85" s="0" t="str">
        <f aca="false">IF(ROW()-4&lt;=MAX($M$5:$M$1004),IFERROR(INDEX($N$5:$N$404,ROW()-4),""),IFERROR(INDEX($P$5:$P$404,ROW()-4-MAX($M$5:$M$1004)),""))</f>
        <v/>
      </c>
    </row>
    <row r="86" customFormat="false" ht="15" hidden="false" customHeight="false" outlineLevel="0" collapsed="false">
      <c r="M86" s="0" t="str">
        <f aca="false">IF(CSV貼付A!$N86="","",IF(COUNTIF(CSV貼付A!$N$5:$N86,CSV貼付A!$N86)&gt;1,"",MAX($M$4:M85)+1))</f>
        <v/>
      </c>
      <c r="N86" s="0" t="str">
        <f aca="false">IFERROR(INDEX(CSV貼付A!$N$5:$N$1004,MATCH(ROW()-4,$M$5:$M$1004,0)),"")</f>
        <v/>
      </c>
      <c r="O86" s="0" t="str">
        <f aca="false">IF(CSV貼付B!$N86="","",IF(COUNTIF(CSV貼付B!$N$5:$N86,CSV貼付B!$N86)&gt;1,"",MAX($O$4:O85)+1))</f>
        <v/>
      </c>
      <c r="P86" s="0" t="str">
        <f aca="false">IFERROR(INDEX(CSV貼付B!$N$5:$N$1004,MATCH(ROW()-4,$O$5:$O$1004,0)),"")</f>
        <v/>
      </c>
      <c r="Q86" s="0" t="str">
        <f aca="false">IF(ROW()-4&lt;=MAX($M$5:$M$1004),IFERROR(INDEX($N$5:$N$404,ROW()-4),""),IFERROR(INDEX($P$5:$P$404,ROW()-4-MAX($M$5:$M$1004)),""))</f>
        <v/>
      </c>
    </row>
    <row r="87" customFormat="false" ht="15" hidden="false" customHeight="false" outlineLevel="0" collapsed="false">
      <c r="M87" s="0" t="str">
        <f aca="false">IF(CSV貼付A!$N87="","",IF(COUNTIF(CSV貼付A!$N$5:$N87,CSV貼付A!$N87)&gt;1,"",MAX($M$4:M86)+1))</f>
        <v/>
      </c>
      <c r="N87" s="0" t="str">
        <f aca="false">IFERROR(INDEX(CSV貼付A!$N$5:$N$1004,MATCH(ROW()-4,$M$5:$M$1004,0)),"")</f>
        <v/>
      </c>
      <c r="O87" s="0" t="str">
        <f aca="false">IF(CSV貼付B!$N87="","",IF(COUNTIF(CSV貼付B!$N$5:$N87,CSV貼付B!$N87)&gt;1,"",MAX($O$4:O86)+1))</f>
        <v/>
      </c>
      <c r="P87" s="0" t="str">
        <f aca="false">IFERROR(INDEX(CSV貼付B!$N$5:$N$1004,MATCH(ROW()-4,$O$5:$O$1004,0)),"")</f>
        <v/>
      </c>
      <c r="Q87" s="0" t="str">
        <f aca="false">IF(ROW()-4&lt;=MAX($M$5:$M$1004),IFERROR(INDEX($N$5:$N$404,ROW()-4),""),IFERROR(INDEX($P$5:$P$404,ROW()-4-MAX($M$5:$M$1004)),""))</f>
        <v/>
      </c>
    </row>
    <row r="88" customFormat="false" ht="15" hidden="false" customHeight="false" outlineLevel="0" collapsed="false">
      <c r="M88" s="0" t="str">
        <f aca="false">IF(CSV貼付A!$N88="","",IF(COUNTIF(CSV貼付A!$N$5:$N88,CSV貼付A!$N88)&gt;1,"",MAX($M$4:M87)+1))</f>
        <v/>
      </c>
      <c r="N88" s="0" t="str">
        <f aca="false">IFERROR(INDEX(CSV貼付A!$N$5:$N$1004,MATCH(ROW()-4,$M$5:$M$1004,0)),"")</f>
        <v/>
      </c>
      <c r="O88" s="0" t="str">
        <f aca="false">IF(CSV貼付B!$N88="","",IF(COUNTIF(CSV貼付B!$N$5:$N88,CSV貼付B!$N88)&gt;1,"",MAX($O$4:O87)+1))</f>
        <v/>
      </c>
      <c r="P88" s="0" t="str">
        <f aca="false">IFERROR(INDEX(CSV貼付B!$N$5:$N$1004,MATCH(ROW()-4,$O$5:$O$1004,0)),"")</f>
        <v/>
      </c>
      <c r="Q88" s="0" t="str">
        <f aca="false">IF(ROW()-4&lt;=MAX($M$5:$M$1004),IFERROR(INDEX($N$5:$N$404,ROW()-4),""),IFERROR(INDEX($P$5:$P$404,ROW()-4-MAX($M$5:$M$1004)),""))</f>
        <v/>
      </c>
    </row>
    <row r="89" customFormat="false" ht="15" hidden="false" customHeight="false" outlineLevel="0" collapsed="false">
      <c r="M89" s="0" t="str">
        <f aca="false">IF(CSV貼付A!$N89="","",IF(COUNTIF(CSV貼付A!$N$5:$N89,CSV貼付A!$N89)&gt;1,"",MAX($M$4:M88)+1))</f>
        <v/>
      </c>
      <c r="N89" s="0" t="str">
        <f aca="false">IFERROR(INDEX(CSV貼付A!$N$5:$N$1004,MATCH(ROW()-4,$M$5:$M$1004,0)),"")</f>
        <v/>
      </c>
      <c r="O89" s="0" t="str">
        <f aca="false">IF(CSV貼付B!$N89="","",IF(COUNTIF(CSV貼付B!$N$5:$N89,CSV貼付B!$N89)&gt;1,"",MAX($O$4:O88)+1))</f>
        <v/>
      </c>
      <c r="P89" s="0" t="str">
        <f aca="false">IFERROR(INDEX(CSV貼付B!$N$5:$N$1004,MATCH(ROW()-4,$O$5:$O$1004,0)),"")</f>
        <v/>
      </c>
      <c r="Q89" s="0" t="str">
        <f aca="false">IF(ROW()-4&lt;=MAX($M$5:$M$1004),IFERROR(INDEX($N$5:$N$404,ROW()-4),""),IFERROR(INDEX($P$5:$P$404,ROW()-4-MAX($M$5:$M$1004)),""))</f>
        <v/>
      </c>
    </row>
    <row r="90" customFormat="false" ht="15" hidden="false" customHeight="false" outlineLevel="0" collapsed="false">
      <c r="M90" s="0" t="str">
        <f aca="false">IF(CSV貼付A!$N90="","",IF(COUNTIF(CSV貼付A!$N$5:$N90,CSV貼付A!$N90)&gt;1,"",MAX($M$4:M89)+1))</f>
        <v/>
      </c>
      <c r="N90" s="0" t="str">
        <f aca="false">IFERROR(INDEX(CSV貼付A!$N$5:$N$1004,MATCH(ROW()-4,$M$5:$M$1004,0)),"")</f>
        <v/>
      </c>
      <c r="O90" s="0" t="str">
        <f aca="false">IF(CSV貼付B!$N90="","",IF(COUNTIF(CSV貼付B!$N$5:$N90,CSV貼付B!$N90)&gt;1,"",MAX($O$4:O89)+1))</f>
        <v/>
      </c>
      <c r="P90" s="0" t="str">
        <f aca="false">IFERROR(INDEX(CSV貼付B!$N$5:$N$1004,MATCH(ROW()-4,$O$5:$O$1004,0)),"")</f>
        <v/>
      </c>
      <c r="Q90" s="0" t="str">
        <f aca="false">IF(ROW()-4&lt;=MAX($M$5:$M$1004),IFERROR(INDEX($N$5:$N$404,ROW()-4),""),IFERROR(INDEX($P$5:$P$404,ROW()-4-MAX($M$5:$M$1004)),""))</f>
        <v/>
      </c>
    </row>
    <row r="91" customFormat="false" ht="15" hidden="false" customHeight="false" outlineLevel="0" collapsed="false">
      <c r="M91" s="0" t="str">
        <f aca="false">IF(CSV貼付A!$N91="","",IF(COUNTIF(CSV貼付A!$N$5:$N91,CSV貼付A!$N91)&gt;1,"",MAX($M$4:M90)+1))</f>
        <v/>
      </c>
      <c r="N91" s="0" t="str">
        <f aca="false">IFERROR(INDEX(CSV貼付A!$N$5:$N$1004,MATCH(ROW()-4,$M$5:$M$1004,0)),"")</f>
        <v/>
      </c>
      <c r="O91" s="0" t="str">
        <f aca="false">IF(CSV貼付B!$N91="","",IF(COUNTIF(CSV貼付B!$N$5:$N91,CSV貼付B!$N91)&gt;1,"",MAX($O$4:O90)+1))</f>
        <v/>
      </c>
      <c r="P91" s="0" t="str">
        <f aca="false">IFERROR(INDEX(CSV貼付B!$N$5:$N$1004,MATCH(ROW()-4,$O$5:$O$1004,0)),"")</f>
        <v/>
      </c>
      <c r="Q91" s="0" t="str">
        <f aca="false">IF(ROW()-4&lt;=MAX($M$5:$M$1004),IFERROR(INDEX($N$5:$N$404,ROW()-4),""),IFERROR(INDEX($P$5:$P$404,ROW()-4-MAX($M$5:$M$1004)),""))</f>
        <v/>
      </c>
    </row>
    <row r="92" customFormat="false" ht="15" hidden="false" customHeight="false" outlineLevel="0" collapsed="false">
      <c r="M92" s="0" t="str">
        <f aca="false">IF(CSV貼付A!$N92="","",IF(COUNTIF(CSV貼付A!$N$5:$N92,CSV貼付A!$N92)&gt;1,"",MAX($M$4:M91)+1))</f>
        <v/>
      </c>
      <c r="N92" s="0" t="str">
        <f aca="false">IFERROR(INDEX(CSV貼付A!$N$5:$N$1004,MATCH(ROW()-4,$M$5:$M$1004,0)),"")</f>
        <v/>
      </c>
      <c r="O92" s="0" t="str">
        <f aca="false">IF(CSV貼付B!$N92="","",IF(COUNTIF(CSV貼付B!$N$5:$N92,CSV貼付B!$N92)&gt;1,"",MAX($O$4:O91)+1))</f>
        <v/>
      </c>
      <c r="P92" s="0" t="str">
        <f aca="false">IFERROR(INDEX(CSV貼付B!$N$5:$N$1004,MATCH(ROW()-4,$O$5:$O$1004,0)),"")</f>
        <v/>
      </c>
      <c r="Q92" s="0" t="str">
        <f aca="false">IF(ROW()-4&lt;=MAX($M$5:$M$1004),IFERROR(INDEX($N$5:$N$404,ROW()-4),""),IFERROR(INDEX($P$5:$P$404,ROW()-4-MAX($M$5:$M$1004)),""))</f>
        <v/>
      </c>
    </row>
    <row r="93" customFormat="false" ht="15" hidden="false" customHeight="false" outlineLevel="0" collapsed="false">
      <c r="M93" s="0" t="str">
        <f aca="false">IF(CSV貼付A!$N93="","",IF(COUNTIF(CSV貼付A!$N$5:$N93,CSV貼付A!$N93)&gt;1,"",MAX($M$4:M92)+1))</f>
        <v/>
      </c>
      <c r="N93" s="0" t="str">
        <f aca="false">IFERROR(INDEX(CSV貼付A!$N$5:$N$1004,MATCH(ROW()-4,$M$5:$M$1004,0)),"")</f>
        <v/>
      </c>
      <c r="O93" s="0" t="str">
        <f aca="false">IF(CSV貼付B!$N93="","",IF(COUNTIF(CSV貼付B!$N$5:$N93,CSV貼付B!$N93)&gt;1,"",MAX($O$4:O92)+1))</f>
        <v/>
      </c>
      <c r="P93" s="0" t="str">
        <f aca="false">IFERROR(INDEX(CSV貼付B!$N$5:$N$1004,MATCH(ROW()-4,$O$5:$O$1004,0)),"")</f>
        <v/>
      </c>
      <c r="Q93" s="0" t="str">
        <f aca="false">IF(ROW()-4&lt;=MAX($M$5:$M$1004),IFERROR(INDEX($N$5:$N$404,ROW()-4),""),IFERROR(INDEX($P$5:$P$404,ROW()-4-MAX($M$5:$M$1004)),""))</f>
        <v/>
      </c>
    </row>
    <row r="94" customFormat="false" ht="15" hidden="false" customHeight="false" outlineLevel="0" collapsed="false">
      <c r="M94" s="0" t="str">
        <f aca="false">IF(CSV貼付A!$N94="","",IF(COUNTIF(CSV貼付A!$N$5:$N94,CSV貼付A!$N94)&gt;1,"",MAX($M$4:M93)+1))</f>
        <v/>
      </c>
      <c r="N94" s="0" t="str">
        <f aca="false">IFERROR(INDEX(CSV貼付A!$N$5:$N$1004,MATCH(ROW()-4,$M$5:$M$1004,0)),"")</f>
        <v/>
      </c>
      <c r="O94" s="0" t="str">
        <f aca="false">IF(CSV貼付B!$N94="","",IF(COUNTIF(CSV貼付B!$N$5:$N94,CSV貼付B!$N94)&gt;1,"",MAX($O$4:O93)+1))</f>
        <v/>
      </c>
      <c r="P94" s="0" t="str">
        <f aca="false">IFERROR(INDEX(CSV貼付B!$N$5:$N$1004,MATCH(ROW()-4,$O$5:$O$1004,0)),"")</f>
        <v/>
      </c>
      <c r="Q94" s="0" t="str">
        <f aca="false">IF(ROW()-4&lt;=MAX($M$5:$M$1004),IFERROR(INDEX($N$5:$N$404,ROW()-4),""),IFERROR(INDEX($P$5:$P$404,ROW()-4-MAX($M$5:$M$1004)),""))</f>
        <v/>
      </c>
    </row>
    <row r="95" customFormat="false" ht="15" hidden="false" customHeight="false" outlineLevel="0" collapsed="false">
      <c r="M95" s="0" t="str">
        <f aca="false">IF(CSV貼付A!$N95="","",IF(COUNTIF(CSV貼付A!$N$5:$N95,CSV貼付A!$N95)&gt;1,"",MAX($M$4:M94)+1))</f>
        <v/>
      </c>
      <c r="N95" s="0" t="str">
        <f aca="false">IFERROR(INDEX(CSV貼付A!$N$5:$N$1004,MATCH(ROW()-4,$M$5:$M$1004,0)),"")</f>
        <v/>
      </c>
      <c r="O95" s="0" t="str">
        <f aca="false">IF(CSV貼付B!$N95="","",IF(COUNTIF(CSV貼付B!$N$5:$N95,CSV貼付B!$N95)&gt;1,"",MAX($O$4:O94)+1))</f>
        <v/>
      </c>
      <c r="P95" s="0" t="str">
        <f aca="false">IFERROR(INDEX(CSV貼付B!$N$5:$N$1004,MATCH(ROW()-4,$O$5:$O$1004,0)),"")</f>
        <v/>
      </c>
      <c r="Q95" s="0" t="str">
        <f aca="false">IF(ROW()-4&lt;=MAX($M$5:$M$1004),IFERROR(INDEX($N$5:$N$404,ROW()-4),""),IFERROR(INDEX($P$5:$P$404,ROW()-4-MAX($M$5:$M$1004)),""))</f>
        <v/>
      </c>
    </row>
    <row r="96" customFormat="false" ht="15" hidden="false" customHeight="false" outlineLevel="0" collapsed="false">
      <c r="M96" s="0" t="str">
        <f aca="false">IF(CSV貼付A!$N96="","",IF(COUNTIF(CSV貼付A!$N$5:$N96,CSV貼付A!$N96)&gt;1,"",MAX($M$4:M95)+1))</f>
        <v/>
      </c>
      <c r="N96" s="0" t="str">
        <f aca="false">IFERROR(INDEX(CSV貼付A!$N$5:$N$1004,MATCH(ROW()-4,$M$5:$M$1004,0)),"")</f>
        <v/>
      </c>
      <c r="O96" s="0" t="str">
        <f aca="false">IF(CSV貼付B!$N96="","",IF(COUNTIF(CSV貼付B!$N$5:$N96,CSV貼付B!$N96)&gt;1,"",MAX($O$4:O95)+1))</f>
        <v/>
      </c>
      <c r="P96" s="0" t="str">
        <f aca="false">IFERROR(INDEX(CSV貼付B!$N$5:$N$1004,MATCH(ROW()-4,$O$5:$O$1004,0)),"")</f>
        <v/>
      </c>
      <c r="Q96" s="0" t="str">
        <f aca="false">IF(ROW()-4&lt;=MAX($M$5:$M$1004),IFERROR(INDEX($N$5:$N$404,ROW()-4),""),IFERROR(INDEX($P$5:$P$404,ROW()-4-MAX($M$5:$M$1004)),""))</f>
        <v/>
      </c>
    </row>
    <row r="97" customFormat="false" ht="15" hidden="false" customHeight="false" outlineLevel="0" collapsed="false">
      <c r="M97" s="0" t="str">
        <f aca="false">IF(CSV貼付A!$N97="","",IF(COUNTIF(CSV貼付A!$N$5:$N97,CSV貼付A!$N97)&gt;1,"",MAX($M$4:M96)+1))</f>
        <v/>
      </c>
      <c r="N97" s="0" t="str">
        <f aca="false">IFERROR(INDEX(CSV貼付A!$N$5:$N$1004,MATCH(ROW()-4,$M$5:$M$1004,0)),"")</f>
        <v/>
      </c>
      <c r="O97" s="0" t="str">
        <f aca="false">IF(CSV貼付B!$N97="","",IF(COUNTIF(CSV貼付B!$N$5:$N97,CSV貼付B!$N97)&gt;1,"",MAX($O$4:O96)+1))</f>
        <v/>
      </c>
      <c r="P97" s="0" t="str">
        <f aca="false">IFERROR(INDEX(CSV貼付B!$N$5:$N$1004,MATCH(ROW()-4,$O$5:$O$1004,0)),"")</f>
        <v/>
      </c>
      <c r="Q97" s="0" t="str">
        <f aca="false">IF(ROW()-4&lt;=MAX($M$5:$M$1004),IFERROR(INDEX($N$5:$N$404,ROW()-4),""),IFERROR(INDEX($P$5:$P$404,ROW()-4-MAX($M$5:$M$1004)),""))</f>
        <v/>
      </c>
    </row>
    <row r="98" customFormat="false" ht="15" hidden="false" customHeight="false" outlineLevel="0" collapsed="false">
      <c r="M98" s="0" t="str">
        <f aca="false">IF(CSV貼付A!$N98="","",IF(COUNTIF(CSV貼付A!$N$5:$N98,CSV貼付A!$N98)&gt;1,"",MAX($M$4:M97)+1))</f>
        <v/>
      </c>
      <c r="N98" s="0" t="str">
        <f aca="false">IFERROR(INDEX(CSV貼付A!$N$5:$N$1004,MATCH(ROW()-4,$M$5:$M$1004,0)),"")</f>
        <v/>
      </c>
      <c r="O98" s="0" t="str">
        <f aca="false">IF(CSV貼付B!$N98="","",IF(COUNTIF(CSV貼付B!$N$5:$N98,CSV貼付B!$N98)&gt;1,"",MAX($O$4:O97)+1))</f>
        <v/>
      </c>
      <c r="P98" s="0" t="str">
        <f aca="false">IFERROR(INDEX(CSV貼付B!$N$5:$N$1004,MATCH(ROW()-4,$O$5:$O$1004,0)),"")</f>
        <v/>
      </c>
      <c r="Q98" s="0" t="str">
        <f aca="false">IF(ROW()-4&lt;=MAX($M$5:$M$1004),IFERROR(INDEX($N$5:$N$404,ROW()-4),""),IFERROR(INDEX($P$5:$P$404,ROW()-4-MAX($M$5:$M$1004)),""))</f>
        <v/>
      </c>
    </row>
    <row r="99" customFormat="false" ht="15" hidden="false" customHeight="false" outlineLevel="0" collapsed="false">
      <c r="M99" s="0" t="str">
        <f aca="false">IF(CSV貼付A!$N99="","",IF(COUNTIF(CSV貼付A!$N$5:$N99,CSV貼付A!$N99)&gt;1,"",MAX($M$4:M98)+1))</f>
        <v/>
      </c>
      <c r="N99" s="0" t="str">
        <f aca="false">IFERROR(INDEX(CSV貼付A!$N$5:$N$1004,MATCH(ROW()-4,$M$5:$M$1004,0)),"")</f>
        <v/>
      </c>
      <c r="O99" s="0" t="str">
        <f aca="false">IF(CSV貼付B!$N99="","",IF(COUNTIF(CSV貼付B!$N$5:$N99,CSV貼付B!$N99)&gt;1,"",MAX($O$4:O98)+1))</f>
        <v/>
      </c>
      <c r="P99" s="0" t="str">
        <f aca="false">IFERROR(INDEX(CSV貼付B!$N$5:$N$1004,MATCH(ROW()-4,$O$5:$O$1004,0)),"")</f>
        <v/>
      </c>
      <c r="Q99" s="0" t="str">
        <f aca="false">IF(ROW()-4&lt;=MAX($M$5:$M$1004),IFERROR(INDEX($N$5:$N$404,ROW()-4),""),IFERROR(INDEX($P$5:$P$404,ROW()-4-MAX($M$5:$M$1004)),""))</f>
        <v/>
      </c>
    </row>
    <row r="100" customFormat="false" ht="15" hidden="false" customHeight="false" outlineLevel="0" collapsed="false">
      <c r="M100" s="0" t="str">
        <f aca="false">IF(CSV貼付A!$N100="","",IF(COUNTIF(CSV貼付A!$N$5:$N100,CSV貼付A!$N100)&gt;1,"",MAX($M$4:M99)+1))</f>
        <v/>
      </c>
      <c r="N100" s="0" t="str">
        <f aca="false">IFERROR(INDEX(CSV貼付A!$N$5:$N$1004,MATCH(ROW()-4,$M$5:$M$1004,0)),"")</f>
        <v/>
      </c>
      <c r="O100" s="0" t="str">
        <f aca="false">IF(CSV貼付B!$N100="","",IF(COUNTIF(CSV貼付B!$N$5:$N100,CSV貼付B!$N100)&gt;1,"",MAX($O$4:O99)+1))</f>
        <v/>
      </c>
      <c r="P100" s="0" t="str">
        <f aca="false">IFERROR(INDEX(CSV貼付B!$N$5:$N$1004,MATCH(ROW()-4,$O$5:$O$1004,0)),"")</f>
        <v/>
      </c>
      <c r="Q100" s="0" t="str">
        <f aca="false">IF(ROW()-4&lt;=MAX($M$5:$M$1004),IFERROR(INDEX($N$5:$N$404,ROW()-4),""),IFERROR(INDEX($P$5:$P$404,ROW()-4-MAX($M$5:$M$1004)),""))</f>
        <v/>
      </c>
    </row>
    <row r="101" customFormat="false" ht="15" hidden="false" customHeight="false" outlineLevel="0" collapsed="false">
      <c r="M101" s="0" t="str">
        <f aca="false">IF(CSV貼付A!$N101="","",IF(COUNTIF(CSV貼付A!$N$5:$N101,CSV貼付A!$N101)&gt;1,"",MAX($M$4:M100)+1))</f>
        <v/>
      </c>
      <c r="N101" s="0" t="str">
        <f aca="false">IFERROR(INDEX(CSV貼付A!$N$5:$N$1004,MATCH(ROW()-4,$M$5:$M$1004,0)),"")</f>
        <v/>
      </c>
      <c r="O101" s="0" t="str">
        <f aca="false">IF(CSV貼付B!$N101="","",IF(COUNTIF(CSV貼付B!$N$5:$N101,CSV貼付B!$N101)&gt;1,"",MAX($O$4:O100)+1))</f>
        <v/>
      </c>
      <c r="P101" s="0" t="str">
        <f aca="false">IFERROR(INDEX(CSV貼付B!$N$5:$N$1004,MATCH(ROW()-4,$O$5:$O$1004,0)),"")</f>
        <v/>
      </c>
      <c r="Q101" s="0" t="str">
        <f aca="false">IF(ROW()-4&lt;=MAX($M$5:$M$1004),IFERROR(INDEX($N$5:$N$404,ROW()-4),""),IFERROR(INDEX($P$5:$P$404,ROW()-4-MAX($M$5:$M$1004)),""))</f>
        <v/>
      </c>
    </row>
    <row r="102" customFormat="false" ht="15" hidden="false" customHeight="false" outlineLevel="0" collapsed="false">
      <c r="M102" s="0" t="str">
        <f aca="false">IF(CSV貼付A!$N102="","",IF(COUNTIF(CSV貼付A!$N$5:$N102,CSV貼付A!$N102)&gt;1,"",MAX($M$4:M101)+1))</f>
        <v/>
      </c>
      <c r="N102" s="0" t="str">
        <f aca="false">IFERROR(INDEX(CSV貼付A!$N$5:$N$1004,MATCH(ROW()-4,$M$5:$M$1004,0)),"")</f>
        <v/>
      </c>
      <c r="O102" s="0" t="str">
        <f aca="false">IF(CSV貼付B!$N102="","",IF(COUNTIF(CSV貼付B!$N$5:$N102,CSV貼付B!$N102)&gt;1,"",MAX($O$4:O101)+1))</f>
        <v/>
      </c>
      <c r="P102" s="0" t="str">
        <f aca="false">IFERROR(INDEX(CSV貼付B!$N$5:$N$1004,MATCH(ROW()-4,$O$5:$O$1004,0)),"")</f>
        <v/>
      </c>
      <c r="Q102" s="0" t="str">
        <f aca="false">IF(ROW()-4&lt;=MAX($M$5:$M$1004),IFERROR(INDEX($N$5:$N$404,ROW()-4),""),IFERROR(INDEX($P$5:$P$404,ROW()-4-MAX($M$5:$M$1004)),""))</f>
        <v/>
      </c>
    </row>
    <row r="103" customFormat="false" ht="15" hidden="false" customHeight="false" outlineLevel="0" collapsed="false">
      <c r="M103" s="0" t="str">
        <f aca="false">IF(CSV貼付A!$N103="","",IF(COUNTIF(CSV貼付A!$N$5:$N103,CSV貼付A!$N103)&gt;1,"",MAX($M$4:M102)+1))</f>
        <v/>
      </c>
      <c r="N103" s="0" t="str">
        <f aca="false">IFERROR(INDEX(CSV貼付A!$N$5:$N$1004,MATCH(ROW()-4,$M$5:$M$1004,0)),"")</f>
        <v/>
      </c>
      <c r="O103" s="0" t="str">
        <f aca="false">IF(CSV貼付B!$N103="","",IF(COUNTIF(CSV貼付B!$N$5:$N103,CSV貼付B!$N103)&gt;1,"",MAX($O$4:O102)+1))</f>
        <v/>
      </c>
      <c r="P103" s="0" t="str">
        <f aca="false">IFERROR(INDEX(CSV貼付B!$N$5:$N$1004,MATCH(ROW()-4,$O$5:$O$1004,0)),"")</f>
        <v/>
      </c>
      <c r="Q103" s="0" t="str">
        <f aca="false">IF(ROW()-4&lt;=MAX($M$5:$M$1004),IFERROR(INDEX($N$5:$N$404,ROW()-4),""),IFERROR(INDEX($P$5:$P$404,ROW()-4-MAX($M$5:$M$1004)),""))</f>
        <v/>
      </c>
    </row>
    <row r="104" customFormat="false" ht="15" hidden="false" customHeight="false" outlineLevel="0" collapsed="false">
      <c r="M104" s="0" t="str">
        <f aca="false">IF(CSV貼付A!$N104="","",IF(COUNTIF(CSV貼付A!$N$5:$N104,CSV貼付A!$N104)&gt;1,"",MAX($M$4:M103)+1))</f>
        <v/>
      </c>
      <c r="N104" s="0" t="str">
        <f aca="false">IFERROR(INDEX(CSV貼付A!$N$5:$N$1004,MATCH(ROW()-4,$M$5:$M$1004,0)),"")</f>
        <v/>
      </c>
      <c r="O104" s="0" t="str">
        <f aca="false">IF(CSV貼付B!$N104="","",IF(COUNTIF(CSV貼付B!$N$5:$N104,CSV貼付B!$N104)&gt;1,"",MAX($O$4:O103)+1))</f>
        <v/>
      </c>
      <c r="P104" s="0" t="str">
        <f aca="false">IFERROR(INDEX(CSV貼付B!$N$5:$N$1004,MATCH(ROW()-4,$O$5:$O$1004,0)),"")</f>
        <v/>
      </c>
      <c r="Q104" s="0" t="str">
        <f aca="false">IF(ROW()-4&lt;=MAX($M$5:$M$1004),IFERROR(INDEX($N$5:$N$404,ROW()-4),""),IFERROR(INDEX($P$5:$P$404,ROW()-4-MAX($M$5:$M$1004)),""))</f>
        <v/>
      </c>
    </row>
    <row r="105" customFormat="false" ht="15" hidden="false" customHeight="false" outlineLevel="0" collapsed="false">
      <c r="M105" s="0" t="str">
        <f aca="false">IF(CSV貼付A!$N105="","",IF(COUNTIF(CSV貼付A!$N$5:$N105,CSV貼付A!$N105)&gt;1,"",MAX($M$4:M104)+1))</f>
        <v/>
      </c>
      <c r="N105" s="0" t="str">
        <f aca="false">IFERROR(INDEX(CSV貼付A!$N$5:$N$1004,MATCH(ROW()-4,$M$5:$M$1004,0)),"")</f>
        <v/>
      </c>
      <c r="O105" s="0" t="str">
        <f aca="false">IF(CSV貼付B!$N105="","",IF(COUNTIF(CSV貼付B!$N$5:$N105,CSV貼付B!$N105)&gt;1,"",MAX($O$4:O104)+1))</f>
        <v/>
      </c>
      <c r="P105" s="0" t="str">
        <f aca="false">IFERROR(INDEX(CSV貼付B!$N$5:$N$1004,MATCH(ROW()-4,$O$5:$O$1004,0)),"")</f>
        <v/>
      </c>
      <c r="Q105" s="0" t="str">
        <f aca="false">IF(ROW()-4&lt;=MAX($M$5:$M$1004),IFERROR(INDEX($N$5:$N$404,ROW()-4),""),IFERROR(INDEX($P$5:$P$404,ROW()-4-MAX($M$5:$M$1004)),""))</f>
        <v/>
      </c>
    </row>
    <row r="106" customFormat="false" ht="15" hidden="false" customHeight="false" outlineLevel="0" collapsed="false">
      <c r="M106" s="0" t="str">
        <f aca="false">IF(CSV貼付A!$N106="","",IF(COUNTIF(CSV貼付A!$N$5:$N106,CSV貼付A!$N106)&gt;1,"",MAX($M$4:M105)+1))</f>
        <v/>
      </c>
      <c r="N106" s="0" t="str">
        <f aca="false">IFERROR(INDEX(CSV貼付A!$N$5:$N$1004,MATCH(ROW()-4,$M$5:$M$1004,0)),"")</f>
        <v/>
      </c>
      <c r="O106" s="0" t="str">
        <f aca="false">IF(CSV貼付B!$N106="","",IF(COUNTIF(CSV貼付B!$N$5:$N106,CSV貼付B!$N106)&gt;1,"",MAX($O$4:O105)+1))</f>
        <v/>
      </c>
      <c r="P106" s="0" t="str">
        <f aca="false">IFERROR(INDEX(CSV貼付B!$N$5:$N$1004,MATCH(ROW()-4,$O$5:$O$1004,0)),"")</f>
        <v/>
      </c>
      <c r="Q106" s="0" t="str">
        <f aca="false">IF(ROW()-4&lt;=MAX($M$5:$M$1004),IFERROR(INDEX($N$5:$N$404,ROW()-4),""),IFERROR(INDEX($P$5:$P$404,ROW()-4-MAX($M$5:$M$1004)),""))</f>
        <v/>
      </c>
    </row>
    <row r="107" customFormat="false" ht="15" hidden="false" customHeight="false" outlineLevel="0" collapsed="false">
      <c r="M107" s="0" t="str">
        <f aca="false">IF(CSV貼付A!$N107="","",IF(COUNTIF(CSV貼付A!$N$5:$N107,CSV貼付A!$N107)&gt;1,"",MAX($M$4:M106)+1))</f>
        <v/>
      </c>
      <c r="N107" s="0" t="str">
        <f aca="false">IFERROR(INDEX(CSV貼付A!$N$5:$N$1004,MATCH(ROW()-4,$M$5:$M$1004,0)),"")</f>
        <v/>
      </c>
      <c r="O107" s="0" t="str">
        <f aca="false">IF(CSV貼付B!$N107="","",IF(COUNTIF(CSV貼付B!$N$5:$N107,CSV貼付B!$N107)&gt;1,"",MAX($O$4:O106)+1))</f>
        <v/>
      </c>
      <c r="P107" s="0" t="str">
        <f aca="false">IFERROR(INDEX(CSV貼付B!$N$5:$N$1004,MATCH(ROW()-4,$O$5:$O$1004,0)),"")</f>
        <v/>
      </c>
      <c r="Q107" s="0" t="str">
        <f aca="false">IF(ROW()-4&lt;=MAX($M$5:$M$1004),IFERROR(INDEX($N$5:$N$404,ROW()-4),""),IFERROR(INDEX($P$5:$P$404,ROW()-4-MAX($M$5:$M$1004)),""))</f>
        <v/>
      </c>
    </row>
    <row r="108" customFormat="false" ht="15" hidden="false" customHeight="false" outlineLevel="0" collapsed="false">
      <c r="M108" s="0" t="str">
        <f aca="false">IF(CSV貼付A!$N108="","",IF(COUNTIF(CSV貼付A!$N$5:$N108,CSV貼付A!$N108)&gt;1,"",MAX($M$4:M107)+1))</f>
        <v/>
      </c>
      <c r="N108" s="0" t="str">
        <f aca="false">IFERROR(INDEX(CSV貼付A!$N$5:$N$1004,MATCH(ROW()-4,$M$5:$M$1004,0)),"")</f>
        <v/>
      </c>
      <c r="O108" s="0" t="str">
        <f aca="false">IF(CSV貼付B!$N108="","",IF(COUNTIF(CSV貼付B!$N$5:$N108,CSV貼付B!$N108)&gt;1,"",MAX($O$4:O107)+1))</f>
        <v/>
      </c>
      <c r="P108" s="0" t="str">
        <f aca="false">IFERROR(INDEX(CSV貼付B!$N$5:$N$1004,MATCH(ROW()-4,$O$5:$O$1004,0)),"")</f>
        <v/>
      </c>
      <c r="Q108" s="0" t="str">
        <f aca="false">IF(ROW()-4&lt;=MAX($M$5:$M$1004),IFERROR(INDEX($N$5:$N$404,ROW()-4),""),IFERROR(INDEX($P$5:$P$404,ROW()-4-MAX($M$5:$M$1004)),""))</f>
        <v/>
      </c>
    </row>
    <row r="109" customFormat="false" ht="15" hidden="false" customHeight="false" outlineLevel="0" collapsed="false">
      <c r="M109" s="0" t="str">
        <f aca="false">IF(CSV貼付A!$N109="","",IF(COUNTIF(CSV貼付A!$N$5:$N109,CSV貼付A!$N109)&gt;1,"",MAX($M$4:M108)+1))</f>
        <v/>
      </c>
      <c r="N109" s="0" t="str">
        <f aca="false">IFERROR(INDEX(CSV貼付A!$N$5:$N$1004,MATCH(ROW()-4,$M$5:$M$1004,0)),"")</f>
        <v/>
      </c>
      <c r="O109" s="0" t="str">
        <f aca="false">IF(CSV貼付B!$N109="","",IF(COUNTIF(CSV貼付B!$N$5:$N109,CSV貼付B!$N109)&gt;1,"",MAX($O$4:O108)+1))</f>
        <v/>
      </c>
      <c r="P109" s="0" t="str">
        <f aca="false">IFERROR(INDEX(CSV貼付B!$N$5:$N$1004,MATCH(ROW()-4,$O$5:$O$1004,0)),"")</f>
        <v/>
      </c>
      <c r="Q109" s="0" t="str">
        <f aca="false">IF(ROW()-4&lt;=MAX($M$5:$M$1004),IFERROR(INDEX($N$5:$N$404,ROW()-4),""),IFERROR(INDEX($P$5:$P$404,ROW()-4-MAX($M$5:$M$1004)),""))</f>
        <v/>
      </c>
    </row>
    <row r="110" customFormat="false" ht="15" hidden="false" customHeight="false" outlineLevel="0" collapsed="false">
      <c r="M110" s="0" t="str">
        <f aca="false">IF(CSV貼付A!$N110="","",IF(COUNTIF(CSV貼付A!$N$5:$N110,CSV貼付A!$N110)&gt;1,"",MAX($M$4:M109)+1))</f>
        <v/>
      </c>
      <c r="N110" s="0" t="str">
        <f aca="false">IFERROR(INDEX(CSV貼付A!$N$5:$N$1004,MATCH(ROW()-4,$M$5:$M$1004,0)),"")</f>
        <v/>
      </c>
      <c r="O110" s="0" t="str">
        <f aca="false">IF(CSV貼付B!$N110="","",IF(COUNTIF(CSV貼付B!$N$5:$N110,CSV貼付B!$N110)&gt;1,"",MAX($O$4:O109)+1))</f>
        <v/>
      </c>
      <c r="P110" s="0" t="str">
        <f aca="false">IFERROR(INDEX(CSV貼付B!$N$5:$N$1004,MATCH(ROW()-4,$O$5:$O$1004,0)),"")</f>
        <v/>
      </c>
      <c r="Q110" s="0" t="str">
        <f aca="false">IF(ROW()-4&lt;=MAX($M$5:$M$1004),IFERROR(INDEX($N$5:$N$404,ROW()-4),""),IFERROR(INDEX($P$5:$P$404,ROW()-4-MAX($M$5:$M$1004)),""))</f>
        <v/>
      </c>
    </row>
    <row r="111" customFormat="false" ht="15" hidden="false" customHeight="false" outlineLevel="0" collapsed="false">
      <c r="M111" s="0" t="str">
        <f aca="false">IF(CSV貼付A!$N111="","",IF(COUNTIF(CSV貼付A!$N$5:$N111,CSV貼付A!$N111)&gt;1,"",MAX($M$4:M110)+1))</f>
        <v/>
      </c>
      <c r="N111" s="0" t="str">
        <f aca="false">IFERROR(INDEX(CSV貼付A!$N$5:$N$1004,MATCH(ROW()-4,$M$5:$M$1004,0)),"")</f>
        <v/>
      </c>
      <c r="O111" s="0" t="str">
        <f aca="false">IF(CSV貼付B!$N111="","",IF(COUNTIF(CSV貼付B!$N$5:$N111,CSV貼付B!$N111)&gt;1,"",MAX($O$4:O110)+1))</f>
        <v/>
      </c>
      <c r="P111" s="0" t="str">
        <f aca="false">IFERROR(INDEX(CSV貼付B!$N$5:$N$1004,MATCH(ROW()-4,$O$5:$O$1004,0)),"")</f>
        <v/>
      </c>
      <c r="Q111" s="0" t="str">
        <f aca="false">IF(ROW()-4&lt;=MAX($M$5:$M$1004),IFERROR(INDEX($N$5:$N$404,ROW()-4),""),IFERROR(INDEX($P$5:$P$404,ROW()-4-MAX($M$5:$M$1004)),""))</f>
        <v/>
      </c>
    </row>
    <row r="112" customFormat="false" ht="15" hidden="false" customHeight="false" outlineLevel="0" collapsed="false">
      <c r="M112" s="0" t="str">
        <f aca="false">IF(CSV貼付A!$N112="","",IF(COUNTIF(CSV貼付A!$N$5:$N112,CSV貼付A!$N112)&gt;1,"",MAX($M$4:M111)+1))</f>
        <v/>
      </c>
      <c r="N112" s="0" t="str">
        <f aca="false">IFERROR(INDEX(CSV貼付A!$N$5:$N$1004,MATCH(ROW()-4,$M$5:$M$1004,0)),"")</f>
        <v/>
      </c>
      <c r="O112" s="0" t="str">
        <f aca="false">IF(CSV貼付B!$N112="","",IF(COUNTIF(CSV貼付B!$N$5:$N112,CSV貼付B!$N112)&gt;1,"",MAX($O$4:O111)+1))</f>
        <v/>
      </c>
      <c r="P112" s="0" t="str">
        <f aca="false">IFERROR(INDEX(CSV貼付B!$N$5:$N$1004,MATCH(ROW()-4,$O$5:$O$1004,0)),"")</f>
        <v/>
      </c>
      <c r="Q112" s="0" t="str">
        <f aca="false">IF(ROW()-4&lt;=MAX($M$5:$M$1004),IFERROR(INDEX($N$5:$N$404,ROW()-4),""),IFERROR(INDEX($P$5:$P$404,ROW()-4-MAX($M$5:$M$1004)),""))</f>
        <v/>
      </c>
    </row>
    <row r="113" customFormat="false" ht="15" hidden="false" customHeight="false" outlineLevel="0" collapsed="false">
      <c r="M113" s="0" t="str">
        <f aca="false">IF(CSV貼付A!$N113="","",IF(COUNTIF(CSV貼付A!$N$5:$N113,CSV貼付A!$N113)&gt;1,"",MAX($M$4:M112)+1))</f>
        <v/>
      </c>
      <c r="N113" s="0" t="str">
        <f aca="false">IFERROR(INDEX(CSV貼付A!$N$5:$N$1004,MATCH(ROW()-4,$M$5:$M$1004,0)),"")</f>
        <v/>
      </c>
      <c r="O113" s="0" t="str">
        <f aca="false">IF(CSV貼付B!$N113="","",IF(COUNTIF(CSV貼付B!$N$5:$N113,CSV貼付B!$N113)&gt;1,"",MAX($O$4:O112)+1))</f>
        <v/>
      </c>
      <c r="P113" s="0" t="str">
        <f aca="false">IFERROR(INDEX(CSV貼付B!$N$5:$N$1004,MATCH(ROW()-4,$O$5:$O$1004,0)),"")</f>
        <v/>
      </c>
      <c r="Q113" s="0" t="str">
        <f aca="false">IF(ROW()-4&lt;=MAX($M$5:$M$1004),IFERROR(INDEX($N$5:$N$404,ROW()-4),""),IFERROR(INDEX($P$5:$P$404,ROW()-4-MAX($M$5:$M$1004)),""))</f>
        <v/>
      </c>
    </row>
    <row r="114" customFormat="false" ht="15" hidden="false" customHeight="false" outlineLevel="0" collapsed="false">
      <c r="M114" s="0" t="str">
        <f aca="false">IF(CSV貼付A!$N114="","",IF(COUNTIF(CSV貼付A!$N$5:$N114,CSV貼付A!$N114)&gt;1,"",MAX($M$4:M113)+1))</f>
        <v/>
      </c>
      <c r="N114" s="0" t="str">
        <f aca="false">IFERROR(INDEX(CSV貼付A!$N$5:$N$1004,MATCH(ROW()-4,$M$5:$M$1004,0)),"")</f>
        <v/>
      </c>
      <c r="O114" s="0" t="str">
        <f aca="false">IF(CSV貼付B!$N114="","",IF(COUNTIF(CSV貼付B!$N$5:$N114,CSV貼付B!$N114)&gt;1,"",MAX($O$4:O113)+1))</f>
        <v/>
      </c>
      <c r="P114" s="0" t="str">
        <f aca="false">IFERROR(INDEX(CSV貼付B!$N$5:$N$1004,MATCH(ROW()-4,$O$5:$O$1004,0)),"")</f>
        <v/>
      </c>
      <c r="Q114" s="0" t="str">
        <f aca="false">IF(ROW()-4&lt;=MAX($M$5:$M$1004),IFERROR(INDEX($N$5:$N$404,ROW()-4),""),IFERROR(INDEX($P$5:$P$404,ROW()-4-MAX($M$5:$M$1004)),""))</f>
        <v/>
      </c>
    </row>
    <row r="115" customFormat="false" ht="15" hidden="false" customHeight="false" outlineLevel="0" collapsed="false">
      <c r="M115" s="0" t="str">
        <f aca="false">IF(CSV貼付A!$N115="","",IF(COUNTIF(CSV貼付A!$N$5:$N115,CSV貼付A!$N115)&gt;1,"",MAX($M$4:M114)+1))</f>
        <v/>
      </c>
      <c r="N115" s="0" t="str">
        <f aca="false">IFERROR(INDEX(CSV貼付A!$N$5:$N$1004,MATCH(ROW()-4,$M$5:$M$1004,0)),"")</f>
        <v/>
      </c>
      <c r="O115" s="0" t="str">
        <f aca="false">IF(CSV貼付B!$N115="","",IF(COUNTIF(CSV貼付B!$N$5:$N115,CSV貼付B!$N115)&gt;1,"",MAX($O$4:O114)+1))</f>
        <v/>
      </c>
      <c r="P115" s="0" t="str">
        <f aca="false">IFERROR(INDEX(CSV貼付B!$N$5:$N$1004,MATCH(ROW()-4,$O$5:$O$1004,0)),"")</f>
        <v/>
      </c>
      <c r="Q115" s="0" t="str">
        <f aca="false">IF(ROW()-4&lt;=MAX($M$5:$M$1004),IFERROR(INDEX($N$5:$N$404,ROW()-4),""),IFERROR(INDEX($P$5:$P$404,ROW()-4-MAX($M$5:$M$1004)),""))</f>
        <v/>
      </c>
    </row>
    <row r="116" customFormat="false" ht="15" hidden="false" customHeight="false" outlineLevel="0" collapsed="false">
      <c r="M116" s="0" t="str">
        <f aca="false">IF(CSV貼付A!$N116="","",IF(COUNTIF(CSV貼付A!$N$5:$N116,CSV貼付A!$N116)&gt;1,"",MAX($M$4:M115)+1))</f>
        <v/>
      </c>
      <c r="N116" s="0" t="str">
        <f aca="false">IFERROR(INDEX(CSV貼付A!$N$5:$N$1004,MATCH(ROW()-4,$M$5:$M$1004,0)),"")</f>
        <v/>
      </c>
      <c r="O116" s="0" t="str">
        <f aca="false">IF(CSV貼付B!$N116="","",IF(COUNTIF(CSV貼付B!$N$5:$N116,CSV貼付B!$N116)&gt;1,"",MAX($O$4:O115)+1))</f>
        <v/>
      </c>
      <c r="P116" s="0" t="str">
        <f aca="false">IFERROR(INDEX(CSV貼付B!$N$5:$N$1004,MATCH(ROW()-4,$O$5:$O$1004,0)),"")</f>
        <v/>
      </c>
      <c r="Q116" s="0" t="str">
        <f aca="false">IF(ROW()-4&lt;=MAX($M$5:$M$1004),IFERROR(INDEX($N$5:$N$404,ROW()-4),""),IFERROR(INDEX($P$5:$P$404,ROW()-4-MAX($M$5:$M$1004)),""))</f>
        <v/>
      </c>
    </row>
    <row r="117" customFormat="false" ht="15" hidden="false" customHeight="false" outlineLevel="0" collapsed="false">
      <c r="M117" s="0" t="str">
        <f aca="false">IF(CSV貼付A!$N117="","",IF(COUNTIF(CSV貼付A!$N$5:$N117,CSV貼付A!$N117)&gt;1,"",MAX($M$4:M116)+1))</f>
        <v/>
      </c>
      <c r="N117" s="0" t="str">
        <f aca="false">IFERROR(INDEX(CSV貼付A!$N$5:$N$1004,MATCH(ROW()-4,$M$5:$M$1004,0)),"")</f>
        <v/>
      </c>
      <c r="O117" s="0" t="str">
        <f aca="false">IF(CSV貼付B!$N117="","",IF(COUNTIF(CSV貼付B!$N$5:$N117,CSV貼付B!$N117)&gt;1,"",MAX($O$4:O116)+1))</f>
        <v/>
      </c>
      <c r="P117" s="0" t="str">
        <f aca="false">IFERROR(INDEX(CSV貼付B!$N$5:$N$1004,MATCH(ROW()-4,$O$5:$O$1004,0)),"")</f>
        <v/>
      </c>
      <c r="Q117" s="0" t="str">
        <f aca="false">IF(ROW()-4&lt;=MAX($M$5:$M$1004),IFERROR(INDEX($N$5:$N$404,ROW()-4),""),IFERROR(INDEX($P$5:$P$404,ROW()-4-MAX($M$5:$M$1004)),""))</f>
        <v/>
      </c>
    </row>
    <row r="118" customFormat="false" ht="15" hidden="false" customHeight="false" outlineLevel="0" collapsed="false">
      <c r="M118" s="0" t="str">
        <f aca="false">IF(CSV貼付A!$N118="","",IF(COUNTIF(CSV貼付A!$N$5:$N118,CSV貼付A!$N118)&gt;1,"",MAX($M$4:M117)+1))</f>
        <v/>
      </c>
      <c r="N118" s="0" t="str">
        <f aca="false">IFERROR(INDEX(CSV貼付A!$N$5:$N$1004,MATCH(ROW()-4,$M$5:$M$1004,0)),"")</f>
        <v/>
      </c>
      <c r="O118" s="0" t="str">
        <f aca="false">IF(CSV貼付B!$N118="","",IF(COUNTIF(CSV貼付B!$N$5:$N118,CSV貼付B!$N118)&gt;1,"",MAX($O$4:O117)+1))</f>
        <v/>
      </c>
      <c r="P118" s="0" t="str">
        <f aca="false">IFERROR(INDEX(CSV貼付B!$N$5:$N$1004,MATCH(ROW()-4,$O$5:$O$1004,0)),"")</f>
        <v/>
      </c>
      <c r="Q118" s="0" t="str">
        <f aca="false">IF(ROW()-4&lt;=MAX($M$5:$M$1004),IFERROR(INDEX($N$5:$N$404,ROW()-4),""),IFERROR(INDEX($P$5:$P$404,ROW()-4-MAX($M$5:$M$1004)),""))</f>
        <v/>
      </c>
    </row>
    <row r="119" customFormat="false" ht="15" hidden="false" customHeight="false" outlineLevel="0" collapsed="false">
      <c r="M119" s="0" t="str">
        <f aca="false">IF(CSV貼付A!$N119="","",IF(COUNTIF(CSV貼付A!$N$5:$N119,CSV貼付A!$N119)&gt;1,"",MAX($M$4:M118)+1))</f>
        <v/>
      </c>
      <c r="N119" s="0" t="str">
        <f aca="false">IFERROR(INDEX(CSV貼付A!$N$5:$N$1004,MATCH(ROW()-4,$M$5:$M$1004,0)),"")</f>
        <v/>
      </c>
      <c r="O119" s="0" t="str">
        <f aca="false">IF(CSV貼付B!$N119="","",IF(COUNTIF(CSV貼付B!$N$5:$N119,CSV貼付B!$N119)&gt;1,"",MAX($O$4:O118)+1))</f>
        <v/>
      </c>
      <c r="P119" s="0" t="str">
        <f aca="false">IFERROR(INDEX(CSV貼付B!$N$5:$N$1004,MATCH(ROW()-4,$O$5:$O$1004,0)),"")</f>
        <v/>
      </c>
      <c r="Q119" s="0" t="str">
        <f aca="false">IF(ROW()-4&lt;=MAX($M$5:$M$1004),IFERROR(INDEX($N$5:$N$404,ROW()-4),""),IFERROR(INDEX($P$5:$P$404,ROW()-4-MAX($M$5:$M$1004)),""))</f>
        <v/>
      </c>
    </row>
    <row r="120" customFormat="false" ht="15" hidden="false" customHeight="false" outlineLevel="0" collapsed="false">
      <c r="M120" s="0" t="str">
        <f aca="false">IF(CSV貼付A!$N120="","",IF(COUNTIF(CSV貼付A!$N$5:$N120,CSV貼付A!$N120)&gt;1,"",MAX($M$4:M119)+1))</f>
        <v/>
      </c>
      <c r="N120" s="0" t="str">
        <f aca="false">IFERROR(INDEX(CSV貼付A!$N$5:$N$1004,MATCH(ROW()-4,$M$5:$M$1004,0)),"")</f>
        <v/>
      </c>
      <c r="O120" s="0" t="str">
        <f aca="false">IF(CSV貼付B!$N120="","",IF(COUNTIF(CSV貼付B!$N$5:$N120,CSV貼付B!$N120)&gt;1,"",MAX($O$4:O119)+1))</f>
        <v/>
      </c>
      <c r="P120" s="0" t="str">
        <f aca="false">IFERROR(INDEX(CSV貼付B!$N$5:$N$1004,MATCH(ROW()-4,$O$5:$O$1004,0)),"")</f>
        <v/>
      </c>
      <c r="Q120" s="0" t="str">
        <f aca="false">IF(ROW()-4&lt;=MAX($M$5:$M$1004),IFERROR(INDEX($N$5:$N$404,ROW()-4),""),IFERROR(INDEX($P$5:$P$404,ROW()-4-MAX($M$5:$M$1004)),""))</f>
        <v/>
      </c>
    </row>
    <row r="121" customFormat="false" ht="15" hidden="false" customHeight="false" outlineLevel="0" collapsed="false">
      <c r="M121" s="0" t="str">
        <f aca="false">IF(CSV貼付A!$N121="","",IF(COUNTIF(CSV貼付A!$N$5:$N121,CSV貼付A!$N121)&gt;1,"",MAX($M$4:M120)+1))</f>
        <v/>
      </c>
      <c r="N121" s="0" t="str">
        <f aca="false">IFERROR(INDEX(CSV貼付A!$N$5:$N$1004,MATCH(ROW()-4,$M$5:$M$1004,0)),"")</f>
        <v/>
      </c>
      <c r="O121" s="0" t="str">
        <f aca="false">IF(CSV貼付B!$N121="","",IF(COUNTIF(CSV貼付B!$N$5:$N121,CSV貼付B!$N121)&gt;1,"",MAX($O$4:O120)+1))</f>
        <v/>
      </c>
      <c r="P121" s="0" t="str">
        <f aca="false">IFERROR(INDEX(CSV貼付B!$N$5:$N$1004,MATCH(ROW()-4,$O$5:$O$1004,0)),"")</f>
        <v/>
      </c>
      <c r="Q121" s="0" t="str">
        <f aca="false">IF(ROW()-4&lt;=MAX($M$5:$M$1004),IFERROR(INDEX($N$5:$N$404,ROW()-4),""),IFERROR(INDEX($P$5:$P$404,ROW()-4-MAX($M$5:$M$1004)),""))</f>
        <v/>
      </c>
    </row>
    <row r="122" customFormat="false" ht="15" hidden="false" customHeight="false" outlineLevel="0" collapsed="false">
      <c r="M122" s="0" t="str">
        <f aca="false">IF(CSV貼付A!$N122="","",IF(COUNTIF(CSV貼付A!$N$5:$N122,CSV貼付A!$N122)&gt;1,"",MAX($M$4:M121)+1))</f>
        <v/>
      </c>
      <c r="N122" s="0" t="str">
        <f aca="false">IFERROR(INDEX(CSV貼付A!$N$5:$N$1004,MATCH(ROW()-4,$M$5:$M$1004,0)),"")</f>
        <v/>
      </c>
      <c r="O122" s="0" t="str">
        <f aca="false">IF(CSV貼付B!$N122="","",IF(COUNTIF(CSV貼付B!$N$5:$N122,CSV貼付B!$N122)&gt;1,"",MAX($O$4:O121)+1))</f>
        <v/>
      </c>
      <c r="P122" s="0" t="str">
        <f aca="false">IFERROR(INDEX(CSV貼付B!$N$5:$N$1004,MATCH(ROW()-4,$O$5:$O$1004,0)),"")</f>
        <v/>
      </c>
      <c r="Q122" s="0" t="str">
        <f aca="false">IF(ROW()-4&lt;=MAX($M$5:$M$1004),IFERROR(INDEX($N$5:$N$404,ROW()-4),""),IFERROR(INDEX($P$5:$P$404,ROW()-4-MAX($M$5:$M$1004)),""))</f>
        <v/>
      </c>
    </row>
    <row r="123" customFormat="false" ht="15" hidden="false" customHeight="false" outlineLevel="0" collapsed="false">
      <c r="M123" s="0" t="str">
        <f aca="false">IF(CSV貼付A!$N123="","",IF(COUNTIF(CSV貼付A!$N$5:$N123,CSV貼付A!$N123)&gt;1,"",MAX($M$4:M122)+1))</f>
        <v/>
      </c>
      <c r="N123" s="0" t="str">
        <f aca="false">IFERROR(INDEX(CSV貼付A!$N$5:$N$1004,MATCH(ROW()-4,$M$5:$M$1004,0)),"")</f>
        <v/>
      </c>
      <c r="O123" s="0" t="str">
        <f aca="false">IF(CSV貼付B!$N123="","",IF(COUNTIF(CSV貼付B!$N$5:$N123,CSV貼付B!$N123)&gt;1,"",MAX($O$4:O122)+1))</f>
        <v/>
      </c>
      <c r="P123" s="0" t="str">
        <f aca="false">IFERROR(INDEX(CSV貼付B!$N$5:$N$1004,MATCH(ROW()-4,$O$5:$O$1004,0)),"")</f>
        <v/>
      </c>
      <c r="Q123" s="0" t="str">
        <f aca="false">IF(ROW()-4&lt;=MAX($M$5:$M$1004),IFERROR(INDEX($N$5:$N$404,ROW()-4),""),IFERROR(INDEX($P$5:$P$404,ROW()-4-MAX($M$5:$M$1004)),""))</f>
        <v/>
      </c>
    </row>
    <row r="124" customFormat="false" ht="15" hidden="false" customHeight="false" outlineLevel="0" collapsed="false">
      <c r="M124" s="0" t="str">
        <f aca="false">IF(CSV貼付A!$N124="","",IF(COUNTIF(CSV貼付A!$N$5:$N124,CSV貼付A!$N124)&gt;1,"",MAX($M$4:M123)+1))</f>
        <v/>
      </c>
      <c r="N124" s="0" t="str">
        <f aca="false">IFERROR(INDEX(CSV貼付A!$N$5:$N$1004,MATCH(ROW()-4,$M$5:$M$1004,0)),"")</f>
        <v/>
      </c>
      <c r="O124" s="0" t="str">
        <f aca="false">IF(CSV貼付B!$N124="","",IF(COUNTIF(CSV貼付B!$N$5:$N124,CSV貼付B!$N124)&gt;1,"",MAX($O$4:O123)+1))</f>
        <v/>
      </c>
      <c r="P124" s="0" t="str">
        <f aca="false">IFERROR(INDEX(CSV貼付B!$N$5:$N$1004,MATCH(ROW()-4,$O$5:$O$1004,0)),"")</f>
        <v/>
      </c>
      <c r="Q124" s="0" t="str">
        <f aca="false">IF(ROW()-4&lt;=MAX($M$5:$M$1004),IFERROR(INDEX($N$5:$N$404,ROW()-4),""),IFERROR(INDEX($P$5:$P$404,ROW()-4-MAX($M$5:$M$1004)),""))</f>
        <v/>
      </c>
    </row>
    <row r="125" customFormat="false" ht="15" hidden="false" customHeight="false" outlineLevel="0" collapsed="false">
      <c r="M125" s="0" t="str">
        <f aca="false">IF(CSV貼付A!$N125="","",IF(COUNTIF(CSV貼付A!$N$5:$N125,CSV貼付A!$N125)&gt;1,"",MAX($M$4:M124)+1))</f>
        <v/>
      </c>
      <c r="N125" s="0" t="str">
        <f aca="false">IFERROR(INDEX(CSV貼付A!$N$5:$N$1004,MATCH(ROW()-4,$M$5:$M$1004,0)),"")</f>
        <v/>
      </c>
      <c r="O125" s="0" t="str">
        <f aca="false">IF(CSV貼付B!$N125="","",IF(COUNTIF(CSV貼付B!$N$5:$N125,CSV貼付B!$N125)&gt;1,"",MAX($O$4:O124)+1))</f>
        <v/>
      </c>
      <c r="P125" s="0" t="str">
        <f aca="false">IFERROR(INDEX(CSV貼付B!$N$5:$N$1004,MATCH(ROW()-4,$O$5:$O$1004,0)),"")</f>
        <v/>
      </c>
      <c r="Q125" s="0" t="str">
        <f aca="false">IF(ROW()-4&lt;=MAX($M$5:$M$1004),IFERROR(INDEX($N$5:$N$404,ROW()-4),""),IFERROR(INDEX($P$5:$P$404,ROW()-4-MAX($M$5:$M$1004)),""))</f>
        <v/>
      </c>
    </row>
    <row r="126" customFormat="false" ht="15" hidden="false" customHeight="false" outlineLevel="0" collapsed="false">
      <c r="M126" s="0" t="str">
        <f aca="false">IF(CSV貼付A!$N126="","",IF(COUNTIF(CSV貼付A!$N$5:$N126,CSV貼付A!$N126)&gt;1,"",MAX($M$4:M125)+1))</f>
        <v/>
      </c>
      <c r="N126" s="0" t="str">
        <f aca="false">IFERROR(INDEX(CSV貼付A!$N$5:$N$1004,MATCH(ROW()-4,$M$5:$M$1004,0)),"")</f>
        <v/>
      </c>
      <c r="O126" s="0" t="str">
        <f aca="false">IF(CSV貼付B!$N126="","",IF(COUNTIF(CSV貼付B!$N$5:$N126,CSV貼付B!$N126)&gt;1,"",MAX($O$4:O125)+1))</f>
        <v/>
      </c>
      <c r="P126" s="0" t="str">
        <f aca="false">IFERROR(INDEX(CSV貼付B!$N$5:$N$1004,MATCH(ROW()-4,$O$5:$O$1004,0)),"")</f>
        <v/>
      </c>
      <c r="Q126" s="0" t="str">
        <f aca="false">IF(ROW()-4&lt;=MAX($M$5:$M$1004),IFERROR(INDEX($N$5:$N$404,ROW()-4),""),IFERROR(INDEX($P$5:$P$404,ROW()-4-MAX($M$5:$M$1004)),""))</f>
        <v/>
      </c>
    </row>
    <row r="127" customFormat="false" ht="15" hidden="false" customHeight="false" outlineLevel="0" collapsed="false">
      <c r="M127" s="0" t="str">
        <f aca="false">IF(CSV貼付A!$N127="","",IF(COUNTIF(CSV貼付A!$N$5:$N127,CSV貼付A!$N127)&gt;1,"",MAX($M$4:M126)+1))</f>
        <v/>
      </c>
      <c r="N127" s="0" t="str">
        <f aca="false">IFERROR(INDEX(CSV貼付A!$N$5:$N$1004,MATCH(ROW()-4,$M$5:$M$1004,0)),"")</f>
        <v/>
      </c>
      <c r="O127" s="0" t="str">
        <f aca="false">IF(CSV貼付B!$N127="","",IF(COUNTIF(CSV貼付B!$N$5:$N127,CSV貼付B!$N127)&gt;1,"",MAX($O$4:O126)+1))</f>
        <v/>
      </c>
      <c r="P127" s="0" t="str">
        <f aca="false">IFERROR(INDEX(CSV貼付B!$N$5:$N$1004,MATCH(ROW()-4,$O$5:$O$1004,0)),"")</f>
        <v/>
      </c>
      <c r="Q127" s="0" t="str">
        <f aca="false">IF(ROW()-4&lt;=MAX($M$5:$M$1004),IFERROR(INDEX($N$5:$N$404,ROW()-4),""),IFERROR(INDEX($P$5:$P$404,ROW()-4-MAX($M$5:$M$1004)),""))</f>
        <v/>
      </c>
    </row>
    <row r="128" customFormat="false" ht="15" hidden="false" customHeight="false" outlineLevel="0" collapsed="false">
      <c r="M128" s="0" t="str">
        <f aca="false">IF(CSV貼付A!$N128="","",IF(COUNTIF(CSV貼付A!$N$5:$N128,CSV貼付A!$N128)&gt;1,"",MAX($M$4:M127)+1))</f>
        <v/>
      </c>
      <c r="N128" s="0" t="str">
        <f aca="false">IFERROR(INDEX(CSV貼付A!$N$5:$N$1004,MATCH(ROW()-4,$M$5:$M$1004,0)),"")</f>
        <v/>
      </c>
      <c r="O128" s="0" t="str">
        <f aca="false">IF(CSV貼付B!$N128="","",IF(COUNTIF(CSV貼付B!$N$5:$N128,CSV貼付B!$N128)&gt;1,"",MAX($O$4:O127)+1))</f>
        <v/>
      </c>
      <c r="P128" s="0" t="str">
        <f aca="false">IFERROR(INDEX(CSV貼付B!$N$5:$N$1004,MATCH(ROW()-4,$O$5:$O$1004,0)),"")</f>
        <v/>
      </c>
      <c r="Q128" s="0" t="str">
        <f aca="false">IF(ROW()-4&lt;=MAX($M$5:$M$1004),IFERROR(INDEX($N$5:$N$404,ROW()-4),""),IFERROR(INDEX($P$5:$P$404,ROW()-4-MAX($M$5:$M$1004)),""))</f>
        <v/>
      </c>
    </row>
    <row r="129" customFormat="false" ht="15" hidden="false" customHeight="false" outlineLevel="0" collapsed="false">
      <c r="M129" s="0" t="str">
        <f aca="false">IF(CSV貼付A!$N129="","",IF(COUNTIF(CSV貼付A!$N$5:$N129,CSV貼付A!$N129)&gt;1,"",MAX($M$4:M128)+1))</f>
        <v/>
      </c>
      <c r="N129" s="0" t="str">
        <f aca="false">IFERROR(INDEX(CSV貼付A!$N$5:$N$1004,MATCH(ROW()-4,$M$5:$M$1004,0)),"")</f>
        <v/>
      </c>
      <c r="O129" s="0" t="str">
        <f aca="false">IF(CSV貼付B!$N129="","",IF(COUNTIF(CSV貼付B!$N$5:$N129,CSV貼付B!$N129)&gt;1,"",MAX($O$4:O128)+1))</f>
        <v/>
      </c>
      <c r="P129" s="0" t="str">
        <f aca="false">IFERROR(INDEX(CSV貼付B!$N$5:$N$1004,MATCH(ROW()-4,$O$5:$O$1004,0)),"")</f>
        <v/>
      </c>
      <c r="Q129" s="0" t="str">
        <f aca="false">IF(ROW()-4&lt;=MAX($M$5:$M$1004),IFERROR(INDEX($N$5:$N$404,ROW()-4),""),IFERROR(INDEX($P$5:$P$404,ROW()-4-MAX($M$5:$M$1004)),""))</f>
        <v/>
      </c>
    </row>
    <row r="130" customFormat="false" ht="15" hidden="false" customHeight="false" outlineLevel="0" collapsed="false">
      <c r="M130" s="0" t="str">
        <f aca="false">IF(CSV貼付A!$N130="","",IF(COUNTIF(CSV貼付A!$N$5:$N130,CSV貼付A!$N130)&gt;1,"",MAX($M$4:M129)+1))</f>
        <v/>
      </c>
      <c r="N130" s="0" t="str">
        <f aca="false">IFERROR(INDEX(CSV貼付A!$N$5:$N$1004,MATCH(ROW()-4,$M$5:$M$1004,0)),"")</f>
        <v/>
      </c>
      <c r="O130" s="0" t="str">
        <f aca="false">IF(CSV貼付B!$N130="","",IF(COUNTIF(CSV貼付B!$N$5:$N130,CSV貼付B!$N130)&gt;1,"",MAX($O$4:O129)+1))</f>
        <v/>
      </c>
      <c r="P130" s="0" t="str">
        <f aca="false">IFERROR(INDEX(CSV貼付B!$N$5:$N$1004,MATCH(ROW()-4,$O$5:$O$1004,0)),"")</f>
        <v/>
      </c>
      <c r="Q130" s="0" t="str">
        <f aca="false">IF(ROW()-4&lt;=MAX($M$5:$M$1004),IFERROR(INDEX($N$5:$N$404,ROW()-4),""),IFERROR(INDEX($P$5:$P$404,ROW()-4-MAX($M$5:$M$1004)),""))</f>
        <v/>
      </c>
    </row>
    <row r="131" customFormat="false" ht="15" hidden="false" customHeight="false" outlineLevel="0" collapsed="false">
      <c r="M131" s="0" t="str">
        <f aca="false">IF(CSV貼付A!$N131="","",IF(COUNTIF(CSV貼付A!$N$5:$N131,CSV貼付A!$N131)&gt;1,"",MAX($M$4:M130)+1))</f>
        <v/>
      </c>
      <c r="N131" s="0" t="str">
        <f aca="false">IFERROR(INDEX(CSV貼付A!$N$5:$N$1004,MATCH(ROW()-4,$M$5:$M$1004,0)),"")</f>
        <v/>
      </c>
      <c r="O131" s="0" t="str">
        <f aca="false">IF(CSV貼付B!$N131="","",IF(COUNTIF(CSV貼付B!$N$5:$N131,CSV貼付B!$N131)&gt;1,"",MAX($O$4:O130)+1))</f>
        <v/>
      </c>
      <c r="P131" s="0" t="str">
        <f aca="false">IFERROR(INDEX(CSV貼付B!$N$5:$N$1004,MATCH(ROW()-4,$O$5:$O$1004,0)),"")</f>
        <v/>
      </c>
      <c r="Q131" s="0" t="str">
        <f aca="false">IF(ROW()-4&lt;=MAX($M$5:$M$1004),IFERROR(INDEX($N$5:$N$404,ROW()-4),""),IFERROR(INDEX($P$5:$P$404,ROW()-4-MAX($M$5:$M$1004)),""))</f>
        <v/>
      </c>
    </row>
    <row r="132" customFormat="false" ht="15" hidden="false" customHeight="false" outlineLevel="0" collapsed="false">
      <c r="M132" s="0" t="str">
        <f aca="false">IF(CSV貼付A!$N132="","",IF(COUNTIF(CSV貼付A!$N$5:$N132,CSV貼付A!$N132)&gt;1,"",MAX($M$4:M131)+1))</f>
        <v/>
      </c>
      <c r="N132" s="0" t="str">
        <f aca="false">IFERROR(INDEX(CSV貼付A!$N$5:$N$1004,MATCH(ROW()-4,$M$5:$M$1004,0)),"")</f>
        <v/>
      </c>
      <c r="O132" s="0" t="str">
        <f aca="false">IF(CSV貼付B!$N132="","",IF(COUNTIF(CSV貼付B!$N$5:$N132,CSV貼付B!$N132)&gt;1,"",MAX($O$4:O131)+1))</f>
        <v/>
      </c>
      <c r="P132" s="0" t="str">
        <f aca="false">IFERROR(INDEX(CSV貼付B!$N$5:$N$1004,MATCH(ROW()-4,$O$5:$O$1004,0)),"")</f>
        <v/>
      </c>
      <c r="Q132" s="0" t="str">
        <f aca="false">IF(ROW()-4&lt;=MAX($M$5:$M$1004),IFERROR(INDEX($N$5:$N$404,ROW()-4),""),IFERROR(INDEX($P$5:$P$404,ROW()-4-MAX($M$5:$M$1004)),""))</f>
        <v/>
      </c>
    </row>
    <row r="133" customFormat="false" ht="15" hidden="false" customHeight="false" outlineLevel="0" collapsed="false">
      <c r="M133" s="0" t="str">
        <f aca="false">IF(CSV貼付A!$N133="","",IF(COUNTIF(CSV貼付A!$N$5:$N133,CSV貼付A!$N133)&gt;1,"",MAX($M$4:M132)+1))</f>
        <v/>
      </c>
      <c r="N133" s="0" t="str">
        <f aca="false">IFERROR(INDEX(CSV貼付A!$N$5:$N$1004,MATCH(ROW()-4,$M$5:$M$1004,0)),"")</f>
        <v/>
      </c>
      <c r="O133" s="0" t="str">
        <f aca="false">IF(CSV貼付B!$N133="","",IF(COUNTIF(CSV貼付B!$N$5:$N133,CSV貼付B!$N133)&gt;1,"",MAX($O$4:O132)+1))</f>
        <v/>
      </c>
      <c r="P133" s="0" t="str">
        <f aca="false">IFERROR(INDEX(CSV貼付B!$N$5:$N$1004,MATCH(ROW()-4,$O$5:$O$1004,0)),"")</f>
        <v/>
      </c>
      <c r="Q133" s="0" t="str">
        <f aca="false">IF(ROW()-4&lt;=MAX($M$5:$M$1004),IFERROR(INDEX($N$5:$N$404,ROW()-4),""),IFERROR(INDEX($P$5:$P$404,ROW()-4-MAX($M$5:$M$1004)),""))</f>
        <v/>
      </c>
    </row>
    <row r="134" customFormat="false" ht="15" hidden="false" customHeight="false" outlineLevel="0" collapsed="false">
      <c r="M134" s="0" t="str">
        <f aca="false">IF(CSV貼付A!$N134="","",IF(COUNTIF(CSV貼付A!$N$5:$N134,CSV貼付A!$N134)&gt;1,"",MAX($M$4:M133)+1))</f>
        <v/>
      </c>
      <c r="N134" s="0" t="str">
        <f aca="false">IFERROR(INDEX(CSV貼付A!$N$5:$N$1004,MATCH(ROW()-4,$M$5:$M$1004,0)),"")</f>
        <v/>
      </c>
      <c r="O134" s="0" t="str">
        <f aca="false">IF(CSV貼付B!$N134="","",IF(COUNTIF(CSV貼付B!$N$5:$N134,CSV貼付B!$N134)&gt;1,"",MAX($O$4:O133)+1))</f>
        <v/>
      </c>
      <c r="P134" s="0" t="str">
        <f aca="false">IFERROR(INDEX(CSV貼付B!$N$5:$N$1004,MATCH(ROW()-4,$O$5:$O$1004,0)),"")</f>
        <v/>
      </c>
      <c r="Q134" s="0" t="str">
        <f aca="false">IF(ROW()-4&lt;=MAX($M$5:$M$1004),IFERROR(INDEX($N$5:$N$404,ROW()-4),""),IFERROR(INDEX($P$5:$P$404,ROW()-4-MAX($M$5:$M$1004)),""))</f>
        <v/>
      </c>
    </row>
    <row r="135" customFormat="false" ht="15" hidden="false" customHeight="false" outlineLevel="0" collapsed="false">
      <c r="M135" s="0" t="str">
        <f aca="false">IF(CSV貼付A!$N135="","",IF(COUNTIF(CSV貼付A!$N$5:$N135,CSV貼付A!$N135)&gt;1,"",MAX($M$4:M134)+1))</f>
        <v/>
      </c>
      <c r="N135" s="0" t="str">
        <f aca="false">IFERROR(INDEX(CSV貼付A!$N$5:$N$1004,MATCH(ROW()-4,$M$5:$M$1004,0)),"")</f>
        <v/>
      </c>
      <c r="O135" s="0" t="str">
        <f aca="false">IF(CSV貼付B!$N135="","",IF(COUNTIF(CSV貼付B!$N$5:$N135,CSV貼付B!$N135)&gt;1,"",MAX($O$4:O134)+1))</f>
        <v/>
      </c>
      <c r="P135" s="0" t="str">
        <f aca="false">IFERROR(INDEX(CSV貼付B!$N$5:$N$1004,MATCH(ROW()-4,$O$5:$O$1004,0)),"")</f>
        <v/>
      </c>
      <c r="Q135" s="0" t="str">
        <f aca="false">IF(ROW()-4&lt;=MAX($M$5:$M$1004),IFERROR(INDEX($N$5:$N$404,ROW()-4),""),IFERROR(INDEX($P$5:$P$404,ROW()-4-MAX($M$5:$M$1004)),""))</f>
        <v/>
      </c>
    </row>
    <row r="136" customFormat="false" ht="15" hidden="false" customHeight="false" outlineLevel="0" collapsed="false">
      <c r="M136" s="0" t="str">
        <f aca="false">IF(CSV貼付A!$N136="","",IF(COUNTIF(CSV貼付A!$N$5:$N136,CSV貼付A!$N136)&gt;1,"",MAX($M$4:M135)+1))</f>
        <v/>
      </c>
      <c r="N136" s="0" t="str">
        <f aca="false">IFERROR(INDEX(CSV貼付A!$N$5:$N$1004,MATCH(ROW()-4,$M$5:$M$1004,0)),"")</f>
        <v/>
      </c>
      <c r="O136" s="0" t="str">
        <f aca="false">IF(CSV貼付B!$N136="","",IF(COUNTIF(CSV貼付B!$N$5:$N136,CSV貼付B!$N136)&gt;1,"",MAX($O$4:O135)+1))</f>
        <v/>
      </c>
      <c r="P136" s="0" t="str">
        <f aca="false">IFERROR(INDEX(CSV貼付B!$N$5:$N$1004,MATCH(ROW()-4,$O$5:$O$1004,0)),"")</f>
        <v/>
      </c>
      <c r="Q136" s="0" t="str">
        <f aca="false">IF(ROW()-4&lt;=MAX($M$5:$M$1004),IFERROR(INDEX($N$5:$N$404,ROW()-4),""),IFERROR(INDEX($P$5:$P$404,ROW()-4-MAX($M$5:$M$1004)),""))</f>
        <v/>
      </c>
    </row>
    <row r="137" customFormat="false" ht="15" hidden="false" customHeight="false" outlineLevel="0" collapsed="false">
      <c r="M137" s="0" t="str">
        <f aca="false">IF(CSV貼付A!$N137="","",IF(COUNTIF(CSV貼付A!$N$5:$N137,CSV貼付A!$N137)&gt;1,"",MAX($M$4:M136)+1))</f>
        <v/>
      </c>
      <c r="N137" s="0" t="str">
        <f aca="false">IFERROR(INDEX(CSV貼付A!$N$5:$N$1004,MATCH(ROW()-4,$M$5:$M$1004,0)),"")</f>
        <v/>
      </c>
      <c r="O137" s="0" t="str">
        <f aca="false">IF(CSV貼付B!$N137="","",IF(COUNTIF(CSV貼付B!$N$5:$N137,CSV貼付B!$N137)&gt;1,"",MAX($O$4:O136)+1))</f>
        <v/>
      </c>
      <c r="P137" s="0" t="str">
        <f aca="false">IFERROR(INDEX(CSV貼付B!$N$5:$N$1004,MATCH(ROW()-4,$O$5:$O$1004,0)),"")</f>
        <v/>
      </c>
      <c r="Q137" s="0" t="str">
        <f aca="false">IF(ROW()-4&lt;=MAX($M$5:$M$1004),IFERROR(INDEX($N$5:$N$404,ROW()-4),""),IFERROR(INDEX($P$5:$P$404,ROW()-4-MAX($M$5:$M$1004)),""))</f>
        <v/>
      </c>
    </row>
    <row r="138" customFormat="false" ht="15" hidden="false" customHeight="false" outlineLevel="0" collapsed="false">
      <c r="M138" s="0" t="str">
        <f aca="false">IF(CSV貼付A!$N138="","",IF(COUNTIF(CSV貼付A!$N$5:$N138,CSV貼付A!$N138)&gt;1,"",MAX($M$4:M137)+1))</f>
        <v/>
      </c>
      <c r="N138" s="0" t="str">
        <f aca="false">IFERROR(INDEX(CSV貼付A!$N$5:$N$1004,MATCH(ROW()-4,$M$5:$M$1004,0)),"")</f>
        <v/>
      </c>
      <c r="O138" s="0" t="str">
        <f aca="false">IF(CSV貼付B!$N138="","",IF(COUNTIF(CSV貼付B!$N$5:$N138,CSV貼付B!$N138)&gt;1,"",MAX($O$4:O137)+1))</f>
        <v/>
      </c>
      <c r="P138" s="0" t="str">
        <f aca="false">IFERROR(INDEX(CSV貼付B!$N$5:$N$1004,MATCH(ROW()-4,$O$5:$O$1004,0)),"")</f>
        <v/>
      </c>
      <c r="Q138" s="0" t="str">
        <f aca="false">IF(ROW()-4&lt;=MAX($M$5:$M$1004),IFERROR(INDEX($N$5:$N$404,ROW()-4),""),IFERROR(INDEX($P$5:$P$404,ROW()-4-MAX($M$5:$M$1004)),""))</f>
        <v/>
      </c>
    </row>
    <row r="139" customFormat="false" ht="15" hidden="false" customHeight="false" outlineLevel="0" collapsed="false">
      <c r="M139" s="0" t="str">
        <f aca="false">IF(CSV貼付A!$N139="","",IF(COUNTIF(CSV貼付A!$N$5:$N139,CSV貼付A!$N139)&gt;1,"",MAX($M$4:M138)+1))</f>
        <v/>
      </c>
      <c r="N139" s="0" t="str">
        <f aca="false">IFERROR(INDEX(CSV貼付A!$N$5:$N$1004,MATCH(ROW()-4,$M$5:$M$1004,0)),"")</f>
        <v/>
      </c>
      <c r="O139" s="0" t="str">
        <f aca="false">IF(CSV貼付B!$N139="","",IF(COUNTIF(CSV貼付B!$N$5:$N139,CSV貼付B!$N139)&gt;1,"",MAX($O$4:O138)+1))</f>
        <v/>
      </c>
      <c r="P139" s="0" t="str">
        <f aca="false">IFERROR(INDEX(CSV貼付B!$N$5:$N$1004,MATCH(ROW()-4,$O$5:$O$1004,0)),"")</f>
        <v/>
      </c>
      <c r="Q139" s="0" t="str">
        <f aca="false">IF(ROW()-4&lt;=MAX($M$5:$M$1004),IFERROR(INDEX($N$5:$N$404,ROW()-4),""),IFERROR(INDEX($P$5:$P$404,ROW()-4-MAX($M$5:$M$1004)),""))</f>
        <v/>
      </c>
    </row>
    <row r="140" customFormat="false" ht="15" hidden="false" customHeight="false" outlineLevel="0" collapsed="false">
      <c r="M140" s="0" t="str">
        <f aca="false">IF(CSV貼付A!$N140="","",IF(COUNTIF(CSV貼付A!$N$5:$N140,CSV貼付A!$N140)&gt;1,"",MAX($M$4:M139)+1))</f>
        <v/>
      </c>
      <c r="N140" s="0" t="str">
        <f aca="false">IFERROR(INDEX(CSV貼付A!$N$5:$N$1004,MATCH(ROW()-4,$M$5:$M$1004,0)),"")</f>
        <v/>
      </c>
      <c r="O140" s="0" t="str">
        <f aca="false">IF(CSV貼付B!$N140="","",IF(COUNTIF(CSV貼付B!$N$5:$N140,CSV貼付B!$N140)&gt;1,"",MAX($O$4:O139)+1))</f>
        <v/>
      </c>
      <c r="P140" s="0" t="str">
        <f aca="false">IFERROR(INDEX(CSV貼付B!$N$5:$N$1004,MATCH(ROW()-4,$O$5:$O$1004,0)),"")</f>
        <v/>
      </c>
      <c r="Q140" s="0" t="str">
        <f aca="false">IF(ROW()-4&lt;=MAX($M$5:$M$1004),IFERROR(INDEX($N$5:$N$404,ROW()-4),""),IFERROR(INDEX($P$5:$P$404,ROW()-4-MAX($M$5:$M$1004)),""))</f>
        <v/>
      </c>
    </row>
    <row r="141" customFormat="false" ht="15" hidden="false" customHeight="false" outlineLevel="0" collapsed="false">
      <c r="M141" s="0" t="str">
        <f aca="false">IF(CSV貼付A!$N141="","",IF(COUNTIF(CSV貼付A!$N$5:$N141,CSV貼付A!$N141)&gt;1,"",MAX($M$4:M140)+1))</f>
        <v/>
      </c>
      <c r="N141" s="0" t="str">
        <f aca="false">IFERROR(INDEX(CSV貼付A!$N$5:$N$1004,MATCH(ROW()-4,$M$5:$M$1004,0)),"")</f>
        <v/>
      </c>
      <c r="O141" s="0" t="str">
        <f aca="false">IF(CSV貼付B!$N141="","",IF(COUNTIF(CSV貼付B!$N$5:$N141,CSV貼付B!$N141)&gt;1,"",MAX($O$4:O140)+1))</f>
        <v/>
      </c>
      <c r="P141" s="0" t="str">
        <f aca="false">IFERROR(INDEX(CSV貼付B!$N$5:$N$1004,MATCH(ROW()-4,$O$5:$O$1004,0)),"")</f>
        <v/>
      </c>
      <c r="Q141" s="0" t="str">
        <f aca="false">IF(ROW()-4&lt;=MAX($M$5:$M$1004),IFERROR(INDEX($N$5:$N$404,ROW()-4),""),IFERROR(INDEX($P$5:$P$404,ROW()-4-MAX($M$5:$M$1004)),""))</f>
        <v/>
      </c>
    </row>
    <row r="142" customFormat="false" ht="15" hidden="false" customHeight="false" outlineLevel="0" collapsed="false">
      <c r="M142" s="0" t="str">
        <f aca="false">IF(CSV貼付A!$N142="","",IF(COUNTIF(CSV貼付A!$N$5:$N142,CSV貼付A!$N142)&gt;1,"",MAX($M$4:M141)+1))</f>
        <v/>
      </c>
      <c r="N142" s="0" t="str">
        <f aca="false">IFERROR(INDEX(CSV貼付A!$N$5:$N$1004,MATCH(ROW()-4,$M$5:$M$1004,0)),"")</f>
        <v/>
      </c>
      <c r="O142" s="0" t="str">
        <f aca="false">IF(CSV貼付B!$N142="","",IF(COUNTIF(CSV貼付B!$N$5:$N142,CSV貼付B!$N142)&gt;1,"",MAX($O$4:O141)+1))</f>
        <v/>
      </c>
      <c r="P142" s="0" t="str">
        <f aca="false">IFERROR(INDEX(CSV貼付B!$N$5:$N$1004,MATCH(ROW()-4,$O$5:$O$1004,0)),"")</f>
        <v/>
      </c>
      <c r="Q142" s="0" t="str">
        <f aca="false">IF(ROW()-4&lt;=MAX($M$5:$M$1004),IFERROR(INDEX($N$5:$N$404,ROW()-4),""),IFERROR(INDEX($P$5:$P$404,ROW()-4-MAX($M$5:$M$1004)),""))</f>
        <v/>
      </c>
    </row>
    <row r="143" customFormat="false" ht="15" hidden="false" customHeight="false" outlineLevel="0" collapsed="false">
      <c r="M143" s="0" t="str">
        <f aca="false">IF(CSV貼付A!$N143="","",IF(COUNTIF(CSV貼付A!$N$5:$N143,CSV貼付A!$N143)&gt;1,"",MAX($M$4:M142)+1))</f>
        <v/>
      </c>
      <c r="N143" s="0" t="str">
        <f aca="false">IFERROR(INDEX(CSV貼付A!$N$5:$N$1004,MATCH(ROW()-4,$M$5:$M$1004,0)),"")</f>
        <v/>
      </c>
      <c r="O143" s="0" t="str">
        <f aca="false">IF(CSV貼付B!$N143="","",IF(COUNTIF(CSV貼付B!$N$5:$N143,CSV貼付B!$N143)&gt;1,"",MAX($O$4:O142)+1))</f>
        <v/>
      </c>
      <c r="P143" s="0" t="str">
        <f aca="false">IFERROR(INDEX(CSV貼付B!$N$5:$N$1004,MATCH(ROW()-4,$O$5:$O$1004,0)),"")</f>
        <v/>
      </c>
      <c r="Q143" s="0" t="str">
        <f aca="false">IF(ROW()-4&lt;=MAX($M$5:$M$1004),IFERROR(INDEX($N$5:$N$404,ROW()-4),""),IFERROR(INDEX($P$5:$P$404,ROW()-4-MAX($M$5:$M$1004)),""))</f>
        <v/>
      </c>
    </row>
    <row r="144" customFormat="false" ht="15" hidden="false" customHeight="false" outlineLevel="0" collapsed="false">
      <c r="M144" s="0" t="str">
        <f aca="false">IF(CSV貼付A!$N144="","",IF(COUNTIF(CSV貼付A!$N$5:$N144,CSV貼付A!$N144)&gt;1,"",MAX($M$4:M143)+1))</f>
        <v/>
      </c>
      <c r="N144" s="0" t="str">
        <f aca="false">IFERROR(INDEX(CSV貼付A!$N$5:$N$1004,MATCH(ROW()-4,$M$5:$M$1004,0)),"")</f>
        <v/>
      </c>
      <c r="O144" s="0" t="str">
        <f aca="false">IF(CSV貼付B!$N144="","",IF(COUNTIF(CSV貼付B!$N$5:$N144,CSV貼付B!$N144)&gt;1,"",MAX($O$4:O143)+1))</f>
        <v/>
      </c>
      <c r="P144" s="0" t="str">
        <f aca="false">IFERROR(INDEX(CSV貼付B!$N$5:$N$1004,MATCH(ROW()-4,$O$5:$O$1004,0)),"")</f>
        <v/>
      </c>
      <c r="Q144" s="0" t="str">
        <f aca="false">IF(ROW()-4&lt;=MAX($M$5:$M$1004),IFERROR(INDEX($N$5:$N$404,ROW()-4),""),IFERROR(INDEX($P$5:$P$404,ROW()-4-MAX($M$5:$M$1004)),""))</f>
        <v/>
      </c>
    </row>
    <row r="145" customFormat="false" ht="15" hidden="false" customHeight="false" outlineLevel="0" collapsed="false">
      <c r="M145" s="0" t="str">
        <f aca="false">IF(CSV貼付A!$N145="","",IF(COUNTIF(CSV貼付A!$N$5:$N145,CSV貼付A!$N145)&gt;1,"",MAX($M$4:M144)+1))</f>
        <v/>
      </c>
      <c r="N145" s="0" t="str">
        <f aca="false">IFERROR(INDEX(CSV貼付A!$N$5:$N$1004,MATCH(ROW()-4,$M$5:$M$1004,0)),"")</f>
        <v/>
      </c>
      <c r="O145" s="0" t="str">
        <f aca="false">IF(CSV貼付B!$N145="","",IF(COUNTIF(CSV貼付B!$N$5:$N145,CSV貼付B!$N145)&gt;1,"",MAX($O$4:O144)+1))</f>
        <v/>
      </c>
      <c r="P145" s="0" t="str">
        <f aca="false">IFERROR(INDEX(CSV貼付B!$N$5:$N$1004,MATCH(ROW()-4,$O$5:$O$1004,0)),"")</f>
        <v/>
      </c>
      <c r="Q145" s="0" t="str">
        <f aca="false">IF(ROW()-4&lt;=MAX($M$5:$M$1004),IFERROR(INDEX($N$5:$N$404,ROW()-4),""),IFERROR(INDEX($P$5:$P$404,ROW()-4-MAX($M$5:$M$1004)),""))</f>
        <v/>
      </c>
    </row>
    <row r="146" customFormat="false" ht="15" hidden="false" customHeight="false" outlineLevel="0" collapsed="false">
      <c r="M146" s="0" t="str">
        <f aca="false">IF(CSV貼付A!$N146="","",IF(COUNTIF(CSV貼付A!$N$5:$N146,CSV貼付A!$N146)&gt;1,"",MAX($M$4:M145)+1))</f>
        <v/>
      </c>
      <c r="N146" s="0" t="str">
        <f aca="false">IFERROR(INDEX(CSV貼付A!$N$5:$N$1004,MATCH(ROW()-4,$M$5:$M$1004,0)),"")</f>
        <v/>
      </c>
      <c r="O146" s="0" t="str">
        <f aca="false">IF(CSV貼付B!$N146="","",IF(COUNTIF(CSV貼付B!$N$5:$N146,CSV貼付B!$N146)&gt;1,"",MAX($O$4:O145)+1))</f>
        <v/>
      </c>
      <c r="P146" s="0" t="str">
        <f aca="false">IFERROR(INDEX(CSV貼付B!$N$5:$N$1004,MATCH(ROW()-4,$O$5:$O$1004,0)),"")</f>
        <v/>
      </c>
      <c r="Q146" s="0" t="str">
        <f aca="false">IF(ROW()-4&lt;=MAX($M$5:$M$1004),IFERROR(INDEX($N$5:$N$404,ROW()-4),""),IFERROR(INDEX($P$5:$P$404,ROW()-4-MAX($M$5:$M$1004)),""))</f>
        <v/>
      </c>
    </row>
    <row r="147" customFormat="false" ht="15" hidden="false" customHeight="false" outlineLevel="0" collapsed="false">
      <c r="M147" s="0" t="str">
        <f aca="false">IF(CSV貼付A!$N147="","",IF(COUNTIF(CSV貼付A!$N$5:$N147,CSV貼付A!$N147)&gt;1,"",MAX($M$4:M146)+1))</f>
        <v/>
      </c>
      <c r="N147" s="0" t="str">
        <f aca="false">IFERROR(INDEX(CSV貼付A!$N$5:$N$1004,MATCH(ROW()-4,$M$5:$M$1004,0)),"")</f>
        <v/>
      </c>
      <c r="O147" s="0" t="str">
        <f aca="false">IF(CSV貼付B!$N147="","",IF(COUNTIF(CSV貼付B!$N$5:$N147,CSV貼付B!$N147)&gt;1,"",MAX($O$4:O146)+1))</f>
        <v/>
      </c>
      <c r="P147" s="0" t="str">
        <f aca="false">IFERROR(INDEX(CSV貼付B!$N$5:$N$1004,MATCH(ROW()-4,$O$5:$O$1004,0)),"")</f>
        <v/>
      </c>
      <c r="Q147" s="0" t="str">
        <f aca="false">IF(ROW()-4&lt;=MAX($M$5:$M$1004),IFERROR(INDEX($N$5:$N$404,ROW()-4),""),IFERROR(INDEX($P$5:$P$404,ROW()-4-MAX($M$5:$M$1004)),""))</f>
        <v/>
      </c>
    </row>
    <row r="148" customFormat="false" ht="15" hidden="false" customHeight="false" outlineLevel="0" collapsed="false">
      <c r="M148" s="0" t="str">
        <f aca="false">IF(CSV貼付A!$N148="","",IF(COUNTIF(CSV貼付A!$N$5:$N148,CSV貼付A!$N148)&gt;1,"",MAX($M$4:M147)+1))</f>
        <v/>
      </c>
      <c r="N148" s="0" t="str">
        <f aca="false">IFERROR(INDEX(CSV貼付A!$N$5:$N$1004,MATCH(ROW()-4,$M$5:$M$1004,0)),"")</f>
        <v/>
      </c>
      <c r="O148" s="0" t="str">
        <f aca="false">IF(CSV貼付B!$N148="","",IF(COUNTIF(CSV貼付B!$N$5:$N148,CSV貼付B!$N148)&gt;1,"",MAX($O$4:O147)+1))</f>
        <v/>
      </c>
      <c r="P148" s="0" t="str">
        <f aca="false">IFERROR(INDEX(CSV貼付B!$N$5:$N$1004,MATCH(ROW()-4,$O$5:$O$1004,0)),"")</f>
        <v/>
      </c>
      <c r="Q148" s="0" t="str">
        <f aca="false">IF(ROW()-4&lt;=MAX($M$5:$M$1004),IFERROR(INDEX($N$5:$N$404,ROW()-4),""),IFERROR(INDEX($P$5:$P$404,ROW()-4-MAX($M$5:$M$1004)),""))</f>
        <v/>
      </c>
    </row>
    <row r="149" customFormat="false" ht="15" hidden="false" customHeight="false" outlineLevel="0" collapsed="false">
      <c r="M149" s="0" t="str">
        <f aca="false">IF(CSV貼付A!$N149="","",IF(COUNTIF(CSV貼付A!$N$5:$N149,CSV貼付A!$N149)&gt;1,"",MAX($M$4:M148)+1))</f>
        <v/>
      </c>
      <c r="N149" s="0" t="str">
        <f aca="false">IFERROR(INDEX(CSV貼付A!$N$5:$N$1004,MATCH(ROW()-4,$M$5:$M$1004,0)),"")</f>
        <v/>
      </c>
      <c r="O149" s="0" t="str">
        <f aca="false">IF(CSV貼付B!$N149="","",IF(COUNTIF(CSV貼付B!$N$5:$N149,CSV貼付B!$N149)&gt;1,"",MAX($O$4:O148)+1))</f>
        <v/>
      </c>
      <c r="P149" s="0" t="str">
        <f aca="false">IFERROR(INDEX(CSV貼付B!$N$5:$N$1004,MATCH(ROW()-4,$O$5:$O$1004,0)),"")</f>
        <v/>
      </c>
      <c r="Q149" s="0" t="str">
        <f aca="false">IF(ROW()-4&lt;=MAX($M$5:$M$1004),IFERROR(INDEX($N$5:$N$404,ROW()-4),""),IFERROR(INDEX($P$5:$P$404,ROW()-4-MAX($M$5:$M$1004)),""))</f>
        <v/>
      </c>
    </row>
    <row r="150" customFormat="false" ht="15" hidden="false" customHeight="false" outlineLevel="0" collapsed="false">
      <c r="M150" s="0" t="str">
        <f aca="false">IF(CSV貼付A!$N150="","",IF(COUNTIF(CSV貼付A!$N$5:$N150,CSV貼付A!$N150)&gt;1,"",MAX($M$4:M149)+1))</f>
        <v/>
      </c>
      <c r="N150" s="0" t="str">
        <f aca="false">IFERROR(INDEX(CSV貼付A!$N$5:$N$1004,MATCH(ROW()-4,$M$5:$M$1004,0)),"")</f>
        <v/>
      </c>
      <c r="O150" s="0" t="str">
        <f aca="false">IF(CSV貼付B!$N150="","",IF(COUNTIF(CSV貼付B!$N$5:$N150,CSV貼付B!$N150)&gt;1,"",MAX($O$4:O149)+1))</f>
        <v/>
      </c>
      <c r="P150" s="0" t="str">
        <f aca="false">IFERROR(INDEX(CSV貼付B!$N$5:$N$1004,MATCH(ROW()-4,$O$5:$O$1004,0)),"")</f>
        <v/>
      </c>
      <c r="Q150" s="0" t="str">
        <f aca="false">IF(ROW()-4&lt;=MAX($M$5:$M$1004),IFERROR(INDEX($N$5:$N$404,ROW()-4),""),IFERROR(INDEX($P$5:$P$404,ROW()-4-MAX($M$5:$M$1004)),""))</f>
        <v/>
      </c>
    </row>
    <row r="151" customFormat="false" ht="15" hidden="false" customHeight="false" outlineLevel="0" collapsed="false">
      <c r="M151" s="0" t="str">
        <f aca="false">IF(CSV貼付A!$N151="","",IF(COUNTIF(CSV貼付A!$N$5:$N151,CSV貼付A!$N151)&gt;1,"",MAX($M$4:M150)+1))</f>
        <v/>
      </c>
      <c r="N151" s="0" t="str">
        <f aca="false">IFERROR(INDEX(CSV貼付A!$N$5:$N$1004,MATCH(ROW()-4,$M$5:$M$1004,0)),"")</f>
        <v/>
      </c>
      <c r="O151" s="0" t="str">
        <f aca="false">IF(CSV貼付B!$N151="","",IF(COUNTIF(CSV貼付B!$N$5:$N151,CSV貼付B!$N151)&gt;1,"",MAX($O$4:O150)+1))</f>
        <v/>
      </c>
      <c r="P151" s="0" t="str">
        <f aca="false">IFERROR(INDEX(CSV貼付B!$N$5:$N$1004,MATCH(ROW()-4,$O$5:$O$1004,0)),"")</f>
        <v/>
      </c>
      <c r="Q151" s="0" t="str">
        <f aca="false">IF(ROW()-4&lt;=MAX($M$5:$M$1004),IFERROR(INDEX($N$5:$N$404,ROW()-4),""),IFERROR(INDEX($P$5:$P$404,ROW()-4-MAX($M$5:$M$1004)),""))</f>
        <v/>
      </c>
    </row>
    <row r="152" customFormat="false" ht="15" hidden="false" customHeight="false" outlineLevel="0" collapsed="false">
      <c r="M152" s="0" t="str">
        <f aca="false">IF(CSV貼付A!$N152="","",IF(COUNTIF(CSV貼付A!$N$5:$N152,CSV貼付A!$N152)&gt;1,"",MAX($M$4:M151)+1))</f>
        <v/>
      </c>
      <c r="N152" s="0" t="str">
        <f aca="false">IFERROR(INDEX(CSV貼付A!$N$5:$N$1004,MATCH(ROW()-4,$M$5:$M$1004,0)),"")</f>
        <v/>
      </c>
      <c r="O152" s="0" t="str">
        <f aca="false">IF(CSV貼付B!$N152="","",IF(COUNTIF(CSV貼付B!$N$5:$N152,CSV貼付B!$N152)&gt;1,"",MAX($O$4:O151)+1))</f>
        <v/>
      </c>
      <c r="P152" s="0" t="str">
        <f aca="false">IFERROR(INDEX(CSV貼付B!$N$5:$N$1004,MATCH(ROW()-4,$O$5:$O$1004,0)),"")</f>
        <v/>
      </c>
      <c r="Q152" s="0" t="str">
        <f aca="false">IF(ROW()-4&lt;=MAX($M$5:$M$1004),IFERROR(INDEX($N$5:$N$404,ROW()-4),""),IFERROR(INDEX($P$5:$P$404,ROW()-4-MAX($M$5:$M$1004)),""))</f>
        <v/>
      </c>
    </row>
    <row r="153" customFormat="false" ht="15" hidden="false" customHeight="false" outlineLevel="0" collapsed="false">
      <c r="M153" s="0" t="str">
        <f aca="false">IF(CSV貼付A!$N153="","",IF(COUNTIF(CSV貼付A!$N$5:$N153,CSV貼付A!$N153)&gt;1,"",MAX($M$4:M152)+1))</f>
        <v/>
      </c>
      <c r="N153" s="0" t="str">
        <f aca="false">IFERROR(INDEX(CSV貼付A!$N$5:$N$1004,MATCH(ROW()-4,$M$5:$M$1004,0)),"")</f>
        <v/>
      </c>
      <c r="O153" s="0" t="str">
        <f aca="false">IF(CSV貼付B!$N153="","",IF(COUNTIF(CSV貼付B!$N$5:$N153,CSV貼付B!$N153)&gt;1,"",MAX($O$4:O152)+1))</f>
        <v/>
      </c>
      <c r="P153" s="0" t="str">
        <f aca="false">IFERROR(INDEX(CSV貼付B!$N$5:$N$1004,MATCH(ROW()-4,$O$5:$O$1004,0)),"")</f>
        <v/>
      </c>
      <c r="Q153" s="0" t="str">
        <f aca="false">IF(ROW()-4&lt;=MAX($M$5:$M$1004),IFERROR(INDEX($N$5:$N$404,ROW()-4),""),IFERROR(INDEX($P$5:$P$404,ROW()-4-MAX($M$5:$M$1004)),""))</f>
        <v/>
      </c>
    </row>
    <row r="154" customFormat="false" ht="15" hidden="false" customHeight="false" outlineLevel="0" collapsed="false">
      <c r="M154" s="0" t="str">
        <f aca="false">IF(CSV貼付A!$N154="","",IF(COUNTIF(CSV貼付A!$N$5:$N154,CSV貼付A!$N154)&gt;1,"",MAX($M$4:M153)+1))</f>
        <v/>
      </c>
      <c r="N154" s="0" t="str">
        <f aca="false">IFERROR(INDEX(CSV貼付A!$N$5:$N$1004,MATCH(ROW()-4,$M$5:$M$1004,0)),"")</f>
        <v/>
      </c>
      <c r="O154" s="0" t="str">
        <f aca="false">IF(CSV貼付B!$N154="","",IF(COUNTIF(CSV貼付B!$N$5:$N154,CSV貼付B!$N154)&gt;1,"",MAX($O$4:O153)+1))</f>
        <v/>
      </c>
      <c r="P154" s="0" t="str">
        <f aca="false">IFERROR(INDEX(CSV貼付B!$N$5:$N$1004,MATCH(ROW()-4,$O$5:$O$1004,0)),"")</f>
        <v/>
      </c>
      <c r="Q154" s="0" t="str">
        <f aca="false">IF(ROW()-4&lt;=MAX($M$5:$M$1004),IFERROR(INDEX($N$5:$N$404,ROW()-4),""),IFERROR(INDEX($P$5:$P$404,ROW()-4-MAX($M$5:$M$1004)),""))</f>
        <v/>
      </c>
    </row>
    <row r="155" customFormat="false" ht="15" hidden="false" customHeight="false" outlineLevel="0" collapsed="false">
      <c r="M155" s="0" t="str">
        <f aca="false">IF(CSV貼付A!$N155="","",IF(COUNTIF(CSV貼付A!$N$5:$N155,CSV貼付A!$N155)&gt;1,"",MAX($M$4:M154)+1))</f>
        <v/>
      </c>
      <c r="N155" s="0" t="str">
        <f aca="false">IFERROR(INDEX(CSV貼付A!$N$5:$N$1004,MATCH(ROW()-4,$M$5:$M$1004,0)),"")</f>
        <v/>
      </c>
      <c r="O155" s="0" t="str">
        <f aca="false">IF(CSV貼付B!$N155="","",IF(COUNTIF(CSV貼付B!$N$5:$N155,CSV貼付B!$N155)&gt;1,"",MAX($O$4:O154)+1))</f>
        <v/>
      </c>
      <c r="P155" s="0" t="str">
        <f aca="false">IFERROR(INDEX(CSV貼付B!$N$5:$N$1004,MATCH(ROW()-4,$O$5:$O$1004,0)),"")</f>
        <v/>
      </c>
      <c r="Q155" s="0" t="str">
        <f aca="false">IF(ROW()-4&lt;=MAX($M$5:$M$1004),IFERROR(INDEX($N$5:$N$404,ROW()-4),""),IFERROR(INDEX($P$5:$P$404,ROW()-4-MAX($M$5:$M$1004)),""))</f>
        <v/>
      </c>
    </row>
    <row r="156" customFormat="false" ht="15" hidden="false" customHeight="false" outlineLevel="0" collapsed="false">
      <c r="M156" s="0" t="str">
        <f aca="false">IF(CSV貼付A!$N156="","",IF(COUNTIF(CSV貼付A!$N$5:$N156,CSV貼付A!$N156)&gt;1,"",MAX($M$4:M155)+1))</f>
        <v/>
      </c>
      <c r="N156" s="0" t="str">
        <f aca="false">IFERROR(INDEX(CSV貼付A!$N$5:$N$1004,MATCH(ROW()-4,$M$5:$M$1004,0)),"")</f>
        <v/>
      </c>
      <c r="O156" s="0" t="str">
        <f aca="false">IF(CSV貼付B!$N156="","",IF(COUNTIF(CSV貼付B!$N$5:$N156,CSV貼付B!$N156)&gt;1,"",MAX($O$4:O155)+1))</f>
        <v/>
      </c>
      <c r="P156" s="0" t="str">
        <f aca="false">IFERROR(INDEX(CSV貼付B!$N$5:$N$1004,MATCH(ROW()-4,$O$5:$O$1004,0)),"")</f>
        <v/>
      </c>
      <c r="Q156" s="0" t="str">
        <f aca="false">IF(ROW()-4&lt;=MAX($M$5:$M$1004),IFERROR(INDEX($N$5:$N$404,ROW()-4),""),IFERROR(INDEX($P$5:$P$404,ROW()-4-MAX($M$5:$M$1004)),""))</f>
        <v/>
      </c>
    </row>
    <row r="157" customFormat="false" ht="15" hidden="false" customHeight="false" outlineLevel="0" collapsed="false">
      <c r="M157" s="0" t="str">
        <f aca="false">IF(CSV貼付A!$N157="","",IF(COUNTIF(CSV貼付A!$N$5:$N157,CSV貼付A!$N157)&gt;1,"",MAX($M$4:M156)+1))</f>
        <v/>
      </c>
      <c r="N157" s="0" t="str">
        <f aca="false">IFERROR(INDEX(CSV貼付A!$N$5:$N$1004,MATCH(ROW()-4,$M$5:$M$1004,0)),"")</f>
        <v/>
      </c>
      <c r="O157" s="0" t="str">
        <f aca="false">IF(CSV貼付B!$N157="","",IF(COUNTIF(CSV貼付B!$N$5:$N157,CSV貼付B!$N157)&gt;1,"",MAX($O$4:O156)+1))</f>
        <v/>
      </c>
      <c r="P157" s="0" t="str">
        <f aca="false">IFERROR(INDEX(CSV貼付B!$N$5:$N$1004,MATCH(ROW()-4,$O$5:$O$1004,0)),"")</f>
        <v/>
      </c>
      <c r="Q157" s="0" t="str">
        <f aca="false">IF(ROW()-4&lt;=MAX($M$5:$M$1004),IFERROR(INDEX($N$5:$N$404,ROW()-4),""),IFERROR(INDEX($P$5:$P$404,ROW()-4-MAX($M$5:$M$1004)),""))</f>
        <v/>
      </c>
    </row>
    <row r="158" customFormat="false" ht="15" hidden="false" customHeight="false" outlineLevel="0" collapsed="false">
      <c r="M158" s="0" t="str">
        <f aca="false">IF(CSV貼付A!$N158="","",IF(COUNTIF(CSV貼付A!$N$5:$N158,CSV貼付A!$N158)&gt;1,"",MAX($M$4:M157)+1))</f>
        <v/>
      </c>
      <c r="N158" s="0" t="str">
        <f aca="false">IFERROR(INDEX(CSV貼付A!$N$5:$N$1004,MATCH(ROW()-4,$M$5:$M$1004,0)),"")</f>
        <v/>
      </c>
      <c r="O158" s="0" t="str">
        <f aca="false">IF(CSV貼付B!$N158="","",IF(COUNTIF(CSV貼付B!$N$5:$N158,CSV貼付B!$N158)&gt;1,"",MAX($O$4:O157)+1))</f>
        <v/>
      </c>
      <c r="P158" s="0" t="str">
        <f aca="false">IFERROR(INDEX(CSV貼付B!$N$5:$N$1004,MATCH(ROW()-4,$O$5:$O$1004,0)),"")</f>
        <v/>
      </c>
      <c r="Q158" s="0" t="str">
        <f aca="false">IF(ROW()-4&lt;=MAX($M$5:$M$1004),IFERROR(INDEX($N$5:$N$404,ROW()-4),""),IFERROR(INDEX($P$5:$P$404,ROW()-4-MAX($M$5:$M$1004)),""))</f>
        <v/>
      </c>
    </row>
    <row r="159" customFormat="false" ht="15" hidden="false" customHeight="false" outlineLevel="0" collapsed="false">
      <c r="M159" s="0" t="str">
        <f aca="false">IF(CSV貼付A!$N159="","",IF(COUNTIF(CSV貼付A!$N$5:$N159,CSV貼付A!$N159)&gt;1,"",MAX($M$4:M158)+1))</f>
        <v/>
      </c>
      <c r="N159" s="0" t="str">
        <f aca="false">IFERROR(INDEX(CSV貼付A!$N$5:$N$1004,MATCH(ROW()-4,$M$5:$M$1004,0)),"")</f>
        <v/>
      </c>
      <c r="O159" s="0" t="str">
        <f aca="false">IF(CSV貼付B!$N159="","",IF(COUNTIF(CSV貼付B!$N$5:$N159,CSV貼付B!$N159)&gt;1,"",MAX($O$4:O158)+1))</f>
        <v/>
      </c>
      <c r="P159" s="0" t="str">
        <f aca="false">IFERROR(INDEX(CSV貼付B!$N$5:$N$1004,MATCH(ROW()-4,$O$5:$O$1004,0)),"")</f>
        <v/>
      </c>
      <c r="Q159" s="0" t="str">
        <f aca="false">IF(ROW()-4&lt;=MAX($M$5:$M$1004),IFERROR(INDEX($N$5:$N$404,ROW()-4),""),IFERROR(INDEX($P$5:$P$404,ROW()-4-MAX($M$5:$M$1004)),""))</f>
        <v/>
      </c>
    </row>
    <row r="160" customFormat="false" ht="15" hidden="false" customHeight="false" outlineLevel="0" collapsed="false">
      <c r="M160" s="0" t="str">
        <f aca="false">IF(CSV貼付A!$N160="","",IF(COUNTIF(CSV貼付A!$N$5:$N160,CSV貼付A!$N160)&gt;1,"",MAX($M$4:M159)+1))</f>
        <v/>
      </c>
      <c r="N160" s="0" t="str">
        <f aca="false">IFERROR(INDEX(CSV貼付A!$N$5:$N$1004,MATCH(ROW()-4,$M$5:$M$1004,0)),"")</f>
        <v/>
      </c>
      <c r="O160" s="0" t="str">
        <f aca="false">IF(CSV貼付B!$N160="","",IF(COUNTIF(CSV貼付B!$N$5:$N160,CSV貼付B!$N160)&gt;1,"",MAX($O$4:O159)+1))</f>
        <v/>
      </c>
      <c r="P160" s="0" t="str">
        <f aca="false">IFERROR(INDEX(CSV貼付B!$N$5:$N$1004,MATCH(ROW()-4,$O$5:$O$1004,0)),"")</f>
        <v/>
      </c>
      <c r="Q160" s="0" t="str">
        <f aca="false">IF(ROW()-4&lt;=MAX($M$5:$M$1004),IFERROR(INDEX($N$5:$N$404,ROW()-4),""),IFERROR(INDEX($P$5:$P$404,ROW()-4-MAX($M$5:$M$1004)),""))</f>
        <v/>
      </c>
    </row>
    <row r="161" customFormat="false" ht="15" hidden="false" customHeight="false" outlineLevel="0" collapsed="false">
      <c r="M161" s="0" t="str">
        <f aca="false">IF(CSV貼付A!$N161="","",IF(COUNTIF(CSV貼付A!$N$5:$N161,CSV貼付A!$N161)&gt;1,"",MAX($M$4:M160)+1))</f>
        <v/>
      </c>
      <c r="N161" s="0" t="str">
        <f aca="false">IFERROR(INDEX(CSV貼付A!$N$5:$N$1004,MATCH(ROW()-4,$M$5:$M$1004,0)),"")</f>
        <v/>
      </c>
      <c r="O161" s="0" t="str">
        <f aca="false">IF(CSV貼付B!$N161="","",IF(COUNTIF(CSV貼付B!$N$5:$N161,CSV貼付B!$N161)&gt;1,"",MAX($O$4:O160)+1))</f>
        <v/>
      </c>
      <c r="P161" s="0" t="str">
        <f aca="false">IFERROR(INDEX(CSV貼付B!$N$5:$N$1004,MATCH(ROW()-4,$O$5:$O$1004,0)),"")</f>
        <v/>
      </c>
      <c r="Q161" s="0" t="str">
        <f aca="false">IF(ROW()-4&lt;=MAX($M$5:$M$1004),IFERROR(INDEX($N$5:$N$404,ROW()-4),""),IFERROR(INDEX($P$5:$P$404,ROW()-4-MAX($M$5:$M$1004)),""))</f>
        <v/>
      </c>
    </row>
    <row r="162" customFormat="false" ht="15" hidden="false" customHeight="false" outlineLevel="0" collapsed="false">
      <c r="M162" s="0" t="str">
        <f aca="false">IF(CSV貼付A!$N162="","",IF(COUNTIF(CSV貼付A!$N$5:$N162,CSV貼付A!$N162)&gt;1,"",MAX($M$4:M161)+1))</f>
        <v/>
      </c>
      <c r="N162" s="0" t="str">
        <f aca="false">IFERROR(INDEX(CSV貼付A!$N$5:$N$1004,MATCH(ROW()-4,$M$5:$M$1004,0)),"")</f>
        <v/>
      </c>
      <c r="O162" s="0" t="str">
        <f aca="false">IF(CSV貼付B!$N162="","",IF(COUNTIF(CSV貼付B!$N$5:$N162,CSV貼付B!$N162)&gt;1,"",MAX($O$4:O161)+1))</f>
        <v/>
      </c>
      <c r="P162" s="0" t="str">
        <f aca="false">IFERROR(INDEX(CSV貼付B!$N$5:$N$1004,MATCH(ROW()-4,$O$5:$O$1004,0)),"")</f>
        <v/>
      </c>
      <c r="Q162" s="0" t="str">
        <f aca="false">IF(ROW()-4&lt;=MAX($M$5:$M$1004),IFERROR(INDEX($N$5:$N$404,ROW()-4),""),IFERROR(INDEX($P$5:$P$404,ROW()-4-MAX($M$5:$M$1004)),""))</f>
        <v/>
      </c>
    </row>
    <row r="163" customFormat="false" ht="15" hidden="false" customHeight="false" outlineLevel="0" collapsed="false">
      <c r="M163" s="0" t="str">
        <f aca="false">IF(CSV貼付A!$N163="","",IF(COUNTIF(CSV貼付A!$N$5:$N163,CSV貼付A!$N163)&gt;1,"",MAX($M$4:M162)+1))</f>
        <v/>
      </c>
      <c r="N163" s="0" t="str">
        <f aca="false">IFERROR(INDEX(CSV貼付A!$N$5:$N$1004,MATCH(ROW()-4,$M$5:$M$1004,0)),"")</f>
        <v/>
      </c>
      <c r="O163" s="0" t="str">
        <f aca="false">IF(CSV貼付B!$N163="","",IF(COUNTIF(CSV貼付B!$N$5:$N163,CSV貼付B!$N163)&gt;1,"",MAX($O$4:O162)+1))</f>
        <v/>
      </c>
      <c r="P163" s="0" t="str">
        <f aca="false">IFERROR(INDEX(CSV貼付B!$N$5:$N$1004,MATCH(ROW()-4,$O$5:$O$1004,0)),"")</f>
        <v/>
      </c>
      <c r="Q163" s="0" t="str">
        <f aca="false">IF(ROW()-4&lt;=MAX($M$5:$M$1004),IFERROR(INDEX($N$5:$N$404,ROW()-4),""),IFERROR(INDEX($P$5:$P$404,ROW()-4-MAX($M$5:$M$1004)),""))</f>
        <v/>
      </c>
    </row>
    <row r="164" customFormat="false" ht="15" hidden="false" customHeight="false" outlineLevel="0" collapsed="false">
      <c r="M164" s="0" t="str">
        <f aca="false">IF(CSV貼付A!$N164="","",IF(COUNTIF(CSV貼付A!$N$5:$N164,CSV貼付A!$N164)&gt;1,"",MAX($M$4:M163)+1))</f>
        <v/>
      </c>
      <c r="N164" s="0" t="str">
        <f aca="false">IFERROR(INDEX(CSV貼付A!$N$5:$N$1004,MATCH(ROW()-4,$M$5:$M$1004,0)),"")</f>
        <v/>
      </c>
      <c r="O164" s="0" t="str">
        <f aca="false">IF(CSV貼付B!$N164="","",IF(COUNTIF(CSV貼付B!$N$5:$N164,CSV貼付B!$N164)&gt;1,"",MAX($O$4:O163)+1))</f>
        <v/>
      </c>
      <c r="P164" s="0" t="str">
        <f aca="false">IFERROR(INDEX(CSV貼付B!$N$5:$N$1004,MATCH(ROW()-4,$O$5:$O$1004,0)),"")</f>
        <v/>
      </c>
      <c r="Q164" s="0" t="str">
        <f aca="false">IF(ROW()-4&lt;=MAX($M$5:$M$1004),IFERROR(INDEX($N$5:$N$404,ROW()-4),""),IFERROR(INDEX($P$5:$P$404,ROW()-4-MAX($M$5:$M$1004)),""))</f>
        <v/>
      </c>
    </row>
    <row r="165" customFormat="false" ht="15" hidden="false" customHeight="false" outlineLevel="0" collapsed="false">
      <c r="M165" s="0" t="str">
        <f aca="false">IF(CSV貼付A!$N165="","",IF(COUNTIF(CSV貼付A!$N$5:$N165,CSV貼付A!$N165)&gt;1,"",MAX($M$4:M164)+1))</f>
        <v/>
      </c>
      <c r="N165" s="0" t="str">
        <f aca="false">IFERROR(INDEX(CSV貼付A!$N$5:$N$1004,MATCH(ROW()-4,$M$5:$M$1004,0)),"")</f>
        <v/>
      </c>
      <c r="O165" s="0" t="str">
        <f aca="false">IF(CSV貼付B!$N165="","",IF(COUNTIF(CSV貼付B!$N$5:$N165,CSV貼付B!$N165)&gt;1,"",MAX($O$4:O164)+1))</f>
        <v/>
      </c>
      <c r="P165" s="0" t="str">
        <f aca="false">IFERROR(INDEX(CSV貼付B!$N$5:$N$1004,MATCH(ROW()-4,$O$5:$O$1004,0)),"")</f>
        <v/>
      </c>
      <c r="Q165" s="0" t="str">
        <f aca="false">IF(ROW()-4&lt;=MAX($M$5:$M$1004),IFERROR(INDEX($N$5:$N$404,ROW()-4),""),IFERROR(INDEX($P$5:$P$404,ROW()-4-MAX($M$5:$M$1004)),""))</f>
        <v/>
      </c>
    </row>
    <row r="166" customFormat="false" ht="15" hidden="false" customHeight="false" outlineLevel="0" collapsed="false">
      <c r="M166" s="0" t="str">
        <f aca="false">IF(CSV貼付A!$N166="","",IF(COUNTIF(CSV貼付A!$N$5:$N166,CSV貼付A!$N166)&gt;1,"",MAX($M$4:M165)+1))</f>
        <v/>
      </c>
      <c r="N166" s="0" t="str">
        <f aca="false">IFERROR(INDEX(CSV貼付A!$N$5:$N$1004,MATCH(ROW()-4,$M$5:$M$1004,0)),"")</f>
        <v/>
      </c>
      <c r="O166" s="0" t="str">
        <f aca="false">IF(CSV貼付B!$N166="","",IF(COUNTIF(CSV貼付B!$N$5:$N166,CSV貼付B!$N166)&gt;1,"",MAX($O$4:O165)+1))</f>
        <v/>
      </c>
      <c r="P166" s="0" t="str">
        <f aca="false">IFERROR(INDEX(CSV貼付B!$N$5:$N$1004,MATCH(ROW()-4,$O$5:$O$1004,0)),"")</f>
        <v/>
      </c>
      <c r="Q166" s="0" t="str">
        <f aca="false">IF(ROW()-4&lt;=MAX($M$5:$M$1004),IFERROR(INDEX($N$5:$N$404,ROW()-4),""),IFERROR(INDEX($P$5:$P$404,ROW()-4-MAX($M$5:$M$1004)),""))</f>
        <v/>
      </c>
    </row>
    <row r="167" customFormat="false" ht="15" hidden="false" customHeight="false" outlineLevel="0" collapsed="false">
      <c r="M167" s="0" t="str">
        <f aca="false">IF(CSV貼付A!$N167="","",IF(COUNTIF(CSV貼付A!$N$5:$N167,CSV貼付A!$N167)&gt;1,"",MAX($M$4:M166)+1))</f>
        <v/>
      </c>
      <c r="N167" s="0" t="str">
        <f aca="false">IFERROR(INDEX(CSV貼付A!$N$5:$N$1004,MATCH(ROW()-4,$M$5:$M$1004,0)),"")</f>
        <v/>
      </c>
      <c r="O167" s="0" t="str">
        <f aca="false">IF(CSV貼付B!$N167="","",IF(COUNTIF(CSV貼付B!$N$5:$N167,CSV貼付B!$N167)&gt;1,"",MAX($O$4:O166)+1))</f>
        <v/>
      </c>
      <c r="P167" s="0" t="str">
        <f aca="false">IFERROR(INDEX(CSV貼付B!$N$5:$N$1004,MATCH(ROW()-4,$O$5:$O$1004,0)),"")</f>
        <v/>
      </c>
      <c r="Q167" s="0" t="str">
        <f aca="false">IF(ROW()-4&lt;=MAX($M$5:$M$1004),IFERROR(INDEX($N$5:$N$404,ROW()-4),""),IFERROR(INDEX($P$5:$P$404,ROW()-4-MAX($M$5:$M$1004)),""))</f>
        <v/>
      </c>
    </row>
    <row r="168" customFormat="false" ht="15" hidden="false" customHeight="false" outlineLevel="0" collapsed="false">
      <c r="M168" s="0" t="str">
        <f aca="false">IF(CSV貼付A!$N168="","",IF(COUNTIF(CSV貼付A!$N$5:$N168,CSV貼付A!$N168)&gt;1,"",MAX($M$4:M167)+1))</f>
        <v/>
      </c>
      <c r="N168" s="0" t="str">
        <f aca="false">IFERROR(INDEX(CSV貼付A!$N$5:$N$1004,MATCH(ROW()-4,$M$5:$M$1004,0)),"")</f>
        <v/>
      </c>
      <c r="O168" s="0" t="str">
        <f aca="false">IF(CSV貼付B!$N168="","",IF(COUNTIF(CSV貼付B!$N$5:$N168,CSV貼付B!$N168)&gt;1,"",MAX($O$4:O167)+1))</f>
        <v/>
      </c>
      <c r="P168" s="0" t="str">
        <f aca="false">IFERROR(INDEX(CSV貼付B!$N$5:$N$1004,MATCH(ROW()-4,$O$5:$O$1004,0)),"")</f>
        <v/>
      </c>
      <c r="Q168" s="0" t="str">
        <f aca="false">IF(ROW()-4&lt;=MAX($M$5:$M$1004),IFERROR(INDEX($N$5:$N$404,ROW()-4),""),IFERROR(INDEX($P$5:$P$404,ROW()-4-MAX($M$5:$M$1004)),""))</f>
        <v/>
      </c>
    </row>
    <row r="169" customFormat="false" ht="15" hidden="false" customHeight="false" outlineLevel="0" collapsed="false">
      <c r="M169" s="0" t="str">
        <f aca="false">IF(CSV貼付A!$N169="","",IF(COUNTIF(CSV貼付A!$N$5:$N169,CSV貼付A!$N169)&gt;1,"",MAX($M$4:M168)+1))</f>
        <v/>
      </c>
      <c r="N169" s="0" t="str">
        <f aca="false">IFERROR(INDEX(CSV貼付A!$N$5:$N$1004,MATCH(ROW()-4,$M$5:$M$1004,0)),"")</f>
        <v/>
      </c>
      <c r="O169" s="0" t="str">
        <f aca="false">IF(CSV貼付B!$N169="","",IF(COUNTIF(CSV貼付B!$N$5:$N169,CSV貼付B!$N169)&gt;1,"",MAX($O$4:O168)+1))</f>
        <v/>
      </c>
      <c r="P169" s="0" t="str">
        <f aca="false">IFERROR(INDEX(CSV貼付B!$N$5:$N$1004,MATCH(ROW()-4,$O$5:$O$1004,0)),"")</f>
        <v/>
      </c>
      <c r="Q169" s="0" t="str">
        <f aca="false">IF(ROW()-4&lt;=MAX($M$5:$M$1004),IFERROR(INDEX($N$5:$N$404,ROW()-4),""),IFERROR(INDEX($P$5:$P$404,ROW()-4-MAX($M$5:$M$1004)),""))</f>
        <v/>
      </c>
    </row>
    <row r="170" customFormat="false" ht="15" hidden="false" customHeight="false" outlineLevel="0" collapsed="false">
      <c r="M170" s="0" t="str">
        <f aca="false">IF(CSV貼付A!$N170="","",IF(COUNTIF(CSV貼付A!$N$5:$N170,CSV貼付A!$N170)&gt;1,"",MAX($M$4:M169)+1))</f>
        <v/>
      </c>
      <c r="N170" s="0" t="str">
        <f aca="false">IFERROR(INDEX(CSV貼付A!$N$5:$N$1004,MATCH(ROW()-4,$M$5:$M$1004,0)),"")</f>
        <v/>
      </c>
      <c r="O170" s="0" t="str">
        <f aca="false">IF(CSV貼付B!$N170="","",IF(COUNTIF(CSV貼付B!$N$5:$N170,CSV貼付B!$N170)&gt;1,"",MAX($O$4:O169)+1))</f>
        <v/>
      </c>
      <c r="P170" s="0" t="str">
        <f aca="false">IFERROR(INDEX(CSV貼付B!$N$5:$N$1004,MATCH(ROW()-4,$O$5:$O$1004,0)),"")</f>
        <v/>
      </c>
      <c r="Q170" s="0" t="str">
        <f aca="false">IF(ROW()-4&lt;=MAX($M$5:$M$1004),IFERROR(INDEX($N$5:$N$404,ROW()-4),""),IFERROR(INDEX($P$5:$P$404,ROW()-4-MAX($M$5:$M$1004)),""))</f>
        <v/>
      </c>
    </row>
    <row r="171" customFormat="false" ht="15" hidden="false" customHeight="false" outlineLevel="0" collapsed="false">
      <c r="M171" s="0" t="str">
        <f aca="false">IF(CSV貼付A!$N171="","",IF(COUNTIF(CSV貼付A!$N$5:$N171,CSV貼付A!$N171)&gt;1,"",MAX($M$4:M170)+1))</f>
        <v/>
      </c>
      <c r="N171" s="0" t="str">
        <f aca="false">IFERROR(INDEX(CSV貼付A!$N$5:$N$1004,MATCH(ROW()-4,$M$5:$M$1004,0)),"")</f>
        <v/>
      </c>
      <c r="O171" s="0" t="str">
        <f aca="false">IF(CSV貼付B!$N171="","",IF(COUNTIF(CSV貼付B!$N$5:$N171,CSV貼付B!$N171)&gt;1,"",MAX($O$4:O170)+1))</f>
        <v/>
      </c>
      <c r="P171" s="0" t="str">
        <f aca="false">IFERROR(INDEX(CSV貼付B!$N$5:$N$1004,MATCH(ROW()-4,$O$5:$O$1004,0)),"")</f>
        <v/>
      </c>
      <c r="Q171" s="0" t="str">
        <f aca="false">IF(ROW()-4&lt;=MAX($M$5:$M$1004),IFERROR(INDEX($N$5:$N$404,ROW()-4),""),IFERROR(INDEX($P$5:$P$404,ROW()-4-MAX($M$5:$M$1004)),""))</f>
        <v/>
      </c>
    </row>
    <row r="172" customFormat="false" ht="15" hidden="false" customHeight="false" outlineLevel="0" collapsed="false">
      <c r="M172" s="0" t="str">
        <f aca="false">IF(CSV貼付A!$N172="","",IF(COUNTIF(CSV貼付A!$N$5:$N172,CSV貼付A!$N172)&gt;1,"",MAX($M$4:M171)+1))</f>
        <v/>
      </c>
      <c r="N172" s="0" t="str">
        <f aca="false">IFERROR(INDEX(CSV貼付A!$N$5:$N$1004,MATCH(ROW()-4,$M$5:$M$1004,0)),"")</f>
        <v/>
      </c>
      <c r="O172" s="0" t="str">
        <f aca="false">IF(CSV貼付B!$N172="","",IF(COUNTIF(CSV貼付B!$N$5:$N172,CSV貼付B!$N172)&gt;1,"",MAX($O$4:O171)+1))</f>
        <v/>
      </c>
      <c r="P172" s="0" t="str">
        <f aca="false">IFERROR(INDEX(CSV貼付B!$N$5:$N$1004,MATCH(ROW()-4,$O$5:$O$1004,0)),"")</f>
        <v/>
      </c>
      <c r="Q172" s="0" t="str">
        <f aca="false">IF(ROW()-4&lt;=MAX($M$5:$M$1004),IFERROR(INDEX($N$5:$N$404,ROW()-4),""),IFERROR(INDEX($P$5:$P$404,ROW()-4-MAX($M$5:$M$1004)),""))</f>
        <v/>
      </c>
    </row>
    <row r="173" customFormat="false" ht="15" hidden="false" customHeight="false" outlineLevel="0" collapsed="false">
      <c r="M173" s="0" t="str">
        <f aca="false">IF(CSV貼付A!$N173="","",IF(COUNTIF(CSV貼付A!$N$5:$N173,CSV貼付A!$N173)&gt;1,"",MAX($M$4:M172)+1))</f>
        <v/>
      </c>
      <c r="N173" s="0" t="str">
        <f aca="false">IFERROR(INDEX(CSV貼付A!$N$5:$N$1004,MATCH(ROW()-4,$M$5:$M$1004,0)),"")</f>
        <v/>
      </c>
      <c r="O173" s="0" t="str">
        <f aca="false">IF(CSV貼付B!$N173="","",IF(COUNTIF(CSV貼付B!$N$5:$N173,CSV貼付B!$N173)&gt;1,"",MAX($O$4:O172)+1))</f>
        <v/>
      </c>
      <c r="P173" s="0" t="str">
        <f aca="false">IFERROR(INDEX(CSV貼付B!$N$5:$N$1004,MATCH(ROW()-4,$O$5:$O$1004,0)),"")</f>
        <v/>
      </c>
      <c r="Q173" s="0" t="str">
        <f aca="false">IF(ROW()-4&lt;=MAX($M$5:$M$1004),IFERROR(INDEX($N$5:$N$404,ROW()-4),""),IFERROR(INDEX($P$5:$P$404,ROW()-4-MAX($M$5:$M$1004)),""))</f>
        <v/>
      </c>
    </row>
    <row r="174" customFormat="false" ht="15" hidden="false" customHeight="false" outlineLevel="0" collapsed="false">
      <c r="M174" s="0" t="str">
        <f aca="false">IF(CSV貼付A!$N174="","",IF(COUNTIF(CSV貼付A!$N$5:$N174,CSV貼付A!$N174)&gt;1,"",MAX($M$4:M173)+1))</f>
        <v/>
      </c>
      <c r="N174" s="0" t="str">
        <f aca="false">IFERROR(INDEX(CSV貼付A!$N$5:$N$1004,MATCH(ROW()-4,$M$5:$M$1004,0)),"")</f>
        <v/>
      </c>
      <c r="O174" s="0" t="str">
        <f aca="false">IF(CSV貼付B!$N174="","",IF(COUNTIF(CSV貼付B!$N$5:$N174,CSV貼付B!$N174)&gt;1,"",MAX($O$4:O173)+1))</f>
        <v/>
      </c>
      <c r="P174" s="0" t="str">
        <f aca="false">IFERROR(INDEX(CSV貼付B!$N$5:$N$1004,MATCH(ROW()-4,$O$5:$O$1004,0)),"")</f>
        <v/>
      </c>
      <c r="Q174" s="0" t="str">
        <f aca="false">IF(ROW()-4&lt;=MAX($M$5:$M$1004),IFERROR(INDEX($N$5:$N$404,ROW()-4),""),IFERROR(INDEX($P$5:$P$404,ROW()-4-MAX($M$5:$M$1004)),""))</f>
        <v/>
      </c>
    </row>
    <row r="175" customFormat="false" ht="15" hidden="false" customHeight="false" outlineLevel="0" collapsed="false">
      <c r="M175" s="0" t="str">
        <f aca="false">IF(CSV貼付A!$N175="","",IF(COUNTIF(CSV貼付A!$N$5:$N175,CSV貼付A!$N175)&gt;1,"",MAX($M$4:M174)+1))</f>
        <v/>
      </c>
      <c r="N175" s="0" t="str">
        <f aca="false">IFERROR(INDEX(CSV貼付A!$N$5:$N$1004,MATCH(ROW()-4,$M$5:$M$1004,0)),"")</f>
        <v/>
      </c>
      <c r="O175" s="0" t="str">
        <f aca="false">IF(CSV貼付B!$N175="","",IF(COUNTIF(CSV貼付B!$N$5:$N175,CSV貼付B!$N175)&gt;1,"",MAX($O$4:O174)+1))</f>
        <v/>
      </c>
      <c r="P175" s="0" t="str">
        <f aca="false">IFERROR(INDEX(CSV貼付B!$N$5:$N$1004,MATCH(ROW()-4,$O$5:$O$1004,0)),"")</f>
        <v/>
      </c>
      <c r="Q175" s="0" t="str">
        <f aca="false">IF(ROW()-4&lt;=MAX($M$5:$M$1004),IFERROR(INDEX($N$5:$N$404,ROW()-4),""),IFERROR(INDEX($P$5:$P$404,ROW()-4-MAX($M$5:$M$1004)),""))</f>
        <v/>
      </c>
    </row>
    <row r="176" customFormat="false" ht="15" hidden="false" customHeight="false" outlineLevel="0" collapsed="false">
      <c r="M176" s="0" t="str">
        <f aca="false">IF(CSV貼付A!$N176="","",IF(COUNTIF(CSV貼付A!$N$5:$N176,CSV貼付A!$N176)&gt;1,"",MAX($M$4:M175)+1))</f>
        <v/>
      </c>
      <c r="N176" s="0" t="str">
        <f aca="false">IFERROR(INDEX(CSV貼付A!$N$5:$N$1004,MATCH(ROW()-4,$M$5:$M$1004,0)),"")</f>
        <v/>
      </c>
      <c r="O176" s="0" t="str">
        <f aca="false">IF(CSV貼付B!$N176="","",IF(COUNTIF(CSV貼付B!$N$5:$N176,CSV貼付B!$N176)&gt;1,"",MAX($O$4:O175)+1))</f>
        <v/>
      </c>
      <c r="P176" s="0" t="str">
        <f aca="false">IFERROR(INDEX(CSV貼付B!$N$5:$N$1004,MATCH(ROW()-4,$O$5:$O$1004,0)),"")</f>
        <v/>
      </c>
      <c r="Q176" s="0" t="str">
        <f aca="false">IF(ROW()-4&lt;=MAX($M$5:$M$1004),IFERROR(INDEX($N$5:$N$404,ROW()-4),""),IFERROR(INDEX($P$5:$P$404,ROW()-4-MAX($M$5:$M$1004)),""))</f>
        <v/>
      </c>
    </row>
    <row r="177" customFormat="false" ht="15" hidden="false" customHeight="false" outlineLevel="0" collapsed="false">
      <c r="M177" s="0" t="str">
        <f aca="false">IF(CSV貼付A!$N177="","",IF(COUNTIF(CSV貼付A!$N$5:$N177,CSV貼付A!$N177)&gt;1,"",MAX($M$4:M176)+1))</f>
        <v/>
      </c>
      <c r="N177" s="0" t="str">
        <f aca="false">IFERROR(INDEX(CSV貼付A!$N$5:$N$1004,MATCH(ROW()-4,$M$5:$M$1004,0)),"")</f>
        <v/>
      </c>
      <c r="O177" s="0" t="str">
        <f aca="false">IF(CSV貼付B!$N177="","",IF(COUNTIF(CSV貼付B!$N$5:$N177,CSV貼付B!$N177)&gt;1,"",MAX($O$4:O176)+1))</f>
        <v/>
      </c>
      <c r="P177" s="0" t="str">
        <f aca="false">IFERROR(INDEX(CSV貼付B!$N$5:$N$1004,MATCH(ROW()-4,$O$5:$O$1004,0)),"")</f>
        <v/>
      </c>
      <c r="Q177" s="0" t="str">
        <f aca="false">IF(ROW()-4&lt;=MAX($M$5:$M$1004),IFERROR(INDEX($N$5:$N$404,ROW()-4),""),IFERROR(INDEX($P$5:$P$404,ROW()-4-MAX($M$5:$M$1004)),""))</f>
        <v/>
      </c>
    </row>
    <row r="178" customFormat="false" ht="15" hidden="false" customHeight="false" outlineLevel="0" collapsed="false">
      <c r="M178" s="0" t="str">
        <f aca="false">IF(CSV貼付A!$N178="","",IF(COUNTIF(CSV貼付A!$N$5:$N178,CSV貼付A!$N178)&gt;1,"",MAX($M$4:M177)+1))</f>
        <v/>
      </c>
      <c r="N178" s="0" t="str">
        <f aca="false">IFERROR(INDEX(CSV貼付A!$N$5:$N$1004,MATCH(ROW()-4,$M$5:$M$1004,0)),"")</f>
        <v/>
      </c>
      <c r="O178" s="0" t="str">
        <f aca="false">IF(CSV貼付B!$N178="","",IF(COUNTIF(CSV貼付B!$N$5:$N178,CSV貼付B!$N178)&gt;1,"",MAX($O$4:O177)+1))</f>
        <v/>
      </c>
      <c r="P178" s="0" t="str">
        <f aca="false">IFERROR(INDEX(CSV貼付B!$N$5:$N$1004,MATCH(ROW()-4,$O$5:$O$1004,0)),"")</f>
        <v/>
      </c>
      <c r="Q178" s="0" t="str">
        <f aca="false">IF(ROW()-4&lt;=MAX($M$5:$M$1004),IFERROR(INDEX($N$5:$N$404,ROW()-4),""),IFERROR(INDEX($P$5:$P$404,ROW()-4-MAX($M$5:$M$1004)),""))</f>
        <v/>
      </c>
    </row>
    <row r="179" customFormat="false" ht="15" hidden="false" customHeight="false" outlineLevel="0" collapsed="false">
      <c r="M179" s="0" t="str">
        <f aca="false">IF(CSV貼付A!$N179="","",IF(COUNTIF(CSV貼付A!$N$5:$N179,CSV貼付A!$N179)&gt;1,"",MAX($M$4:M178)+1))</f>
        <v/>
      </c>
      <c r="N179" s="0" t="str">
        <f aca="false">IFERROR(INDEX(CSV貼付A!$N$5:$N$1004,MATCH(ROW()-4,$M$5:$M$1004,0)),"")</f>
        <v/>
      </c>
      <c r="O179" s="0" t="str">
        <f aca="false">IF(CSV貼付B!$N179="","",IF(COUNTIF(CSV貼付B!$N$5:$N179,CSV貼付B!$N179)&gt;1,"",MAX($O$4:O178)+1))</f>
        <v/>
      </c>
      <c r="P179" s="0" t="str">
        <f aca="false">IFERROR(INDEX(CSV貼付B!$N$5:$N$1004,MATCH(ROW()-4,$O$5:$O$1004,0)),"")</f>
        <v/>
      </c>
      <c r="Q179" s="0" t="str">
        <f aca="false">IF(ROW()-4&lt;=MAX($M$5:$M$1004),IFERROR(INDEX($N$5:$N$404,ROW()-4),""),IFERROR(INDEX($P$5:$P$404,ROW()-4-MAX($M$5:$M$1004)),""))</f>
        <v/>
      </c>
    </row>
    <row r="180" customFormat="false" ht="15" hidden="false" customHeight="false" outlineLevel="0" collapsed="false">
      <c r="M180" s="0" t="str">
        <f aca="false">IF(CSV貼付A!$N180="","",IF(COUNTIF(CSV貼付A!$N$5:$N180,CSV貼付A!$N180)&gt;1,"",MAX($M$4:M179)+1))</f>
        <v/>
      </c>
      <c r="N180" s="0" t="str">
        <f aca="false">IFERROR(INDEX(CSV貼付A!$N$5:$N$1004,MATCH(ROW()-4,$M$5:$M$1004,0)),"")</f>
        <v/>
      </c>
      <c r="O180" s="0" t="str">
        <f aca="false">IF(CSV貼付B!$N180="","",IF(COUNTIF(CSV貼付B!$N$5:$N180,CSV貼付B!$N180)&gt;1,"",MAX($O$4:O179)+1))</f>
        <v/>
      </c>
      <c r="P180" s="0" t="str">
        <f aca="false">IFERROR(INDEX(CSV貼付B!$N$5:$N$1004,MATCH(ROW()-4,$O$5:$O$1004,0)),"")</f>
        <v/>
      </c>
      <c r="Q180" s="0" t="str">
        <f aca="false">IF(ROW()-4&lt;=MAX($M$5:$M$1004),IFERROR(INDEX($N$5:$N$404,ROW()-4),""),IFERROR(INDEX($P$5:$P$404,ROW()-4-MAX($M$5:$M$1004)),""))</f>
        <v/>
      </c>
    </row>
    <row r="181" customFormat="false" ht="15" hidden="false" customHeight="false" outlineLevel="0" collapsed="false">
      <c r="M181" s="0" t="str">
        <f aca="false">IF(CSV貼付A!$N181="","",IF(COUNTIF(CSV貼付A!$N$5:$N181,CSV貼付A!$N181)&gt;1,"",MAX($M$4:M180)+1))</f>
        <v/>
      </c>
      <c r="N181" s="0" t="str">
        <f aca="false">IFERROR(INDEX(CSV貼付A!$N$5:$N$1004,MATCH(ROW()-4,$M$5:$M$1004,0)),"")</f>
        <v/>
      </c>
      <c r="O181" s="0" t="str">
        <f aca="false">IF(CSV貼付B!$N181="","",IF(COUNTIF(CSV貼付B!$N$5:$N181,CSV貼付B!$N181)&gt;1,"",MAX($O$4:O180)+1))</f>
        <v/>
      </c>
      <c r="P181" s="0" t="str">
        <f aca="false">IFERROR(INDEX(CSV貼付B!$N$5:$N$1004,MATCH(ROW()-4,$O$5:$O$1004,0)),"")</f>
        <v/>
      </c>
      <c r="Q181" s="0" t="str">
        <f aca="false">IF(ROW()-4&lt;=MAX($M$5:$M$1004),IFERROR(INDEX($N$5:$N$404,ROW()-4),""),IFERROR(INDEX($P$5:$P$404,ROW()-4-MAX($M$5:$M$1004)),""))</f>
        <v/>
      </c>
    </row>
    <row r="182" customFormat="false" ht="15" hidden="false" customHeight="false" outlineLevel="0" collapsed="false">
      <c r="M182" s="0" t="str">
        <f aca="false">IF(CSV貼付A!$N182="","",IF(COUNTIF(CSV貼付A!$N$5:$N182,CSV貼付A!$N182)&gt;1,"",MAX($M$4:M181)+1))</f>
        <v/>
      </c>
      <c r="N182" s="0" t="str">
        <f aca="false">IFERROR(INDEX(CSV貼付A!$N$5:$N$1004,MATCH(ROW()-4,$M$5:$M$1004,0)),"")</f>
        <v/>
      </c>
      <c r="O182" s="0" t="str">
        <f aca="false">IF(CSV貼付B!$N182="","",IF(COUNTIF(CSV貼付B!$N$5:$N182,CSV貼付B!$N182)&gt;1,"",MAX($O$4:O181)+1))</f>
        <v/>
      </c>
      <c r="P182" s="0" t="str">
        <f aca="false">IFERROR(INDEX(CSV貼付B!$N$5:$N$1004,MATCH(ROW()-4,$O$5:$O$1004,0)),"")</f>
        <v/>
      </c>
      <c r="Q182" s="0" t="str">
        <f aca="false">IF(ROW()-4&lt;=MAX($M$5:$M$1004),IFERROR(INDEX($N$5:$N$404,ROW()-4),""),IFERROR(INDEX($P$5:$P$404,ROW()-4-MAX($M$5:$M$1004)),""))</f>
        <v/>
      </c>
    </row>
    <row r="183" customFormat="false" ht="15" hidden="false" customHeight="false" outlineLevel="0" collapsed="false">
      <c r="M183" s="0" t="str">
        <f aca="false">IF(CSV貼付A!$N183="","",IF(COUNTIF(CSV貼付A!$N$5:$N183,CSV貼付A!$N183)&gt;1,"",MAX($M$4:M182)+1))</f>
        <v/>
      </c>
      <c r="N183" s="0" t="str">
        <f aca="false">IFERROR(INDEX(CSV貼付A!$N$5:$N$1004,MATCH(ROW()-4,$M$5:$M$1004,0)),"")</f>
        <v/>
      </c>
      <c r="O183" s="0" t="str">
        <f aca="false">IF(CSV貼付B!$N183="","",IF(COUNTIF(CSV貼付B!$N$5:$N183,CSV貼付B!$N183)&gt;1,"",MAX($O$4:O182)+1))</f>
        <v/>
      </c>
      <c r="P183" s="0" t="str">
        <f aca="false">IFERROR(INDEX(CSV貼付B!$N$5:$N$1004,MATCH(ROW()-4,$O$5:$O$1004,0)),"")</f>
        <v/>
      </c>
      <c r="Q183" s="0" t="str">
        <f aca="false">IF(ROW()-4&lt;=MAX($M$5:$M$1004),IFERROR(INDEX($N$5:$N$404,ROW()-4),""),IFERROR(INDEX($P$5:$P$404,ROW()-4-MAX($M$5:$M$1004)),""))</f>
        <v/>
      </c>
    </row>
    <row r="184" customFormat="false" ht="15" hidden="false" customHeight="false" outlineLevel="0" collapsed="false">
      <c r="M184" s="0" t="str">
        <f aca="false">IF(CSV貼付A!$N184="","",IF(COUNTIF(CSV貼付A!$N$5:$N184,CSV貼付A!$N184)&gt;1,"",MAX($M$4:M183)+1))</f>
        <v/>
      </c>
      <c r="N184" s="0" t="str">
        <f aca="false">IFERROR(INDEX(CSV貼付A!$N$5:$N$1004,MATCH(ROW()-4,$M$5:$M$1004,0)),"")</f>
        <v/>
      </c>
      <c r="O184" s="0" t="str">
        <f aca="false">IF(CSV貼付B!$N184="","",IF(COUNTIF(CSV貼付B!$N$5:$N184,CSV貼付B!$N184)&gt;1,"",MAX($O$4:O183)+1))</f>
        <v/>
      </c>
      <c r="P184" s="0" t="str">
        <f aca="false">IFERROR(INDEX(CSV貼付B!$N$5:$N$1004,MATCH(ROW()-4,$O$5:$O$1004,0)),"")</f>
        <v/>
      </c>
      <c r="Q184" s="0" t="str">
        <f aca="false">IF(ROW()-4&lt;=MAX($M$5:$M$1004),IFERROR(INDEX($N$5:$N$404,ROW()-4),""),IFERROR(INDEX($P$5:$P$404,ROW()-4-MAX($M$5:$M$1004)),""))</f>
        <v/>
      </c>
    </row>
    <row r="185" customFormat="false" ht="15" hidden="false" customHeight="false" outlineLevel="0" collapsed="false">
      <c r="M185" s="0" t="str">
        <f aca="false">IF(CSV貼付A!$N185="","",IF(COUNTIF(CSV貼付A!$N$5:$N185,CSV貼付A!$N185)&gt;1,"",MAX($M$4:M184)+1))</f>
        <v/>
      </c>
      <c r="N185" s="0" t="str">
        <f aca="false">IFERROR(INDEX(CSV貼付A!$N$5:$N$1004,MATCH(ROW()-4,$M$5:$M$1004,0)),"")</f>
        <v/>
      </c>
      <c r="O185" s="0" t="str">
        <f aca="false">IF(CSV貼付B!$N185="","",IF(COUNTIF(CSV貼付B!$N$5:$N185,CSV貼付B!$N185)&gt;1,"",MAX($O$4:O184)+1))</f>
        <v/>
      </c>
      <c r="P185" s="0" t="str">
        <f aca="false">IFERROR(INDEX(CSV貼付B!$N$5:$N$1004,MATCH(ROW()-4,$O$5:$O$1004,0)),"")</f>
        <v/>
      </c>
      <c r="Q185" s="0" t="str">
        <f aca="false">IF(ROW()-4&lt;=MAX($M$5:$M$1004),IFERROR(INDEX($N$5:$N$404,ROW()-4),""),IFERROR(INDEX($P$5:$P$404,ROW()-4-MAX($M$5:$M$1004)),""))</f>
        <v/>
      </c>
    </row>
    <row r="186" customFormat="false" ht="15" hidden="false" customHeight="false" outlineLevel="0" collapsed="false">
      <c r="M186" s="0" t="str">
        <f aca="false">IF(CSV貼付A!$N186="","",IF(COUNTIF(CSV貼付A!$N$5:$N186,CSV貼付A!$N186)&gt;1,"",MAX($M$4:M185)+1))</f>
        <v/>
      </c>
      <c r="N186" s="0" t="str">
        <f aca="false">IFERROR(INDEX(CSV貼付A!$N$5:$N$1004,MATCH(ROW()-4,$M$5:$M$1004,0)),"")</f>
        <v/>
      </c>
      <c r="O186" s="0" t="str">
        <f aca="false">IF(CSV貼付B!$N186="","",IF(COUNTIF(CSV貼付B!$N$5:$N186,CSV貼付B!$N186)&gt;1,"",MAX($O$4:O185)+1))</f>
        <v/>
      </c>
      <c r="P186" s="0" t="str">
        <f aca="false">IFERROR(INDEX(CSV貼付B!$N$5:$N$1004,MATCH(ROW()-4,$O$5:$O$1004,0)),"")</f>
        <v/>
      </c>
      <c r="Q186" s="0" t="str">
        <f aca="false">IF(ROW()-4&lt;=MAX($M$5:$M$1004),IFERROR(INDEX($N$5:$N$404,ROW()-4),""),IFERROR(INDEX($P$5:$P$404,ROW()-4-MAX($M$5:$M$1004)),""))</f>
        <v/>
      </c>
    </row>
    <row r="187" customFormat="false" ht="15" hidden="false" customHeight="false" outlineLevel="0" collapsed="false">
      <c r="M187" s="0" t="str">
        <f aca="false">IF(CSV貼付A!$N187="","",IF(COUNTIF(CSV貼付A!$N$5:$N187,CSV貼付A!$N187)&gt;1,"",MAX($M$4:M186)+1))</f>
        <v/>
      </c>
      <c r="N187" s="0" t="str">
        <f aca="false">IFERROR(INDEX(CSV貼付A!$N$5:$N$1004,MATCH(ROW()-4,$M$5:$M$1004,0)),"")</f>
        <v/>
      </c>
      <c r="O187" s="0" t="str">
        <f aca="false">IF(CSV貼付B!$N187="","",IF(COUNTIF(CSV貼付B!$N$5:$N187,CSV貼付B!$N187)&gt;1,"",MAX($O$4:O186)+1))</f>
        <v/>
      </c>
      <c r="P187" s="0" t="str">
        <f aca="false">IFERROR(INDEX(CSV貼付B!$N$5:$N$1004,MATCH(ROW()-4,$O$5:$O$1004,0)),"")</f>
        <v/>
      </c>
      <c r="Q187" s="0" t="str">
        <f aca="false">IF(ROW()-4&lt;=MAX($M$5:$M$1004),IFERROR(INDEX($N$5:$N$404,ROW()-4),""),IFERROR(INDEX($P$5:$P$404,ROW()-4-MAX($M$5:$M$1004)),""))</f>
        <v/>
      </c>
    </row>
    <row r="188" customFormat="false" ht="15" hidden="false" customHeight="false" outlineLevel="0" collapsed="false">
      <c r="M188" s="0" t="str">
        <f aca="false">IF(CSV貼付A!$N188="","",IF(COUNTIF(CSV貼付A!$N$5:$N188,CSV貼付A!$N188)&gt;1,"",MAX($M$4:M187)+1))</f>
        <v/>
      </c>
      <c r="N188" s="0" t="str">
        <f aca="false">IFERROR(INDEX(CSV貼付A!$N$5:$N$1004,MATCH(ROW()-4,$M$5:$M$1004,0)),"")</f>
        <v/>
      </c>
      <c r="O188" s="0" t="str">
        <f aca="false">IF(CSV貼付B!$N188="","",IF(COUNTIF(CSV貼付B!$N$5:$N188,CSV貼付B!$N188)&gt;1,"",MAX($O$4:O187)+1))</f>
        <v/>
      </c>
      <c r="P188" s="0" t="str">
        <f aca="false">IFERROR(INDEX(CSV貼付B!$N$5:$N$1004,MATCH(ROW()-4,$O$5:$O$1004,0)),"")</f>
        <v/>
      </c>
      <c r="Q188" s="0" t="str">
        <f aca="false">IF(ROW()-4&lt;=MAX($M$5:$M$1004),IFERROR(INDEX($N$5:$N$404,ROW()-4),""),IFERROR(INDEX($P$5:$P$404,ROW()-4-MAX($M$5:$M$1004)),""))</f>
        <v/>
      </c>
    </row>
    <row r="189" customFormat="false" ht="15" hidden="false" customHeight="false" outlineLevel="0" collapsed="false">
      <c r="M189" s="0" t="str">
        <f aca="false">IF(CSV貼付A!$N189="","",IF(COUNTIF(CSV貼付A!$N$5:$N189,CSV貼付A!$N189)&gt;1,"",MAX($M$4:M188)+1))</f>
        <v/>
      </c>
      <c r="N189" s="0" t="str">
        <f aca="false">IFERROR(INDEX(CSV貼付A!$N$5:$N$1004,MATCH(ROW()-4,$M$5:$M$1004,0)),"")</f>
        <v/>
      </c>
      <c r="O189" s="0" t="str">
        <f aca="false">IF(CSV貼付B!$N189="","",IF(COUNTIF(CSV貼付B!$N$5:$N189,CSV貼付B!$N189)&gt;1,"",MAX($O$4:O188)+1))</f>
        <v/>
      </c>
      <c r="P189" s="0" t="str">
        <f aca="false">IFERROR(INDEX(CSV貼付B!$N$5:$N$1004,MATCH(ROW()-4,$O$5:$O$1004,0)),"")</f>
        <v/>
      </c>
      <c r="Q189" s="0" t="str">
        <f aca="false">IF(ROW()-4&lt;=MAX($M$5:$M$1004),IFERROR(INDEX($N$5:$N$404,ROW()-4),""),IFERROR(INDEX($P$5:$P$404,ROW()-4-MAX($M$5:$M$1004)),""))</f>
        <v/>
      </c>
    </row>
    <row r="190" customFormat="false" ht="15" hidden="false" customHeight="false" outlineLevel="0" collapsed="false">
      <c r="M190" s="0" t="str">
        <f aca="false">IF(CSV貼付A!$N190="","",IF(COUNTIF(CSV貼付A!$N$5:$N190,CSV貼付A!$N190)&gt;1,"",MAX($M$4:M189)+1))</f>
        <v/>
      </c>
      <c r="N190" s="0" t="str">
        <f aca="false">IFERROR(INDEX(CSV貼付A!$N$5:$N$1004,MATCH(ROW()-4,$M$5:$M$1004,0)),"")</f>
        <v/>
      </c>
      <c r="O190" s="0" t="str">
        <f aca="false">IF(CSV貼付B!$N190="","",IF(COUNTIF(CSV貼付B!$N$5:$N190,CSV貼付B!$N190)&gt;1,"",MAX($O$4:O189)+1))</f>
        <v/>
      </c>
      <c r="P190" s="0" t="str">
        <f aca="false">IFERROR(INDEX(CSV貼付B!$N$5:$N$1004,MATCH(ROW()-4,$O$5:$O$1004,0)),"")</f>
        <v/>
      </c>
      <c r="Q190" s="0" t="str">
        <f aca="false">IF(ROW()-4&lt;=MAX($M$5:$M$1004),IFERROR(INDEX($N$5:$N$404,ROW()-4),""),IFERROR(INDEX($P$5:$P$404,ROW()-4-MAX($M$5:$M$1004)),""))</f>
        <v/>
      </c>
    </row>
    <row r="191" customFormat="false" ht="15" hidden="false" customHeight="false" outlineLevel="0" collapsed="false">
      <c r="M191" s="0" t="str">
        <f aca="false">IF(CSV貼付A!$N191="","",IF(COUNTIF(CSV貼付A!$N$5:$N191,CSV貼付A!$N191)&gt;1,"",MAX($M$4:M190)+1))</f>
        <v/>
      </c>
      <c r="N191" s="0" t="str">
        <f aca="false">IFERROR(INDEX(CSV貼付A!$N$5:$N$1004,MATCH(ROW()-4,$M$5:$M$1004,0)),"")</f>
        <v/>
      </c>
      <c r="O191" s="0" t="str">
        <f aca="false">IF(CSV貼付B!$N191="","",IF(COUNTIF(CSV貼付B!$N$5:$N191,CSV貼付B!$N191)&gt;1,"",MAX($O$4:O190)+1))</f>
        <v/>
      </c>
      <c r="P191" s="0" t="str">
        <f aca="false">IFERROR(INDEX(CSV貼付B!$N$5:$N$1004,MATCH(ROW()-4,$O$5:$O$1004,0)),"")</f>
        <v/>
      </c>
      <c r="Q191" s="0" t="str">
        <f aca="false">IF(ROW()-4&lt;=MAX($M$5:$M$1004),IFERROR(INDEX($N$5:$N$404,ROW()-4),""),IFERROR(INDEX($P$5:$P$404,ROW()-4-MAX($M$5:$M$1004)),""))</f>
        <v/>
      </c>
    </row>
    <row r="192" customFormat="false" ht="15" hidden="false" customHeight="false" outlineLevel="0" collapsed="false">
      <c r="M192" s="0" t="str">
        <f aca="false">IF(CSV貼付A!$N192="","",IF(COUNTIF(CSV貼付A!$N$5:$N192,CSV貼付A!$N192)&gt;1,"",MAX($M$4:M191)+1))</f>
        <v/>
      </c>
      <c r="N192" s="0" t="str">
        <f aca="false">IFERROR(INDEX(CSV貼付A!$N$5:$N$1004,MATCH(ROW()-4,$M$5:$M$1004,0)),"")</f>
        <v/>
      </c>
      <c r="O192" s="0" t="str">
        <f aca="false">IF(CSV貼付B!$N192="","",IF(COUNTIF(CSV貼付B!$N$5:$N192,CSV貼付B!$N192)&gt;1,"",MAX($O$4:O191)+1))</f>
        <v/>
      </c>
      <c r="P192" s="0" t="str">
        <f aca="false">IFERROR(INDEX(CSV貼付B!$N$5:$N$1004,MATCH(ROW()-4,$O$5:$O$1004,0)),"")</f>
        <v/>
      </c>
      <c r="Q192" s="0" t="str">
        <f aca="false">IF(ROW()-4&lt;=MAX($M$5:$M$1004),IFERROR(INDEX($N$5:$N$404,ROW()-4),""),IFERROR(INDEX($P$5:$P$404,ROW()-4-MAX($M$5:$M$1004)),""))</f>
        <v/>
      </c>
    </row>
    <row r="193" customFormat="false" ht="15" hidden="false" customHeight="false" outlineLevel="0" collapsed="false">
      <c r="M193" s="0" t="str">
        <f aca="false">IF(CSV貼付A!$N193="","",IF(COUNTIF(CSV貼付A!$N$5:$N193,CSV貼付A!$N193)&gt;1,"",MAX($M$4:M192)+1))</f>
        <v/>
      </c>
      <c r="N193" s="0" t="str">
        <f aca="false">IFERROR(INDEX(CSV貼付A!$N$5:$N$1004,MATCH(ROW()-4,$M$5:$M$1004,0)),"")</f>
        <v/>
      </c>
      <c r="O193" s="0" t="str">
        <f aca="false">IF(CSV貼付B!$N193="","",IF(COUNTIF(CSV貼付B!$N$5:$N193,CSV貼付B!$N193)&gt;1,"",MAX($O$4:O192)+1))</f>
        <v/>
      </c>
      <c r="P193" s="0" t="str">
        <f aca="false">IFERROR(INDEX(CSV貼付B!$N$5:$N$1004,MATCH(ROW()-4,$O$5:$O$1004,0)),"")</f>
        <v/>
      </c>
      <c r="Q193" s="0" t="str">
        <f aca="false">IF(ROW()-4&lt;=MAX($M$5:$M$1004),IFERROR(INDEX($N$5:$N$404,ROW()-4),""),IFERROR(INDEX($P$5:$P$404,ROW()-4-MAX($M$5:$M$1004)),""))</f>
        <v/>
      </c>
    </row>
    <row r="194" customFormat="false" ht="15" hidden="false" customHeight="false" outlineLevel="0" collapsed="false">
      <c r="M194" s="0" t="str">
        <f aca="false">IF(CSV貼付A!$N194="","",IF(COUNTIF(CSV貼付A!$N$5:$N194,CSV貼付A!$N194)&gt;1,"",MAX($M$4:M193)+1))</f>
        <v/>
      </c>
      <c r="N194" s="0" t="str">
        <f aca="false">IFERROR(INDEX(CSV貼付A!$N$5:$N$1004,MATCH(ROW()-4,$M$5:$M$1004,0)),"")</f>
        <v/>
      </c>
      <c r="O194" s="0" t="str">
        <f aca="false">IF(CSV貼付B!$N194="","",IF(COUNTIF(CSV貼付B!$N$5:$N194,CSV貼付B!$N194)&gt;1,"",MAX($O$4:O193)+1))</f>
        <v/>
      </c>
      <c r="P194" s="0" t="str">
        <f aca="false">IFERROR(INDEX(CSV貼付B!$N$5:$N$1004,MATCH(ROW()-4,$O$5:$O$1004,0)),"")</f>
        <v/>
      </c>
      <c r="Q194" s="0" t="str">
        <f aca="false">IF(ROW()-4&lt;=MAX($M$5:$M$1004),IFERROR(INDEX($N$5:$N$404,ROW()-4),""),IFERROR(INDEX($P$5:$P$404,ROW()-4-MAX($M$5:$M$1004)),""))</f>
        <v/>
      </c>
    </row>
    <row r="195" customFormat="false" ht="15" hidden="false" customHeight="false" outlineLevel="0" collapsed="false">
      <c r="M195" s="0" t="str">
        <f aca="false">IF(CSV貼付A!$N195="","",IF(COUNTIF(CSV貼付A!$N$5:$N195,CSV貼付A!$N195)&gt;1,"",MAX($M$4:M194)+1))</f>
        <v/>
      </c>
      <c r="N195" s="0" t="str">
        <f aca="false">IFERROR(INDEX(CSV貼付A!$N$5:$N$1004,MATCH(ROW()-4,$M$5:$M$1004,0)),"")</f>
        <v/>
      </c>
      <c r="O195" s="0" t="str">
        <f aca="false">IF(CSV貼付B!$N195="","",IF(COUNTIF(CSV貼付B!$N$5:$N195,CSV貼付B!$N195)&gt;1,"",MAX($O$4:O194)+1))</f>
        <v/>
      </c>
      <c r="P195" s="0" t="str">
        <f aca="false">IFERROR(INDEX(CSV貼付B!$N$5:$N$1004,MATCH(ROW()-4,$O$5:$O$1004,0)),"")</f>
        <v/>
      </c>
      <c r="Q195" s="0" t="str">
        <f aca="false">IF(ROW()-4&lt;=MAX($M$5:$M$1004),IFERROR(INDEX($N$5:$N$404,ROW()-4),""),IFERROR(INDEX($P$5:$P$404,ROW()-4-MAX($M$5:$M$1004)),""))</f>
        <v/>
      </c>
    </row>
    <row r="196" customFormat="false" ht="15" hidden="false" customHeight="false" outlineLevel="0" collapsed="false">
      <c r="M196" s="0" t="str">
        <f aca="false">IF(CSV貼付A!$N196="","",IF(COUNTIF(CSV貼付A!$N$5:$N196,CSV貼付A!$N196)&gt;1,"",MAX($M$4:M195)+1))</f>
        <v/>
      </c>
      <c r="N196" s="0" t="str">
        <f aca="false">IFERROR(INDEX(CSV貼付A!$N$5:$N$1004,MATCH(ROW()-4,$M$5:$M$1004,0)),"")</f>
        <v/>
      </c>
      <c r="O196" s="0" t="str">
        <f aca="false">IF(CSV貼付B!$N196="","",IF(COUNTIF(CSV貼付B!$N$5:$N196,CSV貼付B!$N196)&gt;1,"",MAX($O$4:O195)+1))</f>
        <v/>
      </c>
      <c r="P196" s="0" t="str">
        <f aca="false">IFERROR(INDEX(CSV貼付B!$N$5:$N$1004,MATCH(ROW()-4,$O$5:$O$1004,0)),"")</f>
        <v/>
      </c>
      <c r="Q196" s="0" t="str">
        <f aca="false">IF(ROW()-4&lt;=MAX($M$5:$M$1004),IFERROR(INDEX($N$5:$N$404,ROW()-4),""),IFERROR(INDEX($P$5:$P$404,ROW()-4-MAX($M$5:$M$1004)),""))</f>
        <v/>
      </c>
    </row>
    <row r="197" customFormat="false" ht="15" hidden="false" customHeight="false" outlineLevel="0" collapsed="false">
      <c r="M197" s="0" t="str">
        <f aca="false">IF(CSV貼付A!$N197="","",IF(COUNTIF(CSV貼付A!$N$5:$N197,CSV貼付A!$N197)&gt;1,"",MAX($M$4:M196)+1))</f>
        <v/>
      </c>
      <c r="N197" s="0" t="str">
        <f aca="false">IFERROR(INDEX(CSV貼付A!$N$5:$N$1004,MATCH(ROW()-4,$M$5:$M$1004,0)),"")</f>
        <v/>
      </c>
      <c r="O197" s="0" t="str">
        <f aca="false">IF(CSV貼付B!$N197="","",IF(COUNTIF(CSV貼付B!$N$5:$N197,CSV貼付B!$N197)&gt;1,"",MAX($O$4:O196)+1))</f>
        <v/>
      </c>
      <c r="P197" s="0" t="str">
        <f aca="false">IFERROR(INDEX(CSV貼付B!$N$5:$N$1004,MATCH(ROW()-4,$O$5:$O$1004,0)),"")</f>
        <v/>
      </c>
      <c r="Q197" s="0" t="str">
        <f aca="false">IF(ROW()-4&lt;=MAX($M$5:$M$1004),IFERROR(INDEX($N$5:$N$404,ROW()-4),""),IFERROR(INDEX($P$5:$P$404,ROW()-4-MAX($M$5:$M$1004)),""))</f>
        <v/>
      </c>
    </row>
    <row r="198" customFormat="false" ht="15" hidden="false" customHeight="false" outlineLevel="0" collapsed="false">
      <c r="M198" s="0" t="str">
        <f aca="false">IF(CSV貼付A!$N198="","",IF(COUNTIF(CSV貼付A!$N$5:$N198,CSV貼付A!$N198)&gt;1,"",MAX($M$4:M197)+1))</f>
        <v/>
      </c>
      <c r="N198" s="0" t="str">
        <f aca="false">IFERROR(INDEX(CSV貼付A!$N$5:$N$1004,MATCH(ROW()-4,$M$5:$M$1004,0)),"")</f>
        <v/>
      </c>
      <c r="O198" s="0" t="str">
        <f aca="false">IF(CSV貼付B!$N198="","",IF(COUNTIF(CSV貼付B!$N$5:$N198,CSV貼付B!$N198)&gt;1,"",MAX($O$4:O197)+1))</f>
        <v/>
      </c>
      <c r="P198" s="0" t="str">
        <f aca="false">IFERROR(INDEX(CSV貼付B!$N$5:$N$1004,MATCH(ROW()-4,$O$5:$O$1004,0)),"")</f>
        <v/>
      </c>
      <c r="Q198" s="0" t="str">
        <f aca="false">IF(ROW()-4&lt;=MAX($M$5:$M$1004),IFERROR(INDEX($N$5:$N$404,ROW()-4),""),IFERROR(INDEX($P$5:$P$404,ROW()-4-MAX($M$5:$M$1004)),""))</f>
        <v/>
      </c>
    </row>
    <row r="199" customFormat="false" ht="15" hidden="false" customHeight="false" outlineLevel="0" collapsed="false">
      <c r="M199" s="0" t="str">
        <f aca="false">IF(CSV貼付A!$N199="","",IF(COUNTIF(CSV貼付A!$N$5:$N199,CSV貼付A!$N199)&gt;1,"",MAX($M$4:M198)+1))</f>
        <v/>
      </c>
      <c r="N199" s="0" t="str">
        <f aca="false">IFERROR(INDEX(CSV貼付A!$N$5:$N$1004,MATCH(ROW()-4,$M$5:$M$1004,0)),"")</f>
        <v/>
      </c>
      <c r="O199" s="0" t="str">
        <f aca="false">IF(CSV貼付B!$N199="","",IF(COUNTIF(CSV貼付B!$N$5:$N199,CSV貼付B!$N199)&gt;1,"",MAX($O$4:O198)+1))</f>
        <v/>
      </c>
      <c r="P199" s="0" t="str">
        <f aca="false">IFERROR(INDEX(CSV貼付B!$N$5:$N$1004,MATCH(ROW()-4,$O$5:$O$1004,0)),"")</f>
        <v/>
      </c>
      <c r="Q199" s="0" t="str">
        <f aca="false">IF(ROW()-4&lt;=MAX($M$5:$M$1004),IFERROR(INDEX($N$5:$N$404,ROW()-4),""),IFERROR(INDEX($P$5:$P$404,ROW()-4-MAX($M$5:$M$1004)),""))</f>
        <v/>
      </c>
    </row>
    <row r="200" customFormat="false" ht="15" hidden="false" customHeight="false" outlineLevel="0" collapsed="false">
      <c r="M200" s="0" t="str">
        <f aca="false">IF(CSV貼付A!$N200="","",IF(COUNTIF(CSV貼付A!$N$5:$N200,CSV貼付A!$N200)&gt;1,"",MAX($M$4:M199)+1))</f>
        <v/>
      </c>
      <c r="N200" s="0" t="str">
        <f aca="false">IFERROR(INDEX(CSV貼付A!$N$5:$N$1004,MATCH(ROW()-4,$M$5:$M$1004,0)),"")</f>
        <v/>
      </c>
      <c r="O200" s="0" t="str">
        <f aca="false">IF(CSV貼付B!$N200="","",IF(COUNTIF(CSV貼付B!$N$5:$N200,CSV貼付B!$N200)&gt;1,"",MAX($O$4:O199)+1))</f>
        <v/>
      </c>
      <c r="P200" s="0" t="str">
        <f aca="false">IFERROR(INDEX(CSV貼付B!$N$5:$N$1004,MATCH(ROW()-4,$O$5:$O$1004,0)),"")</f>
        <v/>
      </c>
      <c r="Q200" s="0" t="str">
        <f aca="false">IF(ROW()-4&lt;=MAX($M$5:$M$1004),IFERROR(INDEX($N$5:$N$404,ROW()-4),""),IFERROR(INDEX($P$5:$P$404,ROW()-4-MAX($M$5:$M$1004)),""))</f>
        <v/>
      </c>
    </row>
    <row r="201" customFormat="false" ht="15" hidden="false" customHeight="false" outlineLevel="0" collapsed="false">
      <c r="M201" s="0" t="str">
        <f aca="false">IF(CSV貼付A!$N201="","",IF(COUNTIF(CSV貼付A!$N$5:$N201,CSV貼付A!$N201)&gt;1,"",MAX($M$4:M200)+1))</f>
        <v/>
      </c>
      <c r="N201" s="0" t="str">
        <f aca="false">IFERROR(INDEX(CSV貼付A!$N$5:$N$1004,MATCH(ROW()-4,$M$5:$M$1004,0)),"")</f>
        <v/>
      </c>
      <c r="O201" s="0" t="str">
        <f aca="false">IF(CSV貼付B!$N201="","",IF(COUNTIF(CSV貼付B!$N$5:$N201,CSV貼付B!$N201)&gt;1,"",MAX($O$4:O200)+1))</f>
        <v/>
      </c>
      <c r="P201" s="0" t="str">
        <f aca="false">IFERROR(INDEX(CSV貼付B!$N$5:$N$1004,MATCH(ROW()-4,$O$5:$O$1004,0)),"")</f>
        <v/>
      </c>
      <c r="Q201" s="0" t="str">
        <f aca="false">IF(ROW()-4&lt;=MAX($M$5:$M$1004),IFERROR(INDEX($N$5:$N$404,ROW()-4),""),IFERROR(INDEX($P$5:$P$404,ROW()-4-MAX($M$5:$M$1004)),""))</f>
        <v/>
      </c>
    </row>
    <row r="202" customFormat="false" ht="15" hidden="false" customHeight="false" outlineLevel="0" collapsed="false">
      <c r="M202" s="0" t="str">
        <f aca="false">IF(CSV貼付A!$N202="","",IF(COUNTIF(CSV貼付A!$N$5:$N202,CSV貼付A!$N202)&gt;1,"",MAX($M$4:M201)+1))</f>
        <v/>
      </c>
      <c r="N202" s="0" t="str">
        <f aca="false">IFERROR(INDEX(CSV貼付A!$N$5:$N$1004,MATCH(ROW()-4,$M$5:$M$1004,0)),"")</f>
        <v/>
      </c>
      <c r="O202" s="0" t="str">
        <f aca="false">IF(CSV貼付B!$N202="","",IF(COUNTIF(CSV貼付B!$N$5:$N202,CSV貼付B!$N202)&gt;1,"",MAX($O$4:O201)+1))</f>
        <v/>
      </c>
      <c r="P202" s="0" t="str">
        <f aca="false">IFERROR(INDEX(CSV貼付B!$N$5:$N$1004,MATCH(ROW()-4,$O$5:$O$1004,0)),"")</f>
        <v/>
      </c>
      <c r="Q202" s="0" t="str">
        <f aca="false">IF(ROW()-4&lt;=MAX($M$5:$M$1004),IFERROR(INDEX($N$5:$N$404,ROW()-4),""),IFERROR(INDEX($P$5:$P$404,ROW()-4-MAX($M$5:$M$1004)),""))</f>
        <v/>
      </c>
    </row>
    <row r="203" customFormat="false" ht="15" hidden="false" customHeight="false" outlineLevel="0" collapsed="false">
      <c r="M203" s="0" t="str">
        <f aca="false">IF(CSV貼付A!$N203="","",IF(COUNTIF(CSV貼付A!$N$5:$N203,CSV貼付A!$N203)&gt;1,"",MAX($M$4:M202)+1))</f>
        <v/>
      </c>
      <c r="N203" s="0" t="str">
        <f aca="false">IFERROR(INDEX(CSV貼付A!$N$5:$N$1004,MATCH(ROW()-4,$M$5:$M$1004,0)),"")</f>
        <v/>
      </c>
      <c r="O203" s="0" t="str">
        <f aca="false">IF(CSV貼付B!$N203="","",IF(COUNTIF(CSV貼付B!$N$5:$N203,CSV貼付B!$N203)&gt;1,"",MAX($O$4:O202)+1))</f>
        <v/>
      </c>
      <c r="P203" s="0" t="str">
        <f aca="false">IFERROR(INDEX(CSV貼付B!$N$5:$N$1004,MATCH(ROW()-4,$O$5:$O$1004,0)),"")</f>
        <v/>
      </c>
      <c r="Q203" s="0" t="str">
        <f aca="false">IF(ROW()-4&lt;=MAX($M$5:$M$1004),IFERROR(INDEX($N$5:$N$404,ROW()-4),""),IFERROR(INDEX($P$5:$P$404,ROW()-4-MAX($M$5:$M$1004)),""))</f>
        <v/>
      </c>
    </row>
    <row r="204" customFormat="false" ht="15" hidden="false" customHeight="false" outlineLevel="0" collapsed="false">
      <c r="M204" s="0" t="str">
        <f aca="false">IF(CSV貼付A!$N204="","",IF(COUNTIF(CSV貼付A!$N$5:$N204,CSV貼付A!$N204)&gt;1,"",MAX($M$4:M203)+1))</f>
        <v/>
      </c>
      <c r="N204" s="0" t="str">
        <f aca="false">IFERROR(INDEX(CSV貼付A!$N$5:$N$1004,MATCH(ROW()-4,$M$5:$M$1004,0)),"")</f>
        <v/>
      </c>
      <c r="O204" s="0" t="str">
        <f aca="false">IF(CSV貼付B!$N204="","",IF(COUNTIF(CSV貼付B!$N$5:$N204,CSV貼付B!$N204)&gt;1,"",MAX($O$4:O203)+1))</f>
        <v/>
      </c>
      <c r="P204" s="0" t="str">
        <f aca="false">IFERROR(INDEX(CSV貼付B!$N$5:$N$1004,MATCH(ROW()-4,$O$5:$O$1004,0)),"")</f>
        <v/>
      </c>
      <c r="Q204" s="0" t="str">
        <f aca="false">IF(ROW()-4&lt;=MAX($M$5:$M$1004),IFERROR(INDEX($N$5:$N$404,ROW()-4),""),IFERROR(INDEX($P$5:$P$404,ROW()-4-MAX($M$5:$M$1004)),""))</f>
        <v/>
      </c>
    </row>
    <row r="205" customFormat="false" ht="15" hidden="false" customHeight="false" outlineLevel="0" collapsed="false">
      <c r="M205" s="0" t="str">
        <f aca="false">IF(CSV貼付A!$N205="","",IF(COUNTIF(CSV貼付A!$N$5:$N205,CSV貼付A!$N205)&gt;1,"",MAX($M$4:M204)+1))</f>
        <v/>
      </c>
      <c r="N205" s="0" t="str">
        <f aca="false">IFERROR(INDEX(CSV貼付A!$N$5:$N$1004,MATCH(ROW()-4,$M$5:$M$1004,0)),"")</f>
        <v/>
      </c>
      <c r="O205" s="0" t="str">
        <f aca="false">IF(CSV貼付B!$N205="","",IF(COUNTIF(CSV貼付B!$N$5:$N205,CSV貼付B!$N205)&gt;1,"",MAX($O$4:O204)+1))</f>
        <v/>
      </c>
      <c r="P205" s="0" t="str">
        <f aca="false">IFERROR(INDEX(CSV貼付B!$N$5:$N$1004,MATCH(ROW()-4,$O$5:$O$1004,0)),"")</f>
        <v/>
      </c>
      <c r="Q205" s="0" t="str">
        <f aca="false">IF(ROW()-4&lt;=MAX($M$5:$M$1004),IFERROR(INDEX($N$5:$N$404,ROW()-4),""),IFERROR(INDEX($P$5:$P$404,ROW()-4-MAX($M$5:$M$1004)),""))</f>
        <v/>
      </c>
    </row>
    <row r="206" customFormat="false" ht="15" hidden="false" customHeight="false" outlineLevel="0" collapsed="false">
      <c r="M206" s="0" t="str">
        <f aca="false">IF(CSV貼付A!$N206="","",IF(COUNTIF(CSV貼付A!$N$5:$N206,CSV貼付A!$N206)&gt;1,"",MAX($M$4:M205)+1))</f>
        <v/>
      </c>
      <c r="N206" s="0" t="str">
        <f aca="false">IFERROR(INDEX(CSV貼付A!$N$5:$N$1004,MATCH(ROW()-4,$M$5:$M$1004,0)),"")</f>
        <v/>
      </c>
      <c r="O206" s="0" t="str">
        <f aca="false">IF(CSV貼付B!$N206="","",IF(COUNTIF(CSV貼付B!$N$5:$N206,CSV貼付B!$N206)&gt;1,"",MAX($O$4:O205)+1))</f>
        <v/>
      </c>
      <c r="P206" s="0" t="str">
        <f aca="false">IFERROR(INDEX(CSV貼付B!$N$5:$N$1004,MATCH(ROW()-4,$O$5:$O$1004,0)),"")</f>
        <v/>
      </c>
      <c r="Q206" s="0" t="str">
        <f aca="false">IF(ROW()-4&lt;=MAX($M$5:$M$1004),IFERROR(INDEX($N$5:$N$404,ROW()-4),""),IFERROR(INDEX($P$5:$P$404,ROW()-4-MAX($M$5:$M$1004)),""))</f>
        <v/>
      </c>
    </row>
    <row r="207" customFormat="false" ht="15" hidden="false" customHeight="false" outlineLevel="0" collapsed="false">
      <c r="M207" s="0" t="str">
        <f aca="false">IF(CSV貼付A!$N207="","",IF(COUNTIF(CSV貼付A!$N$5:$N207,CSV貼付A!$N207)&gt;1,"",MAX($M$4:M206)+1))</f>
        <v/>
      </c>
      <c r="N207" s="0" t="str">
        <f aca="false">IFERROR(INDEX(CSV貼付A!$N$5:$N$1004,MATCH(ROW()-4,$M$5:$M$1004,0)),"")</f>
        <v/>
      </c>
      <c r="O207" s="0" t="str">
        <f aca="false">IF(CSV貼付B!$N207="","",IF(COUNTIF(CSV貼付B!$N$5:$N207,CSV貼付B!$N207)&gt;1,"",MAX($O$4:O206)+1))</f>
        <v/>
      </c>
      <c r="P207" s="0" t="str">
        <f aca="false">IFERROR(INDEX(CSV貼付B!$N$5:$N$1004,MATCH(ROW()-4,$O$5:$O$1004,0)),"")</f>
        <v/>
      </c>
      <c r="Q207" s="0" t="str">
        <f aca="false">IF(ROW()-4&lt;=MAX($M$5:$M$1004),IFERROR(INDEX($N$5:$N$404,ROW()-4),""),IFERROR(INDEX($P$5:$P$404,ROW()-4-MAX($M$5:$M$1004)),""))</f>
        <v/>
      </c>
    </row>
    <row r="208" customFormat="false" ht="15" hidden="false" customHeight="false" outlineLevel="0" collapsed="false">
      <c r="M208" s="0" t="str">
        <f aca="false">IF(CSV貼付A!$N208="","",IF(COUNTIF(CSV貼付A!$N$5:$N208,CSV貼付A!$N208)&gt;1,"",MAX($M$4:M207)+1))</f>
        <v/>
      </c>
      <c r="N208" s="0" t="str">
        <f aca="false">IFERROR(INDEX(CSV貼付A!$N$5:$N$1004,MATCH(ROW()-4,$M$5:$M$1004,0)),"")</f>
        <v/>
      </c>
      <c r="O208" s="0" t="str">
        <f aca="false">IF(CSV貼付B!$N208="","",IF(COUNTIF(CSV貼付B!$N$5:$N208,CSV貼付B!$N208)&gt;1,"",MAX($O$4:O207)+1))</f>
        <v/>
      </c>
      <c r="P208" s="0" t="str">
        <f aca="false">IFERROR(INDEX(CSV貼付B!$N$5:$N$1004,MATCH(ROW()-4,$O$5:$O$1004,0)),"")</f>
        <v/>
      </c>
      <c r="Q208" s="0" t="str">
        <f aca="false">IF(ROW()-4&lt;=MAX($M$5:$M$1004),IFERROR(INDEX($N$5:$N$404,ROW()-4),""),IFERROR(INDEX($P$5:$P$404,ROW()-4-MAX($M$5:$M$1004)),""))</f>
        <v/>
      </c>
    </row>
    <row r="209" customFormat="false" ht="15" hidden="false" customHeight="false" outlineLevel="0" collapsed="false">
      <c r="M209" s="0" t="str">
        <f aca="false">IF(CSV貼付A!$N209="","",IF(COUNTIF(CSV貼付A!$N$5:$N209,CSV貼付A!$N209)&gt;1,"",MAX($M$4:M208)+1))</f>
        <v/>
      </c>
      <c r="N209" s="0" t="str">
        <f aca="false">IFERROR(INDEX(CSV貼付A!$N$5:$N$1004,MATCH(ROW()-4,$M$5:$M$1004,0)),"")</f>
        <v/>
      </c>
      <c r="O209" s="0" t="str">
        <f aca="false">IF(CSV貼付B!$N209="","",IF(COUNTIF(CSV貼付B!$N$5:$N209,CSV貼付B!$N209)&gt;1,"",MAX($O$4:O208)+1))</f>
        <v/>
      </c>
      <c r="P209" s="0" t="str">
        <f aca="false">IFERROR(INDEX(CSV貼付B!$N$5:$N$1004,MATCH(ROW()-4,$O$5:$O$1004,0)),"")</f>
        <v/>
      </c>
      <c r="Q209" s="0" t="str">
        <f aca="false">IF(ROW()-4&lt;=MAX($M$5:$M$1004),IFERROR(INDEX($N$5:$N$404,ROW()-4),""),IFERROR(INDEX($P$5:$P$404,ROW()-4-MAX($M$5:$M$1004)),""))</f>
        <v/>
      </c>
    </row>
    <row r="210" customFormat="false" ht="15" hidden="false" customHeight="false" outlineLevel="0" collapsed="false">
      <c r="M210" s="0" t="str">
        <f aca="false">IF(CSV貼付A!$N210="","",IF(COUNTIF(CSV貼付A!$N$5:$N210,CSV貼付A!$N210)&gt;1,"",MAX($M$4:M209)+1))</f>
        <v/>
      </c>
      <c r="N210" s="0" t="str">
        <f aca="false">IFERROR(INDEX(CSV貼付A!$N$5:$N$1004,MATCH(ROW()-4,$M$5:$M$1004,0)),"")</f>
        <v/>
      </c>
      <c r="O210" s="0" t="str">
        <f aca="false">IF(CSV貼付B!$N210="","",IF(COUNTIF(CSV貼付B!$N$5:$N210,CSV貼付B!$N210)&gt;1,"",MAX($O$4:O209)+1))</f>
        <v/>
      </c>
      <c r="P210" s="0" t="str">
        <f aca="false">IFERROR(INDEX(CSV貼付B!$N$5:$N$1004,MATCH(ROW()-4,$O$5:$O$1004,0)),"")</f>
        <v/>
      </c>
      <c r="Q210" s="0" t="str">
        <f aca="false">IF(ROW()-4&lt;=MAX($M$5:$M$1004),IFERROR(INDEX($N$5:$N$404,ROW()-4),""),IFERROR(INDEX($P$5:$P$404,ROW()-4-MAX($M$5:$M$1004)),""))</f>
        <v/>
      </c>
    </row>
    <row r="211" customFormat="false" ht="15" hidden="false" customHeight="false" outlineLevel="0" collapsed="false">
      <c r="M211" s="0" t="str">
        <f aca="false">IF(CSV貼付A!$N211="","",IF(COUNTIF(CSV貼付A!$N$5:$N211,CSV貼付A!$N211)&gt;1,"",MAX($M$4:M210)+1))</f>
        <v/>
      </c>
      <c r="N211" s="0" t="str">
        <f aca="false">IFERROR(INDEX(CSV貼付A!$N$5:$N$1004,MATCH(ROW()-4,$M$5:$M$1004,0)),"")</f>
        <v/>
      </c>
      <c r="O211" s="0" t="str">
        <f aca="false">IF(CSV貼付B!$N211="","",IF(COUNTIF(CSV貼付B!$N$5:$N211,CSV貼付B!$N211)&gt;1,"",MAX($O$4:O210)+1))</f>
        <v/>
      </c>
      <c r="P211" s="0" t="str">
        <f aca="false">IFERROR(INDEX(CSV貼付B!$N$5:$N$1004,MATCH(ROW()-4,$O$5:$O$1004,0)),"")</f>
        <v/>
      </c>
      <c r="Q211" s="0" t="str">
        <f aca="false">IF(ROW()-4&lt;=MAX($M$5:$M$1004),IFERROR(INDEX($N$5:$N$404,ROW()-4),""),IFERROR(INDEX($P$5:$P$404,ROW()-4-MAX($M$5:$M$1004)),""))</f>
        <v/>
      </c>
    </row>
    <row r="212" customFormat="false" ht="15" hidden="false" customHeight="false" outlineLevel="0" collapsed="false">
      <c r="M212" s="0" t="str">
        <f aca="false">IF(CSV貼付A!$N212="","",IF(COUNTIF(CSV貼付A!$N$5:$N212,CSV貼付A!$N212)&gt;1,"",MAX($M$4:M211)+1))</f>
        <v/>
      </c>
      <c r="N212" s="0" t="str">
        <f aca="false">IFERROR(INDEX(CSV貼付A!$N$5:$N$1004,MATCH(ROW()-4,$M$5:$M$1004,0)),"")</f>
        <v/>
      </c>
      <c r="O212" s="0" t="str">
        <f aca="false">IF(CSV貼付B!$N212="","",IF(COUNTIF(CSV貼付B!$N$5:$N212,CSV貼付B!$N212)&gt;1,"",MAX($O$4:O211)+1))</f>
        <v/>
      </c>
      <c r="P212" s="0" t="str">
        <f aca="false">IFERROR(INDEX(CSV貼付B!$N$5:$N$1004,MATCH(ROW()-4,$O$5:$O$1004,0)),"")</f>
        <v/>
      </c>
      <c r="Q212" s="0" t="str">
        <f aca="false">IF(ROW()-4&lt;=MAX($M$5:$M$1004),IFERROR(INDEX($N$5:$N$404,ROW()-4),""),IFERROR(INDEX($P$5:$P$404,ROW()-4-MAX($M$5:$M$1004)),""))</f>
        <v/>
      </c>
    </row>
    <row r="213" customFormat="false" ht="15" hidden="false" customHeight="false" outlineLevel="0" collapsed="false">
      <c r="M213" s="0" t="str">
        <f aca="false">IF(CSV貼付A!$N213="","",IF(COUNTIF(CSV貼付A!$N$5:$N213,CSV貼付A!$N213)&gt;1,"",MAX($M$4:M212)+1))</f>
        <v/>
      </c>
      <c r="N213" s="0" t="str">
        <f aca="false">IFERROR(INDEX(CSV貼付A!$N$5:$N$1004,MATCH(ROW()-4,$M$5:$M$1004,0)),"")</f>
        <v/>
      </c>
      <c r="O213" s="0" t="str">
        <f aca="false">IF(CSV貼付B!$N213="","",IF(COUNTIF(CSV貼付B!$N$5:$N213,CSV貼付B!$N213)&gt;1,"",MAX($O$4:O212)+1))</f>
        <v/>
      </c>
      <c r="P213" s="0" t="str">
        <f aca="false">IFERROR(INDEX(CSV貼付B!$N$5:$N$1004,MATCH(ROW()-4,$O$5:$O$1004,0)),"")</f>
        <v/>
      </c>
      <c r="Q213" s="0" t="str">
        <f aca="false">IF(ROW()-4&lt;=MAX($M$5:$M$1004),IFERROR(INDEX($N$5:$N$404,ROW()-4),""),IFERROR(INDEX($P$5:$P$404,ROW()-4-MAX($M$5:$M$1004)),""))</f>
        <v/>
      </c>
    </row>
    <row r="214" customFormat="false" ht="15" hidden="false" customHeight="false" outlineLevel="0" collapsed="false">
      <c r="M214" s="0" t="str">
        <f aca="false">IF(CSV貼付A!$N214="","",IF(COUNTIF(CSV貼付A!$N$5:$N214,CSV貼付A!$N214)&gt;1,"",MAX($M$4:M213)+1))</f>
        <v/>
      </c>
      <c r="N214" s="0" t="str">
        <f aca="false">IFERROR(INDEX(CSV貼付A!$N$5:$N$1004,MATCH(ROW()-4,$M$5:$M$1004,0)),"")</f>
        <v/>
      </c>
      <c r="O214" s="0" t="str">
        <f aca="false">IF(CSV貼付B!$N214="","",IF(COUNTIF(CSV貼付B!$N$5:$N214,CSV貼付B!$N214)&gt;1,"",MAX($O$4:O213)+1))</f>
        <v/>
      </c>
      <c r="P214" s="0" t="str">
        <f aca="false">IFERROR(INDEX(CSV貼付B!$N$5:$N$1004,MATCH(ROW()-4,$O$5:$O$1004,0)),"")</f>
        <v/>
      </c>
      <c r="Q214" s="0" t="str">
        <f aca="false">IF(ROW()-4&lt;=MAX($M$5:$M$1004),IFERROR(INDEX($N$5:$N$404,ROW()-4),""),IFERROR(INDEX($P$5:$P$404,ROW()-4-MAX($M$5:$M$1004)),""))</f>
        <v/>
      </c>
    </row>
    <row r="215" customFormat="false" ht="15" hidden="false" customHeight="false" outlineLevel="0" collapsed="false">
      <c r="M215" s="0" t="str">
        <f aca="false">IF(CSV貼付A!$N215="","",IF(COUNTIF(CSV貼付A!$N$5:$N215,CSV貼付A!$N215)&gt;1,"",MAX($M$4:M214)+1))</f>
        <v/>
      </c>
      <c r="N215" s="0" t="str">
        <f aca="false">IFERROR(INDEX(CSV貼付A!$N$5:$N$1004,MATCH(ROW()-4,$M$5:$M$1004,0)),"")</f>
        <v/>
      </c>
      <c r="O215" s="0" t="str">
        <f aca="false">IF(CSV貼付B!$N215="","",IF(COUNTIF(CSV貼付B!$N$5:$N215,CSV貼付B!$N215)&gt;1,"",MAX($O$4:O214)+1))</f>
        <v/>
      </c>
      <c r="P215" s="0" t="str">
        <f aca="false">IFERROR(INDEX(CSV貼付B!$N$5:$N$1004,MATCH(ROW()-4,$O$5:$O$1004,0)),"")</f>
        <v/>
      </c>
      <c r="Q215" s="0" t="str">
        <f aca="false">IF(ROW()-4&lt;=MAX($M$5:$M$1004),IFERROR(INDEX($N$5:$N$404,ROW()-4),""),IFERROR(INDEX($P$5:$P$404,ROW()-4-MAX($M$5:$M$1004)),""))</f>
        <v/>
      </c>
    </row>
    <row r="216" customFormat="false" ht="15" hidden="false" customHeight="false" outlineLevel="0" collapsed="false">
      <c r="M216" s="0" t="str">
        <f aca="false">IF(CSV貼付A!$N216="","",IF(COUNTIF(CSV貼付A!$N$5:$N216,CSV貼付A!$N216)&gt;1,"",MAX($M$4:M215)+1))</f>
        <v/>
      </c>
      <c r="N216" s="0" t="str">
        <f aca="false">IFERROR(INDEX(CSV貼付A!$N$5:$N$1004,MATCH(ROW()-4,$M$5:$M$1004,0)),"")</f>
        <v/>
      </c>
      <c r="O216" s="0" t="str">
        <f aca="false">IF(CSV貼付B!$N216="","",IF(COUNTIF(CSV貼付B!$N$5:$N216,CSV貼付B!$N216)&gt;1,"",MAX($O$4:O215)+1))</f>
        <v/>
      </c>
      <c r="P216" s="0" t="str">
        <f aca="false">IFERROR(INDEX(CSV貼付B!$N$5:$N$1004,MATCH(ROW()-4,$O$5:$O$1004,0)),"")</f>
        <v/>
      </c>
      <c r="Q216" s="0" t="str">
        <f aca="false">IF(ROW()-4&lt;=MAX($M$5:$M$1004),IFERROR(INDEX($N$5:$N$404,ROW()-4),""),IFERROR(INDEX($P$5:$P$404,ROW()-4-MAX($M$5:$M$1004)),""))</f>
        <v/>
      </c>
    </row>
    <row r="217" customFormat="false" ht="15" hidden="false" customHeight="false" outlineLevel="0" collapsed="false">
      <c r="M217" s="0" t="str">
        <f aca="false">IF(CSV貼付A!$N217="","",IF(COUNTIF(CSV貼付A!$N$5:$N217,CSV貼付A!$N217)&gt;1,"",MAX($M$4:M216)+1))</f>
        <v/>
      </c>
      <c r="N217" s="0" t="str">
        <f aca="false">IFERROR(INDEX(CSV貼付A!$N$5:$N$1004,MATCH(ROW()-4,$M$5:$M$1004,0)),"")</f>
        <v/>
      </c>
      <c r="O217" s="0" t="str">
        <f aca="false">IF(CSV貼付B!$N217="","",IF(COUNTIF(CSV貼付B!$N$5:$N217,CSV貼付B!$N217)&gt;1,"",MAX($O$4:O216)+1))</f>
        <v/>
      </c>
      <c r="P217" s="0" t="str">
        <f aca="false">IFERROR(INDEX(CSV貼付B!$N$5:$N$1004,MATCH(ROW()-4,$O$5:$O$1004,0)),"")</f>
        <v/>
      </c>
      <c r="Q217" s="0" t="str">
        <f aca="false">IF(ROW()-4&lt;=MAX($M$5:$M$1004),IFERROR(INDEX($N$5:$N$404,ROW()-4),""),IFERROR(INDEX($P$5:$P$404,ROW()-4-MAX($M$5:$M$1004)),""))</f>
        <v/>
      </c>
    </row>
    <row r="218" customFormat="false" ht="15" hidden="false" customHeight="false" outlineLevel="0" collapsed="false">
      <c r="M218" s="0" t="str">
        <f aca="false">IF(CSV貼付A!$N218="","",IF(COUNTIF(CSV貼付A!$N$5:$N218,CSV貼付A!$N218)&gt;1,"",MAX($M$4:M217)+1))</f>
        <v/>
      </c>
      <c r="N218" s="0" t="str">
        <f aca="false">IFERROR(INDEX(CSV貼付A!$N$5:$N$1004,MATCH(ROW()-4,$M$5:$M$1004,0)),"")</f>
        <v/>
      </c>
      <c r="O218" s="0" t="str">
        <f aca="false">IF(CSV貼付B!$N218="","",IF(COUNTIF(CSV貼付B!$N$5:$N218,CSV貼付B!$N218)&gt;1,"",MAX($O$4:O217)+1))</f>
        <v/>
      </c>
      <c r="P218" s="0" t="str">
        <f aca="false">IFERROR(INDEX(CSV貼付B!$N$5:$N$1004,MATCH(ROW()-4,$O$5:$O$1004,0)),"")</f>
        <v/>
      </c>
      <c r="Q218" s="0" t="str">
        <f aca="false">IF(ROW()-4&lt;=MAX($M$5:$M$1004),IFERROR(INDEX($N$5:$N$404,ROW()-4),""),IFERROR(INDEX($P$5:$P$404,ROW()-4-MAX($M$5:$M$1004)),""))</f>
        <v/>
      </c>
    </row>
    <row r="219" customFormat="false" ht="15" hidden="false" customHeight="false" outlineLevel="0" collapsed="false">
      <c r="M219" s="0" t="str">
        <f aca="false">IF(CSV貼付A!$N219="","",IF(COUNTIF(CSV貼付A!$N$5:$N219,CSV貼付A!$N219)&gt;1,"",MAX($M$4:M218)+1))</f>
        <v/>
      </c>
      <c r="N219" s="0" t="str">
        <f aca="false">IFERROR(INDEX(CSV貼付A!$N$5:$N$1004,MATCH(ROW()-4,$M$5:$M$1004,0)),"")</f>
        <v/>
      </c>
      <c r="O219" s="0" t="str">
        <f aca="false">IF(CSV貼付B!$N219="","",IF(COUNTIF(CSV貼付B!$N$5:$N219,CSV貼付B!$N219)&gt;1,"",MAX($O$4:O218)+1))</f>
        <v/>
      </c>
      <c r="P219" s="0" t="str">
        <f aca="false">IFERROR(INDEX(CSV貼付B!$N$5:$N$1004,MATCH(ROW()-4,$O$5:$O$1004,0)),"")</f>
        <v/>
      </c>
      <c r="Q219" s="0" t="str">
        <f aca="false">IF(ROW()-4&lt;=MAX($M$5:$M$1004),IFERROR(INDEX($N$5:$N$404,ROW()-4),""),IFERROR(INDEX($P$5:$P$404,ROW()-4-MAX($M$5:$M$1004)),""))</f>
        <v/>
      </c>
    </row>
    <row r="220" customFormat="false" ht="15" hidden="false" customHeight="false" outlineLevel="0" collapsed="false">
      <c r="M220" s="0" t="str">
        <f aca="false">IF(CSV貼付A!$N220="","",IF(COUNTIF(CSV貼付A!$N$5:$N220,CSV貼付A!$N220)&gt;1,"",MAX($M$4:M219)+1))</f>
        <v/>
      </c>
      <c r="N220" s="0" t="str">
        <f aca="false">IFERROR(INDEX(CSV貼付A!$N$5:$N$1004,MATCH(ROW()-4,$M$5:$M$1004,0)),"")</f>
        <v/>
      </c>
      <c r="O220" s="0" t="str">
        <f aca="false">IF(CSV貼付B!$N220="","",IF(COUNTIF(CSV貼付B!$N$5:$N220,CSV貼付B!$N220)&gt;1,"",MAX($O$4:O219)+1))</f>
        <v/>
      </c>
      <c r="P220" s="0" t="str">
        <f aca="false">IFERROR(INDEX(CSV貼付B!$N$5:$N$1004,MATCH(ROW()-4,$O$5:$O$1004,0)),"")</f>
        <v/>
      </c>
      <c r="Q220" s="0" t="str">
        <f aca="false">IF(ROW()-4&lt;=MAX($M$5:$M$1004),IFERROR(INDEX($N$5:$N$404,ROW()-4),""),IFERROR(INDEX($P$5:$P$404,ROW()-4-MAX($M$5:$M$1004)),""))</f>
        <v/>
      </c>
    </row>
    <row r="221" customFormat="false" ht="15" hidden="false" customHeight="false" outlineLevel="0" collapsed="false">
      <c r="M221" s="0" t="str">
        <f aca="false">IF(CSV貼付A!$N221="","",IF(COUNTIF(CSV貼付A!$N$5:$N221,CSV貼付A!$N221)&gt;1,"",MAX($M$4:M220)+1))</f>
        <v/>
      </c>
      <c r="N221" s="0" t="str">
        <f aca="false">IFERROR(INDEX(CSV貼付A!$N$5:$N$1004,MATCH(ROW()-4,$M$5:$M$1004,0)),"")</f>
        <v/>
      </c>
      <c r="O221" s="0" t="str">
        <f aca="false">IF(CSV貼付B!$N221="","",IF(COUNTIF(CSV貼付B!$N$5:$N221,CSV貼付B!$N221)&gt;1,"",MAX($O$4:O220)+1))</f>
        <v/>
      </c>
      <c r="P221" s="0" t="str">
        <f aca="false">IFERROR(INDEX(CSV貼付B!$N$5:$N$1004,MATCH(ROW()-4,$O$5:$O$1004,0)),"")</f>
        <v/>
      </c>
      <c r="Q221" s="0" t="str">
        <f aca="false">IF(ROW()-4&lt;=MAX($M$5:$M$1004),IFERROR(INDEX($N$5:$N$404,ROW()-4),""),IFERROR(INDEX($P$5:$P$404,ROW()-4-MAX($M$5:$M$1004)),""))</f>
        <v/>
      </c>
    </row>
    <row r="222" customFormat="false" ht="15" hidden="false" customHeight="false" outlineLevel="0" collapsed="false">
      <c r="M222" s="0" t="str">
        <f aca="false">IF(CSV貼付A!$N222="","",IF(COUNTIF(CSV貼付A!$N$5:$N222,CSV貼付A!$N222)&gt;1,"",MAX($M$4:M221)+1))</f>
        <v/>
      </c>
      <c r="N222" s="0" t="str">
        <f aca="false">IFERROR(INDEX(CSV貼付A!$N$5:$N$1004,MATCH(ROW()-4,$M$5:$M$1004,0)),"")</f>
        <v/>
      </c>
      <c r="O222" s="0" t="str">
        <f aca="false">IF(CSV貼付B!$N222="","",IF(COUNTIF(CSV貼付B!$N$5:$N222,CSV貼付B!$N222)&gt;1,"",MAX($O$4:O221)+1))</f>
        <v/>
      </c>
      <c r="P222" s="0" t="str">
        <f aca="false">IFERROR(INDEX(CSV貼付B!$N$5:$N$1004,MATCH(ROW()-4,$O$5:$O$1004,0)),"")</f>
        <v/>
      </c>
      <c r="Q222" s="0" t="str">
        <f aca="false">IF(ROW()-4&lt;=MAX($M$5:$M$1004),IFERROR(INDEX($N$5:$N$404,ROW()-4),""),IFERROR(INDEX($P$5:$P$404,ROW()-4-MAX($M$5:$M$1004)),""))</f>
        <v/>
      </c>
    </row>
    <row r="223" customFormat="false" ht="15" hidden="false" customHeight="false" outlineLevel="0" collapsed="false">
      <c r="M223" s="0" t="str">
        <f aca="false">IF(CSV貼付A!$N223="","",IF(COUNTIF(CSV貼付A!$N$5:$N223,CSV貼付A!$N223)&gt;1,"",MAX($M$4:M222)+1))</f>
        <v/>
      </c>
      <c r="N223" s="0" t="str">
        <f aca="false">IFERROR(INDEX(CSV貼付A!$N$5:$N$1004,MATCH(ROW()-4,$M$5:$M$1004,0)),"")</f>
        <v/>
      </c>
      <c r="O223" s="0" t="str">
        <f aca="false">IF(CSV貼付B!$N223="","",IF(COUNTIF(CSV貼付B!$N$5:$N223,CSV貼付B!$N223)&gt;1,"",MAX($O$4:O222)+1))</f>
        <v/>
      </c>
      <c r="P223" s="0" t="str">
        <f aca="false">IFERROR(INDEX(CSV貼付B!$N$5:$N$1004,MATCH(ROW()-4,$O$5:$O$1004,0)),"")</f>
        <v/>
      </c>
      <c r="Q223" s="0" t="str">
        <f aca="false">IF(ROW()-4&lt;=MAX($M$5:$M$1004),IFERROR(INDEX($N$5:$N$404,ROW()-4),""),IFERROR(INDEX($P$5:$P$404,ROW()-4-MAX($M$5:$M$1004)),""))</f>
        <v/>
      </c>
    </row>
    <row r="224" customFormat="false" ht="15" hidden="false" customHeight="false" outlineLevel="0" collapsed="false">
      <c r="M224" s="0" t="str">
        <f aca="false">IF(CSV貼付A!$N224="","",IF(COUNTIF(CSV貼付A!$N$5:$N224,CSV貼付A!$N224)&gt;1,"",MAX($M$4:M223)+1))</f>
        <v/>
      </c>
      <c r="N224" s="0" t="str">
        <f aca="false">IFERROR(INDEX(CSV貼付A!$N$5:$N$1004,MATCH(ROW()-4,$M$5:$M$1004,0)),"")</f>
        <v/>
      </c>
      <c r="O224" s="0" t="str">
        <f aca="false">IF(CSV貼付B!$N224="","",IF(COUNTIF(CSV貼付B!$N$5:$N224,CSV貼付B!$N224)&gt;1,"",MAX($O$4:O223)+1))</f>
        <v/>
      </c>
      <c r="P224" s="0" t="str">
        <f aca="false">IFERROR(INDEX(CSV貼付B!$N$5:$N$1004,MATCH(ROW()-4,$O$5:$O$1004,0)),"")</f>
        <v/>
      </c>
      <c r="Q224" s="0" t="str">
        <f aca="false">IF(ROW()-4&lt;=MAX($M$5:$M$1004),IFERROR(INDEX($N$5:$N$404,ROW()-4),""),IFERROR(INDEX($P$5:$P$404,ROW()-4-MAX($M$5:$M$1004)),""))</f>
        <v/>
      </c>
    </row>
    <row r="225" customFormat="false" ht="15" hidden="false" customHeight="false" outlineLevel="0" collapsed="false">
      <c r="M225" s="0" t="str">
        <f aca="false">IF(CSV貼付A!$N225="","",IF(COUNTIF(CSV貼付A!$N$5:$N225,CSV貼付A!$N225)&gt;1,"",MAX($M$4:M224)+1))</f>
        <v/>
      </c>
      <c r="N225" s="0" t="str">
        <f aca="false">IFERROR(INDEX(CSV貼付A!$N$5:$N$1004,MATCH(ROW()-4,$M$5:$M$1004,0)),"")</f>
        <v/>
      </c>
      <c r="O225" s="0" t="str">
        <f aca="false">IF(CSV貼付B!$N225="","",IF(COUNTIF(CSV貼付B!$N$5:$N225,CSV貼付B!$N225)&gt;1,"",MAX($O$4:O224)+1))</f>
        <v/>
      </c>
      <c r="P225" s="0" t="str">
        <f aca="false">IFERROR(INDEX(CSV貼付B!$N$5:$N$1004,MATCH(ROW()-4,$O$5:$O$1004,0)),"")</f>
        <v/>
      </c>
      <c r="Q225" s="0" t="str">
        <f aca="false">IF(ROW()-4&lt;=MAX($M$5:$M$1004),IFERROR(INDEX($N$5:$N$404,ROW()-4),""),IFERROR(INDEX($P$5:$P$404,ROW()-4-MAX($M$5:$M$1004)),""))</f>
        <v/>
      </c>
    </row>
    <row r="226" customFormat="false" ht="15" hidden="false" customHeight="false" outlineLevel="0" collapsed="false">
      <c r="M226" s="0" t="str">
        <f aca="false">IF(CSV貼付A!$N226="","",IF(COUNTIF(CSV貼付A!$N$5:$N226,CSV貼付A!$N226)&gt;1,"",MAX($M$4:M225)+1))</f>
        <v/>
      </c>
      <c r="N226" s="0" t="str">
        <f aca="false">IFERROR(INDEX(CSV貼付A!$N$5:$N$1004,MATCH(ROW()-4,$M$5:$M$1004,0)),"")</f>
        <v/>
      </c>
      <c r="O226" s="0" t="str">
        <f aca="false">IF(CSV貼付B!$N226="","",IF(COUNTIF(CSV貼付B!$N$5:$N226,CSV貼付B!$N226)&gt;1,"",MAX($O$4:O225)+1))</f>
        <v/>
      </c>
      <c r="P226" s="0" t="str">
        <f aca="false">IFERROR(INDEX(CSV貼付B!$N$5:$N$1004,MATCH(ROW()-4,$O$5:$O$1004,0)),"")</f>
        <v/>
      </c>
      <c r="Q226" s="0" t="str">
        <f aca="false">IF(ROW()-4&lt;=MAX($M$5:$M$1004),IFERROR(INDEX($N$5:$N$404,ROW()-4),""),IFERROR(INDEX($P$5:$P$404,ROW()-4-MAX($M$5:$M$1004)),""))</f>
        <v/>
      </c>
    </row>
    <row r="227" customFormat="false" ht="15" hidden="false" customHeight="false" outlineLevel="0" collapsed="false">
      <c r="M227" s="0" t="str">
        <f aca="false">IF(CSV貼付A!$N227="","",IF(COUNTIF(CSV貼付A!$N$5:$N227,CSV貼付A!$N227)&gt;1,"",MAX($M$4:M226)+1))</f>
        <v/>
      </c>
      <c r="N227" s="0" t="str">
        <f aca="false">IFERROR(INDEX(CSV貼付A!$N$5:$N$1004,MATCH(ROW()-4,$M$5:$M$1004,0)),"")</f>
        <v/>
      </c>
      <c r="O227" s="0" t="str">
        <f aca="false">IF(CSV貼付B!$N227="","",IF(COUNTIF(CSV貼付B!$N$5:$N227,CSV貼付B!$N227)&gt;1,"",MAX($O$4:O226)+1))</f>
        <v/>
      </c>
      <c r="P227" s="0" t="str">
        <f aca="false">IFERROR(INDEX(CSV貼付B!$N$5:$N$1004,MATCH(ROW()-4,$O$5:$O$1004,0)),"")</f>
        <v/>
      </c>
      <c r="Q227" s="0" t="str">
        <f aca="false">IF(ROW()-4&lt;=MAX($M$5:$M$1004),IFERROR(INDEX($N$5:$N$404,ROW()-4),""),IFERROR(INDEX($P$5:$P$404,ROW()-4-MAX($M$5:$M$1004)),""))</f>
        <v/>
      </c>
    </row>
    <row r="228" customFormat="false" ht="15" hidden="false" customHeight="false" outlineLevel="0" collapsed="false">
      <c r="M228" s="0" t="str">
        <f aca="false">IF(CSV貼付A!$N228="","",IF(COUNTIF(CSV貼付A!$N$5:$N228,CSV貼付A!$N228)&gt;1,"",MAX($M$4:M227)+1))</f>
        <v/>
      </c>
      <c r="N228" s="0" t="str">
        <f aca="false">IFERROR(INDEX(CSV貼付A!$N$5:$N$1004,MATCH(ROW()-4,$M$5:$M$1004,0)),"")</f>
        <v/>
      </c>
      <c r="O228" s="0" t="str">
        <f aca="false">IF(CSV貼付B!$N228="","",IF(COUNTIF(CSV貼付B!$N$5:$N228,CSV貼付B!$N228)&gt;1,"",MAX($O$4:O227)+1))</f>
        <v/>
      </c>
      <c r="P228" s="0" t="str">
        <f aca="false">IFERROR(INDEX(CSV貼付B!$N$5:$N$1004,MATCH(ROW()-4,$O$5:$O$1004,0)),"")</f>
        <v/>
      </c>
      <c r="Q228" s="0" t="str">
        <f aca="false">IF(ROW()-4&lt;=MAX($M$5:$M$1004),IFERROR(INDEX($N$5:$N$404,ROW()-4),""),IFERROR(INDEX($P$5:$P$404,ROW()-4-MAX($M$5:$M$1004)),""))</f>
        <v/>
      </c>
    </row>
    <row r="229" customFormat="false" ht="15" hidden="false" customHeight="false" outlineLevel="0" collapsed="false">
      <c r="M229" s="0" t="str">
        <f aca="false">IF(CSV貼付A!$N229="","",IF(COUNTIF(CSV貼付A!$N$5:$N229,CSV貼付A!$N229)&gt;1,"",MAX($M$4:M228)+1))</f>
        <v/>
      </c>
      <c r="N229" s="0" t="str">
        <f aca="false">IFERROR(INDEX(CSV貼付A!$N$5:$N$1004,MATCH(ROW()-4,$M$5:$M$1004,0)),"")</f>
        <v/>
      </c>
      <c r="O229" s="0" t="str">
        <f aca="false">IF(CSV貼付B!$N229="","",IF(COUNTIF(CSV貼付B!$N$5:$N229,CSV貼付B!$N229)&gt;1,"",MAX($O$4:O228)+1))</f>
        <v/>
      </c>
      <c r="P229" s="0" t="str">
        <f aca="false">IFERROR(INDEX(CSV貼付B!$N$5:$N$1004,MATCH(ROW()-4,$O$5:$O$1004,0)),"")</f>
        <v/>
      </c>
      <c r="Q229" s="0" t="str">
        <f aca="false">IF(ROW()-4&lt;=MAX($M$5:$M$1004),IFERROR(INDEX($N$5:$N$404,ROW()-4),""),IFERROR(INDEX($P$5:$P$404,ROW()-4-MAX($M$5:$M$1004)),""))</f>
        <v/>
      </c>
    </row>
    <row r="230" customFormat="false" ht="15" hidden="false" customHeight="false" outlineLevel="0" collapsed="false">
      <c r="M230" s="0" t="str">
        <f aca="false">IF(CSV貼付A!$N230="","",IF(COUNTIF(CSV貼付A!$N$5:$N230,CSV貼付A!$N230)&gt;1,"",MAX($M$4:M229)+1))</f>
        <v/>
      </c>
      <c r="N230" s="0" t="str">
        <f aca="false">IFERROR(INDEX(CSV貼付A!$N$5:$N$1004,MATCH(ROW()-4,$M$5:$M$1004,0)),"")</f>
        <v/>
      </c>
      <c r="O230" s="0" t="str">
        <f aca="false">IF(CSV貼付B!$N230="","",IF(COUNTIF(CSV貼付B!$N$5:$N230,CSV貼付B!$N230)&gt;1,"",MAX($O$4:O229)+1))</f>
        <v/>
      </c>
      <c r="P230" s="0" t="str">
        <f aca="false">IFERROR(INDEX(CSV貼付B!$N$5:$N$1004,MATCH(ROW()-4,$O$5:$O$1004,0)),"")</f>
        <v/>
      </c>
      <c r="Q230" s="0" t="str">
        <f aca="false">IF(ROW()-4&lt;=MAX($M$5:$M$1004),IFERROR(INDEX($N$5:$N$404,ROW()-4),""),IFERROR(INDEX($P$5:$P$404,ROW()-4-MAX($M$5:$M$1004)),""))</f>
        <v/>
      </c>
    </row>
    <row r="231" customFormat="false" ht="15" hidden="false" customHeight="false" outlineLevel="0" collapsed="false">
      <c r="M231" s="0" t="str">
        <f aca="false">IF(CSV貼付A!$N231="","",IF(COUNTIF(CSV貼付A!$N$5:$N231,CSV貼付A!$N231)&gt;1,"",MAX($M$4:M230)+1))</f>
        <v/>
      </c>
      <c r="N231" s="0" t="str">
        <f aca="false">IFERROR(INDEX(CSV貼付A!$N$5:$N$1004,MATCH(ROW()-4,$M$5:$M$1004,0)),"")</f>
        <v/>
      </c>
      <c r="O231" s="0" t="str">
        <f aca="false">IF(CSV貼付B!$N231="","",IF(COUNTIF(CSV貼付B!$N$5:$N231,CSV貼付B!$N231)&gt;1,"",MAX($O$4:O230)+1))</f>
        <v/>
      </c>
      <c r="P231" s="0" t="str">
        <f aca="false">IFERROR(INDEX(CSV貼付B!$N$5:$N$1004,MATCH(ROW()-4,$O$5:$O$1004,0)),"")</f>
        <v/>
      </c>
      <c r="Q231" s="0" t="str">
        <f aca="false">IF(ROW()-4&lt;=MAX($M$5:$M$1004),IFERROR(INDEX($N$5:$N$404,ROW()-4),""),IFERROR(INDEX($P$5:$P$404,ROW()-4-MAX($M$5:$M$1004)),""))</f>
        <v/>
      </c>
    </row>
    <row r="232" customFormat="false" ht="15" hidden="false" customHeight="false" outlineLevel="0" collapsed="false">
      <c r="M232" s="0" t="str">
        <f aca="false">IF(CSV貼付A!$N232="","",IF(COUNTIF(CSV貼付A!$N$5:$N232,CSV貼付A!$N232)&gt;1,"",MAX($M$4:M231)+1))</f>
        <v/>
      </c>
      <c r="N232" s="0" t="str">
        <f aca="false">IFERROR(INDEX(CSV貼付A!$N$5:$N$1004,MATCH(ROW()-4,$M$5:$M$1004,0)),"")</f>
        <v/>
      </c>
      <c r="O232" s="0" t="str">
        <f aca="false">IF(CSV貼付B!$N232="","",IF(COUNTIF(CSV貼付B!$N$5:$N232,CSV貼付B!$N232)&gt;1,"",MAX($O$4:O231)+1))</f>
        <v/>
      </c>
      <c r="P232" s="0" t="str">
        <f aca="false">IFERROR(INDEX(CSV貼付B!$N$5:$N$1004,MATCH(ROW()-4,$O$5:$O$1004,0)),"")</f>
        <v/>
      </c>
      <c r="Q232" s="0" t="str">
        <f aca="false">IF(ROW()-4&lt;=MAX($M$5:$M$1004),IFERROR(INDEX($N$5:$N$404,ROW()-4),""),IFERROR(INDEX($P$5:$P$404,ROW()-4-MAX($M$5:$M$1004)),""))</f>
        <v/>
      </c>
    </row>
    <row r="233" customFormat="false" ht="15" hidden="false" customHeight="false" outlineLevel="0" collapsed="false">
      <c r="M233" s="0" t="str">
        <f aca="false">IF(CSV貼付A!$N233="","",IF(COUNTIF(CSV貼付A!$N$5:$N233,CSV貼付A!$N233)&gt;1,"",MAX($M$4:M232)+1))</f>
        <v/>
      </c>
      <c r="N233" s="0" t="str">
        <f aca="false">IFERROR(INDEX(CSV貼付A!$N$5:$N$1004,MATCH(ROW()-4,$M$5:$M$1004,0)),"")</f>
        <v/>
      </c>
      <c r="O233" s="0" t="str">
        <f aca="false">IF(CSV貼付B!$N233="","",IF(COUNTIF(CSV貼付B!$N$5:$N233,CSV貼付B!$N233)&gt;1,"",MAX($O$4:O232)+1))</f>
        <v/>
      </c>
      <c r="P233" s="0" t="str">
        <f aca="false">IFERROR(INDEX(CSV貼付B!$N$5:$N$1004,MATCH(ROW()-4,$O$5:$O$1004,0)),"")</f>
        <v/>
      </c>
      <c r="Q233" s="0" t="str">
        <f aca="false">IF(ROW()-4&lt;=MAX($M$5:$M$1004),IFERROR(INDEX($N$5:$N$404,ROW()-4),""),IFERROR(INDEX($P$5:$P$404,ROW()-4-MAX($M$5:$M$1004)),""))</f>
        <v/>
      </c>
    </row>
    <row r="234" customFormat="false" ht="15" hidden="false" customHeight="false" outlineLevel="0" collapsed="false">
      <c r="M234" s="0" t="str">
        <f aca="false">IF(CSV貼付A!$N234="","",IF(COUNTIF(CSV貼付A!$N$5:$N234,CSV貼付A!$N234)&gt;1,"",MAX($M$4:M233)+1))</f>
        <v/>
      </c>
      <c r="N234" s="0" t="str">
        <f aca="false">IFERROR(INDEX(CSV貼付A!$N$5:$N$1004,MATCH(ROW()-4,$M$5:$M$1004,0)),"")</f>
        <v/>
      </c>
      <c r="O234" s="0" t="str">
        <f aca="false">IF(CSV貼付B!$N234="","",IF(COUNTIF(CSV貼付B!$N$5:$N234,CSV貼付B!$N234)&gt;1,"",MAX($O$4:O233)+1))</f>
        <v/>
      </c>
      <c r="P234" s="0" t="str">
        <f aca="false">IFERROR(INDEX(CSV貼付B!$N$5:$N$1004,MATCH(ROW()-4,$O$5:$O$1004,0)),"")</f>
        <v/>
      </c>
      <c r="Q234" s="0" t="str">
        <f aca="false">IF(ROW()-4&lt;=MAX($M$5:$M$1004),IFERROR(INDEX($N$5:$N$404,ROW()-4),""),IFERROR(INDEX($P$5:$P$404,ROW()-4-MAX($M$5:$M$1004)),""))</f>
        <v/>
      </c>
    </row>
    <row r="235" customFormat="false" ht="15" hidden="false" customHeight="false" outlineLevel="0" collapsed="false">
      <c r="M235" s="0" t="str">
        <f aca="false">IF(CSV貼付A!$N235="","",IF(COUNTIF(CSV貼付A!$N$5:$N235,CSV貼付A!$N235)&gt;1,"",MAX($M$4:M234)+1))</f>
        <v/>
      </c>
      <c r="N235" s="0" t="str">
        <f aca="false">IFERROR(INDEX(CSV貼付A!$N$5:$N$1004,MATCH(ROW()-4,$M$5:$M$1004,0)),"")</f>
        <v/>
      </c>
      <c r="O235" s="0" t="str">
        <f aca="false">IF(CSV貼付B!$N235="","",IF(COUNTIF(CSV貼付B!$N$5:$N235,CSV貼付B!$N235)&gt;1,"",MAX($O$4:O234)+1))</f>
        <v/>
      </c>
      <c r="P235" s="0" t="str">
        <f aca="false">IFERROR(INDEX(CSV貼付B!$N$5:$N$1004,MATCH(ROW()-4,$O$5:$O$1004,0)),"")</f>
        <v/>
      </c>
      <c r="Q235" s="0" t="str">
        <f aca="false">IF(ROW()-4&lt;=MAX($M$5:$M$1004),IFERROR(INDEX($N$5:$N$404,ROW()-4),""),IFERROR(INDEX($P$5:$P$404,ROW()-4-MAX($M$5:$M$1004)),""))</f>
        <v/>
      </c>
    </row>
    <row r="236" customFormat="false" ht="15" hidden="false" customHeight="false" outlineLevel="0" collapsed="false">
      <c r="M236" s="0" t="str">
        <f aca="false">IF(CSV貼付A!$N236="","",IF(COUNTIF(CSV貼付A!$N$5:$N236,CSV貼付A!$N236)&gt;1,"",MAX($M$4:M235)+1))</f>
        <v/>
      </c>
      <c r="N236" s="0" t="str">
        <f aca="false">IFERROR(INDEX(CSV貼付A!$N$5:$N$1004,MATCH(ROW()-4,$M$5:$M$1004,0)),"")</f>
        <v/>
      </c>
      <c r="O236" s="0" t="str">
        <f aca="false">IF(CSV貼付B!$N236="","",IF(COUNTIF(CSV貼付B!$N$5:$N236,CSV貼付B!$N236)&gt;1,"",MAX($O$4:O235)+1))</f>
        <v/>
      </c>
      <c r="P236" s="0" t="str">
        <f aca="false">IFERROR(INDEX(CSV貼付B!$N$5:$N$1004,MATCH(ROW()-4,$O$5:$O$1004,0)),"")</f>
        <v/>
      </c>
      <c r="Q236" s="0" t="str">
        <f aca="false">IF(ROW()-4&lt;=MAX($M$5:$M$1004),IFERROR(INDEX($N$5:$N$404,ROW()-4),""),IFERROR(INDEX($P$5:$P$404,ROW()-4-MAX($M$5:$M$1004)),""))</f>
        <v/>
      </c>
    </row>
    <row r="237" customFormat="false" ht="15" hidden="false" customHeight="false" outlineLevel="0" collapsed="false">
      <c r="M237" s="0" t="str">
        <f aca="false">IF(CSV貼付A!$N237="","",IF(COUNTIF(CSV貼付A!$N$5:$N237,CSV貼付A!$N237)&gt;1,"",MAX($M$4:M236)+1))</f>
        <v/>
      </c>
      <c r="N237" s="0" t="str">
        <f aca="false">IFERROR(INDEX(CSV貼付A!$N$5:$N$1004,MATCH(ROW()-4,$M$5:$M$1004,0)),"")</f>
        <v/>
      </c>
      <c r="O237" s="0" t="str">
        <f aca="false">IF(CSV貼付B!$N237="","",IF(COUNTIF(CSV貼付B!$N$5:$N237,CSV貼付B!$N237)&gt;1,"",MAX($O$4:O236)+1))</f>
        <v/>
      </c>
      <c r="P237" s="0" t="str">
        <f aca="false">IFERROR(INDEX(CSV貼付B!$N$5:$N$1004,MATCH(ROW()-4,$O$5:$O$1004,0)),"")</f>
        <v/>
      </c>
      <c r="Q237" s="0" t="str">
        <f aca="false">IF(ROW()-4&lt;=MAX($M$5:$M$1004),IFERROR(INDEX($N$5:$N$404,ROW()-4),""),IFERROR(INDEX($P$5:$P$404,ROW()-4-MAX($M$5:$M$1004)),""))</f>
        <v/>
      </c>
    </row>
    <row r="238" customFormat="false" ht="15" hidden="false" customHeight="false" outlineLevel="0" collapsed="false">
      <c r="M238" s="0" t="str">
        <f aca="false">IF(CSV貼付A!$N238="","",IF(COUNTIF(CSV貼付A!$N$5:$N238,CSV貼付A!$N238)&gt;1,"",MAX($M$4:M237)+1))</f>
        <v/>
      </c>
      <c r="N238" s="0" t="str">
        <f aca="false">IFERROR(INDEX(CSV貼付A!$N$5:$N$1004,MATCH(ROW()-4,$M$5:$M$1004,0)),"")</f>
        <v/>
      </c>
      <c r="O238" s="0" t="str">
        <f aca="false">IF(CSV貼付B!$N238="","",IF(COUNTIF(CSV貼付B!$N$5:$N238,CSV貼付B!$N238)&gt;1,"",MAX($O$4:O237)+1))</f>
        <v/>
      </c>
      <c r="P238" s="0" t="str">
        <f aca="false">IFERROR(INDEX(CSV貼付B!$N$5:$N$1004,MATCH(ROW()-4,$O$5:$O$1004,0)),"")</f>
        <v/>
      </c>
      <c r="Q238" s="0" t="str">
        <f aca="false">IF(ROW()-4&lt;=MAX($M$5:$M$1004),IFERROR(INDEX($N$5:$N$404,ROW()-4),""),IFERROR(INDEX($P$5:$P$404,ROW()-4-MAX($M$5:$M$1004)),""))</f>
        <v/>
      </c>
    </row>
    <row r="239" customFormat="false" ht="15" hidden="false" customHeight="false" outlineLevel="0" collapsed="false">
      <c r="M239" s="0" t="str">
        <f aca="false">IF(CSV貼付A!$N239="","",IF(COUNTIF(CSV貼付A!$N$5:$N239,CSV貼付A!$N239)&gt;1,"",MAX($M$4:M238)+1))</f>
        <v/>
      </c>
      <c r="N239" s="0" t="str">
        <f aca="false">IFERROR(INDEX(CSV貼付A!$N$5:$N$1004,MATCH(ROW()-4,$M$5:$M$1004,0)),"")</f>
        <v/>
      </c>
      <c r="O239" s="0" t="str">
        <f aca="false">IF(CSV貼付B!$N239="","",IF(COUNTIF(CSV貼付B!$N$5:$N239,CSV貼付B!$N239)&gt;1,"",MAX($O$4:O238)+1))</f>
        <v/>
      </c>
      <c r="P239" s="0" t="str">
        <f aca="false">IFERROR(INDEX(CSV貼付B!$N$5:$N$1004,MATCH(ROW()-4,$O$5:$O$1004,0)),"")</f>
        <v/>
      </c>
      <c r="Q239" s="0" t="str">
        <f aca="false">IF(ROW()-4&lt;=MAX($M$5:$M$1004),IFERROR(INDEX($N$5:$N$404,ROW()-4),""),IFERROR(INDEX($P$5:$P$404,ROW()-4-MAX($M$5:$M$1004)),""))</f>
        <v/>
      </c>
    </row>
    <row r="240" customFormat="false" ht="15" hidden="false" customHeight="false" outlineLevel="0" collapsed="false">
      <c r="M240" s="0" t="str">
        <f aca="false">IF(CSV貼付A!$N240="","",IF(COUNTIF(CSV貼付A!$N$5:$N240,CSV貼付A!$N240)&gt;1,"",MAX($M$4:M239)+1))</f>
        <v/>
      </c>
      <c r="N240" s="0" t="str">
        <f aca="false">IFERROR(INDEX(CSV貼付A!$N$5:$N$1004,MATCH(ROW()-4,$M$5:$M$1004,0)),"")</f>
        <v/>
      </c>
      <c r="O240" s="0" t="str">
        <f aca="false">IF(CSV貼付B!$N240="","",IF(COUNTIF(CSV貼付B!$N$5:$N240,CSV貼付B!$N240)&gt;1,"",MAX($O$4:O239)+1))</f>
        <v/>
      </c>
      <c r="P240" s="0" t="str">
        <f aca="false">IFERROR(INDEX(CSV貼付B!$N$5:$N$1004,MATCH(ROW()-4,$O$5:$O$1004,0)),"")</f>
        <v/>
      </c>
      <c r="Q240" s="0" t="str">
        <f aca="false">IF(ROW()-4&lt;=MAX($M$5:$M$1004),IFERROR(INDEX($N$5:$N$404,ROW()-4),""),IFERROR(INDEX($P$5:$P$404,ROW()-4-MAX($M$5:$M$1004)),""))</f>
        <v/>
      </c>
    </row>
    <row r="241" customFormat="false" ht="15" hidden="false" customHeight="false" outlineLevel="0" collapsed="false">
      <c r="M241" s="0" t="str">
        <f aca="false">IF(CSV貼付A!$N241="","",IF(COUNTIF(CSV貼付A!$N$5:$N241,CSV貼付A!$N241)&gt;1,"",MAX($M$4:M240)+1))</f>
        <v/>
      </c>
      <c r="N241" s="0" t="str">
        <f aca="false">IFERROR(INDEX(CSV貼付A!$N$5:$N$1004,MATCH(ROW()-4,$M$5:$M$1004,0)),"")</f>
        <v/>
      </c>
      <c r="O241" s="0" t="str">
        <f aca="false">IF(CSV貼付B!$N241="","",IF(COUNTIF(CSV貼付B!$N$5:$N241,CSV貼付B!$N241)&gt;1,"",MAX($O$4:O240)+1))</f>
        <v/>
      </c>
      <c r="P241" s="0" t="str">
        <f aca="false">IFERROR(INDEX(CSV貼付B!$N$5:$N$1004,MATCH(ROW()-4,$O$5:$O$1004,0)),"")</f>
        <v/>
      </c>
      <c r="Q241" s="0" t="str">
        <f aca="false">IF(ROW()-4&lt;=MAX($M$5:$M$1004),IFERROR(INDEX($N$5:$N$404,ROW()-4),""),IFERROR(INDEX($P$5:$P$404,ROW()-4-MAX($M$5:$M$1004)),""))</f>
        <v/>
      </c>
    </row>
    <row r="242" customFormat="false" ht="15" hidden="false" customHeight="false" outlineLevel="0" collapsed="false">
      <c r="M242" s="0" t="str">
        <f aca="false">IF(CSV貼付A!$N242="","",IF(COUNTIF(CSV貼付A!$N$5:$N242,CSV貼付A!$N242)&gt;1,"",MAX($M$4:M241)+1))</f>
        <v/>
      </c>
      <c r="N242" s="0" t="str">
        <f aca="false">IFERROR(INDEX(CSV貼付A!$N$5:$N$1004,MATCH(ROW()-4,$M$5:$M$1004,0)),"")</f>
        <v/>
      </c>
      <c r="O242" s="0" t="str">
        <f aca="false">IF(CSV貼付B!$N242="","",IF(COUNTIF(CSV貼付B!$N$5:$N242,CSV貼付B!$N242)&gt;1,"",MAX($O$4:O241)+1))</f>
        <v/>
      </c>
      <c r="P242" s="0" t="str">
        <f aca="false">IFERROR(INDEX(CSV貼付B!$N$5:$N$1004,MATCH(ROW()-4,$O$5:$O$1004,0)),"")</f>
        <v/>
      </c>
      <c r="Q242" s="0" t="str">
        <f aca="false">IF(ROW()-4&lt;=MAX($M$5:$M$1004),IFERROR(INDEX($N$5:$N$404,ROW()-4),""),IFERROR(INDEX($P$5:$P$404,ROW()-4-MAX($M$5:$M$1004)),""))</f>
        <v/>
      </c>
    </row>
    <row r="243" customFormat="false" ht="15" hidden="false" customHeight="false" outlineLevel="0" collapsed="false">
      <c r="M243" s="0" t="str">
        <f aca="false">IF(CSV貼付A!$N243="","",IF(COUNTIF(CSV貼付A!$N$5:$N243,CSV貼付A!$N243)&gt;1,"",MAX($M$4:M242)+1))</f>
        <v/>
      </c>
      <c r="N243" s="0" t="str">
        <f aca="false">IFERROR(INDEX(CSV貼付A!$N$5:$N$1004,MATCH(ROW()-4,$M$5:$M$1004,0)),"")</f>
        <v/>
      </c>
      <c r="O243" s="0" t="str">
        <f aca="false">IF(CSV貼付B!$N243="","",IF(COUNTIF(CSV貼付B!$N$5:$N243,CSV貼付B!$N243)&gt;1,"",MAX($O$4:O242)+1))</f>
        <v/>
      </c>
      <c r="P243" s="0" t="str">
        <f aca="false">IFERROR(INDEX(CSV貼付B!$N$5:$N$1004,MATCH(ROW()-4,$O$5:$O$1004,0)),"")</f>
        <v/>
      </c>
      <c r="Q243" s="0" t="str">
        <f aca="false">IF(ROW()-4&lt;=MAX($M$5:$M$1004),IFERROR(INDEX($N$5:$N$404,ROW()-4),""),IFERROR(INDEX($P$5:$P$404,ROW()-4-MAX($M$5:$M$1004)),""))</f>
        <v/>
      </c>
    </row>
    <row r="244" customFormat="false" ht="15" hidden="false" customHeight="false" outlineLevel="0" collapsed="false">
      <c r="M244" s="0" t="str">
        <f aca="false">IF(CSV貼付A!$N244="","",IF(COUNTIF(CSV貼付A!$N$5:$N244,CSV貼付A!$N244)&gt;1,"",MAX($M$4:M243)+1))</f>
        <v/>
      </c>
      <c r="N244" s="0" t="str">
        <f aca="false">IFERROR(INDEX(CSV貼付A!$N$5:$N$1004,MATCH(ROW()-4,$M$5:$M$1004,0)),"")</f>
        <v/>
      </c>
      <c r="O244" s="0" t="str">
        <f aca="false">IF(CSV貼付B!$N244="","",IF(COUNTIF(CSV貼付B!$N$5:$N244,CSV貼付B!$N244)&gt;1,"",MAX($O$4:O243)+1))</f>
        <v/>
      </c>
      <c r="P244" s="0" t="str">
        <f aca="false">IFERROR(INDEX(CSV貼付B!$N$5:$N$1004,MATCH(ROW()-4,$O$5:$O$1004,0)),"")</f>
        <v/>
      </c>
      <c r="Q244" s="0" t="str">
        <f aca="false">IF(ROW()-4&lt;=MAX($M$5:$M$1004),IFERROR(INDEX($N$5:$N$404,ROW()-4),""),IFERROR(INDEX($P$5:$P$404,ROW()-4-MAX($M$5:$M$1004)),""))</f>
        <v/>
      </c>
    </row>
    <row r="245" customFormat="false" ht="15" hidden="false" customHeight="false" outlineLevel="0" collapsed="false">
      <c r="M245" s="0" t="str">
        <f aca="false">IF(CSV貼付A!$N245="","",IF(COUNTIF(CSV貼付A!$N$5:$N245,CSV貼付A!$N245)&gt;1,"",MAX($M$4:M244)+1))</f>
        <v/>
      </c>
      <c r="N245" s="0" t="str">
        <f aca="false">IFERROR(INDEX(CSV貼付A!$N$5:$N$1004,MATCH(ROW()-4,$M$5:$M$1004,0)),"")</f>
        <v/>
      </c>
      <c r="O245" s="0" t="str">
        <f aca="false">IF(CSV貼付B!$N245="","",IF(COUNTIF(CSV貼付B!$N$5:$N245,CSV貼付B!$N245)&gt;1,"",MAX($O$4:O244)+1))</f>
        <v/>
      </c>
      <c r="P245" s="0" t="str">
        <f aca="false">IFERROR(INDEX(CSV貼付B!$N$5:$N$1004,MATCH(ROW()-4,$O$5:$O$1004,0)),"")</f>
        <v/>
      </c>
      <c r="Q245" s="0" t="str">
        <f aca="false">IF(ROW()-4&lt;=MAX($M$5:$M$1004),IFERROR(INDEX($N$5:$N$404,ROW()-4),""),IFERROR(INDEX($P$5:$P$404,ROW()-4-MAX($M$5:$M$1004)),""))</f>
        <v/>
      </c>
    </row>
    <row r="246" customFormat="false" ht="15" hidden="false" customHeight="false" outlineLevel="0" collapsed="false">
      <c r="M246" s="0" t="str">
        <f aca="false">IF(CSV貼付A!$N246="","",IF(COUNTIF(CSV貼付A!$N$5:$N246,CSV貼付A!$N246)&gt;1,"",MAX($M$4:M245)+1))</f>
        <v/>
      </c>
      <c r="N246" s="0" t="str">
        <f aca="false">IFERROR(INDEX(CSV貼付A!$N$5:$N$1004,MATCH(ROW()-4,$M$5:$M$1004,0)),"")</f>
        <v/>
      </c>
      <c r="O246" s="0" t="str">
        <f aca="false">IF(CSV貼付B!$N246="","",IF(COUNTIF(CSV貼付B!$N$5:$N246,CSV貼付B!$N246)&gt;1,"",MAX($O$4:O245)+1))</f>
        <v/>
      </c>
      <c r="P246" s="0" t="str">
        <f aca="false">IFERROR(INDEX(CSV貼付B!$N$5:$N$1004,MATCH(ROW()-4,$O$5:$O$1004,0)),"")</f>
        <v/>
      </c>
      <c r="Q246" s="0" t="str">
        <f aca="false">IF(ROW()-4&lt;=MAX($M$5:$M$1004),IFERROR(INDEX($N$5:$N$404,ROW()-4),""),IFERROR(INDEX($P$5:$P$404,ROW()-4-MAX($M$5:$M$1004)),""))</f>
        <v/>
      </c>
    </row>
    <row r="247" customFormat="false" ht="15" hidden="false" customHeight="false" outlineLevel="0" collapsed="false">
      <c r="M247" s="0" t="str">
        <f aca="false">IF(CSV貼付A!$N247="","",IF(COUNTIF(CSV貼付A!$N$5:$N247,CSV貼付A!$N247)&gt;1,"",MAX($M$4:M246)+1))</f>
        <v/>
      </c>
      <c r="N247" s="0" t="str">
        <f aca="false">IFERROR(INDEX(CSV貼付A!$N$5:$N$1004,MATCH(ROW()-4,$M$5:$M$1004,0)),"")</f>
        <v/>
      </c>
      <c r="O247" s="0" t="str">
        <f aca="false">IF(CSV貼付B!$N247="","",IF(COUNTIF(CSV貼付B!$N$5:$N247,CSV貼付B!$N247)&gt;1,"",MAX($O$4:O246)+1))</f>
        <v/>
      </c>
      <c r="P247" s="0" t="str">
        <f aca="false">IFERROR(INDEX(CSV貼付B!$N$5:$N$1004,MATCH(ROW()-4,$O$5:$O$1004,0)),"")</f>
        <v/>
      </c>
      <c r="Q247" s="0" t="str">
        <f aca="false">IF(ROW()-4&lt;=MAX($M$5:$M$1004),IFERROR(INDEX($N$5:$N$404,ROW()-4),""),IFERROR(INDEX($P$5:$P$404,ROW()-4-MAX($M$5:$M$1004)),""))</f>
        <v/>
      </c>
    </row>
    <row r="248" customFormat="false" ht="15" hidden="false" customHeight="false" outlineLevel="0" collapsed="false">
      <c r="M248" s="0" t="str">
        <f aca="false">IF(CSV貼付A!$N248="","",IF(COUNTIF(CSV貼付A!$N$5:$N248,CSV貼付A!$N248)&gt;1,"",MAX($M$4:M247)+1))</f>
        <v/>
      </c>
      <c r="N248" s="0" t="str">
        <f aca="false">IFERROR(INDEX(CSV貼付A!$N$5:$N$1004,MATCH(ROW()-4,$M$5:$M$1004,0)),"")</f>
        <v/>
      </c>
      <c r="O248" s="0" t="str">
        <f aca="false">IF(CSV貼付B!$N248="","",IF(COUNTIF(CSV貼付B!$N$5:$N248,CSV貼付B!$N248)&gt;1,"",MAX($O$4:O247)+1))</f>
        <v/>
      </c>
      <c r="P248" s="0" t="str">
        <f aca="false">IFERROR(INDEX(CSV貼付B!$N$5:$N$1004,MATCH(ROW()-4,$O$5:$O$1004,0)),"")</f>
        <v/>
      </c>
      <c r="Q248" s="0" t="str">
        <f aca="false">IF(ROW()-4&lt;=MAX($M$5:$M$1004),IFERROR(INDEX($N$5:$N$404,ROW()-4),""),IFERROR(INDEX($P$5:$P$404,ROW()-4-MAX($M$5:$M$1004)),""))</f>
        <v/>
      </c>
    </row>
    <row r="249" customFormat="false" ht="15" hidden="false" customHeight="false" outlineLevel="0" collapsed="false">
      <c r="M249" s="0" t="str">
        <f aca="false">IF(CSV貼付A!$N249="","",IF(COUNTIF(CSV貼付A!$N$5:$N249,CSV貼付A!$N249)&gt;1,"",MAX($M$4:M248)+1))</f>
        <v/>
      </c>
      <c r="N249" s="0" t="str">
        <f aca="false">IFERROR(INDEX(CSV貼付A!$N$5:$N$1004,MATCH(ROW()-4,$M$5:$M$1004,0)),"")</f>
        <v/>
      </c>
      <c r="O249" s="0" t="str">
        <f aca="false">IF(CSV貼付B!$N249="","",IF(COUNTIF(CSV貼付B!$N$5:$N249,CSV貼付B!$N249)&gt;1,"",MAX($O$4:O248)+1))</f>
        <v/>
      </c>
      <c r="P249" s="0" t="str">
        <f aca="false">IFERROR(INDEX(CSV貼付B!$N$5:$N$1004,MATCH(ROW()-4,$O$5:$O$1004,0)),"")</f>
        <v/>
      </c>
      <c r="Q249" s="0" t="str">
        <f aca="false">IF(ROW()-4&lt;=MAX($M$5:$M$1004),IFERROR(INDEX($N$5:$N$404,ROW()-4),""),IFERROR(INDEX($P$5:$P$404,ROW()-4-MAX($M$5:$M$1004)),""))</f>
        <v/>
      </c>
    </row>
    <row r="250" customFormat="false" ht="15" hidden="false" customHeight="false" outlineLevel="0" collapsed="false">
      <c r="M250" s="0" t="str">
        <f aca="false">IF(CSV貼付A!$N250="","",IF(COUNTIF(CSV貼付A!$N$5:$N250,CSV貼付A!$N250)&gt;1,"",MAX($M$4:M249)+1))</f>
        <v/>
      </c>
      <c r="N250" s="0" t="str">
        <f aca="false">IFERROR(INDEX(CSV貼付A!$N$5:$N$1004,MATCH(ROW()-4,$M$5:$M$1004,0)),"")</f>
        <v/>
      </c>
      <c r="O250" s="0" t="str">
        <f aca="false">IF(CSV貼付B!$N250="","",IF(COUNTIF(CSV貼付B!$N$5:$N250,CSV貼付B!$N250)&gt;1,"",MAX($O$4:O249)+1))</f>
        <v/>
      </c>
      <c r="P250" s="0" t="str">
        <f aca="false">IFERROR(INDEX(CSV貼付B!$N$5:$N$1004,MATCH(ROW()-4,$O$5:$O$1004,0)),"")</f>
        <v/>
      </c>
      <c r="Q250" s="0" t="str">
        <f aca="false">IF(ROW()-4&lt;=MAX($M$5:$M$1004),IFERROR(INDEX($N$5:$N$404,ROW()-4),""),IFERROR(INDEX($P$5:$P$404,ROW()-4-MAX($M$5:$M$1004)),""))</f>
        <v/>
      </c>
    </row>
    <row r="251" customFormat="false" ht="15" hidden="false" customHeight="false" outlineLevel="0" collapsed="false">
      <c r="M251" s="0" t="str">
        <f aca="false">IF(CSV貼付A!$N251="","",IF(COUNTIF(CSV貼付A!$N$5:$N251,CSV貼付A!$N251)&gt;1,"",MAX($M$4:M250)+1))</f>
        <v/>
      </c>
      <c r="N251" s="0" t="str">
        <f aca="false">IFERROR(INDEX(CSV貼付A!$N$5:$N$1004,MATCH(ROW()-4,$M$5:$M$1004,0)),"")</f>
        <v/>
      </c>
      <c r="O251" s="0" t="str">
        <f aca="false">IF(CSV貼付B!$N251="","",IF(COUNTIF(CSV貼付B!$N$5:$N251,CSV貼付B!$N251)&gt;1,"",MAX($O$4:O250)+1))</f>
        <v/>
      </c>
      <c r="P251" s="0" t="str">
        <f aca="false">IFERROR(INDEX(CSV貼付B!$N$5:$N$1004,MATCH(ROW()-4,$O$5:$O$1004,0)),"")</f>
        <v/>
      </c>
      <c r="Q251" s="0" t="str">
        <f aca="false">IF(ROW()-4&lt;=MAX($M$5:$M$1004),IFERROR(INDEX($N$5:$N$404,ROW()-4),""),IFERROR(INDEX($P$5:$P$404,ROW()-4-MAX($M$5:$M$1004)),""))</f>
        <v/>
      </c>
    </row>
    <row r="252" customFormat="false" ht="15" hidden="false" customHeight="false" outlineLevel="0" collapsed="false">
      <c r="M252" s="0" t="str">
        <f aca="false">IF(CSV貼付A!$N252="","",IF(COUNTIF(CSV貼付A!$N$5:$N252,CSV貼付A!$N252)&gt;1,"",MAX($M$4:M251)+1))</f>
        <v/>
      </c>
      <c r="N252" s="0" t="str">
        <f aca="false">IFERROR(INDEX(CSV貼付A!$N$5:$N$1004,MATCH(ROW()-4,$M$5:$M$1004,0)),"")</f>
        <v/>
      </c>
      <c r="O252" s="0" t="str">
        <f aca="false">IF(CSV貼付B!$N252="","",IF(COUNTIF(CSV貼付B!$N$5:$N252,CSV貼付B!$N252)&gt;1,"",MAX($O$4:O251)+1))</f>
        <v/>
      </c>
      <c r="P252" s="0" t="str">
        <f aca="false">IFERROR(INDEX(CSV貼付B!$N$5:$N$1004,MATCH(ROW()-4,$O$5:$O$1004,0)),"")</f>
        <v/>
      </c>
      <c r="Q252" s="0" t="str">
        <f aca="false">IF(ROW()-4&lt;=MAX($M$5:$M$1004),IFERROR(INDEX($N$5:$N$404,ROW()-4),""),IFERROR(INDEX($P$5:$P$404,ROW()-4-MAX($M$5:$M$1004)),""))</f>
        <v/>
      </c>
    </row>
    <row r="253" customFormat="false" ht="15" hidden="false" customHeight="false" outlineLevel="0" collapsed="false">
      <c r="M253" s="0" t="str">
        <f aca="false">IF(CSV貼付A!$N253="","",IF(COUNTIF(CSV貼付A!$N$5:$N253,CSV貼付A!$N253)&gt;1,"",MAX($M$4:M252)+1))</f>
        <v/>
      </c>
      <c r="N253" s="0" t="str">
        <f aca="false">IFERROR(INDEX(CSV貼付A!$N$5:$N$1004,MATCH(ROW()-4,$M$5:$M$1004,0)),"")</f>
        <v/>
      </c>
      <c r="O253" s="0" t="str">
        <f aca="false">IF(CSV貼付B!$N253="","",IF(COUNTIF(CSV貼付B!$N$5:$N253,CSV貼付B!$N253)&gt;1,"",MAX($O$4:O252)+1))</f>
        <v/>
      </c>
      <c r="P253" s="0" t="str">
        <f aca="false">IFERROR(INDEX(CSV貼付B!$N$5:$N$1004,MATCH(ROW()-4,$O$5:$O$1004,0)),"")</f>
        <v/>
      </c>
      <c r="Q253" s="0" t="str">
        <f aca="false">IF(ROW()-4&lt;=MAX($M$5:$M$1004),IFERROR(INDEX($N$5:$N$404,ROW()-4),""),IFERROR(INDEX($P$5:$P$404,ROW()-4-MAX($M$5:$M$1004)),""))</f>
        <v/>
      </c>
    </row>
    <row r="254" customFormat="false" ht="15" hidden="false" customHeight="false" outlineLevel="0" collapsed="false">
      <c r="M254" s="0" t="str">
        <f aca="false">IF(CSV貼付A!$N254="","",IF(COUNTIF(CSV貼付A!$N$5:$N254,CSV貼付A!$N254)&gt;1,"",MAX($M$4:M253)+1))</f>
        <v/>
      </c>
      <c r="N254" s="0" t="str">
        <f aca="false">IFERROR(INDEX(CSV貼付A!$N$5:$N$1004,MATCH(ROW()-4,$M$5:$M$1004,0)),"")</f>
        <v/>
      </c>
      <c r="O254" s="0" t="str">
        <f aca="false">IF(CSV貼付B!$N254="","",IF(COUNTIF(CSV貼付B!$N$5:$N254,CSV貼付B!$N254)&gt;1,"",MAX($O$4:O253)+1))</f>
        <v/>
      </c>
      <c r="P254" s="0" t="str">
        <f aca="false">IFERROR(INDEX(CSV貼付B!$N$5:$N$1004,MATCH(ROW()-4,$O$5:$O$1004,0)),"")</f>
        <v/>
      </c>
      <c r="Q254" s="0" t="str">
        <f aca="false">IF(ROW()-4&lt;=MAX($M$5:$M$1004),IFERROR(INDEX($N$5:$N$404,ROW()-4),""),IFERROR(INDEX($P$5:$P$404,ROW()-4-MAX($M$5:$M$1004)),""))</f>
        <v/>
      </c>
    </row>
    <row r="255" customFormat="false" ht="15" hidden="false" customHeight="false" outlineLevel="0" collapsed="false">
      <c r="M255" s="0" t="str">
        <f aca="false">IF(CSV貼付A!$N255="","",IF(COUNTIF(CSV貼付A!$N$5:$N255,CSV貼付A!$N255)&gt;1,"",MAX($M$4:M254)+1))</f>
        <v/>
      </c>
      <c r="N255" s="0" t="str">
        <f aca="false">IFERROR(INDEX(CSV貼付A!$N$5:$N$1004,MATCH(ROW()-4,$M$5:$M$1004,0)),"")</f>
        <v/>
      </c>
      <c r="O255" s="0" t="str">
        <f aca="false">IF(CSV貼付B!$N255="","",IF(COUNTIF(CSV貼付B!$N$5:$N255,CSV貼付B!$N255)&gt;1,"",MAX($O$4:O254)+1))</f>
        <v/>
      </c>
      <c r="P255" s="0" t="str">
        <f aca="false">IFERROR(INDEX(CSV貼付B!$N$5:$N$1004,MATCH(ROW()-4,$O$5:$O$1004,0)),"")</f>
        <v/>
      </c>
      <c r="Q255" s="0" t="str">
        <f aca="false">IF(ROW()-4&lt;=MAX($M$5:$M$1004),IFERROR(INDEX($N$5:$N$404,ROW()-4),""),IFERROR(INDEX($P$5:$P$404,ROW()-4-MAX($M$5:$M$1004)),""))</f>
        <v/>
      </c>
    </row>
    <row r="256" customFormat="false" ht="15" hidden="false" customHeight="false" outlineLevel="0" collapsed="false">
      <c r="M256" s="0" t="str">
        <f aca="false">IF(CSV貼付A!$N256="","",IF(COUNTIF(CSV貼付A!$N$5:$N256,CSV貼付A!$N256)&gt;1,"",MAX($M$4:M255)+1))</f>
        <v/>
      </c>
      <c r="N256" s="0" t="str">
        <f aca="false">IFERROR(INDEX(CSV貼付A!$N$5:$N$1004,MATCH(ROW()-4,$M$5:$M$1004,0)),"")</f>
        <v/>
      </c>
      <c r="O256" s="0" t="str">
        <f aca="false">IF(CSV貼付B!$N256="","",IF(COUNTIF(CSV貼付B!$N$5:$N256,CSV貼付B!$N256)&gt;1,"",MAX($O$4:O255)+1))</f>
        <v/>
      </c>
      <c r="P256" s="0" t="str">
        <f aca="false">IFERROR(INDEX(CSV貼付B!$N$5:$N$1004,MATCH(ROW()-4,$O$5:$O$1004,0)),"")</f>
        <v/>
      </c>
      <c r="Q256" s="0" t="str">
        <f aca="false">IF(ROW()-4&lt;=MAX($M$5:$M$1004),IFERROR(INDEX($N$5:$N$404,ROW()-4),""),IFERROR(INDEX($P$5:$P$404,ROW()-4-MAX($M$5:$M$1004)),""))</f>
        <v/>
      </c>
    </row>
    <row r="257" customFormat="false" ht="15" hidden="false" customHeight="false" outlineLevel="0" collapsed="false">
      <c r="M257" s="0" t="str">
        <f aca="false">IF(CSV貼付A!$N257="","",IF(COUNTIF(CSV貼付A!$N$5:$N257,CSV貼付A!$N257)&gt;1,"",MAX($M$4:M256)+1))</f>
        <v/>
      </c>
      <c r="N257" s="0" t="str">
        <f aca="false">IFERROR(INDEX(CSV貼付A!$N$5:$N$1004,MATCH(ROW()-4,$M$5:$M$1004,0)),"")</f>
        <v/>
      </c>
      <c r="O257" s="0" t="str">
        <f aca="false">IF(CSV貼付B!$N257="","",IF(COUNTIF(CSV貼付B!$N$5:$N257,CSV貼付B!$N257)&gt;1,"",MAX($O$4:O256)+1))</f>
        <v/>
      </c>
      <c r="P257" s="0" t="str">
        <f aca="false">IFERROR(INDEX(CSV貼付B!$N$5:$N$1004,MATCH(ROW()-4,$O$5:$O$1004,0)),"")</f>
        <v/>
      </c>
      <c r="Q257" s="0" t="str">
        <f aca="false">IF(ROW()-4&lt;=MAX($M$5:$M$1004),IFERROR(INDEX($N$5:$N$404,ROW()-4),""),IFERROR(INDEX($P$5:$P$404,ROW()-4-MAX($M$5:$M$1004)),""))</f>
        <v/>
      </c>
    </row>
    <row r="258" customFormat="false" ht="15" hidden="false" customHeight="false" outlineLevel="0" collapsed="false">
      <c r="M258" s="0" t="str">
        <f aca="false">IF(CSV貼付A!$N258="","",IF(COUNTIF(CSV貼付A!$N$5:$N258,CSV貼付A!$N258)&gt;1,"",MAX($M$4:M257)+1))</f>
        <v/>
      </c>
      <c r="N258" s="0" t="str">
        <f aca="false">IFERROR(INDEX(CSV貼付A!$N$5:$N$1004,MATCH(ROW()-4,$M$5:$M$1004,0)),"")</f>
        <v/>
      </c>
      <c r="O258" s="0" t="str">
        <f aca="false">IF(CSV貼付B!$N258="","",IF(COUNTIF(CSV貼付B!$N$5:$N258,CSV貼付B!$N258)&gt;1,"",MAX($O$4:O257)+1))</f>
        <v/>
      </c>
      <c r="P258" s="0" t="str">
        <f aca="false">IFERROR(INDEX(CSV貼付B!$N$5:$N$1004,MATCH(ROW()-4,$O$5:$O$1004,0)),"")</f>
        <v/>
      </c>
      <c r="Q258" s="0" t="str">
        <f aca="false">IF(ROW()-4&lt;=MAX($M$5:$M$1004),IFERROR(INDEX($N$5:$N$404,ROW()-4),""),IFERROR(INDEX($P$5:$P$404,ROW()-4-MAX($M$5:$M$1004)),""))</f>
        <v/>
      </c>
    </row>
    <row r="259" customFormat="false" ht="15" hidden="false" customHeight="false" outlineLevel="0" collapsed="false">
      <c r="M259" s="0" t="str">
        <f aca="false">IF(CSV貼付A!$N259="","",IF(COUNTIF(CSV貼付A!$N$5:$N259,CSV貼付A!$N259)&gt;1,"",MAX($M$4:M258)+1))</f>
        <v/>
      </c>
      <c r="N259" s="0" t="str">
        <f aca="false">IFERROR(INDEX(CSV貼付A!$N$5:$N$1004,MATCH(ROW()-4,$M$5:$M$1004,0)),"")</f>
        <v/>
      </c>
      <c r="O259" s="0" t="str">
        <f aca="false">IF(CSV貼付B!$N259="","",IF(COUNTIF(CSV貼付B!$N$5:$N259,CSV貼付B!$N259)&gt;1,"",MAX($O$4:O258)+1))</f>
        <v/>
      </c>
      <c r="P259" s="0" t="str">
        <f aca="false">IFERROR(INDEX(CSV貼付B!$N$5:$N$1004,MATCH(ROW()-4,$O$5:$O$1004,0)),"")</f>
        <v/>
      </c>
      <c r="Q259" s="0" t="str">
        <f aca="false">IF(ROW()-4&lt;=MAX($M$5:$M$1004),IFERROR(INDEX($N$5:$N$404,ROW()-4),""),IFERROR(INDEX($P$5:$P$404,ROW()-4-MAX($M$5:$M$1004)),""))</f>
        <v/>
      </c>
    </row>
    <row r="260" customFormat="false" ht="15" hidden="false" customHeight="false" outlineLevel="0" collapsed="false">
      <c r="M260" s="0" t="str">
        <f aca="false">IF(CSV貼付A!$N260="","",IF(COUNTIF(CSV貼付A!$N$5:$N260,CSV貼付A!$N260)&gt;1,"",MAX($M$4:M259)+1))</f>
        <v/>
      </c>
      <c r="N260" s="0" t="str">
        <f aca="false">IFERROR(INDEX(CSV貼付A!$N$5:$N$1004,MATCH(ROW()-4,$M$5:$M$1004,0)),"")</f>
        <v/>
      </c>
      <c r="O260" s="0" t="str">
        <f aca="false">IF(CSV貼付B!$N260="","",IF(COUNTIF(CSV貼付B!$N$5:$N260,CSV貼付B!$N260)&gt;1,"",MAX($O$4:O259)+1))</f>
        <v/>
      </c>
      <c r="P260" s="0" t="str">
        <f aca="false">IFERROR(INDEX(CSV貼付B!$N$5:$N$1004,MATCH(ROW()-4,$O$5:$O$1004,0)),"")</f>
        <v/>
      </c>
      <c r="Q260" s="0" t="str">
        <f aca="false">IF(ROW()-4&lt;=MAX($M$5:$M$1004),IFERROR(INDEX($N$5:$N$404,ROW()-4),""),IFERROR(INDEX($P$5:$P$404,ROW()-4-MAX($M$5:$M$1004)),""))</f>
        <v/>
      </c>
    </row>
    <row r="261" customFormat="false" ht="15" hidden="false" customHeight="false" outlineLevel="0" collapsed="false">
      <c r="M261" s="0" t="str">
        <f aca="false">IF(CSV貼付A!$N261="","",IF(COUNTIF(CSV貼付A!$N$5:$N261,CSV貼付A!$N261)&gt;1,"",MAX($M$4:M260)+1))</f>
        <v/>
      </c>
      <c r="N261" s="0" t="str">
        <f aca="false">IFERROR(INDEX(CSV貼付A!$N$5:$N$1004,MATCH(ROW()-4,$M$5:$M$1004,0)),"")</f>
        <v/>
      </c>
      <c r="O261" s="0" t="str">
        <f aca="false">IF(CSV貼付B!$N261="","",IF(COUNTIF(CSV貼付B!$N$5:$N261,CSV貼付B!$N261)&gt;1,"",MAX($O$4:O260)+1))</f>
        <v/>
      </c>
      <c r="P261" s="0" t="str">
        <f aca="false">IFERROR(INDEX(CSV貼付B!$N$5:$N$1004,MATCH(ROW()-4,$O$5:$O$1004,0)),"")</f>
        <v/>
      </c>
      <c r="Q261" s="0" t="str">
        <f aca="false">IF(ROW()-4&lt;=MAX($M$5:$M$1004),IFERROR(INDEX($N$5:$N$404,ROW()-4),""),IFERROR(INDEX($P$5:$P$404,ROW()-4-MAX($M$5:$M$1004)),""))</f>
        <v/>
      </c>
    </row>
    <row r="262" customFormat="false" ht="15" hidden="false" customHeight="false" outlineLevel="0" collapsed="false">
      <c r="M262" s="0" t="str">
        <f aca="false">IF(CSV貼付A!$N262="","",IF(COUNTIF(CSV貼付A!$N$5:$N262,CSV貼付A!$N262)&gt;1,"",MAX($M$4:M261)+1))</f>
        <v/>
      </c>
      <c r="N262" s="0" t="str">
        <f aca="false">IFERROR(INDEX(CSV貼付A!$N$5:$N$1004,MATCH(ROW()-4,$M$5:$M$1004,0)),"")</f>
        <v/>
      </c>
      <c r="O262" s="0" t="str">
        <f aca="false">IF(CSV貼付B!$N262="","",IF(COUNTIF(CSV貼付B!$N$5:$N262,CSV貼付B!$N262)&gt;1,"",MAX($O$4:O261)+1))</f>
        <v/>
      </c>
      <c r="P262" s="0" t="str">
        <f aca="false">IFERROR(INDEX(CSV貼付B!$N$5:$N$1004,MATCH(ROW()-4,$O$5:$O$1004,0)),"")</f>
        <v/>
      </c>
      <c r="Q262" s="0" t="str">
        <f aca="false">IF(ROW()-4&lt;=MAX($M$5:$M$1004),IFERROR(INDEX($N$5:$N$404,ROW()-4),""),IFERROR(INDEX($P$5:$P$404,ROW()-4-MAX($M$5:$M$1004)),""))</f>
        <v/>
      </c>
    </row>
    <row r="263" customFormat="false" ht="15" hidden="false" customHeight="false" outlineLevel="0" collapsed="false">
      <c r="M263" s="0" t="str">
        <f aca="false">IF(CSV貼付A!$N263="","",IF(COUNTIF(CSV貼付A!$N$5:$N263,CSV貼付A!$N263)&gt;1,"",MAX($M$4:M262)+1))</f>
        <v/>
      </c>
      <c r="N263" s="0" t="str">
        <f aca="false">IFERROR(INDEX(CSV貼付A!$N$5:$N$1004,MATCH(ROW()-4,$M$5:$M$1004,0)),"")</f>
        <v/>
      </c>
      <c r="O263" s="0" t="str">
        <f aca="false">IF(CSV貼付B!$N263="","",IF(COUNTIF(CSV貼付B!$N$5:$N263,CSV貼付B!$N263)&gt;1,"",MAX($O$4:O262)+1))</f>
        <v/>
      </c>
      <c r="P263" s="0" t="str">
        <f aca="false">IFERROR(INDEX(CSV貼付B!$N$5:$N$1004,MATCH(ROW()-4,$O$5:$O$1004,0)),"")</f>
        <v/>
      </c>
      <c r="Q263" s="0" t="str">
        <f aca="false">IF(ROW()-4&lt;=MAX($M$5:$M$1004),IFERROR(INDEX($N$5:$N$404,ROW()-4),""),IFERROR(INDEX($P$5:$P$404,ROW()-4-MAX($M$5:$M$1004)),""))</f>
        <v/>
      </c>
    </row>
    <row r="264" customFormat="false" ht="15" hidden="false" customHeight="false" outlineLevel="0" collapsed="false">
      <c r="M264" s="0" t="str">
        <f aca="false">IF(CSV貼付A!$N264="","",IF(COUNTIF(CSV貼付A!$N$5:$N264,CSV貼付A!$N264)&gt;1,"",MAX($M$4:M263)+1))</f>
        <v/>
      </c>
      <c r="N264" s="0" t="str">
        <f aca="false">IFERROR(INDEX(CSV貼付A!$N$5:$N$1004,MATCH(ROW()-4,$M$5:$M$1004,0)),"")</f>
        <v/>
      </c>
      <c r="O264" s="0" t="str">
        <f aca="false">IF(CSV貼付B!$N264="","",IF(COUNTIF(CSV貼付B!$N$5:$N264,CSV貼付B!$N264)&gt;1,"",MAX($O$4:O263)+1))</f>
        <v/>
      </c>
      <c r="P264" s="0" t="str">
        <f aca="false">IFERROR(INDEX(CSV貼付B!$N$5:$N$1004,MATCH(ROW()-4,$O$5:$O$1004,0)),"")</f>
        <v/>
      </c>
      <c r="Q264" s="0" t="str">
        <f aca="false">IF(ROW()-4&lt;=MAX($M$5:$M$1004),IFERROR(INDEX($N$5:$N$404,ROW()-4),""),IFERROR(INDEX($P$5:$P$404,ROW()-4-MAX($M$5:$M$1004)),""))</f>
        <v/>
      </c>
    </row>
    <row r="265" customFormat="false" ht="15" hidden="false" customHeight="false" outlineLevel="0" collapsed="false">
      <c r="M265" s="0" t="str">
        <f aca="false">IF(CSV貼付A!$N265="","",IF(COUNTIF(CSV貼付A!$N$5:$N265,CSV貼付A!$N265)&gt;1,"",MAX($M$4:M264)+1))</f>
        <v/>
      </c>
      <c r="N265" s="0" t="str">
        <f aca="false">IFERROR(INDEX(CSV貼付A!$N$5:$N$1004,MATCH(ROW()-4,$M$5:$M$1004,0)),"")</f>
        <v/>
      </c>
      <c r="O265" s="0" t="str">
        <f aca="false">IF(CSV貼付B!$N265="","",IF(COUNTIF(CSV貼付B!$N$5:$N265,CSV貼付B!$N265)&gt;1,"",MAX($O$4:O264)+1))</f>
        <v/>
      </c>
      <c r="P265" s="0" t="str">
        <f aca="false">IFERROR(INDEX(CSV貼付B!$N$5:$N$1004,MATCH(ROW()-4,$O$5:$O$1004,0)),"")</f>
        <v/>
      </c>
      <c r="Q265" s="0" t="str">
        <f aca="false">IF(ROW()-4&lt;=MAX($M$5:$M$1004),IFERROR(INDEX($N$5:$N$404,ROW()-4),""),IFERROR(INDEX($P$5:$P$404,ROW()-4-MAX($M$5:$M$1004)),""))</f>
        <v/>
      </c>
    </row>
    <row r="266" customFormat="false" ht="15" hidden="false" customHeight="false" outlineLevel="0" collapsed="false">
      <c r="M266" s="0" t="str">
        <f aca="false">IF(CSV貼付A!$N266="","",IF(COUNTIF(CSV貼付A!$N$5:$N266,CSV貼付A!$N266)&gt;1,"",MAX($M$4:M265)+1))</f>
        <v/>
      </c>
      <c r="N266" s="0" t="str">
        <f aca="false">IFERROR(INDEX(CSV貼付A!$N$5:$N$1004,MATCH(ROW()-4,$M$5:$M$1004,0)),"")</f>
        <v/>
      </c>
      <c r="O266" s="0" t="str">
        <f aca="false">IF(CSV貼付B!$N266="","",IF(COUNTIF(CSV貼付B!$N$5:$N266,CSV貼付B!$N266)&gt;1,"",MAX($O$4:O265)+1))</f>
        <v/>
      </c>
      <c r="P266" s="0" t="str">
        <f aca="false">IFERROR(INDEX(CSV貼付B!$N$5:$N$1004,MATCH(ROW()-4,$O$5:$O$1004,0)),"")</f>
        <v/>
      </c>
      <c r="Q266" s="0" t="str">
        <f aca="false">IF(ROW()-4&lt;=MAX($M$5:$M$1004),IFERROR(INDEX($N$5:$N$404,ROW()-4),""),IFERROR(INDEX($P$5:$P$404,ROW()-4-MAX($M$5:$M$1004)),""))</f>
        <v/>
      </c>
    </row>
    <row r="267" customFormat="false" ht="15" hidden="false" customHeight="false" outlineLevel="0" collapsed="false">
      <c r="M267" s="0" t="str">
        <f aca="false">IF(CSV貼付A!$N267="","",IF(COUNTIF(CSV貼付A!$N$5:$N267,CSV貼付A!$N267)&gt;1,"",MAX($M$4:M266)+1))</f>
        <v/>
      </c>
      <c r="N267" s="0" t="str">
        <f aca="false">IFERROR(INDEX(CSV貼付A!$N$5:$N$1004,MATCH(ROW()-4,$M$5:$M$1004,0)),"")</f>
        <v/>
      </c>
      <c r="O267" s="0" t="str">
        <f aca="false">IF(CSV貼付B!$N267="","",IF(COUNTIF(CSV貼付B!$N$5:$N267,CSV貼付B!$N267)&gt;1,"",MAX($O$4:O266)+1))</f>
        <v/>
      </c>
      <c r="P267" s="0" t="str">
        <f aca="false">IFERROR(INDEX(CSV貼付B!$N$5:$N$1004,MATCH(ROW()-4,$O$5:$O$1004,0)),"")</f>
        <v/>
      </c>
      <c r="Q267" s="0" t="str">
        <f aca="false">IF(ROW()-4&lt;=MAX($M$5:$M$1004),IFERROR(INDEX($N$5:$N$404,ROW()-4),""),IFERROR(INDEX($P$5:$P$404,ROW()-4-MAX($M$5:$M$1004)),""))</f>
        <v/>
      </c>
    </row>
    <row r="268" customFormat="false" ht="15" hidden="false" customHeight="false" outlineLevel="0" collapsed="false">
      <c r="M268" s="0" t="str">
        <f aca="false">IF(CSV貼付A!$N268="","",IF(COUNTIF(CSV貼付A!$N$5:$N268,CSV貼付A!$N268)&gt;1,"",MAX($M$4:M267)+1))</f>
        <v/>
      </c>
      <c r="N268" s="0" t="str">
        <f aca="false">IFERROR(INDEX(CSV貼付A!$N$5:$N$1004,MATCH(ROW()-4,$M$5:$M$1004,0)),"")</f>
        <v/>
      </c>
      <c r="O268" s="0" t="str">
        <f aca="false">IF(CSV貼付B!$N268="","",IF(COUNTIF(CSV貼付B!$N$5:$N268,CSV貼付B!$N268)&gt;1,"",MAX($O$4:O267)+1))</f>
        <v/>
      </c>
      <c r="P268" s="0" t="str">
        <f aca="false">IFERROR(INDEX(CSV貼付B!$N$5:$N$1004,MATCH(ROW()-4,$O$5:$O$1004,0)),"")</f>
        <v/>
      </c>
      <c r="Q268" s="0" t="str">
        <f aca="false">IF(ROW()-4&lt;=MAX($M$5:$M$1004),IFERROR(INDEX($N$5:$N$404,ROW()-4),""),IFERROR(INDEX($P$5:$P$404,ROW()-4-MAX($M$5:$M$1004)),""))</f>
        <v/>
      </c>
    </row>
    <row r="269" customFormat="false" ht="15" hidden="false" customHeight="false" outlineLevel="0" collapsed="false">
      <c r="M269" s="0" t="str">
        <f aca="false">IF(CSV貼付A!$N269="","",IF(COUNTIF(CSV貼付A!$N$5:$N269,CSV貼付A!$N269)&gt;1,"",MAX($M$4:M268)+1))</f>
        <v/>
      </c>
      <c r="N269" s="0" t="str">
        <f aca="false">IFERROR(INDEX(CSV貼付A!$N$5:$N$1004,MATCH(ROW()-4,$M$5:$M$1004,0)),"")</f>
        <v/>
      </c>
      <c r="O269" s="0" t="str">
        <f aca="false">IF(CSV貼付B!$N269="","",IF(COUNTIF(CSV貼付B!$N$5:$N269,CSV貼付B!$N269)&gt;1,"",MAX($O$4:O268)+1))</f>
        <v/>
      </c>
      <c r="P269" s="0" t="str">
        <f aca="false">IFERROR(INDEX(CSV貼付B!$N$5:$N$1004,MATCH(ROW()-4,$O$5:$O$1004,0)),"")</f>
        <v/>
      </c>
      <c r="Q269" s="0" t="str">
        <f aca="false">IF(ROW()-4&lt;=MAX($M$5:$M$1004),IFERROR(INDEX($N$5:$N$404,ROW()-4),""),IFERROR(INDEX($P$5:$P$404,ROW()-4-MAX($M$5:$M$1004)),""))</f>
        <v/>
      </c>
    </row>
    <row r="270" customFormat="false" ht="15" hidden="false" customHeight="false" outlineLevel="0" collapsed="false">
      <c r="M270" s="0" t="str">
        <f aca="false">IF(CSV貼付A!$N270="","",IF(COUNTIF(CSV貼付A!$N$5:$N270,CSV貼付A!$N270)&gt;1,"",MAX($M$4:M269)+1))</f>
        <v/>
      </c>
      <c r="N270" s="0" t="str">
        <f aca="false">IFERROR(INDEX(CSV貼付A!$N$5:$N$1004,MATCH(ROW()-4,$M$5:$M$1004,0)),"")</f>
        <v/>
      </c>
      <c r="O270" s="0" t="str">
        <f aca="false">IF(CSV貼付B!$N270="","",IF(COUNTIF(CSV貼付B!$N$5:$N270,CSV貼付B!$N270)&gt;1,"",MAX($O$4:O269)+1))</f>
        <v/>
      </c>
      <c r="P270" s="0" t="str">
        <f aca="false">IFERROR(INDEX(CSV貼付B!$N$5:$N$1004,MATCH(ROW()-4,$O$5:$O$1004,0)),"")</f>
        <v/>
      </c>
      <c r="Q270" s="0" t="str">
        <f aca="false">IF(ROW()-4&lt;=MAX($M$5:$M$1004),IFERROR(INDEX($N$5:$N$404,ROW()-4),""),IFERROR(INDEX($P$5:$P$404,ROW()-4-MAX($M$5:$M$1004)),""))</f>
        <v/>
      </c>
    </row>
    <row r="271" customFormat="false" ht="15" hidden="false" customHeight="false" outlineLevel="0" collapsed="false">
      <c r="M271" s="0" t="str">
        <f aca="false">IF(CSV貼付A!$N271="","",IF(COUNTIF(CSV貼付A!$N$5:$N271,CSV貼付A!$N271)&gt;1,"",MAX($M$4:M270)+1))</f>
        <v/>
      </c>
      <c r="N271" s="0" t="str">
        <f aca="false">IFERROR(INDEX(CSV貼付A!$N$5:$N$1004,MATCH(ROW()-4,$M$5:$M$1004,0)),"")</f>
        <v/>
      </c>
      <c r="O271" s="0" t="str">
        <f aca="false">IF(CSV貼付B!$N271="","",IF(COUNTIF(CSV貼付B!$N$5:$N271,CSV貼付B!$N271)&gt;1,"",MAX($O$4:O270)+1))</f>
        <v/>
      </c>
      <c r="P271" s="0" t="str">
        <f aca="false">IFERROR(INDEX(CSV貼付B!$N$5:$N$1004,MATCH(ROW()-4,$O$5:$O$1004,0)),"")</f>
        <v/>
      </c>
      <c r="Q271" s="0" t="str">
        <f aca="false">IF(ROW()-4&lt;=MAX($M$5:$M$1004),IFERROR(INDEX($N$5:$N$404,ROW()-4),""),IFERROR(INDEX($P$5:$P$404,ROW()-4-MAX($M$5:$M$1004)),""))</f>
        <v/>
      </c>
    </row>
    <row r="272" customFormat="false" ht="15" hidden="false" customHeight="false" outlineLevel="0" collapsed="false">
      <c r="M272" s="0" t="str">
        <f aca="false">IF(CSV貼付A!$N272="","",IF(COUNTIF(CSV貼付A!$N$5:$N272,CSV貼付A!$N272)&gt;1,"",MAX($M$4:M271)+1))</f>
        <v/>
      </c>
      <c r="N272" s="0" t="str">
        <f aca="false">IFERROR(INDEX(CSV貼付A!$N$5:$N$1004,MATCH(ROW()-4,$M$5:$M$1004,0)),"")</f>
        <v/>
      </c>
      <c r="O272" s="0" t="str">
        <f aca="false">IF(CSV貼付B!$N272="","",IF(COUNTIF(CSV貼付B!$N$5:$N272,CSV貼付B!$N272)&gt;1,"",MAX($O$4:O271)+1))</f>
        <v/>
      </c>
      <c r="P272" s="0" t="str">
        <f aca="false">IFERROR(INDEX(CSV貼付B!$N$5:$N$1004,MATCH(ROW()-4,$O$5:$O$1004,0)),"")</f>
        <v/>
      </c>
      <c r="Q272" s="0" t="str">
        <f aca="false">IF(ROW()-4&lt;=MAX($M$5:$M$1004),IFERROR(INDEX($N$5:$N$404,ROW()-4),""),IFERROR(INDEX($P$5:$P$404,ROW()-4-MAX($M$5:$M$1004)),""))</f>
        <v/>
      </c>
    </row>
    <row r="273" customFormat="false" ht="15" hidden="false" customHeight="false" outlineLevel="0" collapsed="false">
      <c r="M273" s="0" t="str">
        <f aca="false">IF(CSV貼付A!$N273="","",IF(COUNTIF(CSV貼付A!$N$5:$N273,CSV貼付A!$N273)&gt;1,"",MAX($M$4:M272)+1))</f>
        <v/>
      </c>
      <c r="N273" s="0" t="str">
        <f aca="false">IFERROR(INDEX(CSV貼付A!$N$5:$N$1004,MATCH(ROW()-4,$M$5:$M$1004,0)),"")</f>
        <v/>
      </c>
      <c r="O273" s="0" t="str">
        <f aca="false">IF(CSV貼付B!$N273="","",IF(COUNTIF(CSV貼付B!$N$5:$N273,CSV貼付B!$N273)&gt;1,"",MAX($O$4:O272)+1))</f>
        <v/>
      </c>
      <c r="P273" s="0" t="str">
        <f aca="false">IFERROR(INDEX(CSV貼付B!$N$5:$N$1004,MATCH(ROW()-4,$O$5:$O$1004,0)),"")</f>
        <v/>
      </c>
      <c r="Q273" s="0" t="str">
        <f aca="false">IF(ROW()-4&lt;=MAX($M$5:$M$1004),IFERROR(INDEX($N$5:$N$404,ROW()-4),""),IFERROR(INDEX($P$5:$P$404,ROW()-4-MAX($M$5:$M$1004)),""))</f>
        <v/>
      </c>
    </row>
    <row r="274" customFormat="false" ht="15" hidden="false" customHeight="false" outlineLevel="0" collapsed="false">
      <c r="M274" s="0" t="str">
        <f aca="false">IF(CSV貼付A!$N274="","",IF(COUNTIF(CSV貼付A!$N$5:$N274,CSV貼付A!$N274)&gt;1,"",MAX($M$4:M273)+1))</f>
        <v/>
      </c>
      <c r="N274" s="0" t="str">
        <f aca="false">IFERROR(INDEX(CSV貼付A!$N$5:$N$1004,MATCH(ROW()-4,$M$5:$M$1004,0)),"")</f>
        <v/>
      </c>
      <c r="O274" s="0" t="str">
        <f aca="false">IF(CSV貼付B!$N274="","",IF(COUNTIF(CSV貼付B!$N$5:$N274,CSV貼付B!$N274)&gt;1,"",MAX($O$4:O273)+1))</f>
        <v/>
      </c>
      <c r="P274" s="0" t="str">
        <f aca="false">IFERROR(INDEX(CSV貼付B!$N$5:$N$1004,MATCH(ROW()-4,$O$5:$O$1004,0)),"")</f>
        <v/>
      </c>
      <c r="Q274" s="0" t="str">
        <f aca="false">IF(ROW()-4&lt;=MAX($M$5:$M$1004),IFERROR(INDEX($N$5:$N$404,ROW()-4),""),IFERROR(INDEX($P$5:$P$404,ROW()-4-MAX($M$5:$M$1004)),""))</f>
        <v/>
      </c>
    </row>
    <row r="275" customFormat="false" ht="15" hidden="false" customHeight="false" outlineLevel="0" collapsed="false">
      <c r="M275" s="0" t="str">
        <f aca="false">IF(CSV貼付A!$N275="","",IF(COUNTIF(CSV貼付A!$N$5:$N275,CSV貼付A!$N275)&gt;1,"",MAX($M$4:M274)+1))</f>
        <v/>
      </c>
      <c r="N275" s="0" t="str">
        <f aca="false">IFERROR(INDEX(CSV貼付A!$N$5:$N$1004,MATCH(ROW()-4,$M$5:$M$1004,0)),"")</f>
        <v/>
      </c>
      <c r="O275" s="0" t="str">
        <f aca="false">IF(CSV貼付B!$N275="","",IF(COUNTIF(CSV貼付B!$N$5:$N275,CSV貼付B!$N275)&gt;1,"",MAX($O$4:O274)+1))</f>
        <v/>
      </c>
      <c r="P275" s="0" t="str">
        <f aca="false">IFERROR(INDEX(CSV貼付B!$N$5:$N$1004,MATCH(ROW()-4,$O$5:$O$1004,0)),"")</f>
        <v/>
      </c>
      <c r="Q275" s="0" t="str">
        <f aca="false">IF(ROW()-4&lt;=MAX($M$5:$M$1004),IFERROR(INDEX($N$5:$N$404,ROW()-4),""),IFERROR(INDEX($P$5:$P$404,ROW()-4-MAX($M$5:$M$1004)),""))</f>
        <v/>
      </c>
    </row>
    <row r="276" customFormat="false" ht="15" hidden="false" customHeight="false" outlineLevel="0" collapsed="false">
      <c r="M276" s="0" t="str">
        <f aca="false">IF(CSV貼付A!$N276="","",IF(COUNTIF(CSV貼付A!$N$5:$N276,CSV貼付A!$N276)&gt;1,"",MAX($M$4:M275)+1))</f>
        <v/>
      </c>
      <c r="N276" s="0" t="str">
        <f aca="false">IFERROR(INDEX(CSV貼付A!$N$5:$N$1004,MATCH(ROW()-4,$M$5:$M$1004,0)),"")</f>
        <v/>
      </c>
      <c r="O276" s="0" t="str">
        <f aca="false">IF(CSV貼付B!$N276="","",IF(COUNTIF(CSV貼付B!$N$5:$N276,CSV貼付B!$N276)&gt;1,"",MAX($O$4:O275)+1))</f>
        <v/>
      </c>
      <c r="P276" s="0" t="str">
        <f aca="false">IFERROR(INDEX(CSV貼付B!$N$5:$N$1004,MATCH(ROW()-4,$O$5:$O$1004,0)),"")</f>
        <v/>
      </c>
      <c r="Q276" s="0" t="str">
        <f aca="false">IF(ROW()-4&lt;=MAX($M$5:$M$1004),IFERROR(INDEX($N$5:$N$404,ROW()-4),""),IFERROR(INDEX($P$5:$P$404,ROW()-4-MAX($M$5:$M$1004)),""))</f>
        <v/>
      </c>
    </row>
    <row r="277" customFormat="false" ht="15" hidden="false" customHeight="false" outlineLevel="0" collapsed="false">
      <c r="M277" s="0" t="str">
        <f aca="false">IF(CSV貼付A!$N277="","",IF(COUNTIF(CSV貼付A!$N$5:$N277,CSV貼付A!$N277)&gt;1,"",MAX($M$4:M276)+1))</f>
        <v/>
      </c>
      <c r="N277" s="0" t="str">
        <f aca="false">IFERROR(INDEX(CSV貼付A!$N$5:$N$1004,MATCH(ROW()-4,$M$5:$M$1004,0)),"")</f>
        <v/>
      </c>
      <c r="O277" s="0" t="str">
        <f aca="false">IF(CSV貼付B!$N277="","",IF(COUNTIF(CSV貼付B!$N$5:$N277,CSV貼付B!$N277)&gt;1,"",MAX($O$4:O276)+1))</f>
        <v/>
      </c>
      <c r="P277" s="0" t="str">
        <f aca="false">IFERROR(INDEX(CSV貼付B!$N$5:$N$1004,MATCH(ROW()-4,$O$5:$O$1004,0)),"")</f>
        <v/>
      </c>
      <c r="Q277" s="0" t="str">
        <f aca="false">IF(ROW()-4&lt;=MAX($M$5:$M$1004),IFERROR(INDEX($N$5:$N$404,ROW()-4),""),IFERROR(INDEX($P$5:$P$404,ROW()-4-MAX($M$5:$M$1004)),""))</f>
        <v/>
      </c>
    </row>
    <row r="278" customFormat="false" ht="15" hidden="false" customHeight="false" outlineLevel="0" collapsed="false">
      <c r="M278" s="0" t="str">
        <f aca="false">IF(CSV貼付A!$N278="","",IF(COUNTIF(CSV貼付A!$N$5:$N278,CSV貼付A!$N278)&gt;1,"",MAX($M$4:M277)+1))</f>
        <v/>
      </c>
      <c r="N278" s="0" t="str">
        <f aca="false">IFERROR(INDEX(CSV貼付A!$N$5:$N$1004,MATCH(ROW()-4,$M$5:$M$1004,0)),"")</f>
        <v/>
      </c>
      <c r="O278" s="0" t="str">
        <f aca="false">IF(CSV貼付B!$N278="","",IF(COUNTIF(CSV貼付B!$N$5:$N278,CSV貼付B!$N278)&gt;1,"",MAX($O$4:O277)+1))</f>
        <v/>
      </c>
      <c r="P278" s="0" t="str">
        <f aca="false">IFERROR(INDEX(CSV貼付B!$N$5:$N$1004,MATCH(ROW()-4,$O$5:$O$1004,0)),"")</f>
        <v/>
      </c>
      <c r="Q278" s="0" t="str">
        <f aca="false">IF(ROW()-4&lt;=MAX($M$5:$M$1004),IFERROR(INDEX($N$5:$N$404,ROW()-4),""),IFERROR(INDEX($P$5:$P$404,ROW()-4-MAX($M$5:$M$1004)),""))</f>
        <v/>
      </c>
    </row>
    <row r="279" customFormat="false" ht="15" hidden="false" customHeight="false" outlineLevel="0" collapsed="false">
      <c r="M279" s="0" t="str">
        <f aca="false">IF(CSV貼付A!$N279="","",IF(COUNTIF(CSV貼付A!$N$5:$N279,CSV貼付A!$N279)&gt;1,"",MAX($M$4:M278)+1))</f>
        <v/>
      </c>
      <c r="N279" s="0" t="str">
        <f aca="false">IFERROR(INDEX(CSV貼付A!$N$5:$N$1004,MATCH(ROW()-4,$M$5:$M$1004,0)),"")</f>
        <v/>
      </c>
      <c r="O279" s="0" t="str">
        <f aca="false">IF(CSV貼付B!$N279="","",IF(COUNTIF(CSV貼付B!$N$5:$N279,CSV貼付B!$N279)&gt;1,"",MAX($O$4:O278)+1))</f>
        <v/>
      </c>
      <c r="P279" s="0" t="str">
        <f aca="false">IFERROR(INDEX(CSV貼付B!$N$5:$N$1004,MATCH(ROW()-4,$O$5:$O$1004,0)),"")</f>
        <v/>
      </c>
      <c r="Q279" s="0" t="str">
        <f aca="false">IF(ROW()-4&lt;=MAX($M$5:$M$1004),IFERROR(INDEX($N$5:$N$404,ROW()-4),""),IFERROR(INDEX($P$5:$P$404,ROW()-4-MAX($M$5:$M$1004)),""))</f>
        <v/>
      </c>
    </row>
    <row r="280" customFormat="false" ht="15" hidden="false" customHeight="false" outlineLevel="0" collapsed="false">
      <c r="M280" s="0" t="str">
        <f aca="false">IF(CSV貼付A!$N280="","",IF(COUNTIF(CSV貼付A!$N$5:$N280,CSV貼付A!$N280)&gt;1,"",MAX($M$4:M279)+1))</f>
        <v/>
      </c>
      <c r="N280" s="0" t="str">
        <f aca="false">IFERROR(INDEX(CSV貼付A!$N$5:$N$1004,MATCH(ROW()-4,$M$5:$M$1004,0)),"")</f>
        <v/>
      </c>
      <c r="O280" s="0" t="str">
        <f aca="false">IF(CSV貼付B!$N280="","",IF(COUNTIF(CSV貼付B!$N$5:$N280,CSV貼付B!$N280)&gt;1,"",MAX($O$4:O279)+1))</f>
        <v/>
      </c>
      <c r="P280" s="0" t="str">
        <f aca="false">IFERROR(INDEX(CSV貼付B!$N$5:$N$1004,MATCH(ROW()-4,$O$5:$O$1004,0)),"")</f>
        <v/>
      </c>
      <c r="Q280" s="0" t="str">
        <f aca="false">IF(ROW()-4&lt;=MAX($M$5:$M$1004),IFERROR(INDEX($N$5:$N$404,ROW()-4),""),IFERROR(INDEX($P$5:$P$404,ROW()-4-MAX($M$5:$M$1004)),""))</f>
        <v/>
      </c>
    </row>
    <row r="281" customFormat="false" ht="15" hidden="false" customHeight="false" outlineLevel="0" collapsed="false">
      <c r="M281" s="0" t="str">
        <f aca="false">IF(CSV貼付A!$N281="","",IF(COUNTIF(CSV貼付A!$N$5:$N281,CSV貼付A!$N281)&gt;1,"",MAX($M$4:M280)+1))</f>
        <v/>
      </c>
      <c r="N281" s="0" t="str">
        <f aca="false">IFERROR(INDEX(CSV貼付A!$N$5:$N$1004,MATCH(ROW()-4,$M$5:$M$1004,0)),"")</f>
        <v/>
      </c>
      <c r="O281" s="0" t="str">
        <f aca="false">IF(CSV貼付B!$N281="","",IF(COUNTIF(CSV貼付B!$N$5:$N281,CSV貼付B!$N281)&gt;1,"",MAX($O$4:O280)+1))</f>
        <v/>
      </c>
      <c r="P281" s="0" t="str">
        <f aca="false">IFERROR(INDEX(CSV貼付B!$N$5:$N$1004,MATCH(ROW()-4,$O$5:$O$1004,0)),"")</f>
        <v/>
      </c>
      <c r="Q281" s="0" t="str">
        <f aca="false">IF(ROW()-4&lt;=MAX($M$5:$M$1004),IFERROR(INDEX($N$5:$N$404,ROW()-4),""),IFERROR(INDEX($P$5:$P$404,ROW()-4-MAX($M$5:$M$1004)),""))</f>
        <v/>
      </c>
    </row>
    <row r="282" customFormat="false" ht="15" hidden="false" customHeight="false" outlineLevel="0" collapsed="false">
      <c r="M282" s="0" t="str">
        <f aca="false">IF(CSV貼付A!$N282="","",IF(COUNTIF(CSV貼付A!$N$5:$N282,CSV貼付A!$N282)&gt;1,"",MAX($M$4:M281)+1))</f>
        <v/>
      </c>
      <c r="N282" s="0" t="str">
        <f aca="false">IFERROR(INDEX(CSV貼付A!$N$5:$N$1004,MATCH(ROW()-4,$M$5:$M$1004,0)),"")</f>
        <v/>
      </c>
      <c r="O282" s="0" t="str">
        <f aca="false">IF(CSV貼付B!$N282="","",IF(COUNTIF(CSV貼付B!$N$5:$N282,CSV貼付B!$N282)&gt;1,"",MAX($O$4:O281)+1))</f>
        <v/>
      </c>
      <c r="P282" s="0" t="str">
        <f aca="false">IFERROR(INDEX(CSV貼付B!$N$5:$N$1004,MATCH(ROW()-4,$O$5:$O$1004,0)),"")</f>
        <v/>
      </c>
      <c r="Q282" s="0" t="str">
        <f aca="false">IF(ROW()-4&lt;=MAX($M$5:$M$1004),IFERROR(INDEX($N$5:$N$404,ROW()-4),""),IFERROR(INDEX($P$5:$P$404,ROW()-4-MAX($M$5:$M$1004)),""))</f>
        <v/>
      </c>
    </row>
    <row r="283" customFormat="false" ht="15" hidden="false" customHeight="false" outlineLevel="0" collapsed="false">
      <c r="M283" s="0" t="str">
        <f aca="false">IF(CSV貼付A!$N283="","",IF(COUNTIF(CSV貼付A!$N$5:$N283,CSV貼付A!$N283)&gt;1,"",MAX($M$4:M282)+1))</f>
        <v/>
      </c>
      <c r="N283" s="0" t="str">
        <f aca="false">IFERROR(INDEX(CSV貼付A!$N$5:$N$1004,MATCH(ROW()-4,$M$5:$M$1004,0)),"")</f>
        <v/>
      </c>
      <c r="O283" s="0" t="str">
        <f aca="false">IF(CSV貼付B!$N283="","",IF(COUNTIF(CSV貼付B!$N$5:$N283,CSV貼付B!$N283)&gt;1,"",MAX($O$4:O282)+1))</f>
        <v/>
      </c>
      <c r="P283" s="0" t="str">
        <f aca="false">IFERROR(INDEX(CSV貼付B!$N$5:$N$1004,MATCH(ROW()-4,$O$5:$O$1004,0)),"")</f>
        <v/>
      </c>
      <c r="Q283" s="0" t="str">
        <f aca="false">IF(ROW()-4&lt;=MAX($M$5:$M$1004),IFERROR(INDEX($N$5:$N$404,ROW()-4),""),IFERROR(INDEX($P$5:$P$404,ROW()-4-MAX($M$5:$M$1004)),""))</f>
        <v/>
      </c>
    </row>
    <row r="284" customFormat="false" ht="15" hidden="false" customHeight="false" outlineLevel="0" collapsed="false">
      <c r="M284" s="0" t="str">
        <f aca="false">IF(CSV貼付A!$N284="","",IF(COUNTIF(CSV貼付A!$N$5:$N284,CSV貼付A!$N284)&gt;1,"",MAX($M$4:M283)+1))</f>
        <v/>
      </c>
      <c r="N284" s="0" t="str">
        <f aca="false">IFERROR(INDEX(CSV貼付A!$N$5:$N$1004,MATCH(ROW()-4,$M$5:$M$1004,0)),"")</f>
        <v/>
      </c>
      <c r="O284" s="0" t="str">
        <f aca="false">IF(CSV貼付B!$N284="","",IF(COUNTIF(CSV貼付B!$N$5:$N284,CSV貼付B!$N284)&gt;1,"",MAX($O$4:O283)+1))</f>
        <v/>
      </c>
      <c r="P284" s="0" t="str">
        <f aca="false">IFERROR(INDEX(CSV貼付B!$N$5:$N$1004,MATCH(ROW()-4,$O$5:$O$1004,0)),"")</f>
        <v/>
      </c>
      <c r="Q284" s="0" t="str">
        <f aca="false">IF(ROW()-4&lt;=MAX($M$5:$M$1004),IFERROR(INDEX($N$5:$N$404,ROW()-4),""),IFERROR(INDEX($P$5:$P$404,ROW()-4-MAX($M$5:$M$1004)),""))</f>
        <v/>
      </c>
    </row>
    <row r="285" customFormat="false" ht="15" hidden="false" customHeight="false" outlineLevel="0" collapsed="false">
      <c r="M285" s="0" t="str">
        <f aca="false">IF(CSV貼付A!$N285="","",IF(COUNTIF(CSV貼付A!$N$5:$N285,CSV貼付A!$N285)&gt;1,"",MAX($M$4:M284)+1))</f>
        <v/>
      </c>
      <c r="N285" s="0" t="str">
        <f aca="false">IFERROR(INDEX(CSV貼付A!$N$5:$N$1004,MATCH(ROW()-4,$M$5:$M$1004,0)),"")</f>
        <v/>
      </c>
      <c r="O285" s="0" t="str">
        <f aca="false">IF(CSV貼付B!$N285="","",IF(COUNTIF(CSV貼付B!$N$5:$N285,CSV貼付B!$N285)&gt;1,"",MAX($O$4:O284)+1))</f>
        <v/>
      </c>
      <c r="P285" s="0" t="str">
        <f aca="false">IFERROR(INDEX(CSV貼付B!$N$5:$N$1004,MATCH(ROW()-4,$O$5:$O$1004,0)),"")</f>
        <v/>
      </c>
      <c r="Q285" s="0" t="str">
        <f aca="false">IF(ROW()-4&lt;=MAX($M$5:$M$1004),IFERROR(INDEX($N$5:$N$404,ROW()-4),""),IFERROR(INDEX($P$5:$P$404,ROW()-4-MAX($M$5:$M$1004)),""))</f>
        <v/>
      </c>
    </row>
    <row r="286" customFormat="false" ht="15" hidden="false" customHeight="false" outlineLevel="0" collapsed="false">
      <c r="M286" s="0" t="str">
        <f aca="false">IF(CSV貼付A!$N286="","",IF(COUNTIF(CSV貼付A!$N$5:$N286,CSV貼付A!$N286)&gt;1,"",MAX($M$4:M285)+1))</f>
        <v/>
      </c>
      <c r="N286" s="0" t="str">
        <f aca="false">IFERROR(INDEX(CSV貼付A!$N$5:$N$1004,MATCH(ROW()-4,$M$5:$M$1004,0)),"")</f>
        <v/>
      </c>
      <c r="O286" s="0" t="str">
        <f aca="false">IF(CSV貼付B!$N286="","",IF(COUNTIF(CSV貼付B!$N$5:$N286,CSV貼付B!$N286)&gt;1,"",MAX($O$4:O285)+1))</f>
        <v/>
      </c>
      <c r="P286" s="0" t="str">
        <f aca="false">IFERROR(INDEX(CSV貼付B!$N$5:$N$1004,MATCH(ROW()-4,$O$5:$O$1004,0)),"")</f>
        <v/>
      </c>
      <c r="Q286" s="0" t="str">
        <f aca="false">IF(ROW()-4&lt;=MAX($M$5:$M$1004),IFERROR(INDEX($N$5:$N$404,ROW()-4),""),IFERROR(INDEX($P$5:$P$404,ROW()-4-MAX($M$5:$M$1004)),""))</f>
        <v/>
      </c>
    </row>
    <row r="287" customFormat="false" ht="15" hidden="false" customHeight="false" outlineLevel="0" collapsed="false">
      <c r="M287" s="0" t="str">
        <f aca="false">IF(CSV貼付A!$N287="","",IF(COUNTIF(CSV貼付A!$N$5:$N287,CSV貼付A!$N287)&gt;1,"",MAX($M$4:M286)+1))</f>
        <v/>
      </c>
      <c r="N287" s="0" t="str">
        <f aca="false">IFERROR(INDEX(CSV貼付A!$N$5:$N$1004,MATCH(ROW()-4,$M$5:$M$1004,0)),"")</f>
        <v/>
      </c>
      <c r="O287" s="0" t="str">
        <f aca="false">IF(CSV貼付B!$N287="","",IF(COUNTIF(CSV貼付B!$N$5:$N287,CSV貼付B!$N287)&gt;1,"",MAX($O$4:O286)+1))</f>
        <v/>
      </c>
      <c r="P287" s="0" t="str">
        <f aca="false">IFERROR(INDEX(CSV貼付B!$N$5:$N$1004,MATCH(ROW()-4,$O$5:$O$1004,0)),"")</f>
        <v/>
      </c>
      <c r="Q287" s="0" t="str">
        <f aca="false">IF(ROW()-4&lt;=MAX($M$5:$M$1004),IFERROR(INDEX($N$5:$N$404,ROW()-4),""),IFERROR(INDEX($P$5:$P$404,ROW()-4-MAX($M$5:$M$1004)),""))</f>
        <v/>
      </c>
    </row>
    <row r="288" customFormat="false" ht="15" hidden="false" customHeight="false" outlineLevel="0" collapsed="false">
      <c r="M288" s="0" t="str">
        <f aca="false">IF(CSV貼付A!$N288="","",IF(COUNTIF(CSV貼付A!$N$5:$N288,CSV貼付A!$N288)&gt;1,"",MAX($M$4:M287)+1))</f>
        <v/>
      </c>
      <c r="N288" s="0" t="str">
        <f aca="false">IFERROR(INDEX(CSV貼付A!$N$5:$N$1004,MATCH(ROW()-4,$M$5:$M$1004,0)),"")</f>
        <v/>
      </c>
      <c r="O288" s="0" t="str">
        <f aca="false">IF(CSV貼付B!$N288="","",IF(COUNTIF(CSV貼付B!$N$5:$N288,CSV貼付B!$N288)&gt;1,"",MAX($O$4:O287)+1))</f>
        <v/>
      </c>
      <c r="P288" s="0" t="str">
        <f aca="false">IFERROR(INDEX(CSV貼付B!$N$5:$N$1004,MATCH(ROW()-4,$O$5:$O$1004,0)),"")</f>
        <v/>
      </c>
      <c r="Q288" s="0" t="str">
        <f aca="false">IF(ROW()-4&lt;=MAX($M$5:$M$1004),IFERROR(INDEX($N$5:$N$404,ROW()-4),""),IFERROR(INDEX($P$5:$P$404,ROW()-4-MAX($M$5:$M$1004)),""))</f>
        <v/>
      </c>
    </row>
    <row r="289" customFormat="false" ht="15" hidden="false" customHeight="false" outlineLevel="0" collapsed="false">
      <c r="M289" s="0" t="str">
        <f aca="false">IF(CSV貼付A!$N289="","",IF(COUNTIF(CSV貼付A!$N$5:$N289,CSV貼付A!$N289)&gt;1,"",MAX($M$4:M288)+1))</f>
        <v/>
      </c>
      <c r="N289" s="0" t="str">
        <f aca="false">IFERROR(INDEX(CSV貼付A!$N$5:$N$1004,MATCH(ROW()-4,$M$5:$M$1004,0)),"")</f>
        <v/>
      </c>
      <c r="O289" s="0" t="str">
        <f aca="false">IF(CSV貼付B!$N289="","",IF(COUNTIF(CSV貼付B!$N$5:$N289,CSV貼付B!$N289)&gt;1,"",MAX($O$4:O288)+1))</f>
        <v/>
      </c>
      <c r="P289" s="0" t="str">
        <f aca="false">IFERROR(INDEX(CSV貼付B!$N$5:$N$1004,MATCH(ROW()-4,$O$5:$O$1004,0)),"")</f>
        <v/>
      </c>
      <c r="Q289" s="0" t="str">
        <f aca="false">IF(ROW()-4&lt;=MAX($M$5:$M$1004),IFERROR(INDEX($N$5:$N$404,ROW()-4),""),IFERROR(INDEX($P$5:$P$404,ROW()-4-MAX($M$5:$M$1004)),""))</f>
        <v/>
      </c>
    </row>
    <row r="290" customFormat="false" ht="15" hidden="false" customHeight="false" outlineLevel="0" collapsed="false">
      <c r="M290" s="0" t="str">
        <f aca="false">IF(CSV貼付A!$N290="","",IF(COUNTIF(CSV貼付A!$N$5:$N290,CSV貼付A!$N290)&gt;1,"",MAX($M$4:M289)+1))</f>
        <v/>
      </c>
      <c r="N290" s="0" t="str">
        <f aca="false">IFERROR(INDEX(CSV貼付A!$N$5:$N$1004,MATCH(ROW()-4,$M$5:$M$1004,0)),"")</f>
        <v/>
      </c>
      <c r="O290" s="0" t="str">
        <f aca="false">IF(CSV貼付B!$N290="","",IF(COUNTIF(CSV貼付B!$N$5:$N290,CSV貼付B!$N290)&gt;1,"",MAX($O$4:O289)+1))</f>
        <v/>
      </c>
      <c r="P290" s="0" t="str">
        <f aca="false">IFERROR(INDEX(CSV貼付B!$N$5:$N$1004,MATCH(ROW()-4,$O$5:$O$1004,0)),"")</f>
        <v/>
      </c>
      <c r="Q290" s="0" t="str">
        <f aca="false">IF(ROW()-4&lt;=MAX($M$5:$M$1004),IFERROR(INDEX($N$5:$N$404,ROW()-4),""),IFERROR(INDEX($P$5:$P$404,ROW()-4-MAX($M$5:$M$1004)),""))</f>
        <v/>
      </c>
    </row>
    <row r="291" customFormat="false" ht="15" hidden="false" customHeight="false" outlineLevel="0" collapsed="false">
      <c r="M291" s="0" t="str">
        <f aca="false">IF(CSV貼付A!$N291="","",IF(COUNTIF(CSV貼付A!$N$5:$N291,CSV貼付A!$N291)&gt;1,"",MAX($M$4:M290)+1))</f>
        <v/>
      </c>
      <c r="N291" s="0" t="str">
        <f aca="false">IFERROR(INDEX(CSV貼付A!$N$5:$N$1004,MATCH(ROW()-4,$M$5:$M$1004,0)),"")</f>
        <v/>
      </c>
      <c r="O291" s="0" t="str">
        <f aca="false">IF(CSV貼付B!$N291="","",IF(COUNTIF(CSV貼付B!$N$5:$N291,CSV貼付B!$N291)&gt;1,"",MAX($O$4:O290)+1))</f>
        <v/>
      </c>
      <c r="P291" s="0" t="str">
        <f aca="false">IFERROR(INDEX(CSV貼付B!$N$5:$N$1004,MATCH(ROW()-4,$O$5:$O$1004,0)),"")</f>
        <v/>
      </c>
      <c r="Q291" s="0" t="str">
        <f aca="false">IF(ROW()-4&lt;=MAX($M$5:$M$1004),IFERROR(INDEX($N$5:$N$404,ROW()-4),""),IFERROR(INDEX($P$5:$P$404,ROW()-4-MAX($M$5:$M$1004)),""))</f>
        <v/>
      </c>
    </row>
    <row r="292" customFormat="false" ht="15" hidden="false" customHeight="false" outlineLevel="0" collapsed="false">
      <c r="M292" s="0" t="str">
        <f aca="false">IF(CSV貼付A!$N292="","",IF(COUNTIF(CSV貼付A!$N$5:$N292,CSV貼付A!$N292)&gt;1,"",MAX($M$4:M291)+1))</f>
        <v/>
      </c>
      <c r="N292" s="0" t="str">
        <f aca="false">IFERROR(INDEX(CSV貼付A!$N$5:$N$1004,MATCH(ROW()-4,$M$5:$M$1004,0)),"")</f>
        <v/>
      </c>
      <c r="O292" s="0" t="str">
        <f aca="false">IF(CSV貼付B!$N292="","",IF(COUNTIF(CSV貼付B!$N$5:$N292,CSV貼付B!$N292)&gt;1,"",MAX($O$4:O291)+1))</f>
        <v/>
      </c>
      <c r="P292" s="0" t="str">
        <f aca="false">IFERROR(INDEX(CSV貼付B!$N$5:$N$1004,MATCH(ROW()-4,$O$5:$O$1004,0)),"")</f>
        <v/>
      </c>
      <c r="Q292" s="0" t="str">
        <f aca="false">IF(ROW()-4&lt;=MAX($M$5:$M$1004),IFERROR(INDEX($N$5:$N$404,ROW()-4),""),IFERROR(INDEX($P$5:$P$404,ROW()-4-MAX($M$5:$M$1004)),""))</f>
        <v/>
      </c>
    </row>
    <row r="293" customFormat="false" ht="15" hidden="false" customHeight="false" outlineLevel="0" collapsed="false">
      <c r="M293" s="0" t="str">
        <f aca="false">IF(CSV貼付A!$N293="","",IF(COUNTIF(CSV貼付A!$N$5:$N293,CSV貼付A!$N293)&gt;1,"",MAX($M$4:M292)+1))</f>
        <v/>
      </c>
      <c r="N293" s="0" t="str">
        <f aca="false">IFERROR(INDEX(CSV貼付A!$N$5:$N$1004,MATCH(ROW()-4,$M$5:$M$1004,0)),"")</f>
        <v/>
      </c>
      <c r="O293" s="0" t="str">
        <f aca="false">IF(CSV貼付B!$N293="","",IF(COUNTIF(CSV貼付B!$N$5:$N293,CSV貼付B!$N293)&gt;1,"",MAX($O$4:O292)+1))</f>
        <v/>
      </c>
      <c r="P293" s="0" t="str">
        <f aca="false">IFERROR(INDEX(CSV貼付B!$N$5:$N$1004,MATCH(ROW()-4,$O$5:$O$1004,0)),"")</f>
        <v/>
      </c>
      <c r="Q293" s="0" t="str">
        <f aca="false">IF(ROW()-4&lt;=MAX($M$5:$M$1004),IFERROR(INDEX($N$5:$N$404,ROW()-4),""),IFERROR(INDEX($P$5:$P$404,ROW()-4-MAX($M$5:$M$1004)),""))</f>
        <v/>
      </c>
    </row>
    <row r="294" customFormat="false" ht="15" hidden="false" customHeight="false" outlineLevel="0" collapsed="false">
      <c r="M294" s="0" t="str">
        <f aca="false">IF(CSV貼付A!$N294="","",IF(COUNTIF(CSV貼付A!$N$5:$N294,CSV貼付A!$N294)&gt;1,"",MAX($M$4:M293)+1))</f>
        <v/>
      </c>
      <c r="N294" s="0" t="str">
        <f aca="false">IFERROR(INDEX(CSV貼付A!$N$5:$N$1004,MATCH(ROW()-4,$M$5:$M$1004,0)),"")</f>
        <v/>
      </c>
      <c r="O294" s="0" t="str">
        <f aca="false">IF(CSV貼付B!$N294="","",IF(COUNTIF(CSV貼付B!$N$5:$N294,CSV貼付B!$N294)&gt;1,"",MAX($O$4:O293)+1))</f>
        <v/>
      </c>
      <c r="P294" s="0" t="str">
        <f aca="false">IFERROR(INDEX(CSV貼付B!$N$5:$N$1004,MATCH(ROW()-4,$O$5:$O$1004,0)),"")</f>
        <v/>
      </c>
      <c r="Q294" s="0" t="str">
        <f aca="false">IF(ROW()-4&lt;=MAX($M$5:$M$1004),IFERROR(INDEX($N$5:$N$404,ROW()-4),""),IFERROR(INDEX($P$5:$P$404,ROW()-4-MAX($M$5:$M$1004)),""))</f>
        <v/>
      </c>
    </row>
    <row r="295" customFormat="false" ht="15" hidden="false" customHeight="false" outlineLevel="0" collapsed="false">
      <c r="M295" s="0" t="str">
        <f aca="false">IF(CSV貼付A!$N295="","",IF(COUNTIF(CSV貼付A!$N$5:$N295,CSV貼付A!$N295)&gt;1,"",MAX($M$4:M294)+1))</f>
        <v/>
      </c>
      <c r="N295" s="0" t="str">
        <f aca="false">IFERROR(INDEX(CSV貼付A!$N$5:$N$1004,MATCH(ROW()-4,$M$5:$M$1004,0)),"")</f>
        <v/>
      </c>
      <c r="O295" s="0" t="str">
        <f aca="false">IF(CSV貼付B!$N295="","",IF(COUNTIF(CSV貼付B!$N$5:$N295,CSV貼付B!$N295)&gt;1,"",MAX($O$4:O294)+1))</f>
        <v/>
      </c>
      <c r="P295" s="0" t="str">
        <f aca="false">IFERROR(INDEX(CSV貼付B!$N$5:$N$1004,MATCH(ROW()-4,$O$5:$O$1004,0)),"")</f>
        <v/>
      </c>
      <c r="Q295" s="0" t="str">
        <f aca="false">IF(ROW()-4&lt;=MAX($M$5:$M$1004),IFERROR(INDEX($N$5:$N$404,ROW()-4),""),IFERROR(INDEX($P$5:$P$404,ROW()-4-MAX($M$5:$M$1004)),""))</f>
        <v/>
      </c>
    </row>
    <row r="296" customFormat="false" ht="15" hidden="false" customHeight="false" outlineLevel="0" collapsed="false">
      <c r="M296" s="0" t="str">
        <f aca="false">IF(CSV貼付A!$N296="","",IF(COUNTIF(CSV貼付A!$N$5:$N296,CSV貼付A!$N296)&gt;1,"",MAX($M$4:M295)+1))</f>
        <v/>
      </c>
      <c r="N296" s="0" t="str">
        <f aca="false">IFERROR(INDEX(CSV貼付A!$N$5:$N$1004,MATCH(ROW()-4,$M$5:$M$1004,0)),"")</f>
        <v/>
      </c>
      <c r="O296" s="0" t="str">
        <f aca="false">IF(CSV貼付B!$N296="","",IF(COUNTIF(CSV貼付B!$N$5:$N296,CSV貼付B!$N296)&gt;1,"",MAX($O$4:O295)+1))</f>
        <v/>
      </c>
      <c r="P296" s="0" t="str">
        <f aca="false">IFERROR(INDEX(CSV貼付B!$N$5:$N$1004,MATCH(ROW()-4,$O$5:$O$1004,0)),"")</f>
        <v/>
      </c>
      <c r="Q296" s="0" t="str">
        <f aca="false">IF(ROW()-4&lt;=MAX($M$5:$M$1004),IFERROR(INDEX($N$5:$N$404,ROW()-4),""),IFERROR(INDEX($P$5:$P$404,ROW()-4-MAX($M$5:$M$1004)),""))</f>
        <v/>
      </c>
    </row>
    <row r="297" customFormat="false" ht="15" hidden="false" customHeight="false" outlineLevel="0" collapsed="false">
      <c r="M297" s="0" t="str">
        <f aca="false">IF(CSV貼付A!$N297="","",IF(COUNTIF(CSV貼付A!$N$5:$N297,CSV貼付A!$N297)&gt;1,"",MAX($M$4:M296)+1))</f>
        <v/>
      </c>
      <c r="N297" s="0" t="str">
        <f aca="false">IFERROR(INDEX(CSV貼付A!$N$5:$N$1004,MATCH(ROW()-4,$M$5:$M$1004,0)),"")</f>
        <v/>
      </c>
      <c r="O297" s="0" t="str">
        <f aca="false">IF(CSV貼付B!$N297="","",IF(COUNTIF(CSV貼付B!$N$5:$N297,CSV貼付B!$N297)&gt;1,"",MAX($O$4:O296)+1))</f>
        <v/>
      </c>
      <c r="P297" s="0" t="str">
        <f aca="false">IFERROR(INDEX(CSV貼付B!$N$5:$N$1004,MATCH(ROW()-4,$O$5:$O$1004,0)),"")</f>
        <v/>
      </c>
      <c r="Q297" s="0" t="str">
        <f aca="false">IF(ROW()-4&lt;=MAX($M$5:$M$1004),IFERROR(INDEX($N$5:$N$404,ROW()-4),""),IFERROR(INDEX($P$5:$P$404,ROW()-4-MAX($M$5:$M$1004)),""))</f>
        <v/>
      </c>
    </row>
    <row r="298" customFormat="false" ht="15" hidden="false" customHeight="false" outlineLevel="0" collapsed="false">
      <c r="M298" s="0" t="str">
        <f aca="false">IF(CSV貼付A!$N298="","",IF(COUNTIF(CSV貼付A!$N$5:$N298,CSV貼付A!$N298)&gt;1,"",MAX($M$4:M297)+1))</f>
        <v/>
      </c>
      <c r="N298" s="0" t="str">
        <f aca="false">IFERROR(INDEX(CSV貼付A!$N$5:$N$1004,MATCH(ROW()-4,$M$5:$M$1004,0)),"")</f>
        <v/>
      </c>
      <c r="O298" s="0" t="str">
        <f aca="false">IF(CSV貼付B!$N298="","",IF(COUNTIF(CSV貼付B!$N$5:$N298,CSV貼付B!$N298)&gt;1,"",MAX($O$4:O297)+1))</f>
        <v/>
      </c>
      <c r="P298" s="0" t="str">
        <f aca="false">IFERROR(INDEX(CSV貼付B!$N$5:$N$1004,MATCH(ROW()-4,$O$5:$O$1004,0)),"")</f>
        <v/>
      </c>
      <c r="Q298" s="0" t="str">
        <f aca="false">IF(ROW()-4&lt;=MAX($M$5:$M$1004),IFERROR(INDEX($N$5:$N$404,ROW()-4),""),IFERROR(INDEX($P$5:$P$404,ROW()-4-MAX($M$5:$M$1004)),""))</f>
        <v/>
      </c>
    </row>
    <row r="299" customFormat="false" ht="15" hidden="false" customHeight="false" outlineLevel="0" collapsed="false">
      <c r="M299" s="0" t="str">
        <f aca="false">IF(CSV貼付A!$N299="","",IF(COUNTIF(CSV貼付A!$N$5:$N299,CSV貼付A!$N299)&gt;1,"",MAX($M$4:M298)+1))</f>
        <v/>
      </c>
      <c r="N299" s="0" t="str">
        <f aca="false">IFERROR(INDEX(CSV貼付A!$N$5:$N$1004,MATCH(ROW()-4,$M$5:$M$1004,0)),"")</f>
        <v/>
      </c>
      <c r="O299" s="0" t="str">
        <f aca="false">IF(CSV貼付B!$N299="","",IF(COUNTIF(CSV貼付B!$N$5:$N299,CSV貼付B!$N299)&gt;1,"",MAX($O$4:O298)+1))</f>
        <v/>
      </c>
      <c r="P299" s="0" t="str">
        <f aca="false">IFERROR(INDEX(CSV貼付B!$N$5:$N$1004,MATCH(ROW()-4,$O$5:$O$1004,0)),"")</f>
        <v/>
      </c>
      <c r="Q299" s="0" t="str">
        <f aca="false">IF(ROW()-4&lt;=MAX($M$5:$M$1004),IFERROR(INDEX($N$5:$N$404,ROW()-4),""),IFERROR(INDEX($P$5:$P$404,ROW()-4-MAX($M$5:$M$1004)),""))</f>
        <v/>
      </c>
    </row>
    <row r="300" customFormat="false" ht="15" hidden="false" customHeight="false" outlineLevel="0" collapsed="false">
      <c r="M300" s="0" t="str">
        <f aca="false">IF(CSV貼付A!$N300="","",IF(COUNTIF(CSV貼付A!$N$5:$N300,CSV貼付A!$N300)&gt;1,"",MAX($M$4:M299)+1))</f>
        <v/>
      </c>
      <c r="N300" s="0" t="str">
        <f aca="false">IFERROR(INDEX(CSV貼付A!$N$5:$N$1004,MATCH(ROW()-4,$M$5:$M$1004,0)),"")</f>
        <v/>
      </c>
      <c r="O300" s="0" t="str">
        <f aca="false">IF(CSV貼付B!$N300="","",IF(COUNTIF(CSV貼付B!$N$5:$N300,CSV貼付B!$N300)&gt;1,"",MAX($O$4:O299)+1))</f>
        <v/>
      </c>
      <c r="P300" s="0" t="str">
        <f aca="false">IFERROR(INDEX(CSV貼付B!$N$5:$N$1004,MATCH(ROW()-4,$O$5:$O$1004,0)),"")</f>
        <v/>
      </c>
      <c r="Q300" s="0" t="str">
        <f aca="false">IF(ROW()-4&lt;=MAX($M$5:$M$1004),IFERROR(INDEX($N$5:$N$404,ROW()-4),""),IFERROR(INDEX($P$5:$P$404,ROW()-4-MAX($M$5:$M$1004)),""))</f>
        <v/>
      </c>
    </row>
    <row r="301" customFormat="false" ht="15" hidden="false" customHeight="false" outlineLevel="0" collapsed="false">
      <c r="M301" s="0" t="str">
        <f aca="false">IF(CSV貼付A!$N301="","",IF(COUNTIF(CSV貼付A!$N$5:$N301,CSV貼付A!$N301)&gt;1,"",MAX($M$4:M300)+1))</f>
        <v/>
      </c>
      <c r="N301" s="0" t="str">
        <f aca="false">IFERROR(INDEX(CSV貼付A!$N$5:$N$1004,MATCH(ROW()-4,$M$5:$M$1004,0)),"")</f>
        <v/>
      </c>
      <c r="O301" s="0" t="str">
        <f aca="false">IF(CSV貼付B!$N301="","",IF(COUNTIF(CSV貼付B!$N$5:$N301,CSV貼付B!$N301)&gt;1,"",MAX($O$4:O300)+1))</f>
        <v/>
      </c>
      <c r="P301" s="0" t="str">
        <f aca="false">IFERROR(INDEX(CSV貼付B!$N$5:$N$1004,MATCH(ROW()-4,$O$5:$O$1004,0)),"")</f>
        <v/>
      </c>
      <c r="Q301" s="0" t="str">
        <f aca="false">IF(ROW()-4&lt;=MAX($M$5:$M$1004),IFERROR(INDEX($N$5:$N$404,ROW()-4),""),IFERROR(INDEX($P$5:$P$404,ROW()-4-MAX($M$5:$M$1004)),""))</f>
        <v/>
      </c>
    </row>
    <row r="302" customFormat="false" ht="15" hidden="false" customHeight="false" outlineLevel="0" collapsed="false">
      <c r="M302" s="0" t="str">
        <f aca="false">IF(CSV貼付A!$N302="","",IF(COUNTIF(CSV貼付A!$N$5:$N302,CSV貼付A!$N302)&gt;1,"",MAX($M$4:M301)+1))</f>
        <v/>
      </c>
      <c r="N302" s="0" t="str">
        <f aca="false">IFERROR(INDEX(CSV貼付A!$N$5:$N$1004,MATCH(ROW()-4,$M$5:$M$1004,0)),"")</f>
        <v/>
      </c>
      <c r="O302" s="0" t="str">
        <f aca="false">IF(CSV貼付B!$N302="","",IF(COUNTIF(CSV貼付B!$N$5:$N302,CSV貼付B!$N302)&gt;1,"",MAX($O$4:O301)+1))</f>
        <v/>
      </c>
      <c r="P302" s="0" t="str">
        <f aca="false">IFERROR(INDEX(CSV貼付B!$N$5:$N$1004,MATCH(ROW()-4,$O$5:$O$1004,0)),"")</f>
        <v/>
      </c>
      <c r="Q302" s="0" t="str">
        <f aca="false">IF(ROW()-4&lt;=MAX($M$5:$M$1004),IFERROR(INDEX($N$5:$N$404,ROW()-4),""),IFERROR(INDEX($P$5:$P$404,ROW()-4-MAX($M$5:$M$1004)),""))</f>
        <v/>
      </c>
    </row>
    <row r="303" customFormat="false" ht="15" hidden="false" customHeight="false" outlineLevel="0" collapsed="false">
      <c r="M303" s="0" t="str">
        <f aca="false">IF(CSV貼付A!$N303="","",IF(COUNTIF(CSV貼付A!$N$5:$N303,CSV貼付A!$N303)&gt;1,"",MAX($M$4:M302)+1))</f>
        <v/>
      </c>
      <c r="N303" s="0" t="str">
        <f aca="false">IFERROR(INDEX(CSV貼付A!$N$5:$N$1004,MATCH(ROW()-4,$M$5:$M$1004,0)),"")</f>
        <v/>
      </c>
      <c r="O303" s="0" t="str">
        <f aca="false">IF(CSV貼付B!$N303="","",IF(COUNTIF(CSV貼付B!$N$5:$N303,CSV貼付B!$N303)&gt;1,"",MAX($O$4:O302)+1))</f>
        <v/>
      </c>
      <c r="P303" s="0" t="str">
        <f aca="false">IFERROR(INDEX(CSV貼付B!$N$5:$N$1004,MATCH(ROW()-4,$O$5:$O$1004,0)),"")</f>
        <v/>
      </c>
      <c r="Q303" s="0" t="str">
        <f aca="false">IF(ROW()-4&lt;=MAX($M$5:$M$1004),IFERROR(INDEX($N$5:$N$404,ROW()-4),""),IFERROR(INDEX($P$5:$P$404,ROW()-4-MAX($M$5:$M$1004)),""))</f>
        <v/>
      </c>
    </row>
    <row r="304" customFormat="false" ht="15" hidden="false" customHeight="false" outlineLevel="0" collapsed="false">
      <c r="M304" s="0" t="str">
        <f aca="false">IF(CSV貼付A!$N304="","",IF(COUNTIF(CSV貼付A!$N$5:$N304,CSV貼付A!$N304)&gt;1,"",MAX($M$4:M303)+1))</f>
        <v/>
      </c>
      <c r="N304" s="0" t="str">
        <f aca="false">IFERROR(INDEX(CSV貼付A!$N$5:$N$1004,MATCH(ROW()-4,$M$5:$M$1004,0)),"")</f>
        <v/>
      </c>
      <c r="O304" s="0" t="str">
        <f aca="false">IF(CSV貼付B!$N304="","",IF(COUNTIF(CSV貼付B!$N$5:$N304,CSV貼付B!$N304)&gt;1,"",MAX($O$4:O303)+1))</f>
        <v/>
      </c>
      <c r="P304" s="0" t="str">
        <f aca="false">IFERROR(INDEX(CSV貼付B!$N$5:$N$1004,MATCH(ROW()-4,$O$5:$O$1004,0)),"")</f>
        <v/>
      </c>
      <c r="Q304" s="0" t="str">
        <f aca="false">IF(ROW()-4&lt;=MAX($M$5:$M$1004),IFERROR(INDEX($N$5:$N$404,ROW()-4),""),IFERROR(INDEX($P$5:$P$404,ROW()-4-MAX($M$5:$M$1004)),""))</f>
        <v/>
      </c>
    </row>
    <row r="305" customFormat="false" ht="15" hidden="false" customHeight="false" outlineLevel="0" collapsed="false">
      <c r="M305" s="0" t="str">
        <f aca="false">IF(CSV貼付A!$N305="","",IF(COUNTIF(CSV貼付A!$N$5:$N305,CSV貼付A!$N305)&gt;1,"",MAX($M$4:M304)+1))</f>
        <v/>
      </c>
      <c r="N305" s="0" t="str">
        <f aca="false">IFERROR(INDEX(CSV貼付A!$N$5:$N$1004,MATCH(ROW()-4,$M$5:$M$1004,0)),"")</f>
        <v/>
      </c>
      <c r="O305" s="0" t="str">
        <f aca="false">IF(CSV貼付B!$N305="","",IF(COUNTIF(CSV貼付B!$N$5:$N305,CSV貼付B!$N305)&gt;1,"",MAX($O$4:O304)+1))</f>
        <v/>
      </c>
      <c r="P305" s="0" t="str">
        <f aca="false">IFERROR(INDEX(CSV貼付B!$N$5:$N$1004,MATCH(ROW()-4,$O$5:$O$1004,0)),"")</f>
        <v/>
      </c>
      <c r="Q305" s="0" t="str">
        <f aca="false">IF(ROW()-4&lt;=MAX($M$5:$M$1004),IFERROR(INDEX($N$5:$N$404,ROW()-4),""),IFERROR(INDEX($P$5:$P$404,ROW()-4-MAX($M$5:$M$1004)),""))</f>
        <v/>
      </c>
    </row>
    <row r="306" customFormat="false" ht="15" hidden="false" customHeight="false" outlineLevel="0" collapsed="false">
      <c r="M306" s="0" t="str">
        <f aca="false">IF(CSV貼付A!$N306="","",IF(COUNTIF(CSV貼付A!$N$5:$N306,CSV貼付A!$N306)&gt;1,"",MAX($M$4:M305)+1))</f>
        <v/>
      </c>
      <c r="N306" s="0" t="str">
        <f aca="false">IFERROR(INDEX(CSV貼付A!$N$5:$N$1004,MATCH(ROW()-4,$M$5:$M$1004,0)),"")</f>
        <v/>
      </c>
      <c r="O306" s="0" t="str">
        <f aca="false">IF(CSV貼付B!$N306="","",IF(COUNTIF(CSV貼付B!$N$5:$N306,CSV貼付B!$N306)&gt;1,"",MAX($O$4:O305)+1))</f>
        <v/>
      </c>
      <c r="P306" s="0" t="str">
        <f aca="false">IFERROR(INDEX(CSV貼付B!$N$5:$N$1004,MATCH(ROW()-4,$O$5:$O$1004,0)),"")</f>
        <v/>
      </c>
      <c r="Q306" s="0" t="str">
        <f aca="false">IF(ROW()-4&lt;=MAX($M$5:$M$1004),IFERROR(INDEX($N$5:$N$404,ROW()-4),""),IFERROR(INDEX($P$5:$P$404,ROW()-4-MAX($M$5:$M$1004)),""))</f>
        <v/>
      </c>
    </row>
    <row r="307" customFormat="false" ht="15" hidden="false" customHeight="false" outlineLevel="0" collapsed="false">
      <c r="M307" s="0" t="str">
        <f aca="false">IF(CSV貼付A!$N307="","",IF(COUNTIF(CSV貼付A!$N$5:$N307,CSV貼付A!$N307)&gt;1,"",MAX($M$4:M306)+1))</f>
        <v/>
      </c>
      <c r="N307" s="0" t="str">
        <f aca="false">IFERROR(INDEX(CSV貼付A!$N$5:$N$1004,MATCH(ROW()-4,$M$5:$M$1004,0)),"")</f>
        <v/>
      </c>
      <c r="O307" s="0" t="str">
        <f aca="false">IF(CSV貼付B!$N307="","",IF(COUNTIF(CSV貼付B!$N$5:$N307,CSV貼付B!$N307)&gt;1,"",MAX($O$4:O306)+1))</f>
        <v/>
      </c>
      <c r="P307" s="0" t="str">
        <f aca="false">IFERROR(INDEX(CSV貼付B!$N$5:$N$1004,MATCH(ROW()-4,$O$5:$O$1004,0)),"")</f>
        <v/>
      </c>
      <c r="Q307" s="0" t="str">
        <f aca="false">IF(ROW()-4&lt;=MAX($M$5:$M$1004),IFERROR(INDEX($N$5:$N$404,ROW()-4),""),IFERROR(INDEX($P$5:$P$404,ROW()-4-MAX($M$5:$M$1004)),""))</f>
        <v/>
      </c>
    </row>
    <row r="308" customFormat="false" ht="15" hidden="false" customHeight="false" outlineLevel="0" collapsed="false">
      <c r="M308" s="0" t="str">
        <f aca="false">IF(CSV貼付A!$N308="","",IF(COUNTIF(CSV貼付A!$N$5:$N308,CSV貼付A!$N308)&gt;1,"",MAX($M$4:M307)+1))</f>
        <v/>
      </c>
      <c r="N308" s="0" t="str">
        <f aca="false">IFERROR(INDEX(CSV貼付A!$N$5:$N$1004,MATCH(ROW()-4,$M$5:$M$1004,0)),"")</f>
        <v/>
      </c>
      <c r="O308" s="0" t="str">
        <f aca="false">IF(CSV貼付B!$N308="","",IF(COUNTIF(CSV貼付B!$N$5:$N308,CSV貼付B!$N308)&gt;1,"",MAX($O$4:O307)+1))</f>
        <v/>
      </c>
      <c r="P308" s="0" t="str">
        <f aca="false">IFERROR(INDEX(CSV貼付B!$N$5:$N$1004,MATCH(ROW()-4,$O$5:$O$1004,0)),"")</f>
        <v/>
      </c>
      <c r="Q308" s="0" t="str">
        <f aca="false">IF(ROW()-4&lt;=MAX($M$5:$M$1004),IFERROR(INDEX($N$5:$N$404,ROW()-4),""),IFERROR(INDEX($P$5:$P$404,ROW()-4-MAX($M$5:$M$1004)),""))</f>
        <v/>
      </c>
    </row>
    <row r="309" customFormat="false" ht="15" hidden="false" customHeight="false" outlineLevel="0" collapsed="false">
      <c r="M309" s="0" t="str">
        <f aca="false">IF(CSV貼付A!$N309="","",IF(COUNTIF(CSV貼付A!$N$5:$N309,CSV貼付A!$N309)&gt;1,"",MAX($M$4:M308)+1))</f>
        <v/>
      </c>
      <c r="N309" s="0" t="str">
        <f aca="false">IFERROR(INDEX(CSV貼付A!$N$5:$N$1004,MATCH(ROW()-4,$M$5:$M$1004,0)),"")</f>
        <v/>
      </c>
      <c r="O309" s="0" t="str">
        <f aca="false">IF(CSV貼付B!$N309="","",IF(COUNTIF(CSV貼付B!$N$5:$N309,CSV貼付B!$N309)&gt;1,"",MAX($O$4:O308)+1))</f>
        <v/>
      </c>
      <c r="P309" s="0" t="str">
        <f aca="false">IFERROR(INDEX(CSV貼付B!$N$5:$N$1004,MATCH(ROW()-4,$O$5:$O$1004,0)),"")</f>
        <v/>
      </c>
      <c r="Q309" s="0" t="str">
        <f aca="false">IF(ROW()-4&lt;=MAX($M$5:$M$1004),IFERROR(INDEX($N$5:$N$404,ROW()-4),""),IFERROR(INDEX($P$5:$P$404,ROW()-4-MAX($M$5:$M$1004)),""))</f>
        <v/>
      </c>
    </row>
    <row r="310" customFormat="false" ht="15" hidden="false" customHeight="false" outlineLevel="0" collapsed="false">
      <c r="M310" s="0" t="str">
        <f aca="false">IF(CSV貼付A!$N310="","",IF(COUNTIF(CSV貼付A!$N$5:$N310,CSV貼付A!$N310)&gt;1,"",MAX($M$4:M309)+1))</f>
        <v/>
      </c>
      <c r="N310" s="0" t="str">
        <f aca="false">IFERROR(INDEX(CSV貼付A!$N$5:$N$1004,MATCH(ROW()-4,$M$5:$M$1004,0)),"")</f>
        <v/>
      </c>
      <c r="O310" s="0" t="str">
        <f aca="false">IF(CSV貼付B!$N310="","",IF(COUNTIF(CSV貼付B!$N$5:$N310,CSV貼付B!$N310)&gt;1,"",MAX($O$4:O309)+1))</f>
        <v/>
      </c>
      <c r="P310" s="0" t="str">
        <f aca="false">IFERROR(INDEX(CSV貼付B!$N$5:$N$1004,MATCH(ROW()-4,$O$5:$O$1004,0)),"")</f>
        <v/>
      </c>
      <c r="Q310" s="0" t="str">
        <f aca="false">IF(ROW()-4&lt;=MAX($M$5:$M$1004),IFERROR(INDEX($N$5:$N$404,ROW()-4),""),IFERROR(INDEX($P$5:$P$404,ROW()-4-MAX($M$5:$M$1004)),""))</f>
        <v/>
      </c>
    </row>
    <row r="311" customFormat="false" ht="15" hidden="false" customHeight="false" outlineLevel="0" collapsed="false">
      <c r="M311" s="0" t="str">
        <f aca="false">IF(CSV貼付A!$N311="","",IF(COUNTIF(CSV貼付A!$N$5:$N311,CSV貼付A!$N311)&gt;1,"",MAX($M$4:M310)+1))</f>
        <v/>
      </c>
      <c r="N311" s="0" t="str">
        <f aca="false">IFERROR(INDEX(CSV貼付A!$N$5:$N$1004,MATCH(ROW()-4,$M$5:$M$1004,0)),"")</f>
        <v/>
      </c>
      <c r="O311" s="0" t="str">
        <f aca="false">IF(CSV貼付B!$N311="","",IF(COUNTIF(CSV貼付B!$N$5:$N311,CSV貼付B!$N311)&gt;1,"",MAX($O$4:O310)+1))</f>
        <v/>
      </c>
      <c r="P311" s="0" t="str">
        <f aca="false">IFERROR(INDEX(CSV貼付B!$N$5:$N$1004,MATCH(ROW()-4,$O$5:$O$1004,0)),"")</f>
        <v/>
      </c>
      <c r="Q311" s="0" t="str">
        <f aca="false">IF(ROW()-4&lt;=MAX($M$5:$M$1004),IFERROR(INDEX($N$5:$N$404,ROW()-4),""),IFERROR(INDEX($P$5:$P$404,ROW()-4-MAX($M$5:$M$1004)),""))</f>
        <v/>
      </c>
    </row>
    <row r="312" customFormat="false" ht="15" hidden="false" customHeight="false" outlineLevel="0" collapsed="false">
      <c r="M312" s="0" t="str">
        <f aca="false">IF(CSV貼付A!$N312="","",IF(COUNTIF(CSV貼付A!$N$5:$N312,CSV貼付A!$N312)&gt;1,"",MAX($M$4:M311)+1))</f>
        <v/>
      </c>
      <c r="N312" s="0" t="str">
        <f aca="false">IFERROR(INDEX(CSV貼付A!$N$5:$N$1004,MATCH(ROW()-4,$M$5:$M$1004,0)),"")</f>
        <v/>
      </c>
      <c r="O312" s="0" t="str">
        <f aca="false">IF(CSV貼付B!$N312="","",IF(COUNTIF(CSV貼付B!$N$5:$N312,CSV貼付B!$N312)&gt;1,"",MAX($O$4:O311)+1))</f>
        <v/>
      </c>
      <c r="P312" s="0" t="str">
        <f aca="false">IFERROR(INDEX(CSV貼付B!$N$5:$N$1004,MATCH(ROW()-4,$O$5:$O$1004,0)),"")</f>
        <v/>
      </c>
      <c r="Q312" s="0" t="str">
        <f aca="false">IF(ROW()-4&lt;=MAX($M$5:$M$1004),IFERROR(INDEX($N$5:$N$404,ROW()-4),""),IFERROR(INDEX($P$5:$P$404,ROW()-4-MAX($M$5:$M$1004)),""))</f>
        <v/>
      </c>
    </row>
    <row r="313" customFormat="false" ht="15" hidden="false" customHeight="false" outlineLevel="0" collapsed="false">
      <c r="M313" s="0" t="str">
        <f aca="false">IF(CSV貼付A!$N313="","",IF(COUNTIF(CSV貼付A!$N$5:$N313,CSV貼付A!$N313)&gt;1,"",MAX($M$4:M312)+1))</f>
        <v/>
      </c>
      <c r="N313" s="0" t="str">
        <f aca="false">IFERROR(INDEX(CSV貼付A!$N$5:$N$1004,MATCH(ROW()-4,$M$5:$M$1004,0)),"")</f>
        <v/>
      </c>
      <c r="O313" s="0" t="str">
        <f aca="false">IF(CSV貼付B!$N313="","",IF(COUNTIF(CSV貼付B!$N$5:$N313,CSV貼付B!$N313)&gt;1,"",MAX($O$4:O312)+1))</f>
        <v/>
      </c>
      <c r="P313" s="0" t="str">
        <f aca="false">IFERROR(INDEX(CSV貼付B!$N$5:$N$1004,MATCH(ROW()-4,$O$5:$O$1004,0)),"")</f>
        <v/>
      </c>
      <c r="Q313" s="0" t="str">
        <f aca="false">IF(ROW()-4&lt;=MAX($M$5:$M$1004),IFERROR(INDEX($N$5:$N$404,ROW()-4),""),IFERROR(INDEX($P$5:$P$404,ROW()-4-MAX($M$5:$M$1004)),""))</f>
        <v/>
      </c>
    </row>
    <row r="314" customFormat="false" ht="15" hidden="false" customHeight="false" outlineLevel="0" collapsed="false">
      <c r="M314" s="0" t="str">
        <f aca="false">IF(CSV貼付A!$N314="","",IF(COUNTIF(CSV貼付A!$N$5:$N314,CSV貼付A!$N314)&gt;1,"",MAX($M$4:M313)+1))</f>
        <v/>
      </c>
      <c r="N314" s="0" t="str">
        <f aca="false">IFERROR(INDEX(CSV貼付A!$N$5:$N$1004,MATCH(ROW()-4,$M$5:$M$1004,0)),"")</f>
        <v/>
      </c>
      <c r="O314" s="0" t="str">
        <f aca="false">IF(CSV貼付B!$N314="","",IF(COUNTIF(CSV貼付B!$N$5:$N314,CSV貼付B!$N314)&gt;1,"",MAX($O$4:O313)+1))</f>
        <v/>
      </c>
      <c r="P314" s="0" t="str">
        <f aca="false">IFERROR(INDEX(CSV貼付B!$N$5:$N$1004,MATCH(ROW()-4,$O$5:$O$1004,0)),"")</f>
        <v/>
      </c>
      <c r="Q314" s="0" t="str">
        <f aca="false">IF(ROW()-4&lt;=MAX($M$5:$M$1004),IFERROR(INDEX($N$5:$N$404,ROW()-4),""),IFERROR(INDEX($P$5:$P$404,ROW()-4-MAX($M$5:$M$1004)),""))</f>
        <v/>
      </c>
    </row>
    <row r="315" customFormat="false" ht="15" hidden="false" customHeight="false" outlineLevel="0" collapsed="false">
      <c r="M315" s="0" t="str">
        <f aca="false">IF(CSV貼付A!$N315="","",IF(COUNTIF(CSV貼付A!$N$5:$N315,CSV貼付A!$N315)&gt;1,"",MAX($M$4:M314)+1))</f>
        <v/>
      </c>
      <c r="N315" s="0" t="str">
        <f aca="false">IFERROR(INDEX(CSV貼付A!$N$5:$N$1004,MATCH(ROW()-4,$M$5:$M$1004,0)),"")</f>
        <v/>
      </c>
      <c r="O315" s="0" t="str">
        <f aca="false">IF(CSV貼付B!$N315="","",IF(COUNTIF(CSV貼付B!$N$5:$N315,CSV貼付B!$N315)&gt;1,"",MAX($O$4:O314)+1))</f>
        <v/>
      </c>
      <c r="P315" s="0" t="str">
        <f aca="false">IFERROR(INDEX(CSV貼付B!$N$5:$N$1004,MATCH(ROW()-4,$O$5:$O$1004,0)),"")</f>
        <v/>
      </c>
      <c r="Q315" s="0" t="str">
        <f aca="false">IF(ROW()-4&lt;=MAX($M$5:$M$1004),IFERROR(INDEX($N$5:$N$404,ROW()-4),""),IFERROR(INDEX($P$5:$P$404,ROW()-4-MAX($M$5:$M$1004)),""))</f>
        <v/>
      </c>
    </row>
    <row r="316" customFormat="false" ht="15" hidden="false" customHeight="false" outlineLevel="0" collapsed="false">
      <c r="M316" s="0" t="str">
        <f aca="false">IF(CSV貼付A!$N316="","",IF(COUNTIF(CSV貼付A!$N$5:$N316,CSV貼付A!$N316)&gt;1,"",MAX($M$4:M315)+1))</f>
        <v/>
      </c>
      <c r="N316" s="0" t="str">
        <f aca="false">IFERROR(INDEX(CSV貼付A!$N$5:$N$1004,MATCH(ROW()-4,$M$5:$M$1004,0)),"")</f>
        <v/>
      </c>
      <c r="O316" s="0" t="str">
        <f aca="false">IF(CSV貼付B!$N316="","",IF(COUNTIF(CSV貼付B!$N$5:$N316,CSV貼付B!$N316)&gt;1,"",MAX($O$4:O315)+1))</f>
        <v/>
      </c>
      <c r="P316" s="0" t="str">
        <f aca="false">IFERROR(INDEX(CSV貼付B!$N$5:$N$1004,MATCH(ROW()-4,$O$5:$O$1004,0)),"")</f>
        <v/>
      </c>
      <c r="Q316" s="0" t="str">
        <f aca="false">IF(ROW()-4&lt;=MAX($M$5:$M$1004),IFERROR(INDEX($N$5:$N$404,ROW()-4),""),IFERROR(INDEX($P$5:$P$404,ROW()-4-MAX($M$5:$M$1004)),""))</f>
        <v/>
      </c>
    </row>
    <row r="317" customFormat="false" ht="15" hidden="false" customHeight="false" outlineLevel="0" collapsed="false">
      <c r="M317" s="0" t="str">
        <f aca="false">IF(CSV貼付A!$N317="","",IF(COUNTIF(CSV貼付A!$N$5:$N317,CSV貼付A!$N317)&gt;1,"",MAX($M$4:M316)+1))</f>
        <v/>
      </c>
      <c r="N317" s="0" t="str">
        <f aca="false">IFERROR(INDEX(CSV貼付A!$N$5:$N$1004,MATCH(ROW()-4,$M$5:$M$1004,0)),"")</f>
        <v/>
      </c>
      <c r="O317" s="0" t="str">
        <f aca="false">IF(CSV貼付B!$N317="","",IF(COUNTIF(CSV貼付B!$N$5:$N317,CSV貼付B!$N317)&gt;1,"",MAX($O$4:O316)+1))</f>
        <v/>
      </c>
      <c r="P317" s="0" t="str">
        <f aca="false">IFERROR(INDEX(CSV貼付B!$N$5:$N$1004,MATCH(ROW()-4,$O$5:$O$1004,0)),"")</f>
        <v/>
      </c>
      <c r="Q317" s="0" t="str">
        <f aca="false">IF(ROW()-4&lt;=MAX($M$5:$M$1004),IFERROR(INDEX($N$5:$N$404,ROW()-4),""),IFERROR(INDEX($P$5:$P$404,ROW()-4-MAX($M$5:$M$1004)),""))</f>
        <v/>
      </c>
    </row>
    <row r="318" customFormat="false" ht="15" hidden="false" customHeight="false" outlineLevel="0" collapsed="false">
      <c r="M318" s="0" t="str">
        <f aca="false">IF(CSV貼付A!$N318="","",IF(COUNTIF(CSV貼付A!$N$5:$N318,CSV貼付A!$N318)&gt;1,"",MAX($M$4:M317)+1))</f>
        <v/>
      </c>
      <c r="N318" s="0" t="str">
        <f aca="false">IFERROR(INDEX(CSV貼付A!$N$5:$N$1004,MATCH(ROW()-4,$M$5:$M$1004,0)),"")</f>
        <v/>
      </c>
      <c r="O318" s="0" t="str">
        <f aca="false">IF(CSV貼付B!$N318="","",IF(COUNTIF(CSV貼付B!$N$5:$N318,CSV貼付B!$N318)&gt;1,"",MAX($O$4:O317)+1))</f>
        <v/>
      </c>
      <c r="P318" s="0" t="str">
        <f aca="false">IFERROR(INDEX(CSV貼付B!$N$5:$N$1004,MATCH(ROW()-4,$O$5:$O$1004,0)),"")</f>
        <v/>
      </c>
      <c r="Q318" s="0" t="str">
        <f aca="false">IF(ROW()-4&lt;=MAX($M$5:$M$1004),IFERROR(INDEX($N$5:$N$404,ROW()-4),""),IFERROR(INDEX($P$5:$P$404,ROW()-4-MAX($M$5:$M$1004)),""))</f>
        <v/>
      </c>
    </row>
    <row r="319" customFormat="false" ht="15" hidden="false" customHeight="false" outlineLevel="0" collapsed="false">
      <c r="M319" s="0" t="str">
        <f aca="false">IF(CSV貼付A!$N319="","",IF(COUNTIF(CSV貼付A!$N$5:$N319,CSV貼付A!$N319)&gt;1,"",MAX($M$4:M318)+1))</f>
        <v/>
      </c>
      <c r="N319" s="0" t="str">
        <f aca="false">IFERROR(INDEX(CSV貼付A!$N$5:$N$1004,MATCH(ROW()-4,$M$5:$M$1004,0)),"")</f>
        <v/>
      </c>
      <c r="O319" s="0" t="str">
        <f aca="false">IF(CSV貼付B!$N319="","",IF(COUNTIF(CSV貼付B!$N$5:$N319,CSV貼付B!$N319)&gt;1,"",MAX($O$4:O318)+1))</f>
        <v/>
      </c>
      <c r="P319" s="0" t="str">
        <f aca="false">IFERROR(INDEX(CSV貼付B!$N$5:$N$1004,MATCH(ROW()-4,$O$5:$O$1004,0)),"")</f>
        <v/>
      </c>
      <c r="Q319" s="0" t="str">
        <f aca="false">IF(ROW()-4&lt;=MAX($M$5:$M$1004),IFERROR(INDEX($N$5:$N$404,ROW()-4),""),IFERROR(INDEX($P$5:$P$404,ROW()-4-MAX($M$5:$M$1004)),""))</f>
        <v/>
      </c>
    </row>
    <row r="320" customFormat="false" ht="15" hidden="false" customHeight="false" outlineLevel="0" collapsed="false">
      <c r="M320" s="0" t="str">
        <f aca="false">IF(CSV貼付A!$N320="","",IF(COUNTIF(CSV貼付A!$N$5:$N320,CSV貼付A!$N320)&gt;1,"",MAX($M$4:M319)+1))</f>
        <v/>
      </c>
      <c r="N320" s="0" t="str">
        <f aca="false">IFERROR(INDEX(CSV貼付A!$N$5:$N$1004,MATCH(ROW()-4,$M$5:$M$1004,0)),"")</f>
        <v/>
      </c>
      <c r="O320" s="0" t="str">
        <f aca="false">IF(CSV貼付B!$N320="","",IF(COUNTIF(CSV貼付B!$N$5:$N320,CSV貼付B!$N320)&gt;1,"",MAX($O$4:O319)+1))</f>
        <v/>
      </c>
      <c r="P320" s="0" t="str">
        <f aca="false">IFERROR(INDEX(CSV貼付B!$N$5:$N$1004,MATCH(ROW()-4,$O$5:$O$1004,0)),"")</f>
        <v/>
      </c>
      <c r="Q320" s="0" t="str">
        <f aca="false">IF(ROW()-4&lt;=MAX($M$5:$M$1004),IFERROR(INDEX($N$5:$N$404,ROW()-4),""),IFERROR(INDEX($P$5:$P$404,ROW()-4-MAX($M$5:$M$1004)),""))</f>
        <v/>
      </c>
    </row>
    <row r="321" customFormat="false" ht="15" hidden="false" customHeight="false" outlineLevel="0" collapsed="false">
      <c r="M321" s="0" t="str">
        <f aca="false">IF(CSV貼付A!$N321="","",IF(COUNTIF(CSV貼付A!$N$5:$N321,CSV貼付A!$N321)&gt;1,"",MAX($M$4:M320)+1))</f>
        <v/>
      </c>
      <c r="N321" s="0" t="str">
        <f aca="false">IFERROR(INDEX(CSV貼付A!$N$5:$N$1004,MATCH(ROW()-4,$M$5:$M$1004,0)),"")</f>
        <v/>
      </c>
      <c r="O321" s="0" t="str">
        <f aca="false">IF(CSV貼付B!$N321="","",IF(COUNTIF(CSV貼付B!$N$5:$N321,CSV貼付B!$N321)&gt;1,"",MAX($O$4:O320)+1))</f>
        <v/>
      </c>
      <c r="P321" s="0" t="str">
        <f aca="false">IFERROR(INDEX(CSV貼付B!$N$5:$N$1004,MATCH(ROW()-4,$O$5:$O$1004,0)),"")</f>
        <v/>
      </c>
      <c r="Q321" s="0" t="str">
        <f aca="false">IF(ROW()-4&lt;=MAX($M$5:$M$1004),IFERROR(INDEX($N$5:$N$404,ROW()-4),""),IFERROR(INDEX($P$5:$P$404,ROW()-4-MAX($M$5:$M$1004)),""))</f>
        <v/>
      </c>
    </row>
    <row r="322" customFormat="false" ht="15" hidden="false" customHeight="false" outlineLevel="0" collapsed="false">
      <c r="M322" s="0" t="str">
        <f aca="false">IF(CSV貼付A!$N322="","",IF(COUNTIF(CSV貼付A!$N$5:$N322,CSV貼付A!$N322)&gt;1,"",MAX($M$4:M321)+1))</f>
        <v/>
      </c>
      <c r="N322" s="0" t="str">
        <f aca="false">IFERROR(INDEX(CSV貼付A!$N$5:$N$1004,MATCH(ROW()-4,$M$5:$M$1004,0)),"")</f>
        <v/>
      </c>
      <c r="O322" s="0" t="str">
        <f aca="false">IF(CSV貼付B!$N322="","",IF(COUNTIF(CSV貼付B!$N$5:$N322,CSV貼付B!$N322)&gt;1,"",MAX($O$4:O321)+1))</f>
        <v/>
      </c>
      <c r="P322" s="0" t="str">
        <f aca="false">IFERROR(INDEX(CSV貼付B!$N$5:$N$1004,MATCH(ROW()-4,$O$5:$O$1004,0)),"")</f>
        <v/>
      </c>
      <c r="Q322" s="0" t="str">
        <f aca="false">IF(ROW()-4&lt;=MAX($M$5:$M$1004),IFERROR(INDEX($N$5:$N$404,ROW()-4),""),IFERROR(INDEX($P$5:$P$404,ROW()-4-MAX($M$5:$M$1004)),""))</f>
        <v/>
      </c>
    </row>
    <row r="323" customFormat="false" ht="15" hidden="false" customHeight="false" outlineLevel="0" collapsed="false">
      <c r="M323" s="0" t="str">
        <f aca="false">IF(CSV貼付A!$N323="","",IF(COUNTIF(CSV貼付A!$N$5:$N323,CSV貼付A!$N323)&gt;1,"",MAX($M$4:M322)+1))</f>
        <v/>
      </c>
      <c r="N323" s="0" t="str">
        <f aca="false">IFERROR(INDEX(CSV貼付A!$N$5:$N$1004,MATCH(ROW()-4,$M$5:$M$1004,0)),"")</f>
        <v/>
      </c>
      <c r="O323" s="0" t="str">
        <f aca="false">IF(CSV貼付B!$N323="","",IF(COUNTIF(CSV貼付B!$N$5:$N323,CSV貼付B!$N323)&gt;1,"",MAX($O$4:O322)+1))</f>
        <v/>
      </c>
      <c r="P323" s="0" t="str">
        <f aca="false">IFERROR(INDEX(CSV貼付B!$N$5:$N$1004,MATCH(ROW()-4,$O$5:$O$1004,0)),"")</f>
        <v/>
      </c>
      <c r="Q323" s="0" t="str">
        <f aca="false">IF(ROW()-4&lt;=MAX($M$5:$M$1004),IFERROR(INDEX($N$5:$N$404,ROW()-4),""),IFERROR(INDEX($P$5:$P$404,ROW()-4-MAX($M$5:$M$1004)),""))</f>
        <v/>
      </c>
    </row>
    <row r="324" customFormat="false" ht="15" hidden="false" customHeight="false" outlineLevel="0" collapsed="false">
      <c r="M324" s="0" t="str">
        <f aca="false">IF(CSV貼付A!$N324="","",IF(COUNTIF(CSV貼付A!$N$5:$N324,CSV貼付A!$N324)&gt;1,"",MAX($M$4:M323)+1))</f>
        <v/>
      </c>
      <c r="N324" s="0" t="str">
        <f aca="false">IFERROR(INDEX(CSV貼付A!$N$5:$N$1004,MATCH(ROW()-4,$M$5:$M$1004,0)),"")</f>
        <v/>
      </c>
      <c r="O324" s="0" t="str">
        <f aca="false">IF(CSV貼付B!$N324="","",IF(COUNTIF(CSV貼付B!$N$5:$N324,CSV貼付B!$N324)&gt;1,"",MAX($O$4:O323)+1))</f>
        <v/>
      </c>
      <c r="P324" s="0" t="str">
        <f aca="false">IFERROR(INDEX(CSV貼付B!$N$5:$N$1004,MATCH(ROW()-4,$O$5:$O$1004,0)),"")</f>
        <v/>
      </c>
      <c r="Q324" s="0" t="str">
        <f aca="false">IF(ROW()-4&lt;=MAX($M$5:$M$1004),IFERROR(INDEX($N$5:$N$404,ROW()-4),""),IFERROR(INDEX($P$5:$P$404,ROW()-4-MAX($M$5:$M$1004)),""))</f>
        <v/>
      </c>
    </row>
    <row r="325" customFormat="false" ht="15" hidden="false" customHeight="false" outlineLevel="0" collapsed="false">
      <c r="M325" s="0" t="str">
        <f aca="false">IF(CSV貼付A!$N325="","",IF(COUNTIF(CSV貼付A!$N$5:$N325,CSV貼付A!$N325)&gt;1,"",MAX($M$4:M324)+1))</f>
        <v/>
      </c>
      <c r="N325" s="0" t="str">
        <f aca="false">IFERROR(INDEX(CSV貼付A!$N$5:$N$1004,MATCH(ROW()-4,$M$5:$M$1004,0)),"")</f>
        <v/>
      </c>
      <c r="O325" s="0" t="str">
        <f aca="false">IF(CSV貼付B!$N325="","",IF(COUNTIF(CSV貼付B!$N$5:$N325,CSV貼付B!$N325)&gt;1,"",MAX($O$4:O324)+1))</f>
        <v/>
      </c>
      <c r="P325" s="0" t="str">
        <f aca="false">IFERROR(INDEX(CSV貼付B!$N$5:$N$1004,MATCH(ROW()-4,$O$5:$O$1004,0)),"")</f>
        <v/>
      </c>
      <c r="Q325" s="0" t="str">
        <f aca="false">IF(ROW()-4&lt;=MAX($M$5:$M$1004),IFERROR(INDEX($N$5:$N$404,ROW()-4),""),IFERROR(INDEX($P$5:$P$404,ROW()-4-MAX($M$5:$M$1004)),""))</f>
        <v/>
      </c>
    </row>
    <row r="326" customFormat="false" ht="15" hidden="false" customHeight="false" outlineLevel="0" collapsed="false">
      <c r="M326" s="0" t="str">
        <f aca="false">IF(CSV貼付A!$N326="","",IF(COUNTIF(CSV貼付A!$N$5:$N326,CSV貼付A!$N326)&gt;1,"",MAX($M$4:M325)+1))</f>
        <v/>
      </c>
      <c r="N326" s="0" t="str">
        <f aca="false">IFERROR(INDEX(CSV貼付A!$N$5:$N$1004,MATCH(ROW()-4,$M$5:$M$1004,0)),"")</f>
        <v/>
      </c>
      <c r="O326" s="0" t="str">
        <f aca="false">IF(CSV貼付B!$N326="","",IF(COUNTIF(CSV貼付B!$N$5:$N326,CSV貼付B!$N326)&gt;1,"",MAX($O$4:O325)+1))</f>
        <v/>
      </c>
      <c r="P326" s="0" t="str">
        <f aca="false">IFERROR(INDEX(CSV貼付B!$N$5:$N$1004,MATCH(ROW()-4,$O$5:$O$1004,0)),"")</f>
        <v/>
      </c>
      <c r="Q326" s="0" t="str">
        <f aca="false">IF(ROW()-4&lt;=MAX($M$5:$M$1004),IFERROR(INDEX($N$5:$N$404,ROW()-4),""),IFERROR(INDEX($P$5:$P$404,ROW()-4-MAX($M$5:$M$1004)),""))</f>
        <v/>
      </c>
    </row>
    <row r="327" customFormat="false" ht="15" hidden="false" customHeight="false" outlineLevel="0" collapsed="false">
      <c r="M327" s="0" t="str">
        <f aca="false">IF(CSV貼付A!$N327="","",IF(COUNTIF(CSV貼付A!$N$5:$N327,CSV貼付A!$N327)&gt;1,"",MAX($M$4:M326)+1))</f>
        <v/>
      </c>
      <c r="N327" s="0" t="str">
        <f aca="false">IFERROR(INDEX(CSV貼付A!$N$5:$N$1004,MATCH(ROW()-4,$M$5:$M$1004,0)),"")</f>
        <v/>
      </c>
      <c r="O327" s="0" t="str">
        <f aca="false">IF(CSV貼付B!$N327="","",IF(COUNTIF(CSV貼付B!$N$5:$N327,CSV貼付B!$N327)&gt;1,"",MAX($O$4:O326)+1))</f>
        <v/>
      </c>
      <c r="P327" s="0" t="str">
        <f aca="false">IFERROR(INDEX(CSV貼付B!$N$5:$N$1004,MATCH(ROW()-4,$O$5:$O$1004,0)),"")</f>
        <v/>
      </c>
      <c r="Q327" s="0" t="str">
        <f aca="false">IF(ROW()-4&lt;=MAX($M$5:$M$1004),IFERROR(INDEX($N$5:$N$404,ROW()-4),""),IFERROR(INDEX($P$5:$P$404,ROW()-4-MAX($M$5:$M$1004)),""))</f>
        <v/>
      </c>
    </row>
    <row r="328" customFormat="false" ht="15" hidden="false" customHeight="false" outlineLevel="0" collapsed="false">
      <c r="M328" s="0" t="str">
        <f aca="false">IF(CSV貼付A!$N328="","",IF(COUNTIF(CSV貼付A!$N$5:$N328,CSV貼付A!$N328)&gt;1,"",MAX($M$4:M327)+1))</f>
        <v/>
      </c>
      <c r="N328" s="0" t="str">
        <f aca="false">IFERROR(INDEX(CSV貼付A!$N$5:$N$1004,MATCH(ROW()-4,$M$5:$M$1004,0)),"")</f>
        <v/>
      </c>
      <c r="O328" s="0" t="str">
        <f aca="false">IF(CSV貼付B!$N328="","",IF(COUNTIF(CSV貼付B!$N$5:$N328,CSV貼付B!$N328)&gt;1,"",MAX($O$4:O327)+1))</f>
        <v/>
      </c>
      <c r="P328" s="0" t="str">
        <f aca="false">IFERROR(INDEX(CSV貼付B!$N$5:$N$1004,MATCH(ROW()-4,$O$5:$O$1004,0)),"")</f>
        <v/>
      </c>
      <c r="Q328" s="0" t="str">
        <f aca="false">IF(ROW()-4&lt;=MAX($M$5:$M$1004),IFERROR(INDEX($N$5:$N$404,ROW()-4),""),IFERROR(INDEX($P$5:$P$404,ROW()-4-MAX($M$5:$M$1004)),""))</f>
        <v/>
      </c>
    </row>
    <row r="329" customFormat="false" ht="15" hidden="false" customHeight="false" outlineLevel="0" collapsed="false">
      <c r="M329" s="0" t="str">
        <f aca="false">IF(CSV貼付A!$N329="","",IF(COUNTIF(CSV貼付A!$N$5:$N329,CSV貼付A!$N329)&gt;1,"",MAX($M$4:M328)+1))</f>
        <v/>
      </c>
      <c r="N329" s="0" t="str">
        <f aca="false">IFERROR(INDEX(CSV貼付A!$N$5:$N$1004,MATCH(ROW()-4,$M$5:$M$1004,0)),"")</f>
        <v/>
      </c>
      <c r="O329" s="0" t="str">
        <f aca="false">IF(CSV貼付B!$N329="","",IF(COUNTIF(CSV貼付B!$N$5:$N329,CSV貼付B!$N329)&gt;1,"",MAX($O$4:O328)+1))</f>
        <v/>
      </c>
      <c r="P329" s="0" t="str">
        <f aca="false">IFERROR(INDEX(CSV貼付B!$N$5:$N$1004,MATCH(ROW()-4,$O$5:$O$1004,0)),"")</f>
        <v/>
      </c>
      <c r="Q329" s="0" t="str">
        <f aca="false">IF(ROW()-4&lt;=MAX($M$5:$M$1004),IFERROR(INDEX($N$5:$N$404,ROW()-4),""),IFERROR(INDEX($P$5:$P$404,ROW()-4-MAX($M$5:$M$1004)),""))</f>
        <v/>
      </c>
    </row>
    <row r="330" customFormat="false" ht="15" hidden="false" customHeight="false" outlineLevel="0" collapsed="false">
      <c r="M330" s="0" t="str">
        <f aca="false">IF(CSV貼付A!$N330="","",IF(COUNTIF(CSV貼付A!$N$5:$N330,CSV貼付A!$N330)&gt;1,"",MAX($M$4:M329)+1))</f>
        <v/>
      </c>
      <c r="N330" s="0" t="str">
        <f aca="false">IFERROR(INDEX(CSV貼付A!$N$5:$N$1004,MATCH(ROW()-4,$M$5:$M$1004,0)),"")</f>
        <v/>
      </c>
      <c r="O330" s="0" t="str">
        <f aca="false">IF(CSV貼付B!$N330="","",IF(COUNTIF(CSV貼付B!$N$5:$N330,CSV貼付B!$N330)&gt;1,"",MAX($O$4:O329)+1))</f>
        <v/>
      </c>
      <c r="P330" s="0" t="str">
        <f aca="false">IFERROR(INDEX(CSV貼付B!$N$5:$N$1004,MATCH(ROW()-4,$O$5:$O$1004,0)),"")</f>
        <v/>
      </c>
      <c r="Q330" s="0" t="str">
        <f aca="false">IF(ROW()-4&lt;=MAX($M$5:$M$1004),IFERROR(INDEX($N$5:$N$404,ROW()-4),""),IFERROR(INDEX($P$5:$P$404,ROW()-4-MAX($M$5:$M$1004)),""))</f>
        <v/>
      </c>
    </row>
    <row r="331" customFormat="false" ht="15" hidden="false" customHeight="false" outlineLevel="0" collapsed="false">
      <c r="M331" s="0" t="str">
        <f aca="false">IF(CSV貼付A!$N331="","",IF(COUNTIF(CSV貼付A!$N$5:$N331,CSV貼付A!$N331)&gt;1,"",MAX($M$4:M330)+1))</f>
        <v/>
      </c>
      <c r="N331" s="0" t="str">
        <f aca="false">IFERROR(INDEX(CSV貼付A!$N$5:$N$1004,MATCH(ROW()-4,$M$5:$M$1004,0)),"")</f>
        <v/>
      </c>
      <c r="O331" s="0" t="str">
        <f aca="false">IF(CSV貼付B!$N331="","",IF(COUNTIF(CSV貼付B!$N$5:$N331,CSV貼付B!$N331)&gt;1,"",MAX($O$4:O330)+1))</f>
        <v/>
      </c>
      <c r="P331" s="0" t="str">
        <f aca="false">IFERROR(INDEX(CSV貼付B!$N$5:$N$1004,MATCH(ROW()-4,$O$5:$O$1004,0)),"")</f>
        <v/>
      </c>
      <c r="Q331" s="0" t="str">
        <f aca="false">IF(ROW()-4&lt;=MAX($M$5:$M$1004),IFERROR(INDEX($N$5:$N$404,ROW()-4),""),IFERROR(INDEX($P$5:$P$404,ROW()-4-MAX($M$5:$M$1004)),""))</f>
        <v/>
      </c>
    </row>
    <row r="332" customFormat="false" ht="15" hidden="false" customHeight="false" outlineLevel="0" collapsed="false">
      <c r="M332" s="0" t="str">
        <f aca="false">IF(CSV貼付A!$N332="","",IF(COUNTIF(CSV貼付A!$N$5:$N332,CSV貼付A!$N332)&gt;1,"",MAX($M$4:M331)+1))</f>
        <v/>
      </c>
      <c r="N332" s="0" t="str">
        <f aca="false">IFERROR(INDEX(CSV貼付A!$N$5:$N$1004,MATCH(ROW()-4,$M$5:$M$1004,0)),"")</f>
        <v/>
      </c>
      <c r="O332" s="0" t="str">
        <f aca="false">IF(CSV貼付B!$N332="","",IF(COUNTIF(CSV貼付B!$N$5:$N332,CSV貼付B!$N332)&gt;1,"",MAX($O$4:O331)+1))</f>
        <v/>
      </c>
      <c r="P332" s="0" t="str">
        <f aca="false">IFERROR(INDEX(CSV貼付B!$N$5:$N$1004,MATCH(ROW()-4,$O$5:$O$1004,0)),"")</f>
        <v/>
      </c>
      <c r="Q332" s="0" t="str">
        <f aca="false">IF(ROW()-4&lt;=MAX($M$5:$M$1004),IFERROR(INDEX($N$5:$N$404,ROW()-4),""),IFERROR(INDEX($P$5:$P$404,ROW()-4-MAX($M$5:$M$1004)),""))</f>
        <v/>
      </c>
    </row>
    <row r="333" customFormat="false" ht="15" hidden="false" customHeight="false" outlineLevel="0" collapsed="false">
      <c r="M333" s="0" t="str">
        <f aca="false">IF(CSV貼付A!$N333="","",IF(COUNTIF(CSV貼付A!$N$5:$N333,CSV貼付A!$N333)&gt;1,"",MAX($M$4:M332)+1))</f>
        <v/>
      </c>
      <c r="N333" s="0" t="str">
        <f aca="false">IFERROR(INDEX(CSV貼付A!$N$5:$N$1004,MATCH(ROW()-4,$M$5:$M$1004,0)),"")</f>
        <v/>
      </c>
      <c r="O333" s="0" t="str">
        <f aca="false">IF(CSV貼付B!$N333="","",IF(COUNTIF(CSV貼付B!$N$5:$N333,CSV貼付B!$N333)&gt;1,"",MAX($O$4:O332)+1))</f>
        <v/>
      </c>
      <c r="P333" s="0" t="str">
        <f aca="false">IFERROR(INDEX(CSV貼付B!$N$5:$N$1004,MATCH(ROW()-4,$O$5:$O$1004,0)),"")</f>
        <v/>
      </c>
      <c r="Q333" s="0" t="str">
        <f aca="false">IF(ROW()-4&lt;=MAX($M$5:$M$1004),IFERROR(INDEX($N$5:$N$404,ROW()-4),""),IFERROR(INDEX($P$5:$P$404,ROW()-4-MAX($M$5:$M$1004)),""))</f>
        <v/>
      </c>
    </row>
    <row r="334" customFormat="false" ht="15" hidden="false" customHeight="false" outlineLevel="0" collapsed="false">
      <c r="M334" s="0" t="str">
        <f aca="false">IF(CSV貼付A!$N334="","",IF(COUNTIF(CSV貼付A!$N$5:$N334,CSV貼付A!$N334)&gt;1,"",MAX($M$4:M333)+1))</f>
        <v/>
      </c>
      <c r="N334" s="0" t="str">
        <f aca="false">IFERROR(INDEX(CSV貼付A!$N$5:$N$1004,MATCH(ROW()-4,$M$5:$M$1004,0)),"")</f>
        <v/>
      </c>
      <c r="O334" s="0" t="str">
        <f aca="false">IF(CSV貼付B!$N334="","",IF(COUNTIF(CSV貼付B!$N$5:$N334,CSV貼付B!$N334)&gt;1,"",MAX($O$4:O333)+1))</f>
        <v/>
      </c>
      <c r="P334" s="0" t="str">
        <f aca="false">IFERROR(INDEX(CSV貼付B!$N$5:$N$1004,MATCH(ROW()-4,$O$5:$O$1004,0)),"")</f>
        <v/>
      </c>
      <c r="Q334" s="0" t="str">
        <f aca="false">IF(ROW()-4&lt;=MAX($M$5:$M$1004),IFERROR(INDEX($N$5:$N$404,ROW()-4),""),IFERROR(INDEX($P$5:$P$404,ROW()-4-MAX($M$5:$M$1004)),""))</f>
        <v/>
      </c>
    </row>
    <row r="335" customFormat="false" ht="15" hidden="false" customHeight="false" outlineLevel="0" collapsed="false">
      <c r="M335" s="0" t="str">
        <f aca="false">IF(CSV貼付A!$N335="","",IF(COUNTIF(CSV貼付A!$N$5:$N335,CSV貼付A!$N335)&gt;1,"",MAX($M$4:M334)+1))</f>
        <v/>
      </c>
      <c r="N335" s="0" t="str">
        <f aca="false">IFERROR(INDEX(CSV貼付A!$N$5:$N$1004,MATCH(ROW()-4,$M$5:$M$1004,0)),"")</f>
        <v/>
      </c>
      <c r="O335" s="0" t="str">
        <f aca="false">IF(CSV貼付B!$N335="","",IF(COUNTIF(CSV貼付B!$N$5:$N335,CSV貼付B!$N335)&gt;1,"",MAX($O$4:O334)+1))</f>
        <v/>
      </c>
      <c r="P335" s="0" t="str">
        <f aca="false">IFERROR(INDEX(CSV貼付B!$N$5:$N$1004,MATCH(ROW()-4,$O$5:$O$1004,0)),"")</f>
        <v/>
      </c>
      <c r="Q335" s="0" t="str">
        <f aca="false">IF(ROW()-4&lt;=MAX($M$5:$M$1004),IFERROR(INDEX($N$5:$N$404,ROW()-4),""),IFERROR(INDEX($P$5:$P$404,ROW()-4-MAX($M$5:$M$1004)),""))</f>
        <v/>
      </c>
    </row>
    <row r="336" customFormat="false" ht="15" hidden="false" customHeight="false" outlineLevel="0" collapsed="false">
      <c r="M336" s="0" t="str">
        <f aca="false">IF(CSV貼付A!$N336="","",IF(COUNTIF(CSV貼付A!$N$5:$N336,CSV貼付A!$N336)&gt;1,"",MAX($M$4:M335)+1))</f>
        <v/>
      </c>
      <c r="N336" s="0" t="str">
        <f aca="false">IFERROR(INDEX(CSV貼付A!$N$5:$N$1004,MATCH(ROW()-4,$M$5:$M$1004,0)),"")</f>
        <v/>
      </c>
      <c r="O336" s="0" t="str">
        <f aca="false">IF(CSV貼付B!$N336="","",IF(COUNTIF(CSV貼付B!$N$5:$N336,CSV貼付B!$N336)&gt;1,"",MAX($O$4:O335)+1))</f>
        <v/>
      </c>
      <c r="P336" s="0" t="str">
        <f aca="false">IFERROR(INDEX(CSV貼付B!$N$5:$N$1004,MATCH(ROW()-4,$O$5:$O$1004,0)),"")</f>
        <v/>
      </c>
      <c r="Q336" s="0" t="str">
        <f aca="false">IF(ROW()-4&lt;=MAX($M$5:$M$1004),IFERROR(INDEX($N$5:$N$404,ROW()-4),""),IFERROR(INDEX($P$5:$P$404,ROW()-4-MAX($M$5:$M$1004)),""))</f>
        <v/>
      </c>
    </row>
    <row r="337" customFormat="false" ht="15" hidden="false" customHeight="false" outlineLevel="0" collapsed="false">
      <c r="M337" s="0" t="str">
        <f aca="false">IF(CSV貼付A!$N337="","",IF(COUNTIF(CSV貼付A!$N$5:$N337,CSV貼付A!$N337)&gt;1,"",MAX($M$4:M336)+1))</f>
        <v/>
      </c>
      <c r="N337" s="0" t="str">
        <f aca="false">IFERROR(INDEX(CSV貼付A!$N$5:$N$1004,MATCH(ROW()-4,$M$5:$M$1004,0)),"")</f>
        <v/>
      </c>
      <c r="O337" s="0" t="str">
        <f aca="false">IF(CSV貼付B!$N337="","",IF(COUNTIF(CSV貼付B!$N$5:$N337,CSV貼付B!$N337)&gt;1,"",MAX($O$4:O336)+1))</f>
        <v/>
      </c>
      <c r="P337" s="0" t="str">
        <f aca="false">IFERROR(INDEX(CSV貼付B!$N$5:$N$1004,MATCH(ROW()-4,$O$5:$O$1004,0)),"")</f>
        <v/>
      </c>
      <c r="Q337" s="0" t="str">
        <f aca="false">IF(ROW()-4&lt;=MAX($M$5:$M$1004),IFERROR(INDEX($N$5:$N$404,ROW()-4),""),IFERROR(INDEX($P$5:$P$404,ROW()-4-MAX($M$5:$M$1004)),""))</f>
        <v/>
      </c>
    </row>
    <row r="338" customFormat="false" ht="15" hidden="false" customHeight="false" outlineLevel="0" collapsed="false">
      <c r="M338" s="0" t="str">
        <f aca="false">IF(CSV貼付A!$N338="","",IF(COUNTIF(CSV貼付A!$N$5:$N338,CSV貼付A!$N338)&gt;1,"",MAX($M$4:M337)+1))</f>
        <v/>
      </c>
      <c r="N338" s="0" t="str">
        <f aca="false">IFERROR(INDEX(CSV貼付A!$N$5:$N$1004,MATCH(ROW()-4,$M$5:$M$1004,0)),"")</f>
        <v/>
      </c>
      <c r="O338" s="0" t="str">
        <f aca="false">IF(CSV貼付B!$N338="","",IF(COUNTIF(CSV貼付B!$N$5:$N338,CSV貼付B!$N338)&gt;1,"",MAX($O$4:O337)+1))</f>
        <v/>
      </c>
      <c r="P338" s="0" t="str">
        <f aca="false">IFERROR(INDEX(CSV貼付B!$N$5:$N$1004,MATCH(ROW()-4,$O$5:$O$1004,0)),"")</f>
        <v/>
      </c>
      <c r="Q338" s="0" t="str">
        <f aca="false">IF(ROW()-4&lt;=MAX($M$5:$M$1004),IFERROR(INDEX($N$5:$N$404,ROW()-4),""),IFERROR(INDEX($P$5:$P$404,ROW()-4-MAX($M$5:$M$1004)),""))</f>
        <v/>
      </c>
    </row>
    <row r="339" customFormat="false" ht="15" hidden="false" customHeight="false" outlineLevel="0" collapsed="false">
      <c r="M339" s="0" t="str">
        <f aca="false">IF(CSV貼付A!$N339="","",IF(COUNTIF(CSV貼付A!$N$5:$N339,CSV貼付A!$N339)&gt;1,"",MAX($M$4:M338)+1))</f>
        <v/>
      </c>
      <c r="N339" s="0" t="str">
        <f aca="false">IFERROR(INDEX(CSV貼付A!$N$5:$N$1004,MATCH(ROW()-4,$M$5:$M$1004,0)),"")</f>
        <v/>
      </c>
      <c r="O339" s="0" t="str">
        <f aca="false">IF(CSV貼付B!$N339="","",IF(COUNTIF(CSV貼付B!$N$5:$N339,CSV貼付B!$N339)&gt;1,"",MAX($O$4:O338)+1))</f>
        <v/>
      </c>
      <c r="P339" s="0" t="str">
        <f aca="false">IFERROR(INDEX(CSV貼付B!$N$5:$N$1004,MATCH(ROW()-4,$O$5:$O$1004,0)),"")</f>
        <v/>
      </c>
      <c r="Q339" s="0" t="str">
        <f aca="false">IF(ROW()-4&lt;=MAX($M$5:$M$1004),IFERROR(INDEX($N$5:$N$404,ROW()-4),""),IFERROR(INDEX($P$5:$P$404,ROW()-4-MAX($M$5:$M$1004)),""))</f>
        <v/>
      </c>
    </row>
    <row r="340" customFormat="false" ht="15" hidden="false" customHeight="false" outlineLevel="0" collapsed="false">
      <c r="M340" s="0" t="str">
        <f aca="false">IF(CSV貼付A!$N340="","",IF(COUNTIF(CSV貼付A!$N$5:$N340,CSV貼付A!$N340)&gt;1,"",MAX($M$4:M339)+1))</f>
        <v/>
      </c>
      <c r="N340" s="0" t="str">
        <f aca="false">IFERROR(INDEX(CSV貼付A!$N$5:$N$1004,MATCH(ROW()-4,$M$5:$M$1004,0)),"")</f>
        <v/>
      </c>
      <c r="O340" s="0" t="str">
        <f aca="false">IF(CSV貼付B!$N340="","",IF(COUNTIF(CSV貼付B!$N$5:$N340,CSV貼付B!$N340)&gt;1,"",MAX($O$4:O339)+1))</f>
        <v/>
      </c>
      <c r="P340" s="0" t="str">
        <f aca="false">IFERROR(INDEX(CSV貼付B!$N$5:$N$1004,MATCH(ROW()-4,$O$5:$O$1004,0)),"")</f>
        <v/>
      </c>
      <c r="Q340" s="0" t="str">
        <f aca="false">IF(ROW()-4&lt;=MAX($M$5:$M$1004),IFERROR(INDEX($N$5:$N$404,ROW()-4),""),IFERROR(INDEX($P$5:$P$404,ROW()-4-MAX($M$5:$M$1004)),""))</f>
        <v/>
      </c>
    </row>
    <row r="341" customFormat="false" ht="15" hidden="false" customHeight="false" outlineLevel="0" collapsed="false">
      <c r="M341" s="0" t="str">
        <f aca="false">IF(CSV貼付A!$N341="","",IF(COUNTIF(CSV貼付A!$N$5:$N341,CSV貼付A!$N341)&gt;1,"",MAX($M$4:M340)+1))</f>
        <v/>
      </c>
      <c r="N341" s="0" t="str">
        <f aca="false">IFERROR(INDEX(CSV貼付A!$N$5:$N$1004,MATCH(ROW()-4,$M$5:$M$1004,0)),"")</f>
        <v/>
      </c>
      <c r="O341" s="0" t="str">
        <f aca="false">IF(CSV貼付B!$N341="","",IF(COUNTIF(CSV貼付B!$N$5:$N341,CSV貼付B!$N341)&gt;1,"",MAX($O$4:O340)+1))</f>
        <v/>
      </c>
      <c r="P341" s="0" t="str">
        <f aca="false">IFERROR(INDEX(CSV貼付B!$N$5:$N$1004,MATCH(ROW()-4,$O$5:$O$1004,0)),"")</f>
        <v/>
      </c>
      <c r="Q341" s="0" t="str">
        <f aca="false">IF(ROW()-4&lt;=MAX($M$5:$M$1004),IFERROR(INDEX($N$5:$N$404,ROW()-4),""),IFERROR(INDEX($P$5:$P$404,ROW()-4-MAX($M$5:$M$1004)),""))</f>
        <v/>
      </c>
    </row>
    <row r="342" customFormat="false" ht="15" hidden="false" customHeight="false" outlineLevel="0" collapsed="false">
      <c r="M342" s="0" t="str">
        <f aca="false">IF(CSV貼付A!$N342="","",IF(COUNTIF(CSV貼付A!$N$5:$N342,CSV貼付A!$N342)&gt;1,"",MAX($M$4:M341)+1))</f>
        <v/>
      </c>
      <c r="N342" s="0" t="str">
        <f aca="false">IFERROR(INDEX(CSV貼付A!$N$5:$N$1004,MATCH(ROW()-4,$M$5:$M$1004,0)),"")</f>
        <v/>
      </c>
      <c r="O342" s="0" t="str">
        <f aca="false">IF(CSV貼付B!$N342="","",IF(COUNTIF(CSV貼付B!$N$5:$N342,CSV貼付B!$N342)&gt;1,"",MAX($O$4:O341)+1))</f>
        <v/>
      </c>
      <c r="P342" s="0" t="str">
        <f aca="false">IFERROR(INDEX(CSV貼付B!$N$5:$N$1004,MATCH(ROW()-4,$O$5:$O$1004,0)),"")</f>
        <v/>
      </c>
      <c r="Q342" s="0" t="str">
        <f aca="false">IF(ROW()-4&lt;=MAX($M$5:$M$1004),IFERROR(INDEX($N$5:$N$404,ROW()-4),""),IFERROR(INDEX($P$5:$P$404,ROW()-4-MAX($M$5:$M$1004)),""))</f>
        <v/>
      </c>
    </row>
    <row r="343" customFormat="false" ht="15" hidden="false" customHeight="false" outlineLevel="0" collapsed="false">
      <c r="M343" s="0" t="str">
        <f aca="false">IF(CSV貼付A!$N343="","",IF(COUNTIF(CSV貼付A!$N$5:$N343,CSV貼付A!$N343)&gt;1,"",MAX($M$4:M342)+1))</f>
        <v/>
      </c>
      <c r="N343" s="0" t="str">
        <f aca="false">IFERROR(INDEX(CSV貼付A!$N$5:$N$1004,MATCH(ROW()-4,$M$5:$M$1004,0)),"")</f>
        <v/>
      </c>
      <c r="O343" s="0" t="str">
        <f aca="false">IF(CSV貼付B!$N343="","",IF(COUNTIF(CSV貼付B!$N$5:$N343,CSV貼付B!$N343)&gt;1,"",MAX($O$4:O342)+1))</f>
        <v/>
      </c>
      <c r="P343" s="0" t="str">
        <f aca="false">IFERROR(INDEX(CSV貼付B!$N$5:$N$1004,MATCH(ROW()-4,$O$5:$O$1004,0)),"")</f>
        <v/>
      </c>
      <c r="Q343" s="0" t="str">
        <f aca="false">IF(ROW()-4&lt;=MAX($M$5:$M$1004),IFERROR(INDEX($N$5:$N$404,ROW()-4),""),IFERROR(INDEX($P$5:$P$404,ROW()-4-MAX($M$5:$M$1004)),""))</f>
        <v/>
      </c>
    </row>
    <row r="344" customFormat="false" ht="15" hidden="false" customHeight="false" outlineLevel="0" collapsed="false">
      <c r="M344" s="0" t="str">
        <f aca="false">IF(CSV貼付A!$N344="","",IF(COUNTIF(CSV貼付A!$N$5:$N344,CSV貼付A!$N344)&gt;1,"",MAX($M$4:M343)+1))</f>
        <v/>
      </c>
      <c r="N344" s="0" t="str">
        <f aca="false">IFERROR(INDEX(CSV貼付A!$N$5:$N$1004,MATCH(ROW()-4,$M$5:$M$1004,0)),"")</f>
        <v/>
      </c>
      <c r="O344" s="0" t="str">
        <f aca="false">IF(CSV貼付B!$N344="","",IF(COUNTIF(CSV貼付B!$N$5:$N344,CSV貼付B!$N344)&gt;1,"",MAX($O$4:O343)+1))</f>
        <v/>
      </c>
      <c r="P344" s="0" t="str">
        <f aca="false">IFERROR(INDEX(CSV貼付B!$N$5:$N$1004,MATCH(ROW()-4,$O$5:$O$1004,0)),"")</f>
        <v/>
      </c>
      <c r="Q344" s="0" t="str">
        <f aca="false">IF(ROW()-4&lt;=MAX($M$5:$M$1004),IFERROR(INDEX($N$5:$N$404,ROW()-4),""),IFERROR(INDEX($P$5:$P$404,ROW()-4-MAX($M$5:$M$1004)),""))</f>
        <v/>
      </c>
    </row>
    <row r="345" customFormat="false" ht="15" hidden="false" customHeight="false" outlineLevel="0" collapsed="false">
      <c r="M345" s="0" t="str">
        <f aca="false">IF(CSV貼付A!$N345="","",IF(COUNTIF(CSV貼付A!$N$5:$N345,CSV貼付A!$N345)&gt;1,"",MAX($M$4:M344)+1))</f>
        <v/>
      </c>
      <c r="N345" s="0" t="str">
        <f aca="false">IFERROR(INDEX(CSV貼付A!$N$5:$N$1004,MATCH(ROW()-4,$M$5:$M$1004,0)),"")</f>
        <v/>
      </c>
      <c r="O345" s="0" t="str">
        <f aca="false">IF(CSV貼付B!$N345="","",IF(COUNTIF(CSV貼付B!$N$5:$N345,CSV貼付B!$N345)&gt;1,"",MAX($O$4:O344)+1))</f>
        <v/>
      </c>
      <c r="P345" s="0" t="str">
        <f aca="false">IFERROR(INDEX(CSV貼付B!$N$5:$N$1004,MATCH(ROW()-4,$O$5:$O$1004,0)),"")</f>
        <v/>
      </c>
      <c r="Q345" s="0" t="str">
        <f aca="false">IF(ROW()-4&lt;=MAX($M$5:$M$1004),IFERROR(INDEX($N$5:$N$404,ROW()-4),""),IFERROR(INDEX($P$5:$P$404,ROW()-4-MAX($M$5:$M$1004)),""))</f>
        <v/>
      </c>
    </row>
    <row r="346" customFormat="false" ht="15" hidden="false" customHeight="false" outlineLevel="0" collapsed="false">
      <c r="M346" s="0" t="str">
        <f aca="false">IF(CSV貼付A!$N346="","",IF(COUNTIF(CSV貼付A!$N$5:$N346,CSV貼付A!$N346)&gt;1,"",MAX($M$4:M345)+1))</f>
        <v/>
      </c>
      <c r="N346" s="0" t="str">
        <f aca="false">IFERROR(INDEX(CSV貼付A!$N$5:$N$1004,MATCH(ROW()-4,$M$5:$M$1004,0)),"")</f>
        <v/>
      </c>
      <c r="O346" s="0" t="str">
        <f aca="false">IF(CSV貼付B!$N346="","",IF(COUNTIF(CSV貼付B!$N$5:$N346,CSV貼付B!$N346)&gt;1,"",MAX($O$4:O345)+1))</f>
        <v/>
      </c>
      <c r="P346" s="0" t="str">
        <f aca="false">IFERROR(INDEX(CSV貼付B!$N$5:$N$1004,MATCH(ROW()-4,$O$5:$O$1004,0)),"")</f>
        <v/>
      </c>
      <c r="Q346" s="0" t="str">
        <f aca="false">IF(ROW()-4&lt;=MAX($M$5:$M$1004),IFERROR(INDEX($N$5:$N$404,ROW()-4),""),IFERROR(INDEX($P$5:$P$404,ROW()-4-MAX($M$5:$M$1004)),""))</f>
        <v/>
      </c>
    </row>
    <row r="347" customFormat="false" ht="15" hidden="false" customHeight="false" outlineLevel="0" collapsed="false">
      <c r="M347" s="0" t="str">
        <f aca="false">IF(CSV貼付A!$N347="","",IF(COUNTIF(CSV貼付A!$N$5:$N347,CSV貼付A!$N347)&gt;1,"",MAX($M$4:M346)+1))</f>
        <v/>
      </c>
      <c r="N347" s="0" t="str">
        <f aca="false">IFERROR(INDEX(CSV貼付A!$N$5:$N$1004,MATCH(ROW()-4,$M$5:$M$1004,0)),"")</f>
        <v/>
      </c>
      <c r="O347" s="0" t="str">
        <f aca="false">IF(CSV貼付B!$N347="","",IF(COUNTIF(CSV貼付B!$N$5:$N347,CSV貼付B!$N347)&gt;1,"",MAX($O$4:O346)+1))</f>
        <v/>
      </c>
      <c r="P347" s="0" t="str">
        <f aca="false">IFERROR(INDEX(CSV貼付B!$N$5:$N$1004,MATCH(ROW()-4,$O$5:$O$1004,0)),"")</f>
        <v/>
      </c>
      <c r="Q347" s="0" t="str">
        <f aca="false">IF(ROW()-4&lt;=MAX($M$5:$M$1004),IFERROR(INDEX($N$5:$N$404,ROW()-4),""),IFERROR(INDEX($P$5:$P$404,ROW()-4-MAX($M$5:$M$1004)),""))</f>
        <v/>
      </c>
    </row>
    <row r="348" customFormat="false" ht="15" hidden="false" customHeight="false" outlineLevel="0" collapsed="false">
      <c r="M348" s="0" t="str">
        <f aca="false">IF(CSV貼付A!$N348="","",IF(COUNTIF(CSV貼付A!$N$5:$N348,CSV貼付A!$N348)&gt;1,"",MAX($M$4:M347)+1))</f>
        <v/>
      </c>
      <c r="N348" s="0" t="str">
        <f aca="false">IFERROR(INDEX(CSV貼付A!$N$5:$N$1004,MATCH(ROW()-4,$M$5:$M$1004,0)),"")</f>
        <v/>
      </c>
      <c r="O348" s="0" t="str">
        <f aca="false">IF(CSV貼付B!$N348="","",IF(COUNTIF(CSV貼付B!$N$5:$N348,CSV貼付B!$N348)&gt;1,"",MAX($O$4:O347)+1))</f>
        <v/>
      </c>
      <c r="P348" s="0" t="str">
        <f aca="false">IFERROR(INDEX(CSV貼付B!$N$5:$N$1004,MATCH(ROW()-4,$O$5:$O$1004,0)),"")</f>
        <v/>
      </c>
      <c r="Q348" s="0" t="str">
        <f aca="false">IF(ROW()-4&lt;=MAX($M$5:$M$1004),IFERROR(INDEX($N$5:$N$404,ROW()-4),""),IFERROR(INDEX($P$5:$P$404,ROW()-4-MAX($M$5:$M$1004)),""))</f>
        <v/>
      </c>
    </row>
    <row r="349" customFormat="false" ht="15" hidden="false" customHeight="false" outlineLevel="0" collapsed="false">
      <c r="M349" s="0" t="str">
        <f aca="false">IF(CSV貼付A!$N349="","",IF(COUNTIF(CSV貼付A!$N$5:$N349,CSV貼付A!$N349)&gt;1,"",MAX($M$4:M348)+1))</f>
        <v/>
      </c>
      <c r="N349" s="0" t="str">
        <f aca="false">IFERROR(INDEX(CSV貼付A!$N$5:$N$1004,MATCH(ROW()-4,$M$5:$M$1004,0)),"")</f>
        <v/>
      </c>
      <c r="O349" s="0" t="str">
        <f aca="false">IF(CSV貼付B!$N349="","",IF(COUNTIF(CSV貼付B!$N$5:$N349,CSV貼付B!$N349)&gt;1,"",MAX($O$4:O348)+1))</f>
        <v/>
      </c>
      <c r="P349" s="0" t="str">
        <f aca="false">IFERROR(INDEX(CSV貼付B!$N$5:$N$1004,MATCH(ROW()-4,$O$5:$O$1004,0)),"")</f>
        <v/>
      </c>
      <c r="Q349" s="0" t="str">
        <f aca="false">IF(ROW()-4&lt;=MAX($M$5:$M$1004),IFERROR(INDEX($N$5:$N$404,ROW()-4),""),IFERROR(INDEX($P$5:$P$404,ROW()-4-MAX($M$5:$M$1004)),""))</f>
        <v/>
      </c>
    </row>
    <row r="350" customFormat="false" ht="15" hidden="false" customHeight="false" outlineLevel="0" collapsed="false">
      <c r="M350" s="0" t="str">
        <f aca="false">IF(CSV貼付A!$N350="","",IF(COUNTIF(CSV貼付A!$N$5:$N350,CSV貼付A!$N350)&gt;1,"",MAX($M$4:M349)+1))</f>
        <v/>
      </c>
      <c r="N350" s="0" t="str">
        <f aca="false">IFERROR(INDEX(CSV貼付A!$N$5:$N$1004,MATCH(ROW()-4,$M$5:$M$1004,0)),"")</f>
        <v/>
      </c>
      <c r="O350" s="0" t="str">
        <f aca="false">IF(CSV貼付B!$N350="","",IF(COUNTIF(CSV貼付B!$N$5:$N350,CSV貼付B!$N350)&gt;1,"",MAX($O$4:O349)+1))</f>
        <v/>
      </c>
      <c r="P350" s="0" t="str">
        <f aca="false">IFERROR(INDEX(CSV貼付B!$N$5:$N$1004,MATCH(ROW()-4,$O$5:$O$1004,0)),"")</f>
        <v/>
      </c>
      <c r="Q350" s="0" t="str">
        <f aca="false">IF(ROW()-4&lt;=MAX($M$5:$M$1004),IFERROR(INDEX($N$5:$N$404,ROW()-4),""),IFERROR(INDEX($P$5:$P$404,ROW()-4-MAX($M$5:$M$1004)),""))</f>
        <v/>
      </c>
    </row>
    <row r="351" customFormat="false" ht="15" hidden="false" customHeight="false" outlineLevel="0" collapsed="false">
      <c r="M351" s="0" t="str">
        <f aca="false">IF(CSV貼付A!$N351="","",IF(COUNTIF(CSV貼付A!$N$5:$N351,CSV貼付A!$N351)&gt;1,"",MAX($M$4:M350)+1))</f>
        <v/>
      </c>
      <c r="N351" s="0" t="str">
        <f aca="false">IFERROR(INDEX(CSV貼付A!$N$5:$N$1004,MATCH(ROW()-4,$M$5:$M$1004,0)),"")</f>
        <v/>
      </c>
      <c r="O351" s="0" t="str">
        <f aca="false">IF(CSV貼付B!$N351="","",IF(COUNTIF(CSV貼付B!$N$5:$N351,CSV貼付B!$N351)&gt;1,"",MAX($O$4:O350)+1))</f>
        <v/>
      </c>
      <c r="P351" s="0" t="str">
        <f aca="false">IFERROR(INDEX(CSV貼付B!$N$5:$N$1004,MATCH(ROW()-4,$O$5:$O$1004,0)),"")</f>
        <v/>
      </c>
      <c r="Q351" s="0" t="str">
        <f aca="false">IF(ROW()-4&lt;=MAX($M$5:$M$1004),IFERROR(INDEX($N$5:$N$404,ROW()-4),""),IFERROR(INDEX($P$5:$P$404,ROW()-4-MAX($M$5:$M$1004)),""))</f>
        <v/>
      </c>
    </row>
    <row r="352" customFormat="false" ht="15" hidden="false" customHeight="false" outlineLevel="0" collapsed="false">
      <c r="M352" s="0" t="str">
        <f aca="false">IF(CSV貼付A!$N352="","",IF(COUNTIF(CSV貼付A!$N$5:$N352,CSV貼付A!$N352)&gt;1,"",MAX($M$4:M351)+1))</f>
        <v/>
      </c>
      <c r="N352" s="0" t="str">
        <f aca="false">IFERROR(INDEX(CSV貼付A!$N$5:$N$1004,MATCH(ROW()-4,$M$5:$M$1004,0)),"")</f>
        <v/>
      </c>
      <c r="O352" s="0" t="str">
        <f aca="false">IF(CSV貼付B!$N352="","",IF(COUNTIF(CSV貼付B!$N$5:$N352,CSV貼付B!$N352)&gt;1,"",MAX($O$4:O351)+1))</f>
        <v/>
      </c>
      <c r="P352" s="0" t="str">
        <f aca="false">IFERROR(INDEX(CSV貼付B!$N$5:$N$1004,MATCH(ROW()-4,$O$5:$O$1004,0)),"")</f>
        <v/>
      </c>
      <c r="Q352" s="0" t="str">
        <f aca="false">IF(ROW()-4&lt;=MAX($M$5:$M$1004),IFERROR(INDEX($N$5:$N$404,ROW()-4),""),IFERROR(INDEX($P$5:$P$404,ROW()-4-MAX($M$5:$M$1004)),""))</f>
        <v/>
      </c>
    </row>
    <row r="353" customFormat="false" ht="15" hidden="false" customHeight="false" outlineLevel="0" collapsed="false">
      <c r="M353" s="0" t="str">
        <f aca="false">IF(CSV貼付A!$N353="","",IF(COUNTIF(CSV貼付A!$N$5:$N353,CSV貼付A!$N353)&gt;1,"",MAX($M$4:M352)+1))</f>
        <v/>
      </c>
      <c r="N353" s="0" t="str">
        <f aca="false">IFERROR(INDEX(CSV貼付A!$N$5:$N$1004,MATCH(ROW()-4,$M$5:$M$1004,0)),"")</f>
        <v/>
      </c>
      <c r="O353" s="0" t="str">
        <f aca="false">IF(CSV貼付B!$N353="","",IF(COUNTIF(CSV貼付B!$N$5:$N353,CSV貼付B!$N353)&gt;1,"",MAX($O$4:O352)+1))</f>
        <v/>
      </c>
      <c r="P353" s="0" t="str">
        <f aca="false">IFERROR(INDEX(CSV貼付B!$N$5:$N$1004,MATCH(ROW()-4,$O$5:$O$1004,0)),"")</f>
        <v/>
      </c>
      <c r="Q353" s="0" t="str">
        <f aca="false">IF(ROW()-4&lt;=MAX($M$5:$M$1004),IFERROR(INDEX($N$5:$N$404,ROW()-4),""),IFERROR(INDEX($P$5:$P$404,ROW()-4-MAX($M$5:$M$1004)),""))</f>
        <v/>
      </c>
    </row>
    <row r="354" customFormat="false" ht="15" hidden="false" customHeight="false" outlineLevel="0" collapsed="false">
      <c r="M354" s="0" t="str">
        <f aca="false">IF(CSV貼付A!$N354="","",IF(COUNTIF(CSV貼付A!$N$5:$N354,CSV貼付A!$N354)&gt;1,"",MAX($M$4:M353)+1))</f>
        <v/>
      </c>
      <c r="N354" s="0" t="str">
        <f aca="false">IFERROR(INDEX(CSV貼付A!$N$5:$N$1004,MATCH(ROW()-4,$M$5:$M$1004,0)),"")</f>
        <v/>
      </c>
      <c r="O354" s="0" t="str">
        <f aca="false">IF(CSV貼付B!$N354="","",IF(COUNTIF(CSV貼付B!$N$5:$N354,CSV貼付B!$N354)&gt;1,"",MAX($O$4:O353)+1))</f>
        <v/>
      </c>
      <c r="P354" s="0" t="str">
        <f aca="false">IFERROR(INDEX(CSV貼付B!$N$5:$N$1004,MATCH(ROW()-4,$O$5:$O$1004,0)),"")</f>
        <v/>
      </c>
      <c r="Q354" s="0" t="str">
        <f aca="false">IF(ROW()-4&lt;=MAX($M$5:$M$1004),IFERROR(INDEX($N$5:$N$404,ROW()-4),""),IFERROR(INDEX($P$5:$P$404,ROW()-4-MAX($M$5:$M$1004)),""))</f>
        <v/>
      </c>
    </row>
    <row r="355" customFormat="false" ht="15" hidden="false" customHeight="false" outlineLevel="0" collapsed="false">
      <c r="M355" s="0" t="str">
        <f aca="false">IF(CSV貼付A!$N355="","",IF(COUNTIF(CSV貼付A!$N$5:$N355,CSV貼付A!$N355)&gt;1,"",MAX($M$4:M354)+1))</f>
        <v/>
      </c>
      <c r="N355" s="0" t="str">
        <f aca="false">IFERROR(INDEX(CSV貼付A!$N$5:$N$1004,MATCH(ROW()-4,$M$5:$M$1004,0)),"")</f>
        <v/>
      </c>
      <c r="O355" s="0" t="str">
        <f aca="false">IF(CSV貼付B!$N355="","",IF(COUNTIF(CSV貼付B!$N$5:$N355,CSV貼付B!$N355)&gt;1,"",MAX($O$4:O354)+1))</f>
        <v/>
      </c>
      <c r="P355" s="0" t="str">
        <f aca="false">IFERROR(INDEX(CSV貼付B!$N$5:$N$1004,MATCH(ROW()-4,$O$5:$O$1004,0)),"")</f>
        <v/>
      </c>
      <c r="Q355" s="0" t="str">
        <f aca="false">IF(ROW()-4&lt;=MAX($M$5:$M$1004),IFERROR(INDEX($N$5:$N$404,ROW()-4),""),IFERROR(INDEX($P$5:$P$404,ROW()-4-MAX($M$5:$M$1004)),""))</f>
        <v/>
      </c>
    </row>
    <row r="356" customFormat="false" ht="15" hidden="false" customHeight="false" outlineLevel="0" collapsed="false">
      <c r="M356" s="0" t="str">
        <f aca="false">IF(CSV貼付A!$N356="","",IF(COUNTIF(CSV貼付A!$N$5:$N356,CSV貼付A!$N356)&gt;1,"",MAX($M$4:M355)+1))</f>
        <v/>
      </c>
      <c r="N356" s="0" t="str">
        <f aca="false">IFERROR(INDEX(CSV貼付A!$N$5:$N$1004,MATCH(ROW()-4,$M$5:$M$1004,0)),"")</f>
        <v/>
      </c>
      <c r="O356" s="0" t="str">
        <f aca="false">IF(CSV貼付B!$N356="","",IF(COUNTIF(CSV貼付B!$N$5:$N356,CSV貼付B!$N356)&gt;1,"",MAX($O$4:O355)+1))</f>
        <v/>
      </c>
      <c r="P356" s="0" t="str">
        <f aca="false">IFERROR(INDEX(CSV貼付B!$N$5:$N$1004,MATCH(ROW()-4,$O$5:$O$1004,0)),"")</f>
        <v/>
      </c>
      <c r="Q356" s="0" t="str">
        <f aca="false">IF(ROW()-4&lt;=MAX($M$5:$M$1004),IFERROR(INDEX($N$5:$N$404,ROW()-4),""),IFERROR(INDEX($P$5:$P$404,ROW()-4-MAX($M$5:$M$1004)),""))</f>
        <v/>
      </c>
    </row>
    <row r="357" customFormat="false" ht="15" hidden="false" customHeight="false" outlineLevel="0" collapsed="false">
      <c r="M357" s="0" t="str">
        <f aca="false">IF(CSV貼付A!$N357="","",IF(COUNTIF(CSV貼付A!$N$5:$N357,CSV貼付A!$N357)&gt;1,"",MAX($M$4:M356)+1))</f>
        <v/>
      </c>
      <c r="N357" s="0" t="str">
        <f aca="false">IFERROR(INDEX(CSV貼付A!$N$5:$N$1004,MATCH(ROW()-4,$M$5:$M$1004,0)),"")</f>
        <v/>
      </c>
      <c r="O357" s="0" t="str">
        <f aca="false">IF(CSV貼付B!$N357="","",IF(COUNTIF(CSV貼付B!$N$5:$N357,CSV貼付B!$N357)&gt;1,"",MAX($O$4:O356)+1))</f>
        <v/>
      </c>
      <c r="P357" s="0" t="str">
        <f aca="false">IFERROR(INDEX(CSV貼付B!$N$5:$N$1004,MATCH(ROW()-4,$O$5:$O$1004,0)),"")</f>
        <v/>
      </c>
      <c r="Q357" s="0" t="str">
        <f aca="false">IF(ROW()-4&lt;=MAX($M$5:$M$1004),IFERROR(INDEX($N$5:$N$404,ROW()-4),""),IFERROR(INDEX($P$5:$P$404,ROW()-4-MAX($M$5:$M$1004)),""))</f>
        <v/>
      </c>
    </row>
    <row r="358" customFormat="false" ht="15" hidden="false" customHeight="false" outlineLevel="0" collapsed="false">
      <c r="M358" s="0" t="str">
        <f aca="false">IF(CSV貼付A!$N358="","",IF(COUNTIF(CSV貼付A!$N$5:$N358,CSV貼付A!$N358)&gt;1,"",MAX($M$4:M357)+1))</f>
        <v/>
      </c>
      <c r="N358" s="0" t="str">
        <f aca="false">IFERROR(INDEX(CSV貼付A!$N$5:$N$1004,MATCH(ROW()-4,$M$5:$M$1004,0)),"")</f>
        <v/>
      </c>
      <c r="O358" s="0" t="str">
        <f aca="false">IF(CSV貼付B!$N358="","",IF(COUNTIF(CSV貼付B!$N$5:$N358,CSV貼付B!$N358)&gt;1,"",MAX($O$4:O357)+1))</f>
        <v/>
      </c>
      <c r="P358" s="0" t="str">
        <f aca="false">IFERROR(INDEX(CSV貼付B!$N$5:$N$1004,MATCH(ROW()-4,$O$5:$O$1004,0)),"")</f>
        <v/>
      </c>
      <c r="Q358" s="0" t="str">
        <f aca="false">IF(ROW()-4&lt;=MAX($M$5:$M$1004),IFERROR(INDEX($N$5:$N$404,ROW()-4),""),IFERROR(INDEX($P$5:$P$404,ROW()-4-MAX($M$5:$M$1004)),""))</f>
        <v/>
      </c>
    </row>
    <row r="359" customFormat="false" ht="15" hidden="false" customHeight="false" outlineLevel="0" collapsed="false">
      <c r="M359" s="0" t="str">
        <f aca="false">IF(CSV貼付A!$N359="","",IF(COUNTIF(CSV貼付A!$N$5:$N359,CSV貼付A!$N359)&gt;1,"",MAX($M$4:M358)+1))</f>
        <v/>
      </c>
      <c r="N359" s="0" t="str">
        <f aca="false">IFERROR(INDEX(CSV貼付A!$N$5:$N$1004,MATCH(ROW()-4,$M$5:$M$1004,0)),"")</f>
        <v/>
      </c>
      <c r="O359" s="0" t="str">
        <f aca="false">IF(CSV貼付B!$N359="","",IF(COUNTIF(CSV貼付B!$N$5:$N359,CSV貼付B!$N359)&gt;1,"",MAX($O$4:O358)+1))</f>
        <v/>
      </c>
      <c r="P359" s="0" t="str">
        <f aca="false">IFERROR(INDEX(CSV貼付B!$N$5:$N$1004,MATCH(ROW()-4,$O$5:$O$1004,0)),"")</f>
        <v/>
      </c>
      <c r="Q359" s="0" t="str">
        <f aca="false">IF(ROW()-4&lt;=MAX($M$5:$M$1004),IFERROR(INDEX($N$5:$N$404,ROW()-4),""),IFERROR(INDEX($P$5:$P$404,ROW()-4-MAX($M$5:$M$1004)),""))</f>
        <v/>
      </c>
    </row>
    <row r="360" customFormat="false" ht="15" hidden="false" customHeight="false" outlineLevel="0" collapsed="false">
      <c r="M360" s="0" t="str">
        <f aca="false">IF(CSV貼付A!$N360="","",IF(COUNTIF(CSV貼付A!$N$5:$N360,CSV貼付A!$N360)&gt;1,"",MAX($M$4:M359)+1))</f>
        <v/>
      </c>
      <c r="N360" s="0" t="str">
        <f aca="false">IFERROR(INDEX(CSV貼付A!$N$5:$N$1004,MATCH(ROW()-4,$M$5:$M$1004,0)),"")</f>
        <v/>
      </c>
      <c r="O360" s="0" t="str">
        <f aca="false">IF(CSV貼付B!$N360="","",IF(COUNTIF(CSV貼付B!$N$5:$N360,CSV貼付B!$N360)&gt;1,"",MAX($O$4:O359)+1))</f>
        <v/>
      </c>
      <c r="P360" s="0" t="str">
        <f aca="false">IFERROR(INDEX(CSV貼付B!$N$5:$N$1004,MATCH(ROW()-4,$O$5:$O$1004,0)),"")</f>
        <v/>
      </c>
      <c r="Q360" s="0" t="str">
        <f aca="false">IF(ROW()-4&lt;=MAX($M$5:$M$1004),IFERROR(INDEX($N$5:$N$404,ROW()-4),""),IFERROR(INDEX($P$5:$P$404,ROW()-4-MAX($M$5:$M$1004)),""))</f>
        <v/>
      </c>
    </row>
    <row r="361" customFormat="false" ht="15" hidden="false" customHeight="false" outlineLevel="0" collapsed="false">
      <c r="M361" s="0" t="str">
        <f aca="false">IF(CSV貼付A!$N361="","",IF(COUNTIF(CSV貼付A!$N$5:$N361,CSV貼付A!$N361)&gt;1,"",MAX($M$4:M360)+1))</f>
        <v/>
      </c>
      <c r="N361" s="0" t="str">
        <f aca="false">IFERROR(INDEX(CSV貼付A!$N$5:$N$1004,MATCH(ROW()-4,$M$5:$M$1004,0)),"")</f>
        <v/>
      </c>
      <c r="O361" s="0" t="str">
        <f aca="false">IF(CSV貼付B!$N361="","",IF(COUNTIF(CSV貼付B!$N$5:$N361,CSV貼付B!$N361)&gt;1,"",MAX($O$4:O360)+1))</f>
        <v/>
      </c>
      <c r="P361" s="0" t="str">
        <f aca="false">IFERROR(INDEX(CSV貼付B!$N$5:$N$1004,MATCH(ROW()-4,$O$5:$O$1004,0)),"")</f>
        <v/>
      </c>
      <c r="Q361" s="0" t="str">
        <f aca="false">IF(ROW()-4&lt;=MAX($M$5:$M$1004),IFERROR(INDEX($N$5:$N$404,ROW()-4),""),IFERROR(INDEX($P$5:$P$404,ROW()-4-MAX($M$5:$M$1004)),""))</f>
        <v/>
      </c>
    </row>
    <row r="362" customFormat="false" ht="15" hidden="false" customHeight="false" outlineLevel="0" collapsed="false">
      <c r="M362" s="0" t="str">
        <f aca="false">IF(CSV貼付A!$N362="","",IF(COUNTIF(CSV貼付A!$N$5:$N362,CSV貼付A!$N362)&gt;1,"",MAX($M$4:M361)+1))</f>
        <v/>
      </c>
      <c r="N362" s="0" t="str">
        <f aca="false">IFERROR(INDEX(CSV貼付A!$N$5:$N$1004,MATCH(ROW()-4,$M$5:$M$1004,0)),"")</f>
        <v/>
      </c>
      <c r="O362" s="0" t="str">
        <f aca="false">IF(CSV貼付B!$N362="","",IF(COUNTIF(CSV貼付B!$N$5:$N362,CSV貼付B!$N362)&gt;1,"",MAX($O$4:O361)+1))</f>
        <v/>
      </c>
      <c r="P362" s="0" t="str">
        <f aca="false">IFERROR(INDEX(CSV貼付B!$N$5:$N$1004,MATCH(ROW()-4,$O$5:$O$1004,0)),"")</f>
        <v/>
      </c>
      <c r="Q362" s="0" t="str">
        <f aca="false">IF(ROW()-4&lt;=MAX($M$5:$M$1004),IFERROR(INDEX($N$5:$N$404,ROW()-4),""),IFERROR(INDEX($P$5:$P$404,ROW()-4-MAX($M$5:$M$1004)),""))</f>
        <v/>
      </c>
    </row>
    <row r="363" customFormat="false" ht="15" hidden="false" customHeight="false" outlineLevel="0" collapsed="false">
      <c r="M363" s="0" t="str">
        <f aca="false">IF(CSV貼付A!$N363="","",IF(COUNTIF(CSV貼付A!$N$5:$N363,CSV貼付A!$N363)&gt;1,"",MAX($M$4:M362)+1))</f>
        <v/>
      </c>
      <c r="N363" s="0" t="str">
        <f aca="false">IFERROR(INDEX(CSV貼付A!$N$5:$N$1004,MATCH(ROW()-4,$M$5:$M$1004,0)),"")</f>
        <v/>
      </c>
      <c r="O363" s="0" t="str">
        <f aca="false">IF(CSV貼付B!$N363="","",IF(COUNTIF(CSV貼付B!$N$5:$N363,CSV貼付B!$N363)&gt;1,"",MAX($O$4:O362)+1))</f>
        <v/>
      </c>
      <c r="P363" s="0" t="str">
        <f aca="false">IFERROR(INDEX(CSV貼付B!$N$5:$N$1004,MATCH(ROW()-4,$O$5:$O$1004,0)),"")</f>
        <v/>
      </c>
      <c r="Q363" s="0" t="str">
        <f aca="false">IF(ROW()-4&lt;=MAX($M$5:$M$1004),IFERROR(INDEX($N$5:$N$404,ROW()-4),""),IFERROR(INDEX($P$5:$P$404,ROW()-4-MAX($M$5:$M$1004)),""))</f>
        <v/>
      </c>
    </row>
    <row r="364" customFormat="false" ht="15" hidden="false" customHeight="false" outlineLevel="0" collapsed="false">
      <c r="M364" s="0" t="str">
        <f aca="false">IF(CSV貼付A!$N364="","",IF(COUNTIF(CSV貼付A!$N$5:$N364,CSV貼付A!$N364)&gt;1,"",MAX($M$4:M363)+1))</f>
        <v/>
      </c>
      <c r="N364" s="0" t="str">
        <f aca="false">IFERROR(INDEX(CSV貼付A!$N$5:$N$1004,MATCH(ROW()-4,$M$5:$M$1004,0)),"")</f>
        <v/>
      </c>
      <c r="O364" s="0" t="str">
        <f aca="false">IF(CSV貼付B!$N364="","",IF(COUNTIF(CSV貼付B!$N$5:$N364,CSV貼付B!$N364)&gt;1,"",MAX($O$4:O363)+1))</f>
        <v/>
      </c>
      <c r="P364" s="0" t="str">
        <f aca="false">IFERROR(INDEX(CSV貼付B!$N$5:$N$1004,MATCH(ROW()-4,$O$5:$O$1004,0)),"")</f>
        <v/>
      </c>
      <c r="Q364" s="0" t="str">
        <f aca="false">IF(ROW()-4&lt;=MAX($M$5:$M$1004),IFERROR(INDEX($N$5:$N$404,ROW()-4),""),IFERROR(INDEX($P$5:$P$404,ROW()-4-MAX($M$5:$M$1004)),""))</f>
        <v/>
      </c>
    </row>
    <row r="365" customFormat="false" ht="15" hidden="false" customHeight="false" outlineLevel="0" collapsed="false">
      <c r="M365" s="0" t="str">
        <f aca="false">IF(CSV貼付A!$N365="","",IF(COUNTIF(CSV貼付A!$N$5:$N365,CSV貼付A!$N365)&gt;1,"",MAX($M$4:M364)+1))</f>
        <v/>
      </c>
      <c r="N365" s="0" t="str">
        <f aca="false">IFERROR(INDEX(CSV貼付A!$N$5:$N$1004,MATCH(ROW()-4,$M$5:$M$1004,0)),"")</f>
        <v/>
      </c>
      <c r="O365" s="0" t="str">
        <f aca="false">IF(CSV貼付B!$N365="","",IF(COUNTIF(CSV貼付B!$N$5:$N365,CSV貼付B!$N365)&gt;1,"",MAX($O$4:O364)+1))</f>
        <v/>
      </c>
      <c r="P365" s="0" t="str">
        <f aca="false">IFERROR(INDEX(CSV貼付B!$N$5:$N$1004,MATCH(ROW()-4,$O$5:$O$1004,0)),"")</f>
        <v/>
      </c>
      <c r="Q365" s="0" t="str">
        <f aca="false">IF(ROW()-4&lt;=MAX($M$5:$M$1004),IFERROR(INDEX($N$5:$N$404,ROW()-4),""),IFERROR(INDEX($P$5:$P$404,ROW()-4-MAX($M$5:$M$1004)),""))</f>
        <v/>
      </c>
    </row>
    <row r="366" customFormat="false" ht="15" hidden="false" customHeight="false" outlineLevel="0" collapsed="false">
      <c r="M366" s="0" t="str">
        <f aca="false">IF(CSV貼付A!$N366="","",IF(COUNTIF(CSV貼付A!$N$5:$N366,CSV貼付A!$N366)&gt;1,"",MAX($M$4:M365)+1))</f>
        <v/>
      </c>
      <c r="N366" s="0" t="str">
        <f aca="false">IFERROR(INDEX(CSV貼付A!$N$5:$N$1004,MATCH(ROW()-4,$M$5:$M$1004,0)),"")</f>
        <v/>
      </c>
      <c r="O366" s="0" t="str">
        <f aca="false">IF(CSV貼付B!$N366="","",IF(COUNTIF(CSV貼付B!$N$5:$N366,CSV貼付B!$N366)&gt;1,"",MAX($O$4:O365)+1))</f>
        <v/>
      </c>
      <c r="P366" s="0" t="str">
        <f aca="false">IFERROR(INDEX(CSV貼付B!$N$5:$N$1004,MATCH(ROW()-4,$O$5:$O$1004,0)),"")</f>
        <v/>
      </c>
      <c r="Q366" s="0" t="str">
        <f aca="false">IF(ROW()-4&lt;=MAX($M$5:$M$1004),IFERROR(INDEX($N$5:$N$404,ROW()-4),""),IFERROR(INDEX($P$5:$P$404,ROW()-4-MAX($M$5:$M$1004)),""))</f>
        <v/>
      </c>
    </row>
    <row r="367" customFormat="false" ht="15" hidden="false" customHeight="false" outlineLevel="0" collapsed="false">
      <c r="M367" s="0" t="str">
        <f aca="false">IF(CSV貼付A!$N367="","",IF(COUNTIF(CSV貼付A!$N$5:$N367,CSV貼付A!$N367)&gt;1,"",MAX($M$4:M366)+1))</f>
        <v/>
      </c>
      <c r="N367" s="0" t="str">
        <f aca="false">IFERROR(INDEX(CSV貼付A!$N$5:$N$1004,MATCH(ROW()-4,$M$5:$M$1004,0)),"")</f>
        <v/>
      </c>
      <c r="O367" s="0" t="str">
        <f aca="false">IF(CSV貼付B!$N367="","",IF(COUNTIF(CSV貼付B!$N$5:$N367,CSV貼付B!$N367)&gt;1,"",MAX($O$4:O366)+1))</f>
        <v/>
      </c>
      <c r="P367" s="0" t="str">
        <f aca="false">IFERROR(INDEX(CSV貼付B!$N$5:$N$1004,MATCH(ROW()-4,$O$5:$O$1004,0)),"")</f>
        <v/>
      </c>
      <c r="Q367" s="0" t="str">
        <f aca="false">IF(ROW()-4&lt;=MAX($M$5:$M$1004),IFERROR(INDEX($N$5:$N$404,ROW()-4),""),IFERROR(INDEX($P$5:$P$404,ROW()-4-MAX($M$5:$M$1004)),""))</f>
        <v/>
      </c>
    </row>
    <row r="368" customFormat="false" ht="15" hidden="false" customHeight="false" outlineLevel="0" collapsed="false">
      <c r="M368" s="0" t="str">
        <f aca="false">IF(CSV貼付A!$N368="","",IF(COUNTIF(CSV貼付A!$N$5:$N368,CSV貼付A!$N368)&gt;1,"",MAX($M$4:M367)+1))</f>
        <v/>
      </c>
      <c r="N368" s="0" t="str">
        <f aca="false">IFERROR(INDEX(CSV貼付A!$N$5:$N$1004,MATCH(ROW()-4,$M$5:$M$1004,0)),"")</f>
        <v/>
      </c>
      <c r="O368" s="0" t="str">
        <f aca="false">IF(CSV貼付B!$N368="","",IF(COUNTIF(CSV貼付B!$N$5:$N368,CSV貼付B!$N368)&gt;1,"",MAX($O$4:O367)+1))</f>
        <v/>
      </c>
      <c r="P368" s="0" t="str">
        <f aca="false">IFERROR(INDEX(CSV貼付B!$N$5:$N$1004,MATCH(ROW()-4,$O$5:$O$1004,0)),"")</f>
        <v/>
      </c>
      <c r="Q368" s="0" t="str">
        <f aca="false">IF(ROW()-4&lt;=MAX($M$5:$M$1004),IFERROR(INDEX($N$5:$N$404,ROW()-4),""),IFERROR(INDEX($P$5:$P$404,ROW()-4-MAX($M$5:$M$1004)),""))</f>
        <v/>
      </c>
    </row>
    <row r="369" customFormat="false" ht="15" hidden="false" customHeight="false" outlineLevel="0" collapsed="false">
      <c r="M369" s="0" t="str">
        <f aca="false">IF(CSV貼付A!$N369="","",IF(COUNTIF(CSV貼付A!$N$5:$N369,CSV貼付A!$N369)&gt;1,"",MAX($M$4:M368)+1))</f>
        <v/>
      </c>
      <c r="N369" s="0" t="str">
        <f aca="false">IFERROR(INDEX(CSV貼付A!$N$5:$N$1004,MATCH(ROW()-4,$M$5:$M$1004,0)),"")</f>
        <v/>
      </c>
      <c r="O369" s="0" t="str">
        <f aca="false">IF(CSV貼付B!$N369="","",IF(COUNTIF(CSV貼付B!$N$5:$N369,CSV貼付B!$N369)&gt;1,"",MAX($O$4:O368)+1))</f>
        <v/>
      </c>
      <c r="P369" s="0" t="str">
        <f aca="false">IFERROR(INDEX(CSV貼付B!$N$5:$N$1004,MATCH(ROW()-4,$O$5:$O$1004,0)),"")</f>
        <v/>
      </c>
      <c r="Q369" s="0" t="str">
        <f aca="false">IF(ROW()-4&lt;=MAX($M$5:$M$1004),IFERROR(INDEX($N$5:$N$404,ROW()-4),""),IFERROR(INDEX($P$5:$P$404,ROW()-4-MAX($M$5:$M$1004)),""))</f>
        <v/>
      </c>
    </row>
    <row r="370" customFormat="false" ht="15" hidden="false" customHeight="false" outlineLevel="0" collapsed="false">
      <c r="M370" s="0" t="str">
        <f aca="false">IF(CSV貼付A!$N370="","",IF(COUNTIF(CSV貼付A!$N$5:$N370,CSV貼付A!$N370)&gt;1,"",MAX($M$4:M369)+1))</f>
        <v/>
      </c>
      <c r="N370" s="0" t="str">
        <f aca="false">IFERROR(INDEX(CSV貼付A!$N$5:$N$1004,MATCH(ROW()-4,$M$5:$M$1004,0)),"")</f>
        <v/>
      </c>
      <c r="O370" s="0" t="str">
        <f aca="false">IF(CSV貼付B!$N370="","",IF(COUNTIF(CSV貼付B!$N$5:$N370,CSV貼付B!$N370)&gt;1,"",MAX($O$4:O369)+1))</f>
        <v/>
      </c>
      <c r="P370" s="0" t="str">
        <f aca="false">IFERROR(INDEX(CSV貼付B!$N$5:$N$1004,MATCH(ROW()-4,$O$5:$O$1004,0)),"")</f>
        <v/>
      </c>
      <c r="Q370" s="0" t="str">
        <f aca="false">IF(ROW()-4&lt;=MAX($M$5:$M$1004),IFERROR(INDEX($N$5:$N$404,ROW()-4),""),IFERROR(INDEX($P$5:$P$404,ROW()-4-MAX($M$5:$M$1004)),""))</f>
        <v/>
      </c>
    </row>
    <row r="371" customFormat="false" ht="15" hidden="false" customHeight="false" outlineLevel="0" collapsed="false">
      <c r="M371" s="0" t="str">
        <f aca="false">IF(CSV貼付A!$N371="","",IF(COUNTIF(CSV貼付A!$N$5:$N371,CSV貼付A!$N371)&gt;1,"",MAX($M$4:M370)+1))</f>
        <v/>
      </c>
      <c r="N371" s="0" t="str">
        <f aca="false">IFERROR(INDEX(CSV貼付A!$N$5:$N$1004,MATCH(ROW()-4,$M$5:$M$1004,0)),"")</f>
        <v/>
      </c>
      <c r="O371" s="0" t="str">
        <f aca="false">IF(CSV貼付B!$N371="","",IF(COUNTIF(CSV貼付B!$N$5:$N371,CSV貼付B!$N371)&gt;1,"",MAX($O$4:O370)+1))</f>
        <v/>
      </c>
      <c r="P371" s="0" t="str">
        <f aca="false">IFERROR(INDEX(CSV貼付B!$N$5:$N$1004,MATCH(ROW()-4,$O$5:$O$1004,0)),"")</f>
        <v/>
      </c>
      <c r="Q371" s="0" t="str">
        <f aca="false">IF(ROW()-4&lt;=MAX($M$5:$M$1004),IFERROR(INDEX($N$5:$N$404,ROW()-4),""),IFERROR(INDEX($P$5:$P$404,ROW()-4-MAX($M$5:$M$1004)),""))</f>
        <v/>
      </c>
    </row>
    <row r="372" customFormat="false" ht="15" hidden="false" customHeight="false" outlineLevel="0" collapsed="false">
      <c r="M372" s="0" t="str">
        <f aca="false">IF(CSV貼付A!$N372="","",IF(COUNTIF(CSV貼付A!$N$5:$N372,CSV貼付A!$N372)&gt;1,"",MAX($M$4:M371)+1))</f>
        <v/>
      </c>
      <c r="N372" s="0" t="str">
        <f aca="false">IFERROR(INDEX(CSV貼付A!$N$5:$N$1004,MATCH(ROW()-4,$M$5:$M$1004,0)),"")</f>
        <v/>
      </c>
      <c r="O372" s="0" t="str">
        <f aca="false">IF(CSV貼付B!$N372="","",IF(COUNTIF(CSV貼付B!$N$5:$N372,CSV貼付B!$N372)&gt;1,"",MAX($O$4:O371)+1))</f>
        <v/>
      </c>
      <c r="P372" s="0" t="str">
        <f aca="false">IFERROR(INDEX(CSV貼付B!$N$5:$N$1004,MATCH(ROW()-4,$O$5:$O$1004,0)),"")</f>
        <v/>
      </c>
      <c r="Q372" s="0" t="str">
        <f aca="false">IF(ROW()-4&lt;=MAX($M$5:$M$1004),IFERROR(INDEX($N$5:$N$404,ROW()-4),""),IFERROR(INDEX($P$5:$P$404,ROW()-4-MAX($M$5:$M$1004)),""))</f>
        <v/>
      </c>
    </row>
    <row r="373" customFormat="false" ht="15" hidden="false" customHeight="false" outlineLevel="0" collapsed="false">
      <c r="M373" s="0" t="str">
        <f aca="false">IF(CSV貼付A!$N373="","",IF(COUNTIF(CSV貼付A!$N$5:$N373,CSV貼付A!$N373)&gt;1,"",MAX($M$4:M372)+1))</f>
        <v/>
      </c>
      <c r="N373" s="0" t="str">
        <f aca="false">IFERROR(INDEX(CSV貼付A!$N$5:$N$1004,MATCH(ROW()-4,$M$5:$M$1004,0)),"")</f>
        <v/>
      </c>
      <c r="O373" s="0" t="str">
        <f aca="false">IF(CSV貼付B!$N373="","",IF(COUNTIF(CSV貼付B!$N$5:$N373,CSV貼付B!$N373)&gt;1,"",MAX($O$4:O372)+1))</f>
        <v/>
      </c>
      <c r="P373" s="0" t="str">
        <f aca="false">IFERROR(INDEX(CSV貼付B!$N$5:$N$1004,MATCH(ROW()-4,$O$5:$O$1004,0)),"")</f>
        <v/>
      </c>
      <c r="Q373" s="0" t="str">
        <f aca="false">IF(ROW()-4&lt;=MAX($M$5:$M$1004),IFERROR(INDEX($N$5:$N$404,ROW()-4),""),IFERROR(INDEX($P$5:$P$404,ROW()-4-MAX($M$5:$M$1004)),""))</f>
        <v/>
      </c>
    </row>
    <row r="374" customFormat="false" ht="15" hidden="false" customHeight="false" outlineLevel="0" collapsed="false">
      <c r="M374" s="0" t="str">
        <f aca="false">IF(CSV貼付A!$N374="","",IF(COUNTIF(CSV貼付A!$N$5:$N374,CSV貼付A!$N374)&gt;1,"",MAX($M$4:M373)+1))</f>
        <v/>
      </c>
      <c r="N374" s="0" t="str">
        <f aca="false">IFERROR(INDEX(CSV貼付A!$N$5:$N$1004,MATCH(ROW()-4,$M$5:$M$1004,0)),"")</f>
        <v/>
      </c>
      <c r="O374" s="0" t="str">
        <f aca="false">IF(CSV貼付B!$N374="","",IF(COUNTIF(CSV貼付B!$N$5:$N374,CSV貼付B!$N374)&gt;1,"",MAX($O$4:O373)+1))</f>
        <v/>
      </c>
      <c r="P374" s="0" t="str">
        <f aca="false">IFERROR(INDEX(CSV貼付B!$N$5:$N$1004,MATCH(ROW()-4,$O$5:$O$1004,0)),"")</f>
        <v/>
      </c>
      <c r="Q374" s="0" t="str">
        <f aca="false">IF(ROW()-4&lt;=MAX($M$5:$M$1004),IFERROR(INDEX($N$5:$N$404,ROW()-4),""),IFERROR(INDEX($P$5:$P$404,ROW()-4-MAX($M$5:$M$1004)),""))</f>
        <v/>
      </c>
    </row>
    <row r="375" customFormat="false" ht="15" hidden="false" customHeight="false" outlineLevel="0" collapsed="false">
      <c r="M375" s="0" t="str">
        <f aca="false">IF(CSV貼付A!$N375="","",IF(COUNTIF(CSV貼付A!$N$5:$N375,CSV貼付A!$N375)&gt;1,"",MAX($M$4:M374)+1))</f>
        <v/>
      </c>
      <c r="N375" s="0" t="str">
        <f aca="false">IFERROR(INDEX(CSV貼付A!$N$5:$N$1004,MATCH(ROW()-4,$M$5:$M$1004,0)),"")</f>
        <v/>
      </c>
      <c r="O375" s="0" t="str">
        <f aca="false">IF(CSV貼付B!$N375="","",IF(COUNTIF(CSV貼付B!$N$5:$N375,CSV貼付B!$N375)&gt;1,"",MAX($O$4:O374)+1))</f>
        <v/>
      </c>
      <c r="P375" s="0" t="str">
        <f aca="false">IFERROR(INDEX(CSV貼付B!$N$5:$N$1004,MATCH(ROW()-4,$O$5:$O$1004,0)),"")</f>
        <v/>
      </c>
      <c r="Q375" s="0" t="str">
        <f aca="false">IF(ROW()-4&lt;=MAX($M$5:$M$1004),IFERROR(INDEX($N$5:$N$404,ROW()-4),""),IFERROR(INDEX($P$5:$P$404,ROW()-4-MAX($M$5:$M$1004)),""))</f>
        <v/>
      </c>
    </row>
    <row r="376" customFormat="false" ht="15" hidden="false" customHeight="false" outlineLevel="0" collapsed="false">
      <c r="M376" s="0" t="str">
        <f aca="false">IF(CSV貼付A!$N376="","",IF(COUNTIF(CSV貼付A!$N$5:$N376,CSV貼付A!$N376)&gt;1,"",MAX($M$4:M375)+1))</f>
        <v/>
      </c>
      <c r="N376" s="0" t="str">
        <f aca="false">IFERROR(INDEX(CSV貼付A!$N$5:$N$1004,MATCH(ROW()-4,$M$5:$M$1004,0)),"")</f>
        <v/>
      </c>
      <c r="O376" s="0" t="str">
        <f aca="false">IF(CSV貼付B!$N376="","",IF(COUNTIF(CSV貼付B!$N$5:$N376,CSV貼付B!$N376)&gt;1,"",MAX($O$4:O375)+1))</f>
        <v/>
      </c>
      <c r="P376" s="0" t="str">
        <f aca="false">IFERROR(INDEX(CSV貼付B!$N$5:$N$1004,MATCH(ROW()-4,$O$5:$O$1004,0)),"")</f>
        <v/>
      </c>
      <c r="Q376" s="0" t="str">
        <f aca="false">IF(ROW()-4&lt;=MAX($M$5:$M$1004),IFERROR(INDEX($N$5:$N$404,ROW()-4),""),IFERROR(INDEX($P$5:$P$404,ROW()-4-MAX($M$5:$M$1004)),""))</f>
        <v/>
      </c>
    </row>
    <row r="377" customFormat="false" ht="15" hidden="false" customHeight="false" outlineLevel="0" collapsed="false">
      <c r="M377" s="0" t="str">
        <f aca="false">IF(CSV貼付A!$N377="","",IF(COUNTIF(CSV貼付A!$N$5:$N377,CSV貼付A!$N377)&gt;1,"",MAX($M$4:M376)+1))</f>
        <v/>
      </c>
      <c r="N377" s="0" t="str">
        <f aca="false">IFERROR(INDEX(CSV貼付A!$N$5:$N$1004,MATCH(ROW()-4,$M$5:$M$1004,0)),"")</f>
        <v/>
      </c>
      <c r="O377" s="0" t="str">
        <f aca="false">IF(CSV貼付B!$N377="","",IF(COUNTIF(CSV貼付B!$N$5:$N377,CSV貼付B!$N377)&gt;1,"",MAX($O$4:O376)+1))</f>
        <v/>
      </c>
      <c r="P377" s="0" t="str">
        <f aca="false">IFERROR(INDEX(CSV貼付B!$N$5:$N$1004,MATCH(ROW()-4,$O$5:$O$1004,0)),"")</f>
        <v/>
      </c>
      <c r="Q377" s="0" t="str">
        <f aca="false">IF(ROW()-4&lt;=MAX($M$5:$M$1004),IFERROR(INDEX($N$5:$N$404,ROW()-4),""),IFERROR(INDEX($P$5:$P$404,ROW()-4-MAX($M$5:$M$1004)),""))</f>
        <v/>
      </c>
    </row>
    <row r="378" customFormat="false" ht="15" hidden="false" customHeight="false" outlineLevel="0" collapsed="false">
      <c r="M378" s="0" t="str">
        <f aca="false">IF(CSV貼付A!$N378="","",IF(COUNTIF(CSV貼付A!$N$5:$N378,CSV貼付A!$N378)&gt;1,"",MAX($M$4:M377)+1))</f>
        <v/>
      </c>
      <c r="N378" s="0" t="str">
        <f aca="false">IFERROR(INDEX(CSV貼付A!$N$5:$N$1004,MATCH(ROW()-4,$M$5:$M$1004,0)),"")</f>
        <v/>
      </c>
      <c r="O378" s="0" t="str">
        <f aca="false">IF(CSV貼付B!$N378="","",IF(COUNTIF(CSV貼付B!$N$5:$N378,CSV貼付B!$N378)&gt;1,"",MAX($O$4:O377)+1))</f>
        <v/>
      </c>
      <c r="P378" s="0" t="str">
        <f aca="false">IFERROR(INDEX(CSV貼付B!$N$5:$N$1004,MATCH(ROW()-4,$O$5:$O$1004,0)),"")</f>
        <v/>
      </c>
      <c r="Q378" s="0" t="str">
        <f aca="false">IF(ROW()-4&lt;=MAX($M$5:$M$1004),IFERROR(INDEX($N$5:$N$404,ROW()-4),""),IFERROR(INDEX($P$5:$P$404,ROW()-4-MAX($M$5:$M$1004)),""))</f>
        <v/>
      </c>
    </row>
    <row r="379" customFormat="false" ht="15" hidden="false" customHeight="false" outlineLevel="0" collapsed="false">
      <c r="M379" s="0" t="str">
        <f aca="false">IF(CSV貼付A!$N379="","",IF(COUNTIF(CSV貼付A!$N$5:$N379,CSV貼付A!$N379)&gt;1,"",MAX($M$4:M378)+1))</f>
        <v/>
      </c>
      <c r="N379" s="0" t="str">
        <f aca="false">IFERROR(INDEX(CSV貼付A!$N$5:$N$1004,MATCH(ROW()-4,$M$5:$M$1004,0)),"")</f>
        <v/>
      </c>
      <c r="O379" s="0" t="str">
        <f aca="false">IF(CSV貼付B!$N379="","",IF(COUNTIF(CSV貼付B!$N$5:$N379,CSV貼付B!$N379)&gt;1,"",MAX($O$4:O378)+1))</f>
        <v/>
      </c>
      <c r="P379" s="0" t="str">
        <f aca="false">IFERROR(INDEX(CSV貼付B!$N$5:$N$1004,MATCH(ROW()-4,$O$5:$O$1004,0)),"")</f>
        <v/>
      </c>
      <c r="Q379" s="0" t="str">
        <f aca="false">IF(ROW()-4&lt;=MAX($M$5:$M$1004),IFERROR(INDEX($N$5:$N$404,ROW()-4),""),IFERROR(INDEX($P$5:$P$404,ROW()-4-MAX($M$5:$M$1004)),""))</f>
        <v/>
      </c>
    </row>
    <row r="380" customFormat="false" ht="15" hidden="false" customHeight="false" outlineLevel="0" collapsed="false">
      <c r="M380" s="0" t="str">
        <f aca="false">IF(CSV貼付A!$N380="","",IF(COUNTIF(CSV貼付A!$N$5:$N380,CSV貼付A!$N380)&gt;1,"",MAX($M$4:M379)+1))</f>
        <v/>
      </c>
      <c r="N380" s="0" t="str">
        <f aca="false">IFERROR(INDEX(CSV貼付A!$N$5:$N$1004,MATCH(ROW()-4,$M$5:$M$1004,0)),"")</f>
        <v/>
      </c>
      <c r="O380" s="0" t="str">
        <f aca="false">IF(CSV貼付B!$N380="","",IF(COUNTIF(CSV貼付B!$N$5:$N380,CSV貼付B!$N380)&gt;1,"",MAX($O$4:O379)+1))</f>
        <v/>
      </c>
      <c r="P380" s="0" t="str">
        <f aca="false">IFERROR(INDEX(CSV貼付B!$N$5:$N$1004,MATCH(ROW()-4,$O$5:$O$1004,0)),"")</f>
        <v/>
      </c>
      <c r="Q380" s="0" t="str">
        <f aca="false">IF(ROW()-4&lt;=MAX($M$5:$M$1004),IFERROR(INDEX($N$5:$N$404,ROW()-4),""),IFERROR(INDEX($P$5:$P$404,ROW()-4-MAX($M$5:$M$1004)),""))</f>
        <v/>
      </c>
    </row>
    <row r="381" customFormat="false" ht="15" hidden="false" customHeight="false" outlineLevel="0" collapsed="false">
      <c r="M381" s="0" t="str">
        <f aca="false">IF(CSV貼付A!$N381="","",IF(COUNTIF(CSV貼付A!$N$5:$N381,CSV貼付A!$N381)&gt;1,"",MAX($M$4:M380)+1))</f>
        <v/>
      </c>
      <c r="N381" s="0" t="str">
        <f aca="false">IFERROR(INDEX(CSV貼付A!$N$5:$N$1004,MATCH(ROW()-4,$M$5:$M$1004,0)),"")</f>
        <v/>
      </c>
      <c r="O381" s="0" t="str">
        <f aca="false">IF(CSV貼付B!$N381="","",IF(COUNTIF(CSV貼付B!$N$5:$N381,CSV貼付B!$N381)&gt;1,"",MAX($O$4:O380)+1))</f>
        <v/>
      </c>
      <c r="P381" s="0" t="str">
        <f aca="false">IFERROR(INDEX(CSV貼付B!$N$5:$N$1004,MATCH(ROW()-4,$O$5:$O$1004,0)),"")</f>
        <v/>
      </c>
      <c r="Q381" s="0" t="str">
        <f aca="false">IF(ROW()-4&lt;=MAX($M$5:$M$1004),IFERROR(INDEX($N$5:$N$404,ROW()-4),""),IFERROR(INDEX($P$5:$P$404,ROW()-4-MAX($M$5:$M$1004)),""))</f>
        <v/>
      </c>
    </row>
    <row r="382" customFormat="false" ht="15" hidden="false" customHeight="false" outlineLevel="0" collapsed="false">
      <c r="M382" s="0" t="str">
        <f aca="false">IF(CSV貼付A!$N382="","",IF(COUNTIF(CSV貼付A!$N$5:$N382,CSV貼付A!$N382)&gt;1,"",MAX($M$4:M381)+1))</f>
        <v/>
      </c>
      <c r="N382" s="0" t="str">
        <f aca="false">IFERROR(INDEX(CSV貼付A!$N$5:$N$1004,MATCH(ROW()-4,$M$5:$M$1004,0)),"")</f>
        <v/>
      </c>
      <c r="O382" s="0" t="str">
        <f aca="false">IF(CSV貼付B!$N382="","",IF(COUNTIF(CSV貼付B!$N$5:$N382,CSV貼付B!$N382)&gt;1,"",MAX($O$4:O381)+1))</f>
        <v/>
      </c>
      <c r="P382" s="0" t="str">
        <f aca="false">IFERROR(INDEX(CSV貼付B!$N$5:$N$1004,MATCH(ROW()-4,$O$5:$O$1004,0)),"")</f>
        <v/>
      </c>
      <c r="Q382" s="0" t="str">
        <f aca="false">IF(ROW()-4&lt;=MAX($M$5:$M$1004),IFERROR(INDEX($N$5:$N$404,ROW()-4),""),IFERROR(INDEX($P$5:$P$404,ROW()-4-MAX($M$5:$M$1004)),""))</f>
        <v/>
      </c>
    </row>
    <row r="383" customFormat="false" ht="15" hidden="false" customHeight="false" outlineLevel="0" collapsed="false">
      <c r="M383" s="0" t="str">
        <f aca="false">IF(CSV貼付A!$N383="","",IF(COUNTIF(CSV貼付A!$N$5:$N383,CSV貼付A!$N383)&gt;1,"",MAX($M$4:M382)+1))</f>
        <v/>
      </c>
      <c r="N383" s="0" t="str">
        <f aca="false">IFERROR(INDEX(CSV貼付A!$N$5:$N$1004,MATCH(ROW()-4,$M$5:$M$1004,0)),"")</f>
        <v/>
      </c>
      <c r="O383" s="0" t="str">
        <f aca="false">IF(CSV貼付B!$N383="","",IF(COUNTIF(CSV貼付B!$N$5:$N383,CSV貼付B!$N383)&gt;1,"",MAX($O$4:O382)+1))</f>
        <v/>
      </c>
      <c r="P383" s="0" t="str">
        <f aca="false">IFERROR(INDEX(CSV貼付B!$N$5:$N$1004,MATCH(ROW()-4,$O$5:$O$1004,0)),"")</f>
        <v/>
      </c>
      <c r="Q383" s="0" t="str">
        <f aca="false">IF(ROW()-4&lt;=MAX($M$5:$M$1004),IFERROR(INDEX($N$5:$N$404,ROW()-4),""),IFERROR(INDEX($P$5:$P$404,ROW()-4-MAX($M$5:$M$1004)),""))</f>
        <v/>
      </c>
    </row>
    <row r="384" customFormat="false" ht="15" hidden="false" customHeight="false" outlineLevel="0" collapsed="false">
      <c r="M384" s="0" t="str">
        <f aca="false">IF(CSV貼付A!$N384="","",IF(COUNTIF(CSV貼付A!$N$5:$N384,CSV貼付A!$N384)&gt;1,"",MAX($M$4:M383)+1))</f>
        <v/>
      </c>
      <c r="N384" s="0" t="str">
        <f aca="false">IFERROR(INDEX(CSV貼付A!$N$5:$N$1004,MATCH(ROW()-4,$M$5:$M$1004,0)),"")</f>
        <v/>
      </c>
      <c r="O384" s="0" t="str">
        <f aca="false">IF(CSV貼付B!$N384="","",IF(COUNTIF(CSV貼付B!$N$5:$N384,CSV貼付B!$N384)&gt;1,"",MAX($O$4:O383)+1))</f>
        <v/>
      </c>
      <c r="P384" s="0" t="str">
        <f aca="false">IFERROR(INDEX(CSV貼付B!$N$5:$N$1004,MATCH(ROW()-4,$O$5:$O$1004,0)),"")</f>
        <v/>
      </c>
      <c r="Q384" s="0" t="str">
        <f aca="false">IF(ROW()-4&lt;=MAX($M$5:$M$1004),IFERROR(INDEX($N$5:$N$404,ROW()-4),""),IFERROR(INDEX($P$5:$P$404,ROW()-4-MAX($M$5:$M$1004)),""))</f>
        <v/>
      </c>
    </row>
    <row r="385" customFormat="false" ht="15" hidden="false" customHeight="false" outlineLevel="0" collapsed="false">
      <c r="M385" s="0" t="str">
        <f aca="false">IF(CSV貼付A!$N385="","",IF(COUNTIF(CSV貼付A!$N$5:$N385,CSV貼付A!$N385)&gt;1,"",MAX($M$4:M384)+1))</f>
        <v/>
      </c>
      <c r="N385" s="0" t="str">
        <f aca="false">IFERROR(INDEX(CSV貼付A!$N$5:$N$1004,MATCH(ROW()-4,$M$5:$M$1004,0)),"")</f>
        <v/>
      </c>
      <c r="O385" s="0" t="str">
        <f aca="false">IF(CSV貼付B!$N385="","",IF(COUNTIF(CSV貼付B!$N$5:$N385,CSV貼付B!$N385)&gt;1,"",MAX($O$4:O384)+1))</f>
        <v/>
      </c>
      <c r="P385" s="0" t="str">
        <f aca="false">IFERROR(INDEX(CSV貼付B!$N$5:$N$1004,MATCH(ROW()-4,$O$5:$O$1004,0)),"")</f>
        <v/>
      </c>
      <c r="Q385" s="0" t="str">
        <f aca="false">IF(ROW()-4&lt;=MAX($M$5:$M$1004),IFERROR(INDEX($N$5:$N$404,ROW()-4),""),IFERROR(INDEX($P$5:$P$404,ROW()-4-MAX($M$5:$M$1004)),""))</f>
        <v/>
      </c>
    </row>
    <row r="386" customFormat="false" ht="15" hidden="false" customHeight="false" outlineLevel="0" collapsed="false">
      <c r="M386" s="0" t="str">
        <f aca="false">IF(CSV貼付A!$N386="","",IF(COUNTIF(CSV貼付A!$N$5:$N386,CSV貼付A!$N386)&gt;1,"",MAX($M$4:M385)+1))</f>
        <v/>
      </c>
      <c r="N386" s="0" t="str">
        <f aca="false">IFERROR(INDEX(CSV貼付A!$N$5:$N$1004,MATCH(ROW()-4,$M$5:$M$1004,0)),"")</f>
        <v/>
      </c>
      <c r="O386" s="0" t="str">
        <f aca="false">IF(CSV貼付B!$N386="","",IF(COUNTIF(CSV貼付B!$N$5:$N386,CSV貼付B!$N386)&gt;1,"",MAX($O$4:O385)+1))</f>
        <v/>
      </c>
      <c r="P386" s="0" t="str">
        <f aca="false">IFERROR(INDEX(CSV貼付B!$N$5:$N$1004,MATCH(ROW()-4,$O$5:$O$1004,0)),"")</f>
        <v/>
      </c>
      <c r="Q386" s="0" t="str">
        <f aca="false">IF(ROW()-4&lt;=MAX($M$5:$M$1004),IFERROR(INDEX($N$5:$N$404,ROW()-4),""),IFERROR(INDEX($P$5:$P$404,ROW()-4-MAX($M$5:$M$1004)),""))</f>
        <v/>
      </c>
    </row>
    <row r="387" customFormat="false" ht="15" hidden="false" customHeight="false" outlineLevel="0" collapsed="false">
      <c r="M387" s="0" t="str">
        <f aca="false">IF(CSV貼付A!$N387="","",IF(COUNTIF(CSV貼付A!$N$5:$N387,CSV貼付A!$N387)&gt;1,"",MAX($M$4:M386)+1))</f>
        <v/>
      </c>
      <c r="N387" s="0" t="str">
        <f aca="false">IFERROR(INDEX(CSV貼付A!$N$5:$N$1004,MATCH(ROW()-4,$M$5:$M$1004,0)),"")</f>
        <v/>
      </c>
      <c r="O387" s="0" t="str">
        <f aca="false">IF(CSV貼付B!$N387="","",IF(COUNTIF(CSV貼付B!$N$5:$N387,CSV貼付B!$N387)&gt;1,"",MAX($O$4:O386)+1))</f>
        <v/>
      </c>
      <c r="P387" s="0" t="str">
        <f aca="false">IFERROR(INDEX(CSV貼付B!$N$5:$N$1004,MATCH(ROW()-4,$O$5:$O$1004,0)),"")</f>
        <v/>
      </c>
      <c r="Q387" s="0" t="str">
        <f aca="false">IF(ROW()-4&lt;=MAX($M$5:$M$1004),IFERROR(INDEX($N$5:$N$404,ROW()-4),""),IFERROR(INDEX($P$5:$P$404,ROW()-4-MAX($M$5:$M$1004)),""))</f>
        <v/>
      </c>
    </row>
    <row r="388" customFormat="false" ht="15" hidden="false" customHeight="false" outlineLevel="0" collapsed="false">
      <c r="M388" s="0" t="str">
        <f aca="false">IF(CSV貼付A!$N388="","",IF(COUNTIF(CSV貼付A!$N$5:$N388,CSV貼付A!$N388)&gt;1,"",MAX($M$4:M387)+1))</f>
        <v/>
      </c>
      <c r="N388" s="0" t="str">
        <f aca="false">IFERROR(INDEX(CSV貼付A!$N$5:$N$1004,MATCH(ROW()-4,$M$5:$M$1004,0)),"")</f>
        <v/>
      </c>
      <c r="O388" s="0" t="str">
        <f aca="false">IF(CSV貼付B!$N388="","",IF(COUNTIF(CSV貼付B!$N$5:$N388,CSV貼付B!$N388)&gt;1,"",MAX($O$4:O387)+1))</f>
        <v/>
      </c>
      <c r="P388" s="0" t="str">
        <f aca="false">IFERROR(INDEX(CSV貼付B!$N$5:$N$1004,MATCH(ROW()-4,$O$5:$O$1004,0)),"")</f>
        <v/>
      </c>
      <c r="Q388" s="0" t="str">
        <f aca="false">IF(ROW()-4&lt;=MAX($M$5:$M$1004),IFERROR(INDEX($N$5:$N$404,ROW()-4),""),IFERROR(INDEX($P$5:$P$404,ROW()-4-MAX($M$5:$M$1004)),""))</f>
        <v/>
      </c>
    </row>
    <row r="389" customFormat="false" ht="15" hidden="false" customHeight="false" outlineLevel="0" collapsed="false">
      <c r="M389" s="0" t="str">
        <f aca="false">IF(CSV貼付A!$N389="","",IF(COUNTIF(CSV貼付A!$N$5:$N389,CSV貼付A!$N389)&gt;1,"",MAX($M$4:M388)+1))</f>
        <v/>
      </c>
      <c r="N389" s="0" t="str">
        <f aca="false">IFERROR(INDEX(CSV貼付A!$N$5:$N$1004,MATCH(ROW()-4,$M$5:$M$1004,0)),"")</f>
        <v/>
      </c>
      <c r="O389" s="0" t="str">
        <f aca="false">IF(CSV貼付B!$N389="","",IF(COUNTIF(CSV貼付B!$N$5:$N389,CSV貼付B!$N389)&gt;1,"",MAX($O$4:O388)+1))</f>
        <v/>
      </c>
      <c r="P389" s="0" t="str">
        <f aca="false">IFERROR(INDEX(CSV貼付B!$N$5:$N$1004,MATCH(ROW()-4,$O$5:$O$1004,0)),"")</f>
        <v/>
      </c>
      <c r="Q389" s="0" t="str">
        <f aca="false">IF(ROW()-4&lt;=MAX($M$5:$M$1004),IFERROR(INDEX($N$5:$N$404,ROW()-4),""),IFERROR(INDEX($P$5:$P$404,ROW()-4-MAX($M$5:$M$1004)),""))</f>
        <v/>
      </c>
    </row>
    <row r="390" customFormat="false" ht="15" hidden="false" customHeight="false" outlineLevel="0" collapsed="false">
      <c r="M390" s="0" t="str">
        <f aca="false">IF(CSV貼付A!$N390="","",IF(COUNTIF(CSV貼付A!$N$5:$N390,CSV貼付A!$N390)&gt;1,"",MAX($M$4:M389)+1))</f>
        <v/>
      </c>
      <c r="N390" s="0" t="str">
        <f aca="false">IFERROR(INDEX(CSV貼付A!$N$5:$N$1004,MATCH(ROW()-4,$M$5:$M$1004,0)),"")</f>
        <v/>
      </c>
      <c r="O390" s="0" t="str">
        <f aca="false">IF(CSV貼付B!$N390="","",IF(COUNTIF(CSV貼付B!$N$5:$N390,CSV貼付B!$N390)&gt;1,"",MAX($O$4:O389)+1))</f>
        <v/>
      </c>
      <c r="P390" s="0" t="str">
        <f aca="false">IFERROR(INDEX(CSV貼付B!$N$5:$N$1004,MATCH(ROW()-4,$O$5:$O$1004,0)),"")</f>
        <v/>
      </c>
      <c r="Q390" s="0" t="str">
        <f aca="false">IF(ROW()-4&lt;=MAX($M$5:$M$1004),IFERROR(INDEX($N$5:$N$404,ROW()-4),""),IFERROR(INDEX($P$5:$P$404,ROW()-4-MAX($M$5:$M$1004)),""))</f>
        <v/>
      </c>
    </row>
    <row r="391" customFormat="false" ht="15" hidden="false" customHeight="false" outlineLevel="0" collapsed="false">
      <c r="M391" s="0" t="str">
        <f aca="false">IF(CSV貼付A!$N391="","",IF(COUNTIF(CSV貼付A!$N$5:$N391,CSV貼付A!$N391)&gt;1,"",MAX($M$4:M390)+1))</f>
        <v/>
      </c>
      <c r="N391" s="0" t="str">
        <f aca="false">IFERROR(INDEX(CSV貼付A!$N$5:$N$1004,MATCH(ROW()-4,$M$5:$M$1004,0)),"")</f>
        <v/>
      </c>
      <c r="O391" s="0" t="str">
        <f aca="false">IF(CSV貼付B!$N391="","",IF(COUNTIF(CSV貼付B!$N$5:$N391,CSV貼付B!$N391)&gt;1,"",MAX($O$4:O390)+1))</f>
        <v/>
      </c>
      <c r="P391" s="0" t="str">
        <f aca="false">IFERROR(INDEX(CSV貼付B!$N$5:$N$1004,MATCH(ROW()-4,$O$5:$O$1004,0)),"")</f>
        <v/>
      </c>
      <c r="Q391" s="0" t="str">
        <f aca="false">IF(ROW()-4&lt;=MAX($M$5:$M$1004),IFERROR(INDEX($N$5:$N$404,ROW()-4),""),IFERROR(INDEX($P$5:$P$404,ROW()-4-MAX($M$5:$M$1004)),""))</f>
        <v/>
      </c>
    </row>
    <row r="392" customFormat="false" ht="15" hidden="false" customHeight="false" outlineLevel="0" collapsed="false">
      <c r="M392" s="0" t="str">
        <f aca="false">IF(CSV貼付A!$N392="","",IF(COUNTIF(CSV貼付A!$N$5:$N392,CSV貼付A!$N392)&gt;1,"",MAX($M$4:M391)+1))</f>
        <v/>
      </c>
      <c r="N392" s="0" t="str">
        <f aca="false">IFERROR(INDEX(CSV貼付A!$N$5:$N$1004,MATCH(ROW()-4,$M$5:$M$1004,0)),"")</f>
        <v/>
      </c>
      <c r="O392" s="0" t="str">
        <f aca="false">IF(CSV貼付B!$N392="","",IF(COUNTIF(CSV貼付B!$N$5:$N392,CSV貼付B!$N392)&gt;1,"",MAX($O$4:O391)+1))</f>
        <v/>
      </c>
      <c r="P392" s="0" t="str">
        <f aca="false">IFERROR(INDEX(CSV貼付B!$N$5:$N$1004,MATCH(ROW()-4,$O$5:$O$1004,0)),"")</f>
        <v/>
      </c>
      <c r="Q392" s="0" t="str">
        <f aca="false">IF(ROW()-4&lt;=MAX($M$5:$M$1004),IFERROR(INDEX($N$5:$N$404,ROW()-4),""),IFERROR(INDEX($P$5:$P$404,ROW()-4-MAX($M$5:$M$1004)),""))</f>
        <v/>
      </c>
    </row>
    <row r="393" customFormat="false" ht="15" hidden="false" customHeight="false" outlineLevel="0" collapsed="false">
      <c r="M393" s="0" t="str">
        <f aca="false">IF(CSV貼付A!$N393="","",IF(COUNTIF(CSV貼付A!$N$5:$N393,CSV貼付A!$N393)&gt;1,"",MAX($M$4:M392)+1))</f>
        <v/>
      </c>
      <c r="N393" s="0" t="str">
        <f aca="false">IFERROR(INDEX(CSV貼付A!$N$5:$N$1004,MATCH(ROW()-4,$M$5:$M$1004,0)),"")</f>
        <v/>
      </c>
      <c r="O393" s="0" t="str">
        <f aca="false">IF(CSV貼付B!$N393="","",IF(COUNTIF(CSV貼付B!$N$5:$N393,CSV貼付B!$N393)&gt;1,"",MAX($O$4:O392)+1))</f>
        <v/>
      </c>
      <c r="P393" s="0" t="str">
        <f aca="false">IFERROR(INDEX(CSV貼付B!$N$5:$N$1004,MATCH(ROW()-4,$O$5:$O$1004,0)),"")</f>
        <v/>
      </c>
      <c r="Q393" s="0" t="str">
        <f aca="false">IF(ROW()-4&lt;=MAX($M$5:$M$1004),IFERROR(INDEX($N$5:$N$404,ROW()-4),""),IFERROR(INDEX($P$5:$P$404,ROW()-4-MAX($M$5:$M$1004)),""))</f>
        <v/>
      </c>
    </row>
    <row r="394" customFormat="false" ht="15" hidden="false" customHeight="false" outlineLevel="0" collapsed="false">
      <c r="M394" s="0" t="str">
        <f aca="false">IF(CSV貼付A!$N394="","",IF(COUNTIF(CSV貼付A!$N$5:$N394,CSV貼付A!$N394)&gt;1,"",MAX($M$4:M393)+1))</f>
        <v/>
      </c>
      <c r="N394" s="0" t="str">
        <f aca="false">IFERROR(INDEX(CSV貼付A!$N$5:$N$1004,MATCH(ROW()-4,$M$5:$M$1004,0)),"")</f>
        <v/>
      </c>
      <c r="O394" s="0" t="str">
        <f aca="false">IF(CSV貼付B!$N394="","",IF(COUNTIF(CSV貼付B!$N$5:$N394,CSV貼付B!$N394)&gt;1,"",MAX($O$4:O393)+1))</f>
        <v/>
      </c>
      <c r="P394" s="0" t="str">
        <f aca="false">IFERROR(INDEX(CSV貼付B!$N$5:$N$1004,MATCH(ROW()-4,$O$5:$O$1004,0)),"")</f>
        <v/>
      </c>
      <c r="Q394" s="0" t="str">
        <f aca="false">IF(ROW()-4&lt;=MAX($M$5:$M$1004),IFERROR(INDEX($N$5:$N$404,ROW()-4),""),IFERROR(INDEX($P$5:$P$404,ROW()-4-MAX($M$5:$M$1004)),""))</f>
        <v/>
      </c>
    </row>
    <row r="395" customFormat="false" ht="15" hidden="false" customHeight="false" outlineLevel="0" collapsed="false">
      <c r="M395" s="0" t="str">
        <f aca="false">IF(CSV貼付A!$N395="","",IF(COUNTIF(CSV貼付A!$N$5:$N395,CSV貼付A!$N395)&gt;1,"",MAX($M$4:M394)+1))</f>
        <v/>
      </c>
      <c r="N395" s="0" t="str">
        <f aca="false">IFERROR(INDEX(CSV貼付A!$N$5:$N$1004,MATCH(ROW()-4,$M$5:$M$1004,0)),"")</f>
        <v/>
      </c>
      <c r="O395" s="0" t="str">
        <f aca="false">IF(CSV貼付B!$N395="","",IF(COUNTIF(CSV貼付B!$N$5:$N395,CSV貼付B!$N395)&gt;1,"",MAX($O$4:O394)+1))</f>
        <v/>
      </c>
      <c r="P395" s="0" t="str">
        <f aca="false">IFERROR(INDEX(CSV貼付B!$N$5:$N$1004,MATCH(ROW()-4,$O$5:$O$1004,0)),"")</f>
        <v/>
      </c>
      <c r="Q395" s="0" t="str">
        <f aca="false">IF(ROW()-4&lt;=MAX($M$5:$M$1004),IFERROR(INDEX($N$5:$N$404,ROW()-4),""),IFERROR(INDEX($P$5:$P$404,ROW()-4-MAX($M$5:$M$1004)),""))</f>
        <v/>
      </c>
    </row>
    <row r="396" customFormat="false" ht="15" hidden="false" customHeight="false" outlineLevel="0" collapsed="false">
      <c r="M396" s="0" t="str">
        <f aca="false">IF(CSV貼付A!$N396="","",IF(COUNTIF(CSV貼付A!$N$5:$N396,CSV貼付A!$N396)&gt;1,"",MAX($M$4:M395)+1))</f>
        <v/>
      </c>
      <c r="N396" s="0" t="str">
        <f aca="false">IFERROR(INDEX(CSV貼付A!$N$5:$N$1004,MATCH(ROW()-4,$M$5:$M$1004,0)),"")</f>
        <v/>
      </c>
      <c r="O396" s="0" t="str">
        <f aca="false">IF(CSV貼付B!$N396="","",IF(COUNTIF(CSV貼付B!$N$5:$N396,CSV貼付B!$N396)&gt;1,"",MAX($O$4:O395)+1))</f>
        <v/>
      </c>
      <c r="P396" s="0" t="str">
        <f aca="false">IFERROR(INDEX(CSV貼付B!$N$5:$N$1004,MATCH(ROW()-4,$O$5:$O$1004,0)),"")</f>
        <v/>
      </c>
      <c r="Q396" s="0" t="str">
        <f aca="false">IF(ROW()-4&lt;=MAX($M$5:$M$1004),IFERROR(INDEX($N$5:$N$404,ROW()-4),""),IFERROR(INDEX($P$5:$P$404,ROW()-4-MAX($M$5:$M$1004)),""))</f>
        <v/>
      </c>
    </row>
    <row r="397" customFormat="false" ht="15" hidden="false" customHeight="false" outlineLevel="0" collapsed="false">
      <c r="M397" s="0" t="str">
        <f aca="false">IF(CSV貼付A!$N397="","",IF(COUNTIF(CSV貼付A!$N$5:$N397,CSV貼付A!$N397)&gt;1,"",MAX($M$4:M396)+1))</f>
        <v/>
      </c>
      <c r="N397" s="0" t="str">
        <f aca="false">IFERROR(INDEX(CSV貼付A!$N$5:$N$1004,MATCH(ROW()-4,$M$5:$M$1004,0)),"")</f>
        <v/>
      </c>
      <c r="O397" s="0" t="str">
        <f aca="false">IF(CSV貼付B!$N397="","",IF(COUNTIF(CSV貼付B!$N$5:$N397,CSV貼付B!$N397)&gt;1,"",MAX($O$4:O396)+1))</f>
        <v/>
      </c>
      <c r="P397" s="0" t="str">
        <f aca="false">IFERROR(INDEX(CSV貼付B!$N$5:$N$1004,MATCH(ROW()-4,$O$5:$O$1004,0)),"")</f>
        <v/>
      </c>
      <c r="Q397" s="0" t="str">
        <f aca="false">IF(ROW()-4&lt;=MAX($M$5:$M$1004),IFERROR(INDEX($N$5:$N$404,ROW()-4),""),IFERROR(INDEX($P$5:$P$404,ROW()-4-MAX($M$5:$M$1004)),""))</f>
        <v/>
      </c>
    </row>
    <row r="398" customFormat="false" ht="15" hidden="false" customHeight="false" outlineLevel="0" collapsed="false">
      <c r="M398" s="0" t="str">
        <f aca="false">IF(CSV貼付A!$N398="","",IF(COUNTIF(CSV貼付A!$N$5:$N398,CSV貼付A!$N398)&gt;1,"",MAX($M$4:M397)+1))</f>
        <v/>
      </c>
      <c r="N398" s="0" t="str">
        <f aca="false">IFERROR(INDEX(CSV貼付A!$N$5:$N$1004,MATCH(ROW()-4,$M$5:$M$1004,0)),"")</f>
        <v/>
      </c>
      <c r="O398" s="0" t="str">
        <f aca="false">IF(CSV貼付B!$N398="","",IF(COUNTIF(CSV貼付B!$N$5:$N398,CSV貼付B!$N398)&gt;1,"",MAX($O$4:O397)+1))</f>
        <v/>
      </c>
      <c r="P398" s="0" t="str">
        <f aca="false">IFERROR(INDEX(CSV貼付B!$N$5:$N$1004,MATCH(ROW()-4,$O$5:$O$1004,0)),"")</f>
        <v/>
      </c>
      <c r="Q398" s="0" t="str">
        <f aca="false">IF(ROW()-4&lt;=MAX($M$5:$M$1004),IFERROR(INDEX($N$5:$N$404,ROW()-4),""),IFERROR(INDEX($P$5:$P$404,ROW()-4-MAX($M$5:$M$1004)),""))</f>
        <v/>
      </c>
    </row>
    <row r="399" customFormat="false" ht="15" hidden="false" customHeight="false" outlineLevel="0" collapsed="false">
      <c r="M399" s="0" t="str">
        <f aca="false">IF(CSV貼付A!$N399="","",IF(COUNTIF(CSV貼付A!$N$5:$N399,CSV貼付A!$N399)&gt;1,"",MAX($M$4:M398)+1))</f>
        <v/>
      </c>
      <c r="N399" s="0" t="str">
        <f aca="false">IFERROR(INDEX(CSV貼付A!$N$5:$N$1004,MATCH(ROW()-4,$M$5:$M$1004,0)),"")</f>
        <v/>
      </c>
      <c r="O399" s="0" t="str">
        <f aca="false">IF(CSV貼付B!$N399="","",IF(COUNTIF(CSV貼付B!$N$5:$N399,CSV貼付B!$N399)&gt;1,"",MAX($O$4:O398)+1))</f>
        <v/>
      </c>
      <c r="P399" s="0" t="str">
        <f aca="false">IFERROR(INDEX(CSV貼付B!$N$5:$N$1004,MATCH(ROW()-4,$O$5:$O$1004,0)),"")</f>
        <v/>
      </c>
      <c r="Q399" s="0" t="str">
        <f aca="false">IF(ROW()-4&lt;=MAX($M$5:$M$1004),IFERROR(INDEX($N$5:$N$404,ROW()-4),""),IFERROR(INDEX($P$5:$P$404,ROW()-4-MAX($M$5:$M$1004)),""))</f>
        <v/>
      </c>
    </row>
    <row r="400" customFormat="false" ht="15" hidden="false" customHeight="false" outlineLevel="0" collapsed="false">
      <c r="M400" s="0" t="str">
        <f aca="false">IF(CSV貼付A!$N400="","",IF(COUNTIF(CSV貼付A!$N$5:$N400,CSV貼付A!$N400)&gt;1,"",MAX($M$4:M399)+1))</f>
        <v/>
      </c>
      <c r="N400" s="0" t="str">
        <f aca="false">IFERROR(INDEX(CSV貼付A!$N$5:$N$1004,MATCH(ROW()-4,$M$5:$M$1004,0)),"")</f>
        <v/>
      </c>
      <c r="O400" s="0" t="str">
        <f aca="false">IF(CSV貼付B!$N400="","",IF(COUNTIF(CSV貼付B!$N$5:$N400,CSV貼付B!$N400)&gt;1,"",MAX($O$4:O399)+1))</f>
        <v/>
      </c>
      <c r="P400" s="0" t="str">
        <f aca="false">IFERROR(INDEX(CSV貼付B!$N$5:$N$1004,MATCH(ROW()-4,$O$5:$O$1004,0)),"")</f>
        <v/>
      </c>
      <c r="Q400" s="0" t="str">
        <f aca="false">IF(ROW()-4&lt;=MAX($M$5:$M$1004),IFERROR(INDEX($N$5:$N$404,ROW()-4),""),IFERROR(INDEX($P$5:$P$404,ROW()-4-MAX($M$5:$M$1004)),""))</f>
        <v/>
      </c>
    </row>
    <row r="401" customFormat="false" ht="15" hidden="false" customHeight="false" outlineLevel="0" collapsed="false">
      <c r="M401" s="0" t="str">
        <f aca="false">IF(CSV貼付A!$N401="","",IF(COUNTIF(CSV貼付A!$N$5:$N401,CSV貼付A!$N401)&gt;1,"",MAX($M$4:M400)+1))</f>
        <v/>
      </c>
      <c r="N401" s="0" t="str">
        <f aca="false">IFERROR(INDEX(CSV貼付A!$N$5:$N$1004,MATCH(ROW()-4,$M$5:$M$1004,0)),"")</f>
        <v/>
      </c>
      <c r="O401" s="0" t="str">
        <f aca="false">IF(CSV貼付B!$N401="","",IF(COUNTIF(CSV貼付B!$N$5:$N401,CSV貼付B!$N401)&gt;1,"",MAX($O$4:O400)+1))</f>
        <v/>
      </c>
      <c r="P401" s="0" t="str">
        <f aca="false">IFERROR(INDEX(CSV貼付B!$N$5:$N$1004,MATCH(ROW()-4,$O$5:$O$1004,0)),"")</f>
        <v/>
      </c>
      <c r="Q401" s="0" t="str">
        <f aca="false">IF(ROW()-4&lt;=MAX($M$5:$M$1004),IFERROR(INDEX($N$5:$N$404,ROW()-4),""),IFERROR(INDEX($P$5:$P$404,ROW()-4-MAX($M$5:$M$1004)),""))</f>
        <v/>
      </c>
    </row>
    <row r="402" customFormat="false" ht="15" hidden="false" customHeight="false" outlineLevel="0" collapsed="false">
      <c r="M402" s="0" t="str">
        <f aca="false">IF(CSV貼付A!$N402="","",IF(COUNTIF(CSV貼付A!$N$5:$N402,CSV貼付A!$N402)&gt;1,"",MAX($M$4:M401)+1))</f>
        <v/>
      </c>
      <c r="N402" s="0" t="str">
        <f aca="false">IFERROR(INDEX(CSV貼付A!$N$5:$N$1004,MATCH(ROW()-4,$M$5:$M$1004,0)),"")</f>
        <v/>
      </c>
      <c r="O402" s="0" t="str">
        <f aca="false">IF(CSV貼付B!$N402="","",IF(COUNTIF(CSV貼付B!$N$5:$N402,CSV貼付B!$N402)&gt;1,"",MAX($O$4:O401)+1))</f>
        <v/>
      </c>
      <c r="P402" s="0" t="str">
        <f aca="false">IFERROR(INDEX(CSV貼付B!$N$5:$N$1004,MATCH(ROW()-4,$O$5:$O$1004,0)),"")</f>
        <v/>
      </c>
      <c r="Q402" s="0" t="str">
        <f aca="false">IF(ROW()-4&lt;=MAX($M$5:$M$1004),IFERROR(INDEX($N$5:$N$404,ROW()-4),""),IFERROR(INDEX($P$5:$P$404,ROW()-4-MAX($M$5:$M$1004)),""))</f>
        <v/>
      </c>
    </row>
    <row r="403" customFormat="false" ht="15" hidden="false" customHeight="false" outlineLevel="0" collapsed="false">
      <c r="M403" s="0" t="str">
        <f aca="false">IF(CSV貼付A!$N403="","",IF(COUNTIF(CSV貼付A!$N$5:$N403,CSV貼付A!$N403)&gt;1,"",MAX($M$4:M402)+1))</f>
        <v/>
      </c>
      <c r="N403" s="0" t="str">
        <f aca="false">IFERROR(INDEX(CSV貼付A!$N$5:$N$1004,MATCH(ROW()-4,$M$5:$M$1004,0)),"")</f>
        <v/>
      </c>
      <c r="O403" s="0" t="str">
        <f aca="false">IF(CSV貼付B!$N403="","",IF(COUNTIF(CSV貼付B!$N$5:$N403,CSV貼付B!$N403)&gt;1,"",MAX($O$4:O402)+1))</f>
        <v/>
      </c>
      <c r="P403" s="0" t="str">
        <f aca="false">IFERROR(INDEX(CSV貼付B!$N$5:$N$1004,MATCH(ROW()-4,$O$5:$O$1004,0)),"")</f>
        <v/>
      </c>
      <c r="Q403" s="0" t="str">
        <f aca="false">IF(ROW()-4&lt;=MAX($M$5:$M$1004),IFERROR(INDEX($N$5:$N$404,ROW()-4),""),IFERROR(INDEX($P$5:$P$404,ROW()-4-MAX($M$5:$M$1004)),""))</f>
        <v/>
      </c>
    </row>
    <row r="404" customFormat="false" ht="15" hidden="false" customHeight="false" outlineLevel="0" collapsed="false">
      <c r="M404" s="0" t="str">
        <f aca="false">IF(CSV貼付A!$N404="","",IF(COUNTIF(CSV貼付A!$N$5:$N404,CSV貼付A!$N404)&gt;1,"",MAX($M$4:M403)+1))</f>
        <v/>
      </c>
      <c r="N404" s="0" t="str">
        <f aca="false">IFERROR(INDEX(CSV貼付A!$N$5:$N$1004,MATCH(ROW()-4,$M$5:$M$1004,0)),"")</f>
        <v/>
      </c>
      <c r="O404" s="0" t="str">
        <f aca="false">IF(CSV貼付B!$N404="","",IF(COUNTIF(CSV貼付B!$N$5:$N404,CSV貼付B!$N404)&gt;1,"",MAX($O$4:O403)+1))</f>
        <v/>
      </c>
      <c r="P404" s="0" t="str">
        <f aca="false">IFERROR(INDEX(CSV貼付B!$N$5:$N$1004,MATCH(ROW()-4,$O$5:$O$1004,0)),"")</f>
        <v/>
      </c>
      <c r="Q404" s="0" t="str">
        <f aca="false">IF(ROW()-4&lt;=MAX($M$5:$M$1004),IFERROR(INDEX($N$5:$N$404,ROW()-4),""),IFERROR(INDEX($P$5:$P$404,ROW()-4-MAX($M$5:$M$1004)),""))</f>
        <v/>
      </c>
    </row>
    <row r="405" customFormat="false" ht="15" hidden="false" customHeight="false" outlineLevel="0" collapsed="false">
      <c r="M405" s="0" t="str">
        <f aca="false">IF(CSV貼付A!$N405="","",IF(COUNTIF(CSV貼付A!$N$5:$N405,CSV貼付A!$N405)&gt;1,"",MAX($M$4:M404)+1))</f>
        <v/>
      </c>
      <c r="O405" s="0" t="str">
        <f aca="false">IF(CSV貼付B!$N405="","",IF(COUNTIF(CSV貼付B!$N$5:$N405,CSV貼付B!$N405)&gt;1,"",MAX($O$4:O404)+1))</f>
        <v/>
      </c>
      <c r="Q405" s="0" t="str">
        <f aca="false">IF(ROW()-4&lt;=MAX($M$5:$M$1004),IFERROR(INDEX($N$5:$N$404,ROW()-4),""),IFERROR(INDEX($P$5:$P$404,ROW()-4-MAX($M$5:$M$1004)),""))</f>
        <v/>
      </c>
    </row>
    <row r="406" customFormat="false" ht="15" hidden="false" customHeight="false" outlineLevel="0" collapsed="false">
      <c r="M406" s="0" t="str">
        <f aca="false">IF(CSV貼付A!$N406="","",IF(COUNTIF(CSV貼付A!$N$5:$N406,CSV貼付A!$N406)&gt;1,"",MAX($M$4:M405)+1))</f>
        <v/>
      </c>
      <c r="O406" s="0" t="str">
        <f aca="false">IF(CSV貼付B!$N406="","",IF(COUNTIF(CSV貼付B!$N$5:$N406,CSV貼付B!$N406)&gt;1,"",MAX($O$4:O405)+1))</f>
        <v/>
      </c>
      <c r="Q406" s="0" t="str">
        <f aca="false">IF(ROW()-4&lt;=MAX($M$5:$M$1004),IFERROR(INDEX($N$5:$N$404,ROW()-4),""),IFERROR(INDEX($P$5:$P$404,ROW()-4-MAX($M$5:$M$1004)),""))</f>
        <v/>
      </c>
    </row>
    <row r="407" customFormat="false" ht="15" hidden="false" customHeight="false" outlineLevel="0" collapsed="false">
      <c r="M407" s="0" t="str">
        <f aca="false">IF(CSV貼付A!$N407="","",IF(COUNTIF(CSV貼付A!$N$5:$N407,CSV貼付A!$N407)&gt;1,"",MAX($M$4:M406)+1))</f>
        <v/>
      </c>
      <c r="O407" s="0" t="str">
        <f aca="false">IF(CSV貼付B!$N407="","",IF(COUNTIF(CSV貼付B!$N$5:$N407,CSV貼付B!$N407)&gt;1,"",MAX($O$4:O406)+1))</f>
        <v/>
      </c>
      <c r="Q407" s="0" t="str">
        <f aca="false">IF(ROW()-4&lt;=MAX($M$5:$M$1004),IFERROR(INDEX($N$5:$N$404,ROW()-4),""),IFERROR(INDEX($P$5:$P$404,ROW()-4-MAX($M$5:$M$1004)),""))</f>
        <v/>
      </c>
    </row>
    <row r="408" customFormat="false" ht="15" hidden="false" customHeight="false" outlineLevel="0" collapsed="false">
      <c r="M408" s="0" t="str">
        <f aca="false">IF(CSV貼付A!$N408="","",IF(COUNTIF(CSV貼付A!$N$5:$N408,CSV貼付A!$N408)&gt;1,"",MAX($M$4:M407)+1))</f>
        <v/>
      </c>
      <c r="O408" s="0" t="str">
        <f aca="false">IF(CSV貼付B!$N408="","",IF(COUNTIF(CSV貼付B!$N$5:$N408,CSV貼付B!$N408)&gt;1,"",MAX($O$4:O407)+1))</f>
        <v/>
      </c>
      <c r="Q408" s="0" t="str">
        <f aca="false">IF(ROW()-4&lt;=MAX($M$5:$M$1004),IFERROR(INDEX($N$5:$N$404,ROW()-4),""),IFERROR(INDEX($P$5:$P$404,ROW()-4-MAX($M$5:$M$1004)),""))</f>
        <v/>
      </c>
    </row>
    <row r="409" customFormat="false" ht="15" hidden="false" customHeight="false" outlineLevel="0" collapsed="false">
      <c r="M409" s="0" t="str">
        <f aca="false">IF(CSV貼付A!$N409="","",IF(COUNTIF(CSV貼付A!$N$5:$N409,CSV貼付A!$N409)&gt;1,"",MAX($M$4:M408)+1))</f>
        <v/>
      </c>
      <c r="O409" s="0" t="str">
        <f aca="false">IF(CSV貼付B!$N409="","",IF(COUNTIF(CSV貼付B!$N$5:$N409,CSV貼付B!$N409)&gt;1,"",MAX($O$4:O408)+1))</f>
        <v/>
      </c>
      <c r="Q409" s="0" t="str">
        <f aca="false">IF(ROW()-4&lt;=MAX($M$5:$M$1004),IFERROR(INDEX($N$5:$N$404,ROW()-4),""),IFERROR(INDEX($P$5:$P$404,ROW()-4-MAX($M$5:$M$1004)),""))</f>
        <v/>
      </c>
    </row>
    <row r="410" customFormat="false" ht="15" hidden="false" customHeight="false" outlineLevel="0" collapsed="false">
      <c r="M410" s="0" t="str">
        <f aca="false">IF(CSV貼付A!$N410="","",IF(COUNTIF(CSV貼付A!$N$5:$N410,CSV貼付A!$N410)&gt;1,"",MAX($M$4:M409)+1))</f>
        <v/>
      </c>
      <c r="O410" s="0" t="str">
        <f aca="false">IF(CSV貼付B!$N410="","",IF(COUNTIF(CSV貼付B!$N$5:$N410,CSV貼付B!$N410)&gt;1,"",MAX($O$4:O409)+1))</f>
        <v/>
      </c>
      <c r="Q410" s="0" t="str">
        <f aca="false">IF(ROW()-4&lt;=MAX($M$5:$M$1004),IFERROR(INDEX($N$5:$N$404,ROW()-4),""),IFERROR(INDEX($P$5:$P$404,ROW()-4-MAX($M$5:$M$1004)),""))</f>
        <v/>
      </c>
    </row>
    <row r="411" customFormat="false" ht="15" hidden="false" customHeight="false" outlineLevel="0" collapsed="false">
      <c r="M411" s="0" t="str">
        <f aca="false">IF(CSV貼付A!$N411="","",IF(COUNTIF(CSV貼付A!$N$5:$N411,CSV貼付A!$N411)&gt;1,"",MAX($M$4:M410)+1))</f>
        <v/>
      </c>
      <c r="O411" s="0" t="str">
        <f aca="false">IF(CSV貼付B!$N411="","",IF(COUNTIF(CSV貼付B!$N$5:$N411,CSV貼付B!$N411)&gt;1,"",MAX($O$4:O410)+1))</f>
        <v/>
      </c>
      <c r="Q411" s="0" t="str">
        <f aca="false">IF(ROW()-4&lt;=MAX($M$5:$M$1004),IFERROR(INDEX($N$5:$N$404,ROW()-4),""),IFERROR(INDEX($P$5:$P$404,ROW()-4-MAX($M$5:$M$1004)),""))</f>
        <v/>
      </c>
    </row>
    <row r="412" customFormat="false" ht="15" hidden="false" customHeight="false" outlineLevel="0" collapsed="false">
      <c r="M412" s="0" t="str">
        <f aca="false">IF(CSV貼付A!$N412="","",IF(COUNTIF(CSV貼付A!$N$5:$N412,CSV貼付A!$N412)&gt;1,"",MAX($M$4:M411)+1))</f>
        <v/>
      </c>
      <c r="O412" s="0" t="str">
        <f aca="false">IF(CSV貼付B!$N412="","",IF(COUNTIF(CSV貼付B!$N$5:$N412,CSV貼付B!$N412)&gt;1,"",MAX($O$4:O411)+1))</f>
        <v/>
      </c>
      <c r="Q412" s="0" t="str">
        <f aca="false">IF(ROW()-4&lt;=MAX($M$5:$M$1004),IFERROR(INDEX($N$5:$N$404,ROW()-4),""),IFERROR(INDEX($P$5:$P$404,ROW()-4-MAX($M$5:$M$1004)),""))</f>
        <v/>
      </c>
    </row>
    <row r="413" customFormat="false" ht="15" hidden="false" customHeight="false" outlineLevel="0" collapsed="false">
      <c r="M413" s="0" t="str">
        <f aca="false">IF(CSV貼付A!$N413="","",IF(COUNTIF(CSV貼付A!$N$5:$N413,CSV貼付A!$N413)&gt;1,"",MAX($M$4:M412)+1))</f>
        <v/>
      </c>
      <c r="O413" s="0" t="str">
        <f aca="false">IF(CSV貼付B!$N413="","",IF(COUNTIF(CSV貼付B!$N$5:$N413,CSV貼付B!$N413)&gt;1,"",MAX($O$4:O412)+1))</f>
        <v/>
      </c>
      <c r="Q413" s="0" t="str">
        <f aca="false">IF(ROW()-4&lt;=MAX($M$5:$M$1004),IFERROR(INDEX($N$5:$N$404,ROW()-4),""),IFERROR(INDEX($P$5:$P$404,ROW()-4-MAX($M$5:$M$1004)),""))</f>
        <v/>
      </c>
    </row>
    <row r="414" customFormat="false" ht="15" hidden="false" customHeight="false" outlineLevel="0" collapsed="false">
      <c r="M414" s="0" t="str">
        <f aca="false">IF(CSV貼付A!$N414="","",IF(COUNTIF(CSV貼付A!$N$5:$N414,CSV貼付A!$N414)&gt;1,"",MAX($M$4:M413)+1))</f>
        <v/>
      </c>
      <c r="O414" s="0" t="str">
        <f aca="false">IF(CSV貼付B!$N414="","",IF(COUNTIF(CSV貼付B!$N$5:$N414,CSV貼付B!$N414)&gt;1,"",MAX($O$4:O413)+1))</f>
        <v/>
      </c>
      <c r="Q414" s="0" t="str">
        <f aca="false">IF(ROW()-4&lt;=MAX($M$5:$M$1004),IFERROR(INDEX($N$5:$N$404,ROW()-4),""),IFERROR(INDEX($P$5:$P$404,ROW()-4-MAX($M$5:$M$1004)),""))</f>
        <v/>
      </c>
    </row>
    <row r="415" customFormat="false" ht="15" hidden="false" customHeight="false" outlineLevel="0" collapsed="false">
      <c r="M415" s="0" t="str">
        <f aca="false">IF(CSV貼付A!$N415="","",IF(COUNTIF(CSV貼付A!$N$5:$N415,CSV貼付A!$N415)&gt;1,"",MAX($M$4:M414)+1))</f>
        <v/>
      </c>
      <c r="O415" s="0" t="str">
        <f aca="false">IF(CSV貼付B!$N415="","",IF(COUNTIF(CSV貼付B!$N$5:$N415,CSV貼付B!$N415)&gt;1,"",MAX($O$4:O414)+1))</f>
        <v/>
      </c>
      <c r="Q415" s="0" t="str">
        <f aca="false">IF(ROW()-4&lt;=MAX($M$5:$M$1004),IFERROR(INDEX($N$5:$N$404,ROW()-4),""),IFERROR(INDEX($P$5:$P$404,ROW()-4-MAX($M$5:$M$1004)),""))</f>
        <v/>
      </c>
    </row>
    <row r="416" customFormat="false" ht="15" hidden="false" customHeight="false" outlineLevel="0" collapsed="false">
      <c r="M416" s="0" t="str">
        <f aca="false">IF(CSV貼付A!$N416="","",IF(COUNTIF(CSV貼付A!$N$5:$N416,CSV貼付A!$N416)&gt;1,"",MAX($M$4:M415)+1))</f>
        <v/>
      </c>
      <c r="O416" s="0" t="str">
        <f aca="false">IF(CSV貼付B!$N416="","",IF(COUNTIF(CSV貼付B!$N$5:$N416,CSV貼付B!$N416)&gt;1,"",MAX($O$4:O415)+1))</f>
        <v/>
      </c>
      <c r="Q416" s="0" t="str">
        <f aca="false">IF(ROW()-4&lt;=MAX($M$5:$M$1004),IFERROR(INDEX($N$5:$N$404,ROW()-4),""),IFERROR(INDEX($P$5:$P$404,ROW()-4-MAX($M$5:$M$1004)),""))</f>
        <v/>
      </c>
    </row>
    <row r="417" customFormat="false" ht="15" hidden="false" customHeight="false" outlineLevel="0" collapsed="false">
      <c r="M417" s="0" t="str">
        <f aca="false">IF(CSV貼付A!$N417="","",IF(COUNTIF(CSV貼付A!$N$5:$N417,CSV貼付A!$N417)&gt;1,"",MAX($M$4:M416)+1))</f>
        <v/>
      </c>
      <c r="O417" s="0" t="str">
        <f aca="false">IF(CSV貼付B!$N417="","",IF(COUNTIF(CSV貼付B!$N$5:$N417,CSV貼付B!$N417)&gt;1,"",MAX($O$4:O416)+1))</f>
        <v/>
      </c>
      <c r="Q417" s="0" t="str">
        <f aca="false">IF(ROW()-4&lt;=MAX($M$5:$M$1004),IFERROR(INDEX($N$5:$N$404,ROW()-4),""),IFERROR(INDEX($P$5:$P$404,ROW()-4-MAX($M$5:$M$1004)),""))</f>
        <v/>
      </c>
    </row>
    <row r="418" customFormat="false" ht="15" hidden="false" customHeight="false" outlineLevel="0" collapsed="false">
      <c r="M418" s="0" t="str">
        <f aca="false">IF(CSV貼付A!$N418="","",IF(COUNTIF(CSV貼付A!$N$5:$N418,CSV貼付A!$N418)&gt;1,"",MAX($M$4:M417)+1))</f>
        <v/>
      </c>
      <c r="O418" s="0" t="str">
        <f aca="false">IF(CSV貼付B!$N418="","",IF(COUNTIF(CSV貼付B!$N$5:$N418,CSV貼付B!$N418)&gt;1,"",MAX($O$4:O417)+1))</f>
        <v/>
      </c>
      <c r="Q418" s="0" t="str">
        <f aca="false">IF(ROW()-4&lt;=MAX($M$5:$M$1004),IFERROR(INDEX($N$5:$N$404,ROW()-4),""),IFERROR(INDEX($P$5:$P$404,ROW()-4-MAX($M$5:$M$1004)),""))</f>
        <v/>
      </c>
    </row>
    <row r="419" customFormat="false" ht="15" hidden="false" customHeight="false" outlineLevel="0" collapsed="false">
      <c r="M419" s="0" t="str">
        <f aca="false">IF(CSV貼付A!$N419="","",IF(COUNTIF(CSV貼付A!$N$5:$N419,CSV貼付A!$N419)&gt;1,"",MAX($M$4:M418)+1))</f>
        <v/>
      </c>
      <c r="O419" s="0" t="str">
        <f aca="false">IF(CSV貼付B!$N419="","",IF(COUNTIF(CSV貼付B!$N$5:$N419,CSV貼付B!$N419)&gt;1,"",MAX($O$4:O418)+1))</f>
        <v/>
      </c>
      <c r="Q419" s="0" t="str">
        <f aca="false">IF(ROW()-4&lt;=MAX($M$5:$M$1004),IFERROR(INDEX($N$5:$N$404,ROW()-4),""),IFERROR(INDEX($P$5:$P$404,ROW()-4-MAX($M$5:$M$1004)),""))</f>
        <v/>
      </c>
    </row>
    <row r="420" customFormat="false" ht="15" hidden="false" customHeight="false" outlineLevel="0" collapsed="false">
      <c r="M420" s="0" t="str">
        <f aca="false">IF(CSV貼付A!$N420="","",IF(COUNTIF(CSV貼付A!$N$5:$N420,CSV貼付A!$N420)&gt;1,"",MAX($M$4:M419)+1))</f>
        <v/>
      </c>
      <c r="O420" s="0" t="str">
        <f aca="false">IF(CSV貼付B!$N420="","",IF(COUNTIF(CSV貼付B!$N$5:$N420,CSV貼付B!$N420)&gt;1,"",MAX($O$4:O419)+1))</f>
        <v/>
      </c>
      <c r="Q420" s="0" t="str">
        <f aca="false">IF(ROW()-4&lt;=MAX($M$5:$M$1004),IFERROR(INDEX($N$5:$N$404,ROW()-4),""),IFERROR(INDEX($P$5:$P$404,ROW()-4-MAX($M$5:$M$1004)),""))</f>
        <v/>
      </c>
    </row>
    <row r="421" customFormat="false" ht="15" hidden="false" customHeight="false" outlineLevel="0" collapsed="false">
      <c r="M421" s="0" t="str">
        <f aca="false">IF(CSV貼付A!$N421="","",IF(COUNTIF(CSV貼付A!$N$5:$N421,CSV貼付A!$N421)&gt;1,"",MAX($M$4:M420)+1))</f>
        <v/>
      </c>
      <c r="O421" s="0" t="str">
        <f aca="false">IF(CSV貼付B!$N421="","",IF(COUNTIF(CSV貼付B!$N$5:$N421,CSV貼付B!$N421)&gt;1,"",MAX($O$4:O420)+1))</f>
        <v/>
      </c>
      <c r="Q421" s="0" t="str">
        <f aca="false">IF(ROW()-4&lt;=MAX($M$5:$M$1004),IFERROR(INDEX($N$5:$N$404,ROW()-4),""),IFERROR(INDEX($P$5:$P$404,ROW()-4-MAX($M$5:$M$1004)),""))</f>
        <v/>
      </c>
    </row>
    <row r="422" customFormat="false" ht="15" hidden="false" customHeight="false" outlineLevel="0" collapsed="false">
      <c r="M422" s="0" t="str">
        <f aca="false">IF(CSV貼付A!$N422="","",IF(COUNTIF(CSV貼付A!$N$5:$N422,CSV貼付A!$N422)&gt;1,"",MAX($M$4:M421)+1))</f>
        <v/>
      </c>
      <c r="O422" s="0" t="str">
        <f aca="false">IF(CSV貼付B!$N422="","",IF(COUNTIF(CSV貼付B!$N$5:$N422,CSV貼付B!$N422)&gt;1,"",MAX($O$4:O421)+1))</f>
        <v/>
      </c>
      <c r="Q422" s="0" t="str">
        <f aca="false">IF(ROW()-4&lt;=MAX($M$5:$M$1004),IFERROR(INDEX($N$5:$N$404,ROW()-4),""),IFERROR(INDEX($P$5:$P$404,ROW()-4-MAX($M$5:$M$1004)),""))</f>
        <v/>
      </c>
    </row>
    <row r="423" customFormat="false" ht="15" hidden="false" customHeight="false" outlineLevel="0" collapsed="false">
      <c r="M423" s="0" t="str">
        <f aca="false">IF(CSV貼付A!$N423="","",IF(COUNTIF(CSV貼付A!$N$5:$N423,CSV貼付A!$N423)&gt;1,"",MAX($M$4:M422)+1))</f>
        <v/>
      </c>
      <c r="O423" s="0" t="str">
        <f aca="false">IF(CSV貼付B!$N423="","",IF(COUNTIF(CSV貼付B!$N$5:$N423,CSV貼付B!$N423)&gt;1,"",MAX($O$4:O422)+1))</f>
        <v/>
      </c>
      <c r="Q423" s="0" t="str">
        <f aca="false">IF(ROW()-4&lt;=MAX($M$5:$M$1004),IFERROR(INDEX($N$5:$N$404,ROW()-4),""),IFERROR(INDEX($P$5:$P$404,ROW()-4-MAX($M$5:$M$1004)),""))</f>
        <v/>
      </c>
    </row>
    <row r="424" customFormat="false" ht="15" hidden="false" customHeight="false" outlineLevel="0" collapsed="false">
      <c r="M424" s="0" t="str">
        <f aca="false">IF(CSV貼付A!$N424="","",IF(COUNTIF(CSV貼付A!$N$5:$N424,CSV貼付A!$N424)&gt;1,"",MAX($M$4:M423)+1))</f>
        <v/>
      </c>
      <c r="O424" s="0" t="str">
        <f aca="false">IF(CSV貼付B!$N424="","",IF(COUNTIF(CSV貼付B!$N$5:$N424,CSV貼付B!$N424)&gt;1,"",MAX($O$4:O423)+1))</f>
        <v/>
      </c>
      <c r="Q424" s="0" t="str">
        <f aca="false">IF(ROW()-4&lt;=MAX($M$5:$M$1004),IFERROR(INDEX($N$5:$N$404,ROW()-4),""),IFERROR(INDEX($P$5:$P$404,ROW()-4-MAX($M$5:$M$1004)),""))</f>
        <v/>
      </c>
    </row>
    <row r="425" customFormat="false" ht="15" hidden="false" customHeight="false" outlineLevel="0" collapsed="false">
      <c r="M425" s="0" t="str">
        <f aca="false">IF(CSV貼付A!$N425="","",IF(COUNTIF(CSV貼付A!$N$5:$N425,CSV貼付A!$N425)&gt;1,"",MAX($M$4:M424)+1))</f>
        <v/>
      </c>
      <c r="O425" s="0" t="str">
        <f aca="false">IF(CSV貼付B!$N425="","",IF(COUNTIF(CSV貼付B!$N$5:$N425,CSV貼付B!$N425)&gt;1,"",MAX($O$4:O424)+1))</f>
        <v/>
      </c>
      <c r="Q425" s="0" t="str">
        <f aca="false">IF(ROW()-4&lt;=MAX($M$5:$M$1004),IFERROR(INDEX($N$5:$N$404,ROW()-4),""),IFERROR(INDEX($P$5:$P$404,ROW()-4-MAX($M$5:$M$1004)),""))</f>
        <v/>
      </c>
    </row>
    <row r="426" customFormat="false" ht="15" hidden="false" customHeight="false" outlineLevel="0" collapsed="false">
      <c r="M426" s="0" t="str">
        <f aca="false">IF(CSV貼付A!$N426="","",IF(COUNTIF(CSV貼付A!$N$5:$N426,CSV貼付A!$N426)&gt;1,"",MAX($M$4:M425)+1))</f>
        <v/>
      </c>
      <c r="O426" s="0" t="str">
        <f aca="false">IF(CSV貼付B!$N426="","",IF(COUNTIF(CSV貼付B!$N$5:$N426,CSV貼付B!$N426)&gt;1,"",MAX($O$4:O425)+1))</f>
        <v/>
      </c>
      <c r="Q426" s="0" t="str">
        <f aca="false">IF(ROW()-4&lt;=MAX($M$5:$M$1004),IFERROR(INDEX($N$5:$N$404,ROW()-4),""),IFERROR(INDEX($P$5:$P$404,ROW()-4-MAX($M$5:$M$1004)),""))</f>
        <v/>
      </c>
    </row>
    <row r="427" customFormat="false" ht="15" hidden="false" customHeight="false" outlineLevel="0" collapsed="false">
      <c r="M427" s="0" t="str">
        <f aca="false">IF(CSV貼付A!$N427="","",IF(COUNTIF(CSV貼付A!$N$5:$N427,CSV貼付A!$N427)&gt;1,"",MAX($M$4:M426)+1))</f>
        <v/>
      </c>
      <c r="O427" s="0" t="str">
        <f aca="false">IF(CSV貼付B!$N427="","",IF(COUNTIF(CSV貼付B!$N$5:$N427,CSV貼付B!$N427)&gt;1,"",MAX($O$4:O426)+1))</f>
        <v/>
      </c>
      <c r="Q427" s="0" t="str">
        <f aca="false">IF(ROW()-4&lt;=MAX($M$5:$M$1004),IFERROR(INDEX($N$5:$N$404,ROW()-4),""),IFERROR(INDEX($P$5:$P$404,ROW()-4-MAX($M$5:$M$1004)),""))</f>
        <v/>
      </c>
    </row>
    <row r="428" customFormat="false" ht="15" hidden="false" customHeight="false" outlineLevel="0" collapsed="false">
      <c r="M428" s="0" t="str">
        <f aca="false">IF(CSV貼付A!$N428="","",IF(COUNTIF(CSV貼付A!$N$5:$N428,CSV貼付A!$N428)&gt;1,"",MAX($M$4:M427)+1))</f>
        <v/>
      </c>
      <c r="O428" s="0" t="str">
        <f aca="false">IF(CSV貼付B!$N428="","",IF(COUNTIF(CSV貼付B!$N$5:$N428,CSV貼付B!$N428)&gt;1,"",MAX($O$4:O427)+1))</f>
        <v/>
      </c>
      <c r="Q428" s="0" t="str">
        <f aca="false">IF(ROW()-4&lt;=MAX($M$5:$M$1004),IFERROR(INDEX($N$5:$N$404,ROW()-4),""),IFERROR(INDEX($P$5:$P$404,ROW()-4-MAX($M$5:$M$1004)),""))</f>
        <v/>
      </c>
    </row>
    <row r="429" customFormat="false" ht="15" hidden="false" customHeight="false" outlineLevel="0" collapsed="false">
      <c r="M429" s="0" t="str">
        <f aca="false">IF(CSV貼付A!$N429="","",IF(COUNTIF(CSV貼付A!$N$5:$N429,CSV貼付A!$N429)&gt;1,"",MAX($M$4:M428)+1))</f>
        <v/>
      </c>
      <c r="O429" s="0" t="str">
        <f aca="false">IF(CSV貼付B!$N429="","",IF(COUNTIF(CSV貼付B!$N$5:$N429,CSV貼付B!$N429)&gt;1,"",MAX($O$4:O428)+1))</f>
        <v/>
      </c>
      <c r="Q429" s="0" t="str">
        <f aca="false">IF(ROW()-4&lt;=MAX($M$5:$M$1004),IFERROR(INDEX($N$5:$N$404,ROW()-4),""),IFERROR(INDEX($P$5:$P$404,ROW()-4-MAX($M$5:$M$1004)),""))</f>
        <v/>
      </c>
    </row>
    <row r="430" customFormat="false" ht="15" hidden="false" customHeight="false" outlineLevel="0" collapsed="false">
      <c r="M430" s="0" t="str">
        <f aca="false">IF(CSV貼付A!$N430="","",IF(COUNTIF(CSV貼付A!$N$5:$N430,CSV貼付A!$N430)&gt;1,"",MAX($M$4:M429)+1))</f>
        <v/>
      </c>
      <c r="O430" s="0" t="str">
        <f aca="false">IF(CSV貼付B!$N430="","",IF(COUNTIF(CSV貼付B!$N$5:$N430,CSV貼付B!$N430)&gt;1,"",MAX($O$4:O429)+1))</f>
        <v/>
      </c>
      <c r="Q430" s="0" t="str">
        <f aca="false">IF(ROW()-4&lt;=MAX($M$5:$M$1004),IFERROR(INDEX($N$5:$N$404,ROW()-4),""),IFERROR(INDEX($P$5:$P$404,ROW()-4-MAX($M$5:$M$1004)),""))</f>
        <v/>
      </c>
    </row>
    <row r="431" customFormat="false" ht="15" hidden="false" customHeight="false" outlineLevel="0" collapsed="false">
      <c r="M431" s="0" t="str">
        <f aca="false">IF(CSV貼付A!$N431="","",IF(COUNTIF(CSV貼付A!$N$5:$N431,CSV貼付A!$N431)&gt;1,"",MAX($M$4:M430)+1))</f>
        <v/>
      </c>
      <c r="O431" s="0" t="str">
        <f aca="false">IF(CSV貼付B!$N431="","",IF(COUNTIF(CSV貼付B!$N$5:$N431,CSV貼付B!$N431)&gt;1,"",MAX($O$4:O430)+1))</f>
        <v/>
      </c>
      <c r="Q431" s="0" t="str">
        <f aca="false">IF(ROW()-4&lt;=MAX($M$5:$M$1004),IFERROR(INDEX($N$5:$N$404,ROW()-4),""),IFERROR(INDEX($P$5:$P$404,ROW()-4-MAX($M$5:$M$1004)),""))</f>
        <v/>
      </c>
    </row>
    <row r="432" customFormat="false" ht="15" hidden="false" customHeight="false" outlineLevel="0" collapsed="false">
      <c r="M432" s="0" t="str">
        <f aca="false">IF(CSV貼付A!$N432="","",IF(COUNTIF(CSV貼付A!$N$5:$N432,CSV貼付A!$N432)&gt;1,"",MAX($M$4:M431)+1))</f>
        <v/>
      </c>
      <c r="O432" s="0" t="str">
        <f aca="false">IF(CSV貼付B!$N432="","",IF(COUNTIF(CSV貼付B!$N$5:$N432,CSV貼付B!$N432)&gt;1,"",MAX($O$4:O431)+1))</f>
        <v/>
      </c>
      <c r="Q432" s="0" t="str">
        <f aca="false">IF(ROW()-4&lt;=MAX($M$5:$M$1004),IFERROR(INDEX($N$5:$N$404,ROW()-4),""),IFERROR(INDEX($P$5:$P$404,ROW()-4-MAX($M$5:$M$1004)),""))</f>
        <v/>
      </c>
    </row>
    <row r="433" customFormat="false" ht="15" hidden="false" customHeight="false" outlineLevel="0" collapsed="false">
      <c r="M433" s="0" t="str">
        <f aca="false">IF(CSV貼付A!$N433="","",IF(COUNTIF(CSV貼付A!$N$5:$N433,CSV貼付A!$N433)&gt;1,"",MAX($M$4:M432)+1))</f>
        <v/>
      </c>
      <c r="O433" s="0" t="str">
        <f aca="false">IF(CSV貼付B!$N433="","",IF(COUNTIF(CSV貼付B!$N$5:$N433,CSV貼付B!$N433)&gt;1,"",MAX($O$4:O432)+1))</f>
        <v/>
      </c>
      <c r="Q433" s="0" t="str">
        <f aca="false">IF(ROW()-4&lt;=MAX($M$5:$M$1004),IFERROR(INDEX($N$5:$N$404,ROW()-4),""),IFERROR(INDEX($P$5:$P$404,ROW()-4-MAX($M$5:$M$1004)),""))</f>
        <v/>
      </c>
    </row>
    <row r="434" customFormat="false" ht="15" hidden="false" customHeight="false" outlineLevel="0" collapsed="false">
      <c r="M434" s="0" t="str">
        <f aca="false">IF(CSV貼付A!$N434="","",IF(COUNTIF(CSV貼付A!$N$5:$N434,CSV貼付A!$N434)&gt;1,"",MAX($M$4:M433)+1))</f>
        <v/>
      </c>
      <c r="O434" s="0" t="str">
        <f aca="false">IF(CSV貼付B!$N434="","",IF(COUNTIF(CSV貼付B!$N$5:$N434,CSV貼付B!$N434)&gt;1,"",MAX($O$4:O433)+1))</f>
        <v/>
      </c>
      <c r="Q434" s="0" t="str">
        <f aca="false">IF(ROW()-4&lt;=MAX($M$5:$M$1004),IFERROR(INDEX($N$5:$N$404,ROW()-4),""),IFERROR(INDEX($P$5:$P$404,ROW()-4-MAX($M$5:$M$1004)),""))</f>
        <v/>
      </c>
    </row>
    <row r="435" customFormat="false" ht="15" hidden="false" customHeight="false" outlineLevel="0" collapsed="false">
      <c r="M435" s="0" t="str">
        <f aca="false">IF(CSV貼付A!$N435="","",IF(COUNTIF(CSV貼付A!$N$5:$N435,CSV貼付A!$N435)&gt;1,"",MAX($M$4:M434)+1))</f>
        <v/>
      </c>
      <c r="O435" s="0" t="str">
        <f aca="false">IF(CSV貼付B!$N435="","",IF(COUNTIF(CSV貼付B!$N$5:$N435,CSV貼付B!$N435)&gt;1,"",MAX($O$4:O434)+1))</f>
        <v/>
      </c>
      <c r="Q435" s="0" t="str">
        <f aca="false">IF(ROW()-4&lt;=MAX($M$5:$M$1004),IFERROR(INDEX($N$5:$N$404,ROW()-4),""),IFERROR(INDEX($P$5:$P$404,ROW()-4-MAX($M$5:$M$1004)),""))</f>
        <v/>
      </c>
    </row>
    <row r="436" customFormat="false" ht="15" hidden="false" customHeight="false" outlineLevel="0" collapsed="false">
      <c r="M436" s="0" t="str">
        <f aca="false">IF(CSV貼付A!$N436="","",IF(COUNTIF(CSV貼付A!$N$5:$N436,CSV貼付A!$N436)&gt;1,"",MAX($M$4:M435)+1))</f>
        <v/>
      </c>
      <c r="O436" s="0" t="str">
        <f aca="false">IF(CSV貼付B!$N436="","",IF(COUNTIF(CSV貼付B!$N$5:$N436,CSV貼付B!$N436)&gt;1,"",MAX($O$4:O435)+1))</f>
        <v/>
      </c>
      <c r="Q436" s="0" t="str">
        <f aca="false">IF(ROW()-4&lt;=MAX($M$5:$M$1004),IFERROR(INDEX($N$5:$N$404,ROW()-4),""),IFERROR(INDEX($P$5:$P$404,ROW()-4-MAX($M$5:$M$1004)),""))</f>
        <v/>
      </c>
    </row>
    <row r="437" customFormat="false" ht="15" hidden="false" customHeight="false" outlineLevel="0" collapsed="false">
      <c r="M437" s="0" t="str">
        <f aca="false">IF(CSV貼付A!$N437="","",IF(COUNTIF(CSV貼付A!$N$5:$N437,CSV貼付A!$N437)&gt;1,"",MAX($M$4:M436)+1))</f>
        <v/>
      </c>
      <c r="O437" s="0" t="str">
        <f aca="false">IF(CSV貼付B!$N437="","",IF(COUNTIF(CSV貼付B!$N$5:$N437,CSV貼付B!$N437)&gt;1,"",MAX($O$4:O436)+1))</f>
        <v/>
      </c>
      <c r="Q437" s="0" t="str">
        <f aca="false">IF(ROW()-4&lt;=MAX($M$5:$M$1004),IFERROR(INDEX($N$5:$N$404,ROW()-4),""),IFERROR(INDEX($P$5:$P$404,ROW()-4-MAX($M$5:$M$1004)),""))</f>
        <v/>
      </c>
    </row>
    <row r="438" customFormat="false" ht="15" hidden="false" customHeight="false" outlineLevel="0" collapsed="false">
      <c r="M438" s="0" t="str">
        <f aca="false">IF(CSV貼付A!$N438="","",IF(COUNTIF(CSV貼付A!$N$5:$N438,CSV貼付A!$N438)&gt;1,"",MAX($M$4:M437)+1))</f>
        <v/>
      </c>
      <c r="O438" s="0" t="str">
        <f aca="false">IF(CSV貼付B!$N438="","",IF(COUNTIF(CSV貼付B!$N$5:$N438,CSV貼付B!$N438)&gt;1,"",MAX($O$4:O437)+1))</f>
        <v/>
      </c>
      <c r="Q438" s="0" t="str">
        <f aca="false">IF(ROW()-4&lt;=MAX($M$5:$M$1004),IFERROR(INDEX($N$5:$N$404,ROW()-4),""),IFERROR(INDEX($P$5:$P$404,ROW()-4-MAX($M$5:$M$1004)),""))</f>
        <v/>
      </c>
    </row>
    <row r="439" customFormat="false" ht="15" hidden="false" customHeight="false" outlineLevel="0" collapsed="false">
      <c r="M439" s="0" t="str">
        <f aca="false">IF(CSV貼付A!$N439="","",IF(COUNTIF(CSV貼付A!$N$5:$N439,CSV貼付A!$N439)&gt;1,"",MAX($M$4:M438)+1))</f>
        <v/>
      </c>
      <c r="O439" s="0" t="str">
        <f aca="false">IF(CSV貼付B!$N439="","",IF(COUNTIF(CSV貼付B!$N$5:$N439,CSV貼付B!$N439)&gt;1,"",MAX($O$4:O438)+1))</f>
        <v/>
      </c>
      <c r="Q439" s="0" t="str">
        <f aca="false">IF(ROW()-4&lt;=MAX($M$5:$M$1004),IFERROR(INDEX($N$5:$N$404,ROW()-4),""),IFERROR(INDEX($P$5:$P$404,ROW()-4-MAX($M$5:$M$1004)),""))</f>
        <v/>
      </c>
    </row>
    <row r="440" customFormat="false" ht="15" hidden="false" customHeight="false" outlineLevel="0" collapsed="false">
      <c r="M440" s="0" t="str">
        <f aca="false">IF(CSV貼付A!$N440="","",IF(COUNTIF(CSV貼付A!$N$5:$N440,CSV貼付A!$N440)&gt;1,"",MAX($M$4:M439)+1))</f>
        <v/>
      </c>
      <c r="O440" s="0" t="str">
        <f aca="false">IF(CSV貼付B!$N440="","",IF(COUNTIF(CSV貼付B!$N$5:$N440,CSV貼付B!$N440)&gt;1,"",MAX($O$4:O439)+1))</f>
        <v/>
      </c>
      <c r="Q440" s="0" t="str">
        <f aca="false">IF(ROW()-4&lt;=MAX($M$5:$M$1004),IFERROR(INDEX($N$5:$N$404,ROW()-4),""),IFERROR(INDEX($P$5:$P$404,ROW()-4-MAX($M$5:$M$1004)),""))</f>
        <v/>
      </c>
    </row>
    <row r="441" customFormat="false" ht="15" hidden="false" customHeight="false" outlineLevel="0" collapsed="false">
      <c r="M441" s="0" t="str">
        <f aca="false">IF(CSV貼付A!$N441="","",IF(COUNTIF(CSV貼付A!$N$5:$N441,CSV貼付A!$N441)&gt;1,"",MAX($M$4:M440)+1))</f>
        <v/>
      </c>
      <c r="O441" s="0" t="str">
        <f aca="false">IF(CSV貼付B!$N441="","",IF(COUNTIF(CSV貼付B!$N$5:$N441,CSV貼付B!$N441)&gt;1,"",MAX($O$4:O440)+1))</f>
        <v/>
      </c>
      <c r="Q441" s="0" t="str">
        <f aca="false">IF(ROW()-4&lt;=MAX($M$5:$M$1004),IFERROR(INDEX($N$5:$N$404,ROW()-4),""),IFERROR(INDEX($P$5:$P$404,ROW()-4-MAX($M$5:$M$1004)),""))</f>
        <v/>
      </c>
    </row>
    <row r="442" customFormat="false" ht="15" hidden="false" customHeight="false" outlineLevel="0" collapsed="false">
      <c r="M442" s="0" t="str">
        <f aca="false">IF(CSV貼付A!$N442="","",IF(COUNTIF(CSV貼付A!$N$5:$N442,CSV貼付A!$N442)&gt;1,"",MAX($M$4:M441)+1))</f>
        <v/>
      </c>
      <c r="O442" s="0" t="str">
        <f aca="false">IF(CSV貼付B!$N442="","",IF(COUNTIF(CSV貼付B!$N$5:$N442,CSV貼付B!$N442)&gt;1,"",MAX($O$4:O441)+1))</f>
        <v/>
      </c>
      <c r="Q442" s="0" t="str">
        <f aca="false">IF(ROW()-4&lt;=MAX($M$5:$M$1004),IFERROR(INDEX($N$5:$N$404,ROW()-4),""),IFERROR(INDEX($P$5:$P$404,ROW()-4-MAX($M$5:$M$1004)),""))</f>
        <v/>
      </c>
    </row>
    <row r="443" customFormat="false" ht="15" hidden="false" customHeight="false" outlineLevel="0" collapsed="false">
      <c r="M443" s="0" t="str">
        <f aca="false">IF(CSV貼付A!$N443="","",IF(COUNTIF(CSV貼付A!$N$5:$N443,CSV貼付A!$N443)&gt;1,"",MAX($M$4:M442)+1))</f>
        <v/>
      </c>
      <c r="O443" s="0" t="str">
        <f aca="false">IF(CSV貼付B!$N443="","",IF(COUNTIF(CSV貼付B!$N$5:$N443,CSV貼付B!$N443)&gt;1,"",MAX($O$4:O442)+1))</f>
        <v/>
      </c>
      <c r="Q443" s="0" t="str">
        <f aca="false">IF(ROW()-4&lt;=MAX($M$5:$M$1004),IFERROR(INDEX($N$5:$N$404,ROW()-4),""),IFERROR(INDEX($P$5:$P$404,ROW()-4-MAX($M$5:$M$1004)),""))</f>
        <v/>
      </c>
    </row>
    <row r="444" customFormat="false" ht="15" hidden="false" customHeight="false" outlineLevel="0" collapsed="false">
      <c r="M444" s="0" t="str">
        <f aca="false">IF(CSV貼付A!$N444="","",IF(COUNTIF(CSV貼付A!$N$5:$N444,CSV貼付A!$N444)&gt;1,"",MAX($M$4:M443)+1))</f>
        <v/>
      </c>
      <c r="O444" s="0" t="str">
        <f aca="false">IF(CSV貼付B!$N444="","",IF(COUNTIF(CSV貼付B!$N$5:$N444,CSV貼付B!$N444)&gt;1,"",MAX($O$4:O443)+1))</f>
        <v/>
      </c>
      <c r="Q444" s="0" t="str">
        <f aca="false">IF(ROW()-4&lt;=MAX($M$5:$M$1004),IFERROR(INDEX($N$5:$N$404,ROW()-4),""),IFERROR(INDEX($P$5:$P$404,ROW()-4-MAX($M$5:$M$1004)),""))</f>
        <v/>
      </c>
    </row>
    <row r="445" customFormat="false" ht="15" hidden="false" customHeight="false" outlineLevel="0" collapsed="false">
      <c r="M445" s="0" t="str">
        <f aca="false">IF(CSV貼付A!$N445="","",IF(COUNTIF(CSV貼付A!$N$5:$N445,CSV貼付A!$N445)&gt;1,"",MAX($M$4:M444)+1))</f>
        <v/>
      </c>
      <c r="O445" s="0" t="str">
        <f aca="false">IF(CSV貼付B!$N445="","",IF(COUNTIF(CSV貼付B!$N$5:$N445,CSV貼付B!$N445)&gt;1,"",MAX($O$4:O444)+1))</f>
        <v/>
      </c>
      <c r="Q445" s="0" t="str">
        <f aca="false">IF(ROW()-4&lt;=MAX($M$5:$M$1004),IFERROR(INDEX($N$5:$N$404,ROW()-4),""),IFERROR(INDEX($P$5:$P$404,ROW()-4-MAX($M$5:$M$1004)),""))</f>
        <v/>
      </c>
    </row>
    <row r="446" customFormat="false" ht="15" hidden="false" customHeight="false" outlineLevel="0" collapsed="false">
      <c r="M446" s="0" t="str">
        <f aca="false">IF(CSV貼付A!$N446="","",IF(COUNTIF(CSV貼付A!$N$5:$N446,CSV貼付A!$N446)&gt;1,"",MAX($M$4:M445)+1))</f>
        <v/>
      </c>
      <c r="O446" s="0" t="str">
        <f aca="false">IF(CSV貼付B!$N446="","",IF(COUNTIF(CSV貼付B!$N$5:$N446,CSV貼付B!$N446)&gt;1,"",MAX($O$4:O445)+1))</f>
        <v/>
      </c>
      <c r="Q446" s="0" t="str">
        <f aca="false">IF(ROW()-4&lt;=MAX($M$5:$M$1004),IFERROR(INDEX($N$5:$N$404,ROW()-4),""),IFERROR(INDEX($P$5:$P$404,ROW()-4-MAX($M$5:$M$1004)),""))</f>
        <v/>
      </c>
    </row>
    <row r="447" customFormat="false" ht="15" hidden="false" customHeight="false" outlineLevel="0" collapsed="false">
      <c r="M447" s="0" t="str">
        <f aca="false">IF(CSV貼付A!$N447="","",IF(COUNTIF(CSV貼付A!$N$5:$N447,CSV貼付A!$N447)&gt;1,"",MAX($M$4:M446)+1))</f>
        <v/>
      </c>
      <c r="O447" s="0" t="str">
        <f aca="false">IF(CSV貼付B!$N447="","",IF(COUNTIF(CSV貼付B!$N$5:$N447,CSV貼付B!$N447)&gt;1,"",MAX($O$4:O446)+1))</f>
        <v/>
      </c>
      <c r="Q447" s="0" t="str">
        <f aca="false">IF(ROW()-4&lt;=MAX($M$5:$M$1004),IFERROR(INDEX($N$5:$N$404,ROW()-4),""),IFERROR(INDEX($P$5:$P$404,ROW()-4-MAX($M$5:$M$1004)),""))</f>
        <v/>
      </c>
    </row>
    <row r="448" customFormat="false" ht="15" hidden="false" customHeight="false" outlineLevel="0" collapsed="false">
      <c r="M448" s="0" t="str">
        <f aca="false">IF(CSV貼付A!$N448="","",IF(COUNTIF(CSV貼付A!$N$5:$N448,CSV貼付A!$N448)&gt;1,"",MAX($M$4:M447)+1))</f>
        <v/>
      </c>
      <c r="O448" s="0" t="str">
        <f aca="false">IF(CSV貼付B!$N448="","",IF(COUNTIF(CSV貼付B!$N$5:$N448,CSV貼付B!$N448)&gt;1,"",MAX($O$4:O447)+1))</f>
        <v/>
      </c>
      <c r="Q448" s="0" t="str">
        <f aca="false">IF(ROW()-4&lt;=MAX($M$5:$M$1004),IFERROR(INDEX($N$5:$N$404,ROW()-4),""),IFERROR(INDEX($P$5:$P$404,ROW()-4-MAX($M$5:$M$1004)),""))</f>
        <v/>
      </c>
    </row>
    <row r="449" customFormat="false" ht="15" hidden="false" customHeight="false" outlineLevel="0" collapsed="false">
      <c r="M449" s="0" t="str">
        <f aca="false">IF(CSV貼付A!$N449="","",IF(COUNTIF(CSV貼付A!$N$5:$N449,CSV貼付A!$N449)&gt;1,"",MAX($M$4:M448)+1))</f>
        <v/>
      </c>
      <c r="O449" s="0" t="str">
        <f aca="false">IF(CSV貼付B!$N449="","",IF(COUNTIF(CSV貼付B!$N$5:$N449,CSV貼付B!$N449)&gt;1,"",MAX($O$4:O448)+1))</f>
        <v/>
      </c>
      <c r="Q449" s="0" t="str">
        <f aca="false">IF(ROW()-4&lt;=MAX($M$5:$M$1004),IFERROR(INDEX($N$5:$N$404,ROW()-4),""),IFERROR(INDEX($P$5:$P$404,ROW()-4-MAX($M$5:$M$1004)),""))</f>
        <v/>
      </c>
    </row>
    <row r="450" customFormat="false" ht="15" hidden="false" customHeight="false" outlineLevel="0" collapsed="false">
      <c r="M450" s="0" t="str">
        <f aca="false">IF(CSV貼付A!$N450="","",IF(COUNTIF(CSV貼付A!$N$5:$N450,CSV貼付A!$N450)&gt;1,"",MAX($M$4:M449)+1))</f>
        <v/>
      </c>
      <c r="O450" s="0" t="str">
        <f aca="false">IF(CSV貼付B!$N450="","",IF(COUNTIF(CSV貼付B!$N$5:$N450,CSV貼付B!$N450)&gt;1,"",MAX($O$4:O449)+1))</f>
        <v/>
      </c>
      <c r="Q450" s="0" t="str">
        <f aca="false">IF(ROW()-4&lt;=MAX($M$5:$M$1004),IFERROR(INDEX($N$5:$N$404,ROW()-4),""),IFERROR(INDEX($P$5:$P$404,ROW()-4-MAX($M$5:$M$1004)),""))</f>
        <v/>
      </c>
    </row>
    <row r="451" customFormat="false" ht="15" hidden="false" customHeight="false" outlineLevel="0" collapsed="false">
      <c r="M451" s="0" t="str">
        <f aca="false">IF(CSV貼付A!$N451="","",IF(COUNTIF(CSV貼付A!$N$5:$N451,CSV貼付A!$N451)&gt;1,"",MAX($M$4:M450)+1))</f>
        <v/>
      </c>
      <c r="O451" s="0" t="str">
        <f aca="false">IF(CSV貼付B!$N451="","",IF(COUNTIF(CSV貼付B!$N$5:$N451,CSV貼付B!$N451)&gt;1,"",MAX($O$4:O450)+1))</f>
        <v/>
      </c>
      <c r="Q451" s="0" t="str">
        <f aca="false">IF(ROW()-4&lt;=MAX($M$5:$M$1004),IFERROR(INDEX($N$5:$N$404,ROW()-4),""),IFERROR(INDEX($P$5:$P$404,ROW()-4-MAX($M$5:$M$1004)),""))</f>
        <v/>
      </c>
    </row>
    <row r="452" customFormat="false" ht="15" hidden="false" customHeight="false" outlineLevel="0" collapsed="false">
      <c r="M452" s="0" t="str">
        <f aca="false">IF(CSV貼付A!$N452="","",IF(COUNTIF(CSV貼付A!$N$5:$N452,CSV貼付A!$N452)&gt;1,"",MAX($M$4:M451)+1))</f>
        <v/>
      </c>
      <c r="O452" s="0" t="str">
        <f aca="false">IF(CSV貼付B!$N452="","",IF(COUNTIF(CSV貼付B!$N$5:$N452,CSV貼付B!$N452)&gt;1,"",MAX($O$4:O451)+1))</f>
        <v/>
      </c>
      <c r="Q452" s="0" t="str">
        <f aca="false">IF(ROW()-4&lt;=MAX($M$5:$M$1004),IFERROR(INDEX($N$5:$N$404,ROW()-4),""),IFERROR(INDEX($P$5:$P$404,ROW()-4-MAX($M$5:$M$1004)),""))</f>
        <v/>
      </c>
    </row>
    <row r="453" customFormat="false" ht="15" hidden="false" customHeight="false" outlineLevel="0" collapsed="false">
      <c r="M453" s="0" t="str">
        <f aca="false">IF(CSV貼付A!$N453="","",IF(COUNTIF(CSV貼付A!$N$5:$N453,CSV貼付A!$N453)&gt;1,"",MAX($M$4:M452)+1))</f>
        <v/>
      </c>
      <c r="O453" s="0" t="str">
        <f aca="false">IF(CSV貼付B!$N453="","",IF(COUNTIF(CSV貼付B!$N$5:$N453,CSV貼付B!$N453)&gt;1,"",MAX($O$4:O452)+1))</f>
        <v/>
      </c>
      <c r="Q453" s="0" t="str">
        <f aca="false">IF(ROW()-4&lt;=MAX($M$5:$M$1004),IFERROR(INDEX($N$5:$N$404,ROW()-4),""),IFERROR(INDEX($P$5:$P$404,ROW()-4-MAX($M$5:$M$1004)),""))</f>
        <v/>
      </c>
    </row>
    <row r="454" customFormat="false" ht="15" hidden="false" customHeight="false" outlineLevel="0" collapsed="false">
      <c r="M454" s="0" t="str">
        <f aca="false">IF(CSV貼付A!$N454="","",IF(COUNTIF(CSV貼付A!$N$5:$N454,CSV貼付A!$N454)&gt;1,"",MAX($M$4:M453)+1))</f>
        <v/>
      </c>
      <c r="O454" s="0" t="str">
        <f aca="false">IF(CSV貼付B!$N454="","",IF(COUNTIF(CSV貼付B!$N$5:$N454,CSV貼付B!$N454)&gt;1,"",MAX($O$4:O453)+1))</f>
        <v/>
      </c>
      <c r="Q454" s="0" t="str">
        <f aca="false">IF(ROW()-4&lt;=MAX($M$5:$M$1004),IFERROR(INDEX($N$5:$N$404,ROW()-4),""),IFERROR(INDEX($P$5:$P$404,ROW()-4-MAX($M$5:$M$1004)),""))</f>
        <v/>
      </c>
    </row>
    <row r="455" customFormat="false" ht="15" hidden="false" customHeight="false" outlineLevel="0" collapsed="false">
      <c r="M455" s="0" t="str">
        <f aca="false">IF(CSV貼付A!$N455="","",IF(COUNTIF(CSV貼付A!$N$5:$N455,CSV貼付A!$N455)&gt;1,"",MAX($M$4:M454)+1))</f>
        <v/>
      </c>
      <c r="O455" s="0" t="str">
        <f aca="false">IF(CSV貼付B!$N455="","",IF(COUNTIF(CSV貼付B!$N$5:$N455,CSV貼付B!$N455)&gt;1,"",MAX($O$4:O454)+1))</f>
        <v/>
      </c>
      <c r="Q455" s="0" t="str">
        <f aca="false">IF(ROW()-4&lt;=MAX($M$5:$M$1004),IFERROR(INDEX($N$5:$N$404,ROW()-4),""),IFERROR(INDEX($P$5:$P$404,ROW()-4-MAX($M$5:$M$1004)),""))</f>
        <v/>
      </c>
    </row>
    <row r="456" customFormat="false" ht="15" hidden="false" customHeight="false" outlineLevel="0" collapsed="false">
      <c r="M456" s="0" t="str">
        <f aca="false">IF(CSV貼付A!$N456="","",IF(COUNTIF(CSV貼付A!$N$5:$N456,CSV貼付A!$N456)&gt;1,"",MAX($M$4:M455)+1))</f>
        <v/>
      </c>
      <c r="O456" s="0" t="str">
        <f aca="false">IF(CSV貼付B!$N456="","",IF(COUNTIF(CSV貼付B!$N$5:$N456,CSV貼付B!$N456)&gt;1,"",MAX($O$4:O455)+1))</f>
        <v/>
      </c>
      <c r="Q456" s="0" t="str">
        <f aca="false">IF(ROW()-4&lt;=MAX($M$5:$M$1004),IFERROR(INDEX($N$5:$N$404,ROW()-4),""),IFERROR(INDEX($P$5:$P$404,ROW()-4-MAX($M$5:$M$1004)),""))</f>
        <v/>
      </c>
    </row>
    <row r="457" customFormat="false" ht="15" hidden="false" customHeight="false" outlineLevel="0" collapsed="false">
      <c r="M457" s="0" t="str">
        <f aca="false">IF(CSV貼付A!$N457="","",IF(COUNTIF(CSV貼付A!$N$5:$N457,CSV貼付A!$N457)&gt;1,"",MAX($M$4:M456)+1))</f>
        <v/>
      </c>
      <c r="O457" s="0" t="str">
        <f aca="false">IF(CSV貼付B!$N457="","",IF(COUNTIF(CSV貼付B!$N$5:$N457,CSV貼付B!$N457)&gt;1,"",MAX($O$4:O456)+1))</f>
        <v/>
      </c>
      <c r="Q457" s="0" t="str">
        <f aca="false">IF(ROW()-4&lt;=MAX($M$5:$M$1004),IFERROR(INDEX($N$5:$N$404,ROW()-4),""),IFERROR(INDEX($P$5:$P$404,ROW()-4-MAX($M$5:$M$1004)),""))</f>
        <v/>
      </c>
    </row>
    <row r="458" customFormat="false" ht="15" hidden="false" customHeight="false" outlineLevel="0" collapsed="false">
      <c r="M458" s="0" t="str">
        <f aca="false">IF(CSV貼付A!$N458="","",IF(COUNTIF(CSV貼付A!$N$5:$N458,CSV貼付A!$N458)&gt;1,"",MAX($M$4:M457)+1))</f>
        <v/>
      </c>
      <c r="O458" s="0" t="str">
        <f aca="false">IF(CSV貼付B!$N458="","",IF(COUNTIF(CSV貼付B!$N$5:$N458,CSV貼付B!$N458)&gt;1,"",MAX($O$4:O457)+1))</f>
        <v/>
      </c>
      <c r="Q458" s="0" t="str">
        <f aca="false">IF(ROW()-4&lt;=MAX($M$5:$M$1004),IFERROR(INDEX($N$5:$N$404,ROW()-4),""),IFERROR(INDEX($P$5:$P$404,ROW()-4-MAX($M$5:$M$1004)),""))</f>
        <v/>
      </c>
    </row>
    <row r="459" customFormat="false" ht="15" hidden="false" customHeight="false" outlineLevel="0" collapsed="false">
      <c r="M459" s="0" t="str">
        <f aca="false">IF(CSV貼付A!$N459="","",IF(COUNTIF(CSV貼付A!$N$5:$N459,CSV貼付A!$N459)&gt;1,"",MAX($M$4:M458)+1))</f>
        <v/>
      </c>
      <c r="O459" s="0" t="str">
        <f aca="false">IF(CSV貼付B!$N459="","",IF(COUNTIF(CSV貼付B!$N$5:$N459,CSV貼付B!$N459)&gt;1,"",MAX($O$4:O458)+1))</f>
        <v/>
      </c>
      <c r="Q459" s="0" t="str">
        <f aca="false">IF(ROW()-4&lt;=MAX($M$5:$M$1004),IFERROR(INDEX($N$5:$N$404,ROW()-4),""),IFERROR(INDEX($P$5:$P$404,ROW()-4-MAX($M$5:$M$1004)),""))</f>
        <v/>
      </c>
    </row>
    <row r="460" customFormat="false" ht="15" hidden="false" customHeight="false" outlineLevel="0" collapsed="false">
      <c r="M460" s="0" t="str">
        <f aca="false">IF(CSV貼付A!$N460="","",IF(COUNTIF(CSV貼付A!$N$5:$N460,CSV貼付A!$N460)&gt;1,"",MAX($M$4:M459)+1))</f>
        <v/>
      </c>
      <c r="O460" s="0" t="str">
        <f aca="false">IF(CSV貼付B!$N460="","",IF(COUNTIF(CSV貼付B!$N$5:$N460,CSV貼付B!$N460)&gt;1,"",MAX($O$4:O459)+1))</f>
        <v/>
      </c>
      <c r="Q460" s="0" t="str">
        <f aca="false">IF(ROW()-4&lt;=MAX($M$5:$M$1004),IFERROR(INDEX($N$5:$N$404,ROW()-4),""),IFERROR(INDEX($P$5:$P$404,ROW()-4-MAX($M$5:$M$1004)),""))</f>
        <v/>
      </c>
    </row>
    <row r="461" customFormat="false" ht="15" hidden="false" customHeight="false" outlineLevel="0" collapsed="false">
      <c r="M461" s="0" t="str">
        <f aca="false">IF(CSV貼付A!$N461="","",IF(COUNTIF(CSV貼付A!$N$5:$N461,CSV貼付A!$N461)&gt;1,"",MAX($M$4:M460)+1))</f>
        <v/>
      </c>
      <c r="O461" s="0" t="str">
        <f aca="false">IF(CSV貼付B!$N461="","",IF(COUNTIF(CSV貼付B!$N$5:$N461,CSV貼付B!$N461)&gt;1,"",MAX($O$4:O460)+1))</f>
        <v/>
      </c>
      <c r="Q461" s="0" t="str">
        <f aca="false">IF(ROW()-4&lt;=MAX($M$5:$M$1004),IFERROR(INDEX($N$5:$N$404,ROW()-4),""),IFERROR(INDEX($P$5:$P$404,ROW()-4-MAX($M$5:$M$1004)),""))</f>
        <v/>
      </c>
    </row>
    <row r="462" customFormat="false" ht="15" hidden="false" customHeight="false" outlineLevel="0" collapsed="false">
      <c r="M462" s="0" t="str">
        <f aca="false">IF(CSV貼付A!$N462="","",IF(COUNTIF(CSV貼付A!$N$5:$N462,CSV貼付A!$N462)&gt;1,"",MAX($M$4:M461)+1))</f>
        <v/>
      </c>
      <c r="O462" s="0" t="str">
        <f aca="false">IF(CSV貼付B!$N462="","",IF(COUNTIF(CSV貼付B!$N$5:$N462,CSV貼付B!$N462)&gt;1,"",MAX($O$4:O461)+1))</f>
        <v/>
      </c>
      <c r="Q462" s="0" t="str">
        <f aca="false">IF(ROW()-4&lt;=MAX($M$5:$M$1004),IFERROR(INDEX($N$5:$N$404,ROW()-4),""),IFERROR(INDEX($P$5:$P$404,ROW()-4-MAX($M$5:$M$1004)),""))</f>
        <v/>
      </c>
    </row>
    <row r="463" customFormat="false" ht="15" hidden="false" customHeight="false" outlineLevel="0" collapsed="false">
      <c r="M463" s="0" t="str">
        <f aca="false">IF(CSV貼付A!$N463="","",IF(COUNTIF(CSV貼付A!$N$5:$N463,CSV貼付A!$N463)&gt;1,"",MAX($M$4:M462)+1))</f>
        <v/>
      </c>
      <c r="O463" s="0" t="str">
        <f aca="false">IF(CSV貼付B!$N463="","",IF(COUNTIF(CSV貼付B!$N$5:$N463,CSV貼付B!$N463)&gt;1,"",MAX($O$4:O462)+1))</f>
        <v/>
      </c>
      <c r="Q463" s="0" t="str">
        <f aca="false">IF(ROW()-4&lt;=MAX($M$5:$M$1004),IFERROR(INDEX($N$5:$N$404,ROW()-4),""),IFERROR(INDEX($P$5:$P$404,ROW()-4-MAX($M$5:$M$1004)),""))</f>
        <v/>
      </c>
    </row>
    <row r="464" customFormat="false" ht="15" hidden="false" customHeight="false" outlineLevel="0" collapsed="false">
      <c r="M464" s="0" t="str">
        <f aca="false">IF(CSV貼付A!$N464="","",IF(COUNTIF(CSV貼付A!$N$5:$N464,CSV貼付A!$N464)&gt;1,"",MAX($M$4:M463)+1))</f>
        <v/>
      </c>
      <c r="O464" s="0" t="str">
        <f aca="false">IF(CSV貼付B!$N464="","",IF(COUNTIF(CSV貼付B!$N$5:$N464,CSV貼付B!$N464)&gt;1,"",MAX($O$4:O463)+1))</f>
        <v/>
      </c>
      <c r="Q464" s="0" t="str">
        <f aca="false">IF(ROW()-4&lt;=MAX($M$5:$M$1004),IFERROR(INDEX($N$5:$N$404,ROW()-4),""),IFERROR(INDEX($P$5:$P$404,ROW()-4-MAX($M$5:$M$1004)),""))</f>
        <v/>
      </c>
    </row>
    <row r="465" customFormat="false" ht="15" hidden="false" customHeight="false" outlineLevel="0" collapsed="false">
      <c r="M465" s="0" t="str">
        <f aca="false">IF(CSV貼付A!$N465="","",IF(COUNTIF(CSV貼付A!$N$5:$N465,CSV貼付A!$N465)&gt;1,"",MAX($M$4:M464)+1))</f>
        <v/>
      </c>
      <c r="O465" s="0" t="str">
        <f aca="false">IF(CSV貼付B!$N465="","",IF(COUNTIF(CSV貼付B!$N$5:$N465,CSV貼付B!$N465)&gt;1,"",MAX($O$4:O464)+1))</f>
        <v/>
      </c>
      <c r="Q465" s="0" t="str">
        <f aca="false">IF(ROW()-4&lt;=MAX($M$5:$M$1004),IFERROR(INDEX($N$5:$N$404,ROW()-4),""),IFERROR(INDEX($P$5:$P$404,ROW()-4-MAX($M$5:$M$1004)),""))</f>
        <v/>
      </c>
    </row>
    <row r="466" customFormat="false" ht="15" hidden="false" customHeight="false" outlineLevel="0" collapsed="false">
      <c r="M466" s="0" t="str">
        <f aca="false">IF(CSV貼付A!$N466="","",IF(COUNTIF(CSV貼付A!$N$5:$N466,CSV貼付A!$N466)&gt;1,"",MAX($M$4:M465)+1))</f>
        <v/>
      </c>
      <c r="O466" s="0" t="str">
        <f aca="false">IF(CSV貼付B!$N466="","",IF(COUNTIF(CSV貼付B!$N$5:$N466,CSV貼付B!$N466)&gt;1,"",MAX($O$4:O465)+1))</f>
        <v/>
      </c>
      <c r="Q466" s="0" t="str">
        <f aca="false">IF(ROW()-4&lt;=MAX($M$5:$M$1004),IFERROR(INDEX($N$5:$N$404,ROW()-4),""),IFERROR(INDEX($P$5:$P$404,ROW()-4-MAX($M$5:$M$1004)),""))</f>
        <v/>
      </c>
    </row>
    <row r="467" customFormat="false" ht="15" hidden="false" customHeight="false" outlineLevel="0" collapsed="false">
      <c r="M467" s="0" t="str">
        <f aca="false">IF(CSV貼付A!$N467="","",IF(COUNTIF(CSV貼付A!$N$5:$N467,CSV貼付A!$N467)&gt;1,"",MAX($M$4:M466)+1))</f>
        <v/>
      </c>
      <c r="O467" s="0" t="str">
        <f aca="false">IF(CSV貼付B!$N467="","",IF(COUNTIF(CSV貼付B!$N$5:$N467,CSV貼付B!$N467)&gt;1,"",MAX($O$4:O466)+1))</f>
        <v/>
      </c>
      <c r="Q467" s="0" t="str">
        <f aca="false">IF(ROW()-4&lt;=MAX($M$5:$M$1004),IFERROR(INDEX($N$5:$N$404,ROW()-4),""),IFERROR(INDEX($P$5:$P$404,ROW()-4-MAX($M$5:$M$1004)),""))</f>
        <v/>
      </c>
    </row>
    <row r="468" customFormat="false" ht="15" hidden="false" customHeight="false" outlineLevel="0" collapsed="false">
      <c r="M468" s="0" t="str">
        <f aca="false">IF(CSV貼付A!$N468="","",IF(COUNTIF(CSV貼付A!$N$5:$N468,CSV貼付A!$N468)&gt;1,"",MAX($M$4:M467)+1))</f>
        <v/>
      </c>
      <c r="O468" s="0" t="str">
        <f aca="false">IF(CSV貼付B!$N468="","",IF(COUNTIF(CSV貼付B!$N$5:$N468,CSV貼付B!$N468)&gt;1,"",MAX($O$4:O467)+1))</f>
        <v/>
      </c>
      <c r="Q468" s="0" t="str">
        <f aca="false">IF(ROW()-4&lt;=MAX($M$5:$M$1004),IFERROR(INDEX($N$5:$N$404,ROW()-4),""),IFERROR(INDEX($P$5:$P$404,ROW()-4-MAX($M$5:$M$1004)),""))</f>
        <v/>
      </c>
    </row>
    <row r="469" customFormat="false" ht="15" hidden="false" customHeight="false" outlineLevel="0" collapsed="false">
      <c r="M469" s="0" t="str">
        <f aca="false">IF(CSV貼付A!$N469="","",IF(COUNTIF(CSV貼付A!$N$5:$N469,CSV貼付A!$N469)&gt;1,"",MAX($M$4:M468)+1))</f>
        <v/>
      </c>
      <c r="O469" s="0" t="str">
        <f aca="false">IF(CSV貼付B!$N469="","",IF(COUNTIF(CSV貼付B!$N$5:$N469,CSV貼付B!$N469)&gt;1,"",MAX($O$4:O468)+1))</f>
        <v/>
      </c>
      <c r="Q469" s="0" t="str">
        <f aca="false">IF(ROW()-4&lt;=MAX($M$5:$M$1004),IFERROR(INDEX($N$5:$N$404,ROW()-4),""),IFERROR(INDEX($P$5:$P$404,ROW()-4-MAX($M$5:$M$1004)),""))</f>
        <v/>
      </c>
    </row>
    <row r="470" customFormat="false" ht="15" hidden="false" customHeight="false" outlineLevel="0" collapsed="false">
      <c r="M470" s="0" t="str">
        <f aca="false">IF(CSV貼付A!$N470="","",IF(COUNTIF(CSV貼付A!$N$5:$N470,CSV貼付A!$N470)&gt;1,"",MAX($M$4:M469)+1))</f>
        <v/>
      </c>
      <c r="O470" s="0" t="str">
        <f aca="false">IF(CSV貼付B!$N470="","",IF(COUNTIF(CSV貼付B!$N$5:$N470,CSV貼付B!$N470)&gt;1,"",MAX($O$4:O469)+1))</f>
        <v/>
      </c>
      <c r="Q470" s="0" t="str">
        <f aca="false">IF(ROW()-4&lt;=MAX($M$5:$M$1004),IFERROR(INDEX($N$5:$N$404,ROW()-4),""),IFERROR(INDEX($P$5:$P$404,ROW()-4-MAX($M$5:$M$1004)),""))</f>
        <v/>
      </c>
    </row>
    <row r="471" customFormat="false" ht="15" hidden="false" customHeight="false" outlineLevel="0" collapsed="false">
      <c r="M471" s="0" t="str">
        <f aca="false">IF(CSV貼付A!$N471="","",IF(COUNTIF(CSV貼付A!$N$5:$N471,CSV貼付A!$N471)&gt;1,"",MAX($M$4:M470)+1))</f>
        <v/>
      </c>
      <c r="O471" s="0" t="str">
        <f aca="false">IF(CSV貼付B!$N471="","",IF(COUNTIF(CSV貼付B!$N$5:$N471,CSV貼付B!$N471)&gt;1,"",MAX($O$4:O470)+1))</f>
        <v/>
      </c>
      <c r="Q471" s="0" t="str">
        <f aca="false">IF(ROW()-4&lt;=MAX($M$5:$M$1004),IFERROR(INDEX($N$5:$N$404,ROW()-4),""),IFERROR(INDEX($P$5:$P$404,ROW()-4-MAX($M$5:$M$1004)),""))</f>
        <v/>
      </c>
    </row>
    <row r="472" customFormat="false" ht="15" hidden="false" customHeight="false" outlineLevel="0" collapsed="false">
      <c r="M472" s="0" t="str">
        <f aca="false">IF(CSV貼付A!$N472="","",IF(COUNTIF(CSV貼付A!$N$5:$N472,CSV貼付A!$N472)&gt;1,"",MAX($M$4:M471)+1))</f>
        <v/>
      </c>
      <c r="O472" s="0" t="str">
        <f aca="false">IF(CSV貼付B!$N472="","",IF(COUNTIF(CSV貼付B!$N$5:$N472,CSV貼付B!$N472)&gt;1,"",MAX($O$4:O471)+1))</f>
        <v/>
      </c>
      <c r="Q472" s="0" t="str">
        <f aca="false">IF(ROW()-4&lt;=MAX($M$5:$M$1004),IFERROR(INDEX($N$5:$N$404,ROW()-4),""),IFERROR(INDEX($P$5:$P$404,ROW()-4-MAX($M$5:$M$1004)),""))</f>
        <v/>
      </c>
    </row>
    <row r="473" customFormat="false" ht="15" hidden="false" customHeight="false" outlineLevel="0" collapsed="false">
      <c r="M473" s="0" t="str">
        <f aca="false">IF(CSV貼付A!$N473="","",IF(COUNTIF(CSV貼付A!$N$5:$N473,CSV貼付A!$N473)&gt;1,"",MAX($M$4:M472)+1))</f>
        <v/>
      </c>
      <c r="O473" s="0" t="str">
        <f aca="false">IF(CSV貼付B!$N473="","",IF(COUNTIF(CSV貼付B!$N$5:$N473,CSV貼付B!$N473)&gt;1,"",MAX($O$4:O472)+1))</f>
        <v/>
      </c>
      <c r="Q473" s="0" t="str">
        <f aca="false">IF(ROW()-4&lt;=MAX($M$5:$M$1004),IFERROR(INDEX($N$5:$N$404,ROW()-4),""),IFERROR(INDEX($P$5:$P$404,ROW()-4-MAX($M$5:$M$1004)),""))</f>
        <v/>
      </c>
    </row>
    <row r="474" customFormat="false" ht="15" hidden="false" customHeight="false" outlineLevel="0" collapsed="false">
      <c r="M474" s="0" t="str">
        <f aca="false">IF(CSV貼付A!$N474="","",IF(COUNTIF(CSV貼付A!$N$5:$N474,CSV貼付A!$N474)&gt;1,"",MAX($M$4:M473)+1))</f>
        <v/>
      </c>
      <c r="O474" s="0" t="str">
        <f aca="false">IF(CSV貼付B!$N474="","",IF(COUNTIF(CSV貼付B!$N$5:$N474,CSV貼付B!$N474)&gt;1,"",MAX($O$4:O473)+1))</f>
        <v/>
      </c>
      <c r="Q474" s="0" t="str">
        <f aca="false">IF(ROW()-4&lt;=MAX($M$5:$M$1004),IFERROR(INDEX($N$5:$N$404,ROW()-4),""),IFERROR(INDEX($P$5:$P$404,ROW()-4-MAX($M$5:$M$1004)),""))</f>
        <v/>
      </c>
    </row>
    <row r="475" customFormat="false" ht="15" hidden="false" customHeight="false" outlineLevel="0" collapsed="false">
      <c r="M475" s="0" t="str">
        <f aca="false">IF(CSV貼付A!$N475="","",IF(COUNTIF(CSV貼付A!$N$5:$N475,CSV貼付A!$N475)&gt;1,"",MAX($M$4:M474)+1))</f>
        <v/>
      </c>
      <c r="O475" s="0" t="str">
        <f aca="false">IF(CSV貼付B!$N475="","",IF(COUNTIF(CSV貼付B!$N$5:$N475,CSV貼付B!$N475)&gt;1,"",MAX($O$4:O474)+1))</f>
        <v/>
      </c>
      <c r="Q475" s="0" t="str">
        <f aca="false">IF(ROW()-4&lt;=MAX($M$5:$M$1004),IFERROR(INDEX($N$5:$N$404,ROW()-4),""),IFERROR(INDEX($P$5:$P$404,ROW()-4-MAX($M$5:$M$1004)),""))</f>
        <v/>
      </c>
    </row>
    <row r="476" customFormat="false" ht="15" hidden="false" customHeight="false" outlineLevel="0" collapsed="false">
      <c r="M476" s="0" t="str">
        <f aca="false">IF(CSV貼付A!$N476="","",IF(COUNTIF(CSV貼付A!$N$5:$N476,CSV貼付A!$N476)&gt;1,"",MAX($M$4:M475)+1))</f>
        <v/>
      </c>
      <c r="O476" s="0" t="str">
        <f aca="false">IF(CSV貼付B!$N476="","",IF(COUNTIF(CSV貼付B!$N$5:$N476,CSV貼付B!$N476)&gt;1,"",MAX($O$4:O475)+1))</f>
        <v/>
      </c>
      <c r="Q476" s="0" t="str">
        <f aca="false">IF(ROW()-4&lt;=MAX($M$5:$M$1004),IFERROR(INDEX($N$5:$N$404,ROW()-4),""),IFERROR(INDEX($P$5:$P$404,ROW()-4-MAX($M$5:$M$1004)),""))</f>
        <v/>
      </c>
    </row>
    <row r="477" customFormat="false" ht="15" hidden="false" customHeight="false" outlineLevel="0" collapsed="false">
      <c r="M477" s="0" t="str">
        <f aca="false">IF(CSV貼付A!$N477="","",IF(COUNTIF(CSV貼付A!$N$5:$N477,CSV貼付A!$N477)&gt;1,"",MAX($M$4:M476)+1))</f>
        <v/>
      </c>
      <c r="O477" s="0" t="str">
        <f aca="false">IF(CSV貼付B!$N477="","",IF(COUNTIF(CSV貼付B!$N$5:$N477,CSV貼付B!$N477)&gt;1,"",MAX($O$4:O476)+1))</f>
        <v/>
      </c>
      <c r="Q477" s="0" t="str">
        <f aca="false">IF(ROW()-4&lt;=MAX($M$5:$M$1004),IFERROR(INDEX($N$5:$N$404,ROW()-4),""),IFERROR(INDEX($P$5:$P$404,ROW()-4-MAX($M$5:$M$1004)),""))</f>
        <v/>
      </c>
    </row>
    <row r="478" customFormat="false" ht="15" hidden="false" customHeight="false" outlineLevel="0" collapsed="false">
      <c r="M478" s="0" t="str">
        <f aca="false">IF(CSV貼付A!$N478="","",IF(COUNTIF(CSV貼付A!$N$5:$N478,CSV貼付A!$N478)&gt;1,"",MAX($M$4:M477)+1))</f>
        <v/>
      </c>
      <c r="O478" s="0" t="str">
        <f aca="false">IF(CSV貼付B!$N478="","",IF(COUNTIF(CSV貼付B!$N$5:$N478,CSV貼付B!$N478)&gt;1,"",MAX($O$4:O477)+1))</f>
        <v/>
      </c>
      <c r="Q478" s="0" t="str">
        <f aca="false">IF(ROW()-4&lt;=MAX($M$5:$M$1004),IFERROR(INDEX($N$5:$N$404,ROW()-4),""),IFERROR(INDEX($P$5:$P$404,ROW()-4-MAX($M$5:$M$1004)),""))</f>
        <v/>
      </c>
    </row>
    <row r="479" customFormat="false" ht="15" hidden="false" customHeight="false" outlineLevel="0" collapsed="false">
      <c r="M479" s="0" t="str">
        <f aca="false">IF(CSV貼付A!$N479="","",IF(COUNTIF(CSV貼付A!$N$5:$N479,CSV貼付A!$N479)&gt;1,"",MAX($M$4:M478)+1))</f>
        <v/>
      </c>
      <c r="O479" s="0" t="str">
        <f aca="false">IF(CSV貼付B!$N479="","",IF(COUNTIF(CSV貼付B!$N$5:$N479,CSV貼付B!$N479)&gt;1,"",MAX($O$4:O478)+1))</f>
        <v/>
      </c>
      <c r="Q479" s="0" t="str">
        <f aca="false">IF(ROW()-4&lt;=MAX($M$5:$M$1004),IFERROR(INDEX($N$5:$N$404,ROW()-4),""),IFERROR(INDEX($P$5:$P$404,ROW()-4-MAX($M$5:$M$1004)),""))</f>
        <v/>
      </c>
    </row>
    <row r="480" customFormat="false" ht="15" hidden="false" customHeight="false" outlineLevel="0" collapsed="false">
      <c r="M480" s="0" t="str">
        <f aca="false">IF(CSV貼付A!$N480="","",IF(COUNTIF(CSV貼付A!$N$5:$N480,CSV貼付A!$N480)&gt;1,"",MAX($M$4:M479)+1))</f>
        <v/>
      </c>
      <c r="O480" s="0" t="str">
        <f aca="false">IF(CSV貼付B!$N480="","",IF(COUNTIF(CSV貼付B!$N$5:$N480,CSV貼付B!$N480)&gt;1,"",MAX($O$4:O479)+1))</f>
        <v/>
      </c>
      <c r="Q480" s="0" t="str">
        <f aca="false">IF(ROW()-4&lt;=MAX($M$5:$M$1004),IFERROR(INDEX($N$5:$N$404,ROW()-4),""),IFERROR(INDEX($P$5:$P$404,ROW()-4-MAX($M$5:$M$1004)),""))</f>
        <v/>
      </c>
    </row>
    <row r="481" customFormat="false" ht="15" hidden="false" customHeight="false" outlineLevel="0" collapsed="false">
      <c r="M481" s="0" t="str">
        <f aca="false">IF(CSV貼付A!$N481="","",IF(COUNTIF(CSV貼付A!$N$5:$N481,CSV貼付A!$N481)&gt;1,"",MAX($M$4:M480)+1))</f>
        <v/>
      </c>
      <c r="O481" s="0" t="str">
        <f aca="false">IF(CSV貼付B!$N481="","",IF(COUNTIF(CSV貼付B!$N$5:$N481,CSV貼付B!$N481)&gt;1,"",MAX($O$4:O480)+1))</f>
        <v/>
      </c>
      <c r="Q481" s="0" t="str">
        <f aca="false">IF(ROW()-4&lt;=MAX($M$5:$M$1004),IFERROR(INDEX($N$5:$N$404,ROW()-4),""),IFERROR(INDEX($P$5:$P$404,ROW()-4-MAX($M$5:$M$1004)),""))</f>
        <v/>
      </c>
    </row>
    <row r="482" customFormat="false" ht="15" hidden="false" customHeight="false" outlineLevel="0" collapsed="false">
      <c r="M482" s="0" t="str">
        <f aca="false">IF(CSV貼付A!$N482="","",IF(COUNTIF(CSV貼付A!$N$5:$N482,CSV貼付A!$N482)&gt;1,"",MAX($M$4:M481)+1))</f>
        <v/>
      </c>
      <c r="O482" s="0" t="str">
        <f aca="false">IF(CSV貼付B!$N482="","",IF(COUNTIF(CSV貼付B!$N$5:$N482,CSV貼付B!$N482)&gt;1,"",MAX($O$4:O481)+1))</f>
        <v/>
      </c>
      <c r="Q482" s="0" t="str">
        <f aca="false">IF(ROW()-4&lt;=MAX($M$5:$M$1004),IFERROR(INDEX($N$5:$N$404,ROW()-4),""),IFERROR(INDEX($P$5:$P$404,ROW()-4-MAX($M$5:$M$1004)),""))</f>
        <v/>
      </c>
    </row>
    <row r="483" customFormat="false" ht="15" hidden="false" customHeight="false" outlineLevel="0" collapsed="false">
      <c r="M483" s="0" t="str">
        <f aca="false">IF(CSV貼付A!$N483="","",IF(COUNTIF(CSV貼付A!$N$5:$N483,CSV貼付A!$N483)&gt;1,"",MAX($M$4:M482)+1))</f>
        <v/>
      </c>
      <c r="O483" s="0" t="str">
        <f aca="false">IF(CSV貼付B!$N483="","",IF(COUNTIF(CSV貼付B!$N$5:$N483,CSV貼付B!$N483)&gt;1,"",MAX($O$4:O482)+1))</f>
        <v/>
      </c>
      <c r="Q483" s="0" t="str">
        <f aca="false">IF(ROW()-4&lt;=MAX($M$5:$M$1004),IFERROR(INDEX($N$5:$N$404,ROW()-4),""),IFERROR(INDEX($P$5:$P$404,ROW()-4-MAX($M$5:$M$1004)),""))</f>
        <v/>
      </c>
    </row>
    <row r="484" customFormat="false" ht="15" hidden="false" customHeight="false" outlineLevel="0" collapsed="false">
      <c r="M484" s="0" t="str">
        <f aca="false">IF(CSV貼付A!$N484="","",IF(COUNTIF(CSV貼付A!$N$5:$N484,CSV貼付A!$N484)&gt;1,"",MAX($M$4:M483)+1))</f>
        <v/>
      </c>
      <c r="O484" s="0" t="str">
        <f aca="false">IF(CSV貼付B!$N484="","",IF(COUNTIF(CSV貼付B!$N$5:$N484,CSV貼付B!$N484)&gt;1,"",MAX($O$4:O483)+1))</f>
        <v/>
      </c>
      <c r="Q484" s="0" t="str">
        <f aca="false">IF(ROW()-4&lt;=MAX($M$5:$M$1004),IFERROR(INDEX($N$5:$N$404,ROW()-4),""),IFERROR(INDEX($P$5:$P$404,ROW()-4-MAX($M$5:$M$1004)),""))</f>
        <v/>
      </c>
    </row>
    <row r="485" customFormat="false" ht="15" hidden="false" customHeight="false" outlineLevel="0" collapsed="false">
      <c r="M485" s="0" t="str">
        <f aca="false">IF(CSV貼付A!$N485="","",IF(COUNTIF(CSV貼付A!$N$5:$N485,CSV貼付A!$N485)&gt;1,"",MAX($M$4:M484)+1))</f>
        <v/>
      </c>
      <c r="O485" s="0" t="str">
        <f aca="false">IF(CSV貼付B!$N485="","",IF(COUNTIF(CSV貼付B!$N$5:$N485,CSV貼付B!$N485)&gt;1,"",MAX($O$4:O484)+1))</f>
        <v/>
      </c>
      <c r="Q485" s="0" t="str">
        <f aca="false">IF(ROW()-4&lt;=MAX($M$5:$M$1004),IFERROR(INDEX($N$5:$N$404,ROW()-4),""),IFERROR(INDEX($P$5:$P$404,ROW()-4-MAX($M$5:$M$1004)),""))</f>
        <v/>
      </c>
    </row>
    <row r="486" customFormat="false" ht="15" hidden="false" customHeight="false" outlineLevel="0" collapsed="false">
      <c r="M486" s="0" t="str">
        <f aca="false">IF(CSV貼付A!$N486="","",IF(COUNTIF(CSV貼付A!$N$5:$N486,CSV貼付A!$N486)&gt;1,"",MAX($M$4:M485)+1))</f>
        <v/>
      </c>
      <c r="O486" s="0" t="str">
        <f aca="false">IF(CSV貼付B!$N486="","",IF(COUNTIF(CSV貼付B!$N$5:$N486,CSV貼付B!$N486)&gt;1,"",MAX($O$4:O485)+1))</f>
        <v/>
      </c>
      <c r="Q486" s="0" t="str">
        <f aca="false">IF(ROW()-4&lt;=MAX($M$5:$M$1004),IFERROR(INDEX($N$5:$N$404,ROW()-4),""),IFERROR(INDEX($P$5:$P$404,ROW()-4-MAX($M$5:$M$1004)),""))</f>
        <v/>
      </c>
    </row>
    <row r="487" customFormat="false" ht="15" hidden="false" customHeight="false" outlineLevel="0" collapsed="false">
      <c r="M487" s="0" t="str">
        <f aca="false">IF(CSV貼付A!$N487="","",IF(COUNTIF(CSV貼付A!$N$5:$N487,CSV貼付A!$N487)&gt;1,"",MAX($M$4:M486)+1))</f>
        <v/>
      </c>
      <c r="O487" s="0" t="str">
        <f aca="false">IF(CSV貼付B!$N487="","",IF(COUNTIF(CSV貼付B!$N$5:$N487,CSV貼付B!$N487)&gt;1,"",MAX($O$4:O486)+1))</f>
        <v/>
      </c>
      <c r="Q487" s="0" t="str">
        <f aca="false">IF(ROW()-4&lt;=MAX($M$5:$M$1004),IFERROR(INDEX($N$5:$N$404,ROW()-4),""),IFERROR(INDEX($P$5:$P$404,ROW()-4-MAX($M$5:$M$1004)),""))</f>
        <v/>
      </c>
    </row>
    <row r="488" customFormat="false" ht="15" hidden="false" customHeight="false" outlineLevel="0" collapsed="false">
      <c r="M488" s="0" t="str">
        <f aca="false">IF(CSV貼付A!$N488="","",IF(COUNTIF(CSV貼付A!$N$5:$N488,CSV貼付A!$N488)&gt;1,"",MAX($M$4:M487)+1))</f>
        <v/>
      </c>
      <c r="O488" s="0" t="str">
        <f aca="false">IF(CSV貼付B!$N488="","",IF(COUNTIF(CSV貼付B!$N$5:$N488,CSV貼付B!$N488)&gt;1,"",MAX($O$4:O487)+1))</f>
        <v/>
      </c>
      <c r="Q488" s="0" t="str">
        <f aca="false">IF(ROW()-4&lt;=MAX($M$5:$M$1004),IFERROR(INDEX($N$5:$N$404,ROW()-4),""),IFERROR(INDEX($P$5:$P$404,ROW()-4-MAX($M$5:$M$1004)),""))</f>
        <v/>
      </c>
    </row>
    <row r="489" customFormat="false" ht="15" hidden="false" customHeight="false" outlineLevel="0" collapsed="false">
      <c r="M489" s="0" t="str">
        <f aca="false">IF(CSV貼付A!$N489="","",IF(COUNTIF(CSV貼付A!$N$5:$N489,CSV貼付A!$N489)&gt;1,"",MAX($M$4:M488)+1))</f>
        <v/>
      </c>
      <c r="O489" s="0" t="str">
        <f aca="false">IF(CSV貼付B!$N489="","",IF(COUNTIF(CSV貼付B!$N$5:$N489,CSV貼付B!$N489)&gt;1,"",MAX($O$4:O488)+1))</f>
        <v/>
      </c>
      <c r="Q489" s="0" t="str">
        <f aca="false">IF(ROW()-4&lt;=MAX($M$5:$M$1004),IFERROR(INDEX($N$5:$N$404,ROW()-4),""),IFERROR(INDEX($P$5:$P$404,ROW()-4-MAX($M$5:$M$1004)),""))</f>
        <v/>
      </c>
    </row>
    <row r="490" customFormat="false" ht="15" hidden="false" customHeight="false" outlineLevel="0" collapsed="false">
      <c r="M490" s="0" t="str">
        <f aca="false">IF(CSV貼付A!$N490="","",IF(COUNTIF(CSV貼付A!$N$5:$N490,CSV貼付A!$N490)&gt;1,"",MAX($M$4:M489)+1))</f>
        <v/>
      </c>
      <c r="O490" s="0" t="str">
        <f aca="false">IF(CSV貼付B!$N490="","",IF(COUNTIF(CSV貼付B!$N$5:$N490,CSV貼付B!$N490)&gt;1,"",MAX($O$4:O489)+1))</f>
        <v/>
      </c>
      <c r="Q490" s="0" t="str">
        <f aca="false">IF(ROW()-4&lt;=MAX($M$5:$M$1004),IFERROR(INDEX($N$5:$N$404,ROW()-4),""),IFERROR(INDEX($P$5:$P$404,ROW()-4-MAX($M$5:$M$1004)),""))</f>
        <v/>
      </c>
    </row>
    <row r="491" customFormat="false" ht="15" hidden="false" customHeight="false" outlineLevel="0" collapsed="false">
      <c r="M491" s="0" t="str">
        <f aca="false">IF(CSV貼付A!$N491="","",IF(COUNTIF(CSV貼付A!$N$5:$N491,CSV貼付A!$N491)&gt;1,"",MAX($M$4:M490)+1))</f>
        <v/>
      </c>
      <c r="O491" s="0" t="str">
        <f aca="false">IF(CSV貼付B!$N491="","",IF(COUNTIF(CSV貼付B!$N$5:$N491,CSV貼付B!$N491)&gt;1,"",MAX($O$4:O490)+1))</f>
        <v/>
      </c>
      <c r="Q491" s="0" t="str">
        <f aca="false">IF(ROW()-4&lt;=MAX($M$5:$M$1004),IFERROR(INDEX($N$5:$N$404,ROW()-4),""),IFERROR(INDEX($P$5:$P$404,ROW()-4-MAX($M$5:$M$1004)),""))</f>
        <v/>
      </c>
    </row>
    <row r="492" customFormat="false" ht="15" hidden="false" customHeight="false" outlineLevel="0" collapsed="false">
      <c r="M492" s="0" t="str">
        <f aca="false">IF(CSV貼付A!$N492="","",IF(COUNTIF(CSV貼付A!$N$5:$N492,CSV貼付A!$N492)&gt;1,"",MAX($M$4:M491)+1))</f>
        <v/>
      </c>
      <c r="O492" s="0" t="str">
        <f aca="false">IF(CSV貼付B!$N492="","",IF(COUNTIF(CSV貼付B!$N$5:$N492,CSV貼付B!$N492)&gt;1,"",MAX($O$4:O491)+1))</f>
        <v/>
      </c>
      <c r="Q492" s="0" t="str">
        <f aca="false">IF(ROW()-4&lt;=MAX($M$5:$M$1004),IFERROR(INDEX($N$5:$N$404,ROW()-4),""),IFERROR(INDEX($P$5:$P$404,ROW()-4-MAX($M$5:$M$1004)),""))</f>
        <v/>
      </c>
    </row>
    <row r="493" customFormat="false" ht="15" hidden="false" customHeight="false" outlineLevel="0" collapsed="false">
      <c r="M493" s="0" t="str">
        <f aca="false">IF(CSV貼付A!$N493="","",IF(COUNTIF(CSV貼付A!$N$5:$N493,CSV貼付A!$N493)&gt;1,"",MAX($M$4:M492)+1))</f>
        <v/>
      </c>
      <c r="O493" s="0" t="str">
        <f aca="false">IF(CSV貼付B!$N493="","",IF(COUNTIF(CSV貼付B!$N$5:$N493,CSV貼付B!$N493)&gt;1,"",MAX($O$4:O492)+1))</f>
        <v/>
      </c>
      <c r="Q493" s="0" t="str">
        <f aca="false">IF(ROW()-4&lt;=MAX($M$5:$M$1004),IFERROR(INDEX($N$5:$N$404,ROW()-4),""),IFERROR(INDEX($P$5:$P$404,ROW()-4-MAX($M$5:$M$1004)),""))</f>
        <v/>
      </c>
    </row>
    <row r="494" customFormat="false" ht="15" hidden="false" customHeight="false" outlineLevel="0" collapsed="false">
      <c r="M494" s="0" t="str">
        <f aca="false">IF(CSV貼付A!$N494="","",IF(COUNTIF(CSV貼付A!$N$5:$N494,CSV貼付A!$N494)&gt;1,"",MAX($M$4:M493)+1))</f>
        <v/>
      </c>
      <c r="O494" s="0" t="str">
        <f aca="false">IF(CSV貼付B!$N494="","",IF(COUNTIF(CSV貼付B!$N$5:$N494,CSV貼付B!$N494)&gt;1,"",MAX($O$4:O493)+1))</f>
        <v/>
      </c>
      <c r="Q494" s="0" t="str">
        <f aca="false">IF(ROW()-4&lt;=MAX($M$5:$M$1004),IFERROR(INDEX($N$5:$N$404,ROW()-4),""),IFERROR(INDEX($P$5:$P$404,ROW()-4-MAX($M$5:$M$1004)),""))</f>
        <v/>
      </c>
    </row>
    <row r="495" customFormat="false" ht="15" hidden="false" customHeight="false" outlineLevel="0" collapsed="false">
      <c r="M495" s="0" t="str">
        <f aca="false">IF(CSV貼付A!$N495="","",IF(COUNTIF(CSV貼付A!$N$5:$N495,CSV貼付A!$N495)&gt;1,"",MAX($M$4:M494)+1))</f>
        <v/>
      </c>
      <c r="O495" s="0" t="str">
        <f aca="false">IF(CSV貼付B!$N495="","",IF(COUNTIF(CSV貼付B!$N$5:$N495,CSV貼付B!$N495)&gt;1,"",MAX($O$4:O494)+1))</f>
        <v/>
      </c>
      <c r="Q495" s="0" t="str">
        <f aca="false">IF(ROW()-4&lt;=MAX($M$5:$M$1004),IFERROR(INDEX($N$5:$N$404,ROW()-4),""),IFERROR(INDEX($P$5:$P$404,ROW()-4-MAX($M$5:$M$1004)),""))</f>
        <v/>
      </c>
    </row>
    <row r="496" customFormat="false" ht="15" hidden="false" customHeight="false" outlineLevel="0" collapsed="false">
      <c r="M496" s="0" t="str">
        <f aca="false">IF(CSV貼付A!$N496="","",IF(COUNTIF(CSV貼付A!$N$5:$N496,CSV貼付A!$N496)&gt;1,"",MAX($M$4:M495)+1))</f>
        <v/>
      </c>
      <c r="O496" s="0" t="str">
        <f aca="false">IF(CSV貼付B!$N496="","",IF(COUNTIF(CSV貼付B!$N$5:$N496,CSV貼付B!$N496)&gt;1,"",MAX($O$4:O495)+1))</f>
        <v/>
      </c>
      <c r="Q496" s="0" t="str">
        <f aca="false">IF(ROW()-4&lt;=MAX($M$5:$M$1004),IFERROR(INDEX($N$5:$N$404,ROW()-4),""),IFERROR(INDEX($P$5:$P$404,ROW()-4-MAX($M$5:$M$1004)),""))</f>
        <v/>
      </c>
    </row>
    <row r="497" customFormat="false" ht="15" hidden="false" customHeight="false" outlineLevel="0" collapsed="false">
      <c r="M497" s="0" t="str">
        <f aca="false">IF(CSV貼付A!$N497="","",IF(COUNTIF(CSV貼付A!$N$5:$N497,CSV貼付A!$N497)&gt;1,"",MAX($M$4:M496)+1))</f>
        <v/>
      </c>
      <c r="O497" s="0" t="str">
        <f aca="false">IF(CSV貼付B!$N497="","",IF(COUNTIF(CSV貼付B!$N$5:$N497,CSV貼付B!$N497)&gt;1,"",MAX($O$4:O496)+1))</f>
        <v/>
      </c>
      <c r="Q497" s="0" t="str">
        <f aca="false">IF(ROW()-4&lt;=MAX($M$5:$M$1004),IFERROR(INDEX($N$5:$N$404,ROW()-4),""),IFERROR(INDEX($P$5:$P$404,ROW()-4-MAX($M$5:$M$1004)),""))</f>
        <v/>
      </c>
    </row>
    <row r="498" customFormat="false" ht="15" hidden="false" customHeight="false" outlineLevel="0" collapsed="false">
      <c r="M498" s="0" t="str">
        <f aca="false">IF(CSV貼付A!$N498="","",IF(COUNTIF(CSV貼付A!$N$5:$N498,CSV貼付A!$N498)&gt;1,"",MAX($M$4:M497)+1))</f>
        <v/>
      </c>
      <c r="O498" s="0" t="str">
        <f aca="false">IF(CSV貼付B!$N498="","",IF(COUNTIF(CSV貼付B!$N$5:$N498,CSV貼付B!$N498)&gt;1,"",MAX($O$4:O497)+1))</f>
        <v/>
      </c>
      <c r="Q498" s="0" t="str">
        <f aca="false">IF(ROW()-4&lt;=MAX($M$5:$M$1004),IFERROR(INDEX($N$5:$N$404,ROW()-4),""),IFERROR(INDEX($P$5:$P$404,ROW()-4-MAX($M$5:$M$1004)),""))</f>
        <v/>
      </c>
    </row>
    <row r="499" customFormat="false" ht="15" hidden="false" customHeight="false" outlineLevel="0" collapsed="false">
      <c r="M499" s="0" t="str">
        <f aca="false">IF(CSV貼付A!$N499="","",IF(COUNTIF(CSV貼付A!$N$5:$N499,CSV貼付A!$N499)&gt;1,"",MAX($M$4:M498)+1))</f>
        <v/>
      </c>
      <c r="O499" s="0" t="str">
        <f aca="false">IF(CSV貼付B!$N499="","",IF(COUNTIF(CSV貼付B!$N$5:$N499,CSV貼付B!$N499)&gt;1,"",MAX($O$4:O498)+1))</f>
        <v/>
      </c>
      <c r="Q499" s="0" t="str">
        <f aca="false">IF(ROW()-4&lt;=MAX($M$5:$M$1004),IFERROR(INDEX($N$5:$N$404,ROW()-4),""),IFERROR(INDEX($P$5:$P$404,ROW()-4-MAX($M$5:$M$1004)),""))</f>
        <v/>
      </c>
    </row>
    <row r="500" customFormat="false" ht="15" hidden="false" customHeight="false" outlineLevel="0" collapsed="false">
      <c r="M500" s="0" t="str">
        <f aca="false">IF(CSV貼付A!$N500="","",IF(COUNTIF(CSV貼付A!$N$5:$N500,CSV貼付A!$N500)&gt;1,"",MAX($M$4:M499)+1))</f>
        <v/>
      </c>
      <c r="O500" s="0" t="str">
        <f aca="false">IF(CSV貼付B!$N500="","",IF(COUNTIF(CSV貼付B!$N$5:$N500,CSV貼付B!$N500)&gt;1,"",MAX($O$4:O499)+1))</f>
        <v/>
      </c>
      <c r="Q500" s="0" t="str">
        <f aca="false">IF(ROW()-4&lt;=MAX($M$5:$M$1004),IFERROR(INDEX($N$5:$N$404,ROW()-4),""),IFERROR(INDEX($P$5:$P$404,ROW()-4-MAX($M$5:$M$1004)),""))</f>
        <v/>
      </c>
    </row>
    <row r="501" customFormat="false" ht="15" hidden="false" customHeight="false" outlineLevel="0" collapsed="false">
      <c r="M501" s="0" t="str">
        <f aca="false">IF(CSV貼付A!$N501="","",IF(COUNTIF(CSV貼付A!$N$5:$N501,CSV貼付A!$N501)&gt;1,"",MAX($M$4:M500)+1))</f>
        <v/>
      </c>
      <c r="O501" s="0" t="str">
        <f aca="false">IF(CSV貼付B!$N501="","",IF(COUNTIF(CSV貼付B!$N$5:$N501,CSV貼付B!$N501)&gt;1,"",MAX($O$4:O500)+1))</f>
        <v/>
      </c>
      <c r="Q501" s="0" t="str">
        <f aca="false">IF(ROW()-4&lt;=MAX($M$5:$M$1004),IFERROR(INDEX($N$5:$N$404,ROW()-4),""),IFERROR(INDEX($P$5:$P$404,ROW()-4-MAX($M$5:$M$1004)),""))</f>
        <v/>
      </c>
    </row>
    <row r="502" customFormat="false" ht="15" hidden="false" customHeight="false" outlineLevel="0" collapsed="false">
      <c r="M502" s="0" t="str">
        <f aca="false">IF(CSV貼付A!$N502="","",IF(COUNTIF(CSV貼付A!$N$5:$N502,CSV貼付A!$N502)&gt;1,"",MAX($M$4:M501)+1))</f>
        <v/>
      </c>
      <c r="O502" s="0" t="str">
        <f aca="false">IF(CSV貼付B!$N502="","",IF(COUNTIF(CSV貼付B!$N$5:$N502,CSV貼付B!$N502)&gt;1,"",MAX($O$4:O501)+1))</f>
        <v/>
      </c>
      <c r="Q502" s="0" t="str">
        <f aca="false">IF(ROW()-4&lt;=MAX($M$5:$M$1004),IFERROR(INDEX($N$5:$N$404,ROW()-4),""),IFERROR(INDEX($P$5:$P$404,ROW()-4-MAX($M$5:$M$1004)),""))</f>
        <v/>
      </c>
    </row>
    <row r="503" customFormat="false" ht="15" hidden="false" customHeight="false" outlineLevel="0" collapsed="false">
      <c r="M503" s="0" t="str">
        <f aca="false">IF(CSV貼付A!$N503="","",IF(COUNTIF(CSV貼付A!$N$5:$N503,CSV貼付A!$N503)&gt;1,"",MAX($M$4:M502)+1))</f>
        <v/>
      </c>
      <c r="O503" s="0" t="str">
        <f aca="false">IF(CSV貼付B!$N503="","",IF(COUNTIF(CSV貼付B!$N$5:$N503,CSV貼付B!$N503)&gt;1,"",MAX($O$4:O502)+1))</f>
        <v/>
      </c>
      <c r="Q503" s="0" t="str">
        <f aca="false">IF(ROW()-4&lt;=MAX($M$5:$M$1004),IFERROR(INDEX($N$5:$N$404,ROW()-4),""),IFERROR(INDEX($P$5:$P$404,ROW()-4-MAX($M$5:$M$1004)),""))</f>
        <v/>
      </c>
    </row>
    <row r="504" customFormat="false" ht="15" hidden="false" customHeight="false" outlineLevel="0" collapsed="false">
      <c r="M504" s="0" t="str">
        <f aca="false">IF(CSV貼付A!$N504="","",IF(COUNTIF(CSV貼付A!$N$5:$N504,CSV貼付A!$N504)&gt;1,"",MAX($M$4:M503)+1))</f>
        <v/>
      </c>
      <c r="O504" s="0" t="str">
        <f aca="false">IF(CSV貼付B!$N504="","",IF(COUNTIF(CSV貼付B!$N$5:$N504,CSV貼付B!$N504)&gt;1,"",MAX($O$4:O503)+1))</f>
        <v/>
      </c>
      <c r="Q504" s="0" t="str">
        <f aca="false">IF(ROW()-4&lt;=MAX($M$5:$M$1004),IFERROR(INDEX($N$5:$N$404,ROW()-4),""),IFERROR(INDEX($P$5:$P$404,ROW()-4-MAX($M$5:$M$1004)),""))</f>
        <v/>
      </c>
    </row>
    <row r="505" customFormat="false" ht="15" hidden="false" customHeight="false" outlineLevel="0" collapsed="false">
      <c r="M505" s="0" t="str">
        <f aca="false">IF(CSV貼付A!$N505="","",IF(COUNTIF(CSV貼付A!$N$5:$N505,CSV貼付A!$N505)&gt;1,"",MAX($M$4:M504)+1))</f>
        <v/>
      </c>
      <c r="O505" s="0" t="str">
        <f aca="false">IF(CSV貼付B!$N505="","",IF(COUNTIF(CSV貼付B!$N$5:$N505,CSV貼付B!$N505)&gt;1,"",MAX($O$4:O504)+1))</f>
        <v/>
      </c>
      <c r="Q505" s="0" t="str">
        <f aca="false">IF(ROW()-4&lt;=MAX($M$5:$M$1004),IFERROR(INDEX($N$5:$N$404,ROW()-4),""),IFERROR(INDEX($P$5:$P$404,ROW()-4-MAX($M$5:$M$1004)),""))</f>
        <v/>
      </c>
    </row>
    <row r="506" customFormat="false" ht="15" hidden="false" customHeight="false" outlineLevel="0" collapsed="false">
      <c r="M506" s="0" t="str">
        <f aca="false">IF(CSV貼付A!$N506="","",IF(COUNTIF(CSV貼付A!$N$5:$N506,CSV貼付A!$N506)&gt;1,"",MAX($M$4:M505)+1))</f>
        <v/>
      </c>
      <c r="O506" s="0" t="str">
        <f aca="false">IF(CSV貼付B!$N506="","",IF(COUNTIF(CSV貼付B!$N$5:$N506,CSV貼付B!$N506)&gt;1,"",MAX($O$4:O505)+1))</f>
        <v/>
      </c>
      <c r="Q506" s="0" t="str">
        <f aca="false">IF(ROW()-4&lt;=MAX($M$5:$M$1004),IFERROR(INDEX($N$5:$N$404,ROW()-4),""),IFERROR(INDEX($P$5:$P$404,ROW()-4-MAX($M$5:$M$1004)),""))</f>
        <v/>
      </c>
    </row>
    <row r="507" customFormat="false" ht="15" hidden="false" customHeight="false" outlineLevel="0" collapsed="false">
      <c r="M507" s="0" t="str">
        <f aca="false">IF(CSV貼付A!$N507="","",IF(COUNTIF(CSV貼付A!$N$5:$N507,CSV貼付A!$N507)&gt;1,"",MAX($M$4:M506)+1))</f>
        <v/>
      </c>
      <c r="O507" s="0" t="str">
        <f aca="false">IF(CSV貼付B!$N507="","",IF(COUNTIF(CSV貼付B!$N$5:$N507,CSV貼付B!$N507)&gt;1,"",MAX($O$4:O506)+1))</f>
        <v/>
      </c>
      <c r="Q507" s="0" t="str">
        <f aca="false">IF(ROW()-4&lt;=MAX($M$5:$M$1004),IFERROR(INDEX($N$5:$N$404,ROW()-4),""),IFERROR(INDEX($P$5:$P$404,ROW()-4-MAX($M$5:$M$1004)),""))</f>
        <v/>
      </c>
    </row>
    <row r="508" customFormat="false" ht="15" hidden="false" customHeight="false" outlineLevel="0" collapsed="false">
      <c r="M508" s="0" t="str">
        <f aca="false">IF(CSV貼付A!$N508="","",IF(COUNTIF(CSV貼付A!$N$5:$N508,CSV貼付A!$N508)&gt;1,"",MAX($M$4:M507)+1))</f>
        <v/>
      </c>
      <c r="O508" s="0" t="str">
        <f aca="false">IF(CSV貼付B!$N508="","",IF(COUNTIF(CSV貼付B!$N$5:$N508,CSV貼付B!$N508)&gt;1,"",MAX($O$4:O507)+1))</f>
        <v/>
      </c>
      <c r="Q508" s="0" t="str">
        <f aca="false">IF(ROW()-4&lt;=MAX($M$5:$M$1004),IFERROR(INDEX($N$5:$N$404,ROW()-4),""),IFERROR(INDEX($P$5:$P$404,ROW()-4-MAX($M$5:$M$1004)),""))</f>
        <v/>
      </c>
    </row>
    <row r="509" customFormat="false" ht="15" hidden="false" customHeight="false" outlineLevel="0" collapsed="false">
      <c r="M509" s="0" t="str">
        <f aca="false">IF(CSV貼付A!$N509="","",IF(COUNTIF(CSV貼付A!$N$5:$N509,CSV貼付A!$N509)&gt;1,"",MAX($M$4:M508)+1))</f>
        <v/>
      </c>
      <c r="O509" s="0" t="str">
        <f aca="false">IF(CSV貼付B!$N509="","",IF(COUNTIF(CSV貼付B!$N$5:$N509,CSV貼付B!$N509)&gt;1,"",MAX($O$4:O508)+1))</f>
        <v/>
      </c>
      <c r="Q509" s="0" t="str">
        <f aca="false">IF(ROW()-4&lt;=MAX($M$5:$M$1004),IFERROR(INDEX($N$5:$N$404,ROW()-4),""),IFERROR(INDEX($P$5:$P$404,ROW()-4-MAX($M$5:$M$1004)),""))</f>
        <v/>
      </c>
    </row>
    <row r="510" customFormat="false" ht="15" hidden="false" customHeight="false" outlineLevel="0" collapsed="false">
      <c r="M510" s="0" t="str">
        <f aca="false">IF(CSV貼付A!$N510="","",IF(COUNTIF(CSV貼付A!$N$5:$N510,CSV貼付A!$N510)&gt;1,"",MAX($M$4:M509)+1))</f>
        <v/>
      </c>
      <c r="O510" s="0" t="str">
        <f aca="false">IF(CSV貼付B!$N510="","",IF(COUNTIF(CSV貼付B!$N$5:$N510,CSV貼付B!$N510)&gt;1,"",MAX($O$4:O509)+1))</f>
        <v/>
      </c>
      <c r="Q510" s="0" t="str">
        <f aca="false">IF(ROW()-4&lt;=MAX($M$5:$M$1004),IFERROR(INDEX($N$5:$N$404,ROW()-4),""),IFERROR(INDEX($P$5:$P$404,ROW()-4-MAX($M$5:$M$1004)),""))</f>
        <v/>
      </c>
    </row>
    <row r="511" customFormat="false" ht="15" hidden="false" customHeight="false" outlineLevel="0" collapsed="false">
      <c r="M511" s="0" t="str">
        <f aca="false">IF(CSV貼付A!$N511="","",IF(COUNTIF(CSV貼付A!$N$5:$N511,CSV貼付A!$N511)&gt;1,"",MAX($M$4:M510)+1))</f>
        <v/>
      </c>
      <c r="O511" s="0" t="str">
        <f aca="false">IF(CSV貼付B!$N511="","",IF(COUNTIF(CSV貼付B!$N$5:$N511,CSV貼付B!$N511)&gt;1,"",MAX($O$4:O510)+1))</f>
        <v/>
      </c>
      <c r="Q511" s="0" t="str">
        <f aca="false">IF(ROW()-4&lt;=MAX($M$5:$M$1004),IFERROR(INDEX($N$5:$N$404,ROW()-4),""),IFERROR(INDEX($P$5:$P$404,ROW()-4-MAX($M$5:$M$1004)),""))</f>
        <v/>
      </c>
    </row>
    <row r="512" customFormat="false" ht="15" hidden="false" customHeight="false" outlineLevel="0" collapsed="false">
      <c r="M512" s="0" t="str">
        <f aca="false">IF(CSV貼付A!$N512="","",IF(COUNTIF(CSV貼付A!$N$5:$N512,CSV貼付A!$N512)&gt;1,"",MAX($M$4:M511)+1))</f>
        <v/>
      </c>
      <c r="O512" s="0" t="str">
        <f aca="false">IF(CSV貼付B!$N512="","",IF(COUNTIF(CSV貼付B!$N$5:$N512,CSV貼付B!$N512)&gt;1,"",MAX($O$4:O511)+1))</f>
        <v/>
      </c>
      <c r="Q512" s="0" t="str">
        <f aca="false">IF(ROW()-4&lt;=MAX($M$5:$M$1004),IFERROR(INDEX($N$5:$N$404,ROW()-4),""),IFERROR(INDEX($P$5:$P$404,ROW()-4-MAX($M$5:$M$1004)),""))</f>
        <v/>
      </c>
    </row>
    <row r="513" customFormat="false" ht="15" hidden="false" customHeight="false" outlineLevel="0" collapsed="false">
      <c r="M513" s="0" t="str">
        <f aca="false">IF(CSV貼付A!$N513="","",IF(COUNTIF(CSV貼付A!$N$5:$N513,CSV貼付A!$N513)&gt;1,"",MAX($M$4:M512)+1))</f>
        <v/>
      </c>
      <c r="O513" s="0" t="str">
        <f aca="false">IF(CSV貼付B!$N513="","",IF(COUNTIF(CSV貼付B!$N$5:$N513,CSV貼付B!$N513)&gt;1,"",MAX($O$4:O512)+1))</f>
        <v/>
      </c>
      <c r="Q513" s="0" t="str">
        <f aca="false">IF(ROW()-4&lt;=MAX($M$5:$M$1004),IFERROR(INDEX($N$5:$N$404,ROW()-4),""),IFERROR(INDEX($P$5:$P$404,ROW()-4-MAX($M$5:$M$1004)),""))</f>
        <v/>
      </c>
    </row>
    <row r="514" customFormat="false" ht="15" hidden="false" customHeight="false" outlineLevel="0" collapsed="false">
      <c r="M514" s="0" t="str">
        <f aca="false">IF(CSV貼付A!$N514="","",IF(COUNTIF(CSV貼付A!$N$5:$N514,CSV貼付A!$N514)&gt;1,"",MAX($M$4:M513)+1))</f>
        <v/>
      </c>
      <c r="O514" s="0" t="str">
        <f aca="false">IF(CSV貼付B!$N514="","",IF(COUNTIF(CSV貼付B!$N$5:$N514,CSV貼付B!$N514)&gt;1,"",MAX($O$4:O513)+1))</f>
        <v/>
      </c>
      <c r="Q514" s="0" t="str">
        <f aca="false">IF(ROW()-4&lt;=MAX($M$5:$M$1004),IFERROR(INDEX($N$5:$N$404,ROW()-4),""),IFERROR(INDEX($P$5:$P$404,ROW()-4-MAX($M$5:$M$1004)),""))</f>
        <v/>
      </c>
    </row>
    <row r="515" customFormat="false" ht="15" hidden="false" customHeight="false" outlineLevel="0" collapsed="false">
      <c r="M515" s="0" t="str">
        <f aca="false">IF(CSV貼付A!$N515="","",IF(COUNTIF(CSV貼付A!$N$5:$N515,CSV貼付A!$N515)&gt;1,"",MAX($M$4:M514)+1))</f>
        <v/>
      </c>
      <c r="O515" s="0" t="str">
        <f aca="false">IF(CSV貼付B!$N515="","",IF(COUNTIF(CSV貼付B!$N$5:$N515,CSV貼付B!$N515)&gt;1,"",MAX($O$4:O514)+1))</f>
        <v/>
      </c>
      <c r="Q515" s="0" t="str">
        <f aca="false">IF(ROW()-4&lt;=MAX($M$5:$M$1004),IFERROR(INDEX($N$5:$N$404,ROW()-4),""),IFERROR(INDEX($P$5:$P$404,ROW()-4-MAX($M$5:$M$1004)),""))</f>
        <v/>
      </c>
    </row>
    <row r="516" customFormat="false" ht="15" hidden="false" customHeight="false" outlineLevel="0" collapsed="false">
      <c r="M516" s="0" t="str">
        <f aca="false">IF(CSV貼付A!$N516="","",IF(COUNTIF(CSV貼付A!$N$5:$N516,CSV貼付A!$N516)&gt;1,"",MAX($M$4:M515)+1))</f>
        <v/>
      </c>
      <c r="O516" s="0" t="str">
        <f aca="false">IF(CSV貼付B!$N516="","",IF(COUNTIF(CSV貼付B!$N$5:$N516,CSV貼付B!$N516)&gt;1,"",MAX($O$4:O515)+1))</f>
        <v/>
      </c>
      <c r="Q516" s="0" t="str">
        <f aca="false">IF(ROW()-4&lt;=MAX($M$5:$M$1004),IFERROR(INDEX($N$5:$N$404,ROW()-4),""),IFERROR(INDEX($P$5:$P$404,ROW()-4-MAX($M$5:$M$1004)),""))</f>
        <v/>
      </c>
    </row>
    <row r="517" customFormat="false" ht="15" hidden="false" customHeight="false" outlineLevel="0" collapsed="false">
      <c r="M517" s="0" t="str">
        <f aca="false">IF(CSV貼付A!$N517="","",IF(COUNTIF(CSV貼付A!$N$5:$N517,CSV貼付A!$N517)&gt;1,"",MAX($M$4:M516)+1))</f>
        <v/>
      </c>
      <c r="O517" s="0" t="str">
        <f aca="false">IF(CSV貼付B!$N517="","",IF(COUNTIF(CSV貼付B!$N$5:$N517,CSV貼付B!$N517)&gt;1,"",MAX($O$4:O516)+1))</f>
        <v/>
      </c>
      <c r="Q517" s="0" t="str">
        <f aca="false">IF(ROW()-4&lt;=MAX($M$5:$M$1004),IFERROR(INDEX($N$5:$N$404,ROW()-4),""),IFERROR(INDEX($P$5:$P$404,ROW()-4-MAX($M$5:$M$1004)),""))</f>
        <v/>
      </c>
    </row>
    <row r="518" customFormat="false" ht="15" hidden="false" customHeight="false" outlineLevel="0" collapsed="false">
      <c r="M518" s="0" t="str">
        <f aca="false">IF(CSV貼付A!$N518="","",IF(COUNTIF(CSV貼付A!$N$5:$N518,CSV貼付A!$N518)&gt;1,"",MAX($M$4:M517)+1))</f>
        <v/>
      </c>
      <c r="O518" s="0" t="str">
        <f aca="false">IF(CSV貼付B!$N518="","",IF(COUNTIF(CSV貼付B!$N$5:$N518,CSV貼付B!$N518)&gt;1,"",MAX($O$4:O517)+1))</f>
        <v/>
      </c>
      <c r="Q518" s="0" t="str">
        <f aca="false">IF(ROW()-4&lt;=MAX($M$5:$M$1004),IFERROR(INDEX($N$5:$N$404,ROW()-4),""),IFERROR(INDEX($P$5:$P$404,ROW()-4-MAX($M$5:$M$1004)),""))</f>
        <v/>
      </c>
    </row>
    <row r="519" customFormat="false" ht="15" hidden="false" customHeight="false" outlineLevel="0" collapsed="false">
      <c r="M519" s="0" t="str">
        <f aca="false">IF(CSV貼付A!$N519="","",IF(COUNTIF(CSV貼付A!$N$5:$N519,CSV貼付A!$N519)&gt;1,"",MAX($M$4:M518)+1))</f>
        <v/>
      </c>
      <c r="O519" s="0" t="str">
        <f aca="false">IF(CSV貼付B!$N519="","",IF(COUNTIF(CSV貼付B!$N$5:$N519,CSV貼付B!$N519)&gt;1,"",MAX($O$4:O518)+1))</f>
        <v/>
      </c>
      <c r="Q519" s="0" t="str">
        <f aca="false">IF(ROW()-4&lt;=MAX($M$5:$M$1004),IFERROR(INDEX($N$5:$N$404,ROW()-4),""),IFERROR(INDEX($P$5:$P$404,ROW()-4-MAX($M$5:$M$1004)),""))</f>
        <v/>
      </c>
    </row>
    <row r="520" customFormat="false" ht="15" hidden="false" customHeight="false" outlineLevel="0" collapsed="false">
      <c r="M520" s="0" t="str">
        <f aca="false">IF(CSV貼付A!$N520="","",IF(COUNTIF(CSV貼付A!$N$5:$N520,CSV貼付A!$N520)&gt;1,"",MAX($M$4:M519)+1))</f>
        <v/>
      </c>
      <c r="O520" s="0" t="str">
        <f aca="false">IF(CSV貼付B!$N520="","",IF(COUNTIF(CSV貼付B!$N$5:$N520,CSV貼付B!$N520)&gt;1,"",MAX($O$4:O519)+1))</f>
        <v/>
      </c>
      <c r="Q520" s="0" t="str">
        <f aca="false">IF(ROW()-4&lt;=MAX($M$5:$M$1004),IFERROR(INDEX($N$5:$N$404,ROW()-4),""),IFERROR(INDEX($P$5:$P$404,ROW()-4-MAX($M$5:$M$1004)),""))</f>
        <v/>
      </c>
    </row>
    <row r="521" customFormat="false" ht="15" hidden="false" customHeight="false" outlineLevel="0" collapsed="false">
      <c r="M521" s="0" t="str">
        <f aca="false">IF(CSV貼付A!$N521="","",IF(COUNTIF(CSV貼付A!$N$5:$N521,CSV貼付A!$N521)&gt;1,"",MAX($M$4:M520)+1))</f>
        <v/>
      </c>
      <c r="O521" s="0" t="str">
        <f aca="false">IF(CSV貼付B!$N521="","",IF(COUNTIF(CSV貼付B!$N$5:$N521,CSV貼付B!$N521)&gt;1,"",MAX($O$4:O520)+1))</f>
        <v/>
      </c>
      <c r="Q521" s="0" t="str">
        <f aca="false">IF(ROW()-4&lt;=MAX($M$5:$M$1004),IFERROR(INDEX($N$5:$N$404,ROW()-4),""),IFERROR(INDEX($P$5:$P$404,ROW()-4-MAX($M$5:$M$1004)),""))</f>
        <v/>
      </c>
    </row>
    <row r="522" customFormat="false" ht="15" hidden="false" customHeight="false" outlineLevel="0" collapsed="false">
      <c r="M522" s="0" t="str">
        <f aca="false">IF(CSV貼付A!$N522="","",IF(COUNTIF(CSV貼付A!$N$5:$N522,CSV貼付A!$N522)&gt;1,"",MAX($M$4:M521)+1))</f>
        <v/>
      </c>
      <c r="O522" s="0" t="str">
        <f aca="false">IF(CSV貼付B!$N522="","",IF(COUNTIF(CSV貼付B!$N$5:$N522,CSV貼付B!$N522)&gt;1,"",MAX($O$4:O521)+1))</f>
        <v/>
      </c>
      <c r="Q522" s="0" t="str">
        <f aca="false">IF(ROW()-4&lt;=MAX($M$5:$M$1004),IFERROR(INDEX($N$5:$N$404,ROW()-4),""),IFERROR(INDEX($P$5:$P$404,ROW()-4-MAX($M$5:$M$1004)),""))</f>
        <v/>
      </c>
    </row>
    <row r="523" customFormat="false" ht="15" hidden="false" customHeight="false" outlineLevel="0" collapsed="false">
      <c r="M523" s="0" t="str">
        <f aca="false">IF(CSV貼付A!$N523="","",IF(COUNTIF(CSV貼付A!$N$5:$N523,CSV貼付A!$N523)&gt;1,"",MAX($M$4:M522)+1))</f>
        <v/>
      </c>
      <c r="O523" s="0" t="str">
        <f aca="false">IF(CSV貼付B!$N523="","",IF(COUNTIF(CSV貼付B!$N$5:$N523,CSV貼付B!$N523)&gt;1,"",MAX($O$4:O522)+1))</f>
        <v/>
      </c>
      <c r="Q523" s="0" t="str">
        <f aca="false">IF(ROW()-4&lt;=MAX($M$5:$M$1004),IFERROR(INDEX($N$5:$N$404,ROW()-4),""),IFERROR(INDEX($P$5:$P$404,ROW()-4-MAX($M$5:$M$1004)),""))</f>
        <v/>
      </c>
    </row>
    <row r="524" customFormat="false" ht="15" hidden="false" customHeight="false" outlineLevel="0" collapsed="false">
      <c r="M524" s="0" t="str">
        <f aca="false">IF(CSV貼付A!$N524="","",IF(COUNTIF(CSV貼付A!$N$5:$N524,CSV貼付A!$N524)&gt;1,"",MAX($M$4:M523)+1))</f>
        <v/>
      </c>
      <c r="O524" s="0" t="str">
        <f aca="false">IF(CSV貼付B!$N524="","",IF(COUNTIF(CSV貼付B!$N$5:$N524,CSV貼付B!$N524)&gt;1,"",MAX($O$4:O523)+1))</f>
        <v/>
      </c>
      <c r="Q524" s="0" t="str">
        <f aca="false">IF(ROW()-4&lt;=MAX($M$5:$M$1004),IFERROR(INDEX($N$5:$N$404,ROW()-4),""),IFERROR(INDEX($P$5:$P$404,ROW()-4-MAX($M$5:$M$1004)),""))</f>
        <v/>
      </c>
    </row>
    <row r="525" customFormat="false" ht="15" hidden="false" customHeight="false" outlineLevel="0" collapsed="false">
      <c r="M525" s="0" t="str">
        <f aca="false">IF(CSV貼付A!$N525="","",IF(COUNTIF(CSV貼付A!$N$5:$N525,CSV貼付A!$N525)&gt;1,"",MAX($M$4:M524)+1))</f>
        <v/>
      </c>
      <c r="O525" s="0" t="str">
        <f aca="false">IF(CSV貼付B!$N525="","",IF(COUNTIF(CSV貼付B!$N$5:$N525,CSV貼付B!$N525)&gt;1,"",MAX($O$4:O524)+1))</f>
        <v/>
      </c>
      <c r="Q525" s="0" t="str">
        <f aca="false">IF(ROW()-4&lt;=MAX($M$5:$M$1004),IFERROR(INDEX($N$5:$N$404,ROW()-4),""),IFERROR(INDEX($P$5:$P$404,ROW()-4-MAX($M$5:$M$1004)),""))</f>
        <v/>
      </c>
    </row>
    <row r="526" customFormat="false" ht="15" hidden="false" customHeight="false" outlineLevel="0" collapsed="false">
      <c r="M526" s="0" t="str">
        <f aca="false">IF(CSV貼付A!$N526="","",IF(COUNTIF(CSV貼付A!$N$5:$N526,CSV貼付A!$N526)&gt;1,"",MAX($M$4:M525)+1))</f>
        <v/>
      </c>
      <c r="O526" s="0" t="str">
        <f aca="false">IF(CSV貼付B!$N526="","",IF(COUNTIF(CSV貼付B!$N$5:$N526,CSV貼付B!$N526)&gt;1,"",MAX($O$4:O525)+1))</f>
        <v/>
      </c>
      <c r="Q526" s="0" t="str">
        <f aca="false">IF(ROW()-4&lt;=MAX($M$5:$M$1004),IFERROR(INDEX($N$5:$N$404,ROW()-4),""),IFERROR(INDEX($P$5:$P$404,ROW()-4-MAX($M$5:$M$1004)),""))</f>
        <v/>
      </c>
    </row>
    <row r="527" customFormat="false" ht="15" hidden="false" customHeight="false" outlineLevel="0" collapsed="false">
      <c r="M527" s="0" t="str">
        <f aca="false">IF(CSV貼付A!$N527="","",IF(COUNTIF(CSV貼付A!$N$5:$N527,CSV貼付A!$N527)&gt;1,"",MAX($M$4:M526)+1))</f>
        <v/>
      </c>
      <c r="O527" s="0" t="str">
        <f aca="false">IF(CSV貼付B!$N527="","",IF(COUNTIF(CSV貼付B!$N$5:$N527,CSV貼付B!$N527)&gt;1,"",MAX($O$4:O526)+1))</f>
        <v/>
      </c>
      <c r="Q527" s="0" t="str">
        <f aca="false">IF(ROW()-4&lt;=MAX($M$5:$M$1004),IFERROR(INDEX($N$5:$N$404,ROW()-4),""),IFERROR(INDEX($P$5:$P$404,ROW()-4-MAX($M$5:$M$1004)),""))</f>
        <v/>
      </c>
    </row>
    <row r="528" customFormat="false" ht="15" hidden="false" customHeight="false" outlineLevel="0" collapsed="false">
      <c r="M528" s="0" t="str">
        <f aca="false">IF(CSV貼付A!$N528="","",IF(COUNTIF(CSV貼付A!$N$5:$N528,CSV貼付A!$N528)&gt;1,"",MAX($M$4:M527)+1))</f>
        <v/>
      </c>
      <c r="O528" s="0" t="str">
        <f aca="false">IF(CSV貼付B!$N528="","",IF(COUNTIF(CSV貼付B!$N$5:$N528,CSV貼付B!$N528)&gt;1,"",MAX($O$4:O527)+1))</f>
        <v/>
      </c>
      <c r="Q528" s="0" t="str">
        <f aca="false">IF(ROW()-4&lt;=MAX($M$5:$M$1004),IFERROR(INDEX($N$5:$N$404,ROW()-4),""),IFERROR(INDEX($P$5:$P$404,ROW()-4-MAX($M$5:$M$1004)),""))</f>
        <v/>
      </c>
    </row>
    <row r="529" customFormat="false" ht="15" hidden="false" customHeight="false" outlineLevel="0" collapsed="false">
      <c r="M529" s="0" t="str">
        <f aca="false">IF(CSV貼付A!$N529="","",IF(COUNTIF(CSV貼付A!$N$5:$N529,CSV貼付A!$N529)&gt;1,"",MAX($M$4:M528)+1))</f>
        <v/>
      </c>
      <c r="O529" s="0" t="str">
        <f aca="false">IF(CSV貼付B!$N529="","",IF(COUNTIF(CSV貼付B!$N$5:$N529,CSV貼付B!$N529)&gt;1,"",MAX($O$4:O528)+1))</f>
        <v/>
      </c>
      <c r="Q529" s="0" t="str">
        <f aca="false">IF(ROW()-4&lt;=MAX($M$5:$M$1004),IFERROR(INDEX($N$5:$N$404,ROW()-4),""),IFERROR(INDEX($P$5:$P$404,ROW()-4-MAX($M$5:$M$1004)),""))</f>
        <v/>
      </c>
    </row>
    <row r="530" customFormat="false" ht="15" hidden="false" customHeight="false" outlineLevel="0" collapsed="false">
      <c r="M530" s="0" t="str">
        <f aca="false">IF(CSV貼付A!$N530="","",IF(COUNTIF(CSV貼付A!$N$5:$N530,CSV貼付A!$N530)&gt;1,"",MAX($M$4:M529)+1))</f>
        <v/>
      </c>
      <c r="O530" s="0" t="str">
        <f aca="false">IF(CSV貼付B!$N530="","",IF(COUNTIF(CSV貼付B!$N$5:$N530,CSV貼付B!$N530)&gt;1,"",MAX($O$4:O529)+1))</f>
        <v/>
      </c>
      <c r="Q530" s="0" t="str">
        <f aca="false">IF(ROW()-4&lt;=MAX($M$5:$M$1004),IFERROR(INDEX($N$5:$N$404,ROW()-4),""),IFERROR(INDEX($P$5:$P$404,ROW()-4-MAX($M$5:$M$1004)),""))</f>
        <v/>
      </c>
    </row>
    <row r="531" customFormat="false" ht="15" hidden="false" customHeight="false" outlineLevel="0" collapsed="false">
      <c r="M531" s="0" t="str">
        <f aca="false">IF(CSV貼付A!$N531="","",IF(COUNTIF(CSV貼付A!$N$5:$N531,CSV貼付A!$N531)&gt;1,"",MAX($M$4:M530)+1))</f>
        <v/>
      </c>
      <c r="O531" s="0" t="str">
        <f aca="false">IF(CSV貼付B!$N531="","",IF(COUNTIF(CSV貼付B!$N$5:$N531,CSV貼付B!$N531)&gt;1,"",MAX($O$4:O530)+1))</f>
        <v/>
      </c>
      <c r="Q531" s="0" t="str">
        <f aca="false">IF(ROW()-4&lt;=MAX($M$5:$M$1004),IFERROR(INDEX($N$5:$N$404,ROW()-4),""),IFERROR(INDEX($P$5:$P$404,ROW()-4-MAX($M$5:$M$1004)),""))</f>
        <v/>
      </c>
    </row>
    <row r="532" customFormat="false" ht="15" hidden="false" customHeight="false" outlineLevel="0" collapsed="false">
      <c r="M532" s="0" t="str">
        <f aca="false">IF(CSV貼付A!$N532="","",IF(COUNTIF(CSV貼付A!$N$5:$N532,CSV貼付A!$N532)&gt;1,"",MAX($M$4:M531)+1))</f>
        <v/>
      </c>
      <c r="O532" s="0" t="str">
        <f aca="false">IF(CSV貼付B!$N532="","",IF(COUNTIF(CSV貼付B!$N$5:$N532,CSV貼付B!$N532)&gt;1,"",MAX($O$4:O531)+1))</f>
        <v/>
      </c>
      <c r="Q532" s="0" t="str">
        <f aca="false">IF(ROW()-4&lt;=MAX($M$5:$M$1004),IFERROR(INDEX($N$5:$N$404,ROW()-4),""),IFERROR(INDEX($P$5:$P$404,ROW()-4-MAX($M$5:$M$1004)),""))</f>
        <v/>
      </c>
    </row>
    <row r="533" customFormat="false" ht="15" hidden="false" customHeight="false" outlineLevel="0" collapsed="false">
      <c r="M533" s="0" t="str">
        <f aca="false">IF(CSV貼付A!$N533="","",IF(COUNTIF(CSV貼付A!$N$5:$N533,CSV貼付A!$N533)&gt;1,"",MAX($M$4:M532)+1))</f>
        <v/>
      </c>
      <c r="O533" s="0" t="str">
        <f aca="false">IF(CSV貼付B!$N533="","",IF(COUNTIF(CSV貼付B!$N$5:$N533,CSV貼付B!$N533)&gt;1,"",MAX($O$4:O532)+1))</f>
        <v/>
      </c>
      <c r="Q533" s="0" t="str">
        <f aca="false">IF(ROW()-4&lt;=MAX($M$5:$M$1004),IFERROR(INDEX($N$5:$N$404,ROW()-4),""),IFERROR(INDEX($P$5:$P$404,ROW()-4-MAX($M$5:$M$1004)),""))</f>
        <v/>
      </c>
    </row>
    <row r="534" customFormat="false" ht="15" hidden="false" customHeight="false" outlineLevel="0" collapsed="false">
      <c r="M534" s="0" t="str">
        <f aca="false">IF(CSV貼付A!$N534="","",IF(COUNTIF(CSV貼付A!$N$5:$N534,CSV貼付A!$N534)&gt;1,"",MAX($M$4:M533)+1))</f>
        <v/>
      </c>
      <c r="O534" s="0" t="str">
        <f aca="false">IF(CSV貼付B!$N534="","",IF(COUNTIF(CSV貼付B!$N$5:$N534,CSV貼付B!$N534)&gt;1,"",MAX($O$4:O533)+1))</f>
        <v/>
      </c>
      <c r="Q534" s="0" t="str">
        <f aca="false">IF(ROW()-4&lt;=MAX($M$5:$M$1004),IFERROR(INDEX($N$5:$N$404,ROW()-4),""),IFERROR(INDEX($P$5:$P$404,ROW()-4-MAX($M$5:$M$1004)),""))</f>
        <v/>
      </c>
    </row>
    <row r="535" customFormat="false" ht="15" hidden="false" customHeight="false" outlineLevel="0" collapsed="false">
      <c r="M535" s="0" t="str">
        <f aca="false">IF(CSV貼付A!$N535="","",IF(COUNTIF(CSV貼付A!$N$5:$N535,CSV貼付A!$N535)&gt;1,"",MAX($M$4:M534)+1))</f>
        <v/>
      </c>
      <c r="O535" s="0" t="str">
        <f aca="false">IF(CSV貼付B!$N535="","",IF(COUNTIF(CSV貼付B!$N$5:$N535,CSV貼付B!$N535)&gt;1,"",MAX($O$4:O534)+1))</f>
        <v/>
      </c>
      <c r="Q535" s="0" t="str">
        <f aca="false">IF(ROW()-4&lt;=MAX($M$5:$M$1004),IFERROR(INDEX($N$5:$N$404,ROW()-4),""),IFERROR(INDEX($P$5:$P$404,ROW()-4-MAX($M$5:$M$1004)),""))</f>
        <v/>
      </c>
    </row>
    <row r="536" customFormat="false" ht="15" hidden="false" customHeight="false" outlineLevel="0" collapsed="false">
      <c r="M536" s="0" t="str">
        <f aca="false">IF(CSV貼付A!$N536="","",IF(COUNTIF(CSV貼付A!$N$5:$N536,CSV貼付A!$N536)&gt;1,"",MAX($M$4:M535)+1))</f>
        <v/>
      </c>
      <c r="O536" s="0" t="str">
        <f aca="false">IF(CSV貼付B!$N536="","",IF(COUNTIF(CSV貼付B!$N$5:$N536,CSV貼付B!$N536)&gt;1,"",MAX($O$4:O535)+1))</f>
        <v/>
      </c>
      <c r="Q536" s="0" t="str">
        <f aca="false">IF(ROW()-4&lt;=MAX($M$5:$M$1004),IFERROR(INDEX($N$5:$N$404,ROW()-4),""),IFERROR(INDEX($P$5:$P$404,ROW()-4-MAX($M$5:$M$1004)),""))</f>
        <v/>
      </c>
    </row>
    <row r="537" customFormat="false" ht="15" hidden="false" customHeight="false" outlineLevel="0" collapsed="false">
      <c r="M537" s="0" t="str">
        <f aca="false">IF(CSV貼付A!$N537="","",IF(COUNTIF(CSV貼付A!$N$5:$N537,CSV貼付A!$N537)&gt;1,"",MAX($M$4:M536)+1))</f>
        <v/>
      </c>
      <c r="O537" s="0" t="str">
        <f aca="false">IF(CSV貼付B!$N537="","",IF(COUNTIF(CSV貼付B!$N$5:$N537,CSV貼付B!$N537)&gt;1,"",MAX($O$4:O536)+1))</f>
        <v/>
      </c>
      <c r="Q537" s="0" t="str">
        <f aca="false">IF(ROW()-4&lt;=MAX($M$5:$M$1004),IFERROR(INDEX($N$5:$N$404,ROW()-4),""),IFERROR(INDEX($P$5:$P$404,ROW()-4-MAX($M$5:$M$1004)),""))</f>
        <v/>
      </c>
    </row>
    <row r="538" customFormat="false" ht="15" hidden="false" customHeight="false" outlineLevel="0" collapsed="false">
      <c r="M538" s="0" t="str">
        <f aca="false">IF(CSV貼付A!$N538="","",IF(COUNTIF(CSV貼付A!$N$5:$N538,CSV貼付A!$N538)&gt;1,"",MAX($M$4:M537)+1))</f>
        <v/>
      </c>
      <c r="O538" s="0" t="str">
        <f aca="false">IF(CSV貼付B!$N538="","",IF(COUNTIF(CSV貼付B!$N$5:$N538,CSV貼付B!$N538)&gt;1,"",MAX($O$4:O537)+1))</f>
        <v/>
      </c>
      <c r="Q538" s="0" t="str">
        <f aca="false">IF(ROW()-4&lt;=MAX($M$5:$M$1004),IFERROR(INDEX($N$5:$N$404,ROW()-4),""),IFERROR(INDEX($P$5:$P$404,ROW()-4-MAX($M$5:$M$1004)),""))</f>
        <v/>
      </c>
    </row>
    <row r="539" customFormat="false" ht="15" hidden="false" customHeight="false" outlineLevel="0" collapsed="false">
      <c r="M539" s="0" t="str">
        <f aca="false">IF(CSV貼付A!$N539="","",IF(COUNTIF(CSV貼付A!$N$5:$N539,CSV貼付A!$N539)&gt;1,"",MAX($M$4:M538)+1))</f>
        <v/>
      </c>
      <c r="O539" s="0" t="str">
        <f aca="false">IF(CSV貼付B!$N539="","",IF(COUNTIF(CSV貼付B!$N$5:$N539,CSV貼付B!$N539)&gt;1,"",MAX($O$4:O538)+1))</f>
        <v/>
      </c>
      <c r="Q539" s="0" t="str">
        <f aca="false">IF(ROW()-4&lt;=MAX($M$5:$M$1004),IFERROR(INDEX($N$5:$N$404,ROW()-4),""),IFERROR(INDEX($P$5:$P$404,ROW()-4-MAX($M$5:$M$1004)),""))</f>
        <v/>
      </c>
    </row>
    <row r="540" customFormat="false" ht="15" hidden="false" customHeight="false" outlineLevel="0" collapsed="false">
      <c r="M540" s="0" t="str">
        <f aca="false">IF(CSV貼付A!$N540="","",IF(COUNTIF(CSV貼付A!$N$5:$N540,CSV貼付A!$N540)&gt;1,"",MAX($M$4:M539)+1))</f>
        <v/>
      </c>
      <c r="O540" s="0" t="str">
        <f aca="false">IF(CSV貼付B!$N540="","",IF(COUNTIF(CSV貼付B!$N$5:$N540,CSV貼付B!$N540)&gt;1,"",MAX($O$4:O539)+1))</f>
        <v/>
      </c>
      <c r="Q540" s="0" t="str">
        <f aca="false">IF(ROW()-4&lt;=MAX($M$5:$M$1004),IFERROR(INDEX($N$5:$N$404,ROW()-4),""),IFERROR(INDEX($P$5:$P$404,ROW()-4-MAX($M$5:$M$1004)),""))</f>
        <v/>
      </c>
    </row>
    <row r="541" customFormat="false" ht="15" hidden="false" customHeight="false" outlineLevel="0" collapsed="false">
      <c r="M541" s="0" t="str">
        <f aca="false">IF(CSV貼付A!$N541="","",IF(COUNTIF(CSV貼付A!$N$5:$N541,CSV貼付A!$N541)&gt;1,"",MAX($M$4:M540)+1))</f>
        <v/>
      </c>
      <c r="O541" s="0" t="str">
        <f aca="false">IF(CSV貼付B!$N541="","",IF(COUNTIF(CSV貼付B!$N$5:$N541,CSV貼付B!$N541)&gt;1,"",MAX($O$4:O540)+1))</f>
        <v/>
      </c>
      <c r="Q541" s="0" t="str">
        <f aca="false">IF(ROW()-4&lt;=MAX($M$5:$M$1004),IFERROR(INDEX($N$5:$N$404,ROW()-4),""),IFERROR(INDEX($P$5:$P$404,ROW()-4-MAX($M$5:$M$1004)),""))</f>
        <v/>
      </c>
    </row>
    <row r="542" customFormat="false" ht="15" hidden="false" customHeight="false" outlineLevel="0" collapsed="false">
      <c r="M542" s="0" t="str">
        <f aca="false">IF(CSV貼付A!$N542="","",IF(COUNTIF(CSV貼付A!$N$5:$N542,CSV貼付A!$N542)&gt;1,"",MAX($M$4:M541)+1))</f>
        <v/>
      </c>
      <c r="O542" s="0" t="str">
        <f aca="false">IF(CSV貼付B!$N542="","",IF(COUNTIF(CSV貼付B!$N$5:$N542,CSV貼付B!$N542)&gt;1,"",MAX($O$4:O541)+1))</f>
        <v/>
      </c>
      <c r="Q542" s="0" t="str">
        <f aca="false">IF(ROW()-4&lt;=MAX($M$5:$M$1004),IFERROR(INDEX($N$5:$N$404,ROW()-4),""),IFERROR(INDEX($P$5:$P$404,ROW()-4-MAX($M$5:$M$1004)),""))</f>
        <v/>
      </c>
    </row>
    <row r="543" customFormat="false" ht="15" hidden="false" customHeight="false" outlineLevel="0" collapsed="false">
      <c r="M543" s="0" t="str">
        <f aca="false">IF(CSV貼付A!$N543="","",IF(COUNTIF(CSV貼付A!$N$5:$N543,CSV貼付A!$N543)&gt;1,"",MAX($M$4:M542)+1))</f>
        <v/>
      </c>
      <c r="O543" s="0" t="str">
        <f aca="false">IF(CSV貼付B!$N543="","",IF(COUNTIF(CSV貼付B!$N$5:$N543,CSV貼付B!$N543)&gt;1,"",MAX($O$4:O542)+1))</f>
        <v/>
      </c>
      <c r="Q543" s="0" t="str">
        <f aca="false">IF(ROW()-4&lt;=MAX($M$5:$M$1004),IFERROR(INDEX($N$5:$N$404,ROW()-4),""),IFERROR(INDEX($P$5:$P$404,ROW()-4-MAX($M$5:$M$1004)),""))</f>
        <v/>
      </c>
    </row>
    <row r="544" customFormat="false" ht="15" hidden="false" customHeight="false" outlineLevel="0" collapsed="false">
      <c r="M544" s="0" t="str">
        <f aca="false">IF(CSV貼付A!$N544="","",IF(COUNTIF(CSV貼付A!$N$5:$N544,CSV貼付A!$N544)&gt;1,"",MAX($M$4:M543)+1))</f>
        <v/>
      </c>
      <c r="O544" s="0" t="str">
        <f aca="false">IF(CSV貼付B!$N544="","",IF(COUNTIF(CSV貼付B!$N$5:$N544,CSV貼付B!$N544)&gt;1,"",MAX($O$4:O543)+1))</f>
        <v/>
      </c>
      <c r="Q544" s="0" t="str">
        <f aca="false">IF(ROW()-4&lt;=MAX($M$5:$M$1004),IFERROR(INDEX($N$5:$N$404,ROW()-4),""),IFERROR(INDEX($P$5:$P$404,ROW()-4-MAX($M$5:$M$1004)),""))</f>
        <v/>
      </c>
    </row>
    <row r="545" customFormat="false" ht="15" hidden="false" customHeight="false" outlineLevel="0" collapsed="false">
      <c r="M545" s="0" t="str">
        <f aca="false">IF(CSV貼付A!$N545="","",IF(COUNTIF(CSV貼付A!$N$5:$N545,CSV貼付A!$N545)&gt;1,"",MAX($M$4:M544)+1))</f>
        <v/>
      </c>
      <c r="O545" s="0" t="str">
        <f aca="false">IF(CSV貼付B!$N545="","",IF(COUNTIF(CSV貼付B!$N$5:$N545,CSV貼付B!$N545)&gt;1,"",MAX($O$4:O544)+1))</f>
        <v/>
      </c>
      <c r="Q545" s="0" t="str">
        <f aca="false">IF(ROW()-4&lt;=MAX($M$5:$M$1004),IFERROR(INDEX($N$5:$N$404,ROW()-4),""),IFERROR(INDEX($P$5:$P$404,ROW()-4-MAX($M$5:$M$1004)),""))</f>
        <v/>
      </c>
    </row>
    <row r="546" customFormat="false" ht="15" hidden="false" customHeight="false" outlineLevel="0" collapsed="false">
      <c r="M546" s="0" t="str">
        <f aca="false">IF(CSV貼付A!$N546="","",IF(COUNTIF(CSV貼付A!$N$5:$N546,CSV貼付A!$N546)&gt;1,"",MAX($M$4:M545)+1))</f>
        <v/>
      </c>
      <c r="O546" s="0" t="str">
        <f aca="false">IF(CSV貼付B!$N546="","",IF(COUNTIF(CSV貼付B!$N$5:$N546,CSV貼付B!$N546)&gt;1,"",MAX($O$4:O545)+1))</f>
        <v/>
      </c>
      <c r="Q546" s="0" t="str">
        <f aca="false">IF(ROW()-4&lt;=MAX($M$5:$M$1004),IFERROR(INDEX($N$5:$N$404,ROW()-4),""),IFERROR(INDEX($P$5:$P$404,ROW()-4-MAX($M$5:$M$1004)),""))</f>
        <v/>
      </c>
    </row>
    <row r="547" customFormat="false" ht="15" hidden="false" customHeight="false" outlineLevel="0" collapsed="false">
      <c r="M547" s="0" t="str">
        <f aca="false">IF(CSV貼付A!$N547="","",IF(COUNTIF(CSV貼付A!$N$5:$N547,CSV貼付A!$N547)&gt;1,"",MAX($M$4:M546)+1))</f>
        <v/>
      </c>
      <c r="O547" s="0" t="str">
        <f aca="false">IF(CSV貼付B!$N547="","",IF(COUNTIF(CSV貼付B!$N$5:$N547,CSV貼付B!$N547)&gt;1,"",MAX($O$4:O546)+1))</f>
        <v/>
      </c>
      <c r="Q547" s="0" t="str">
        <f aca="false">IF(ROW()-4&lt;=MAX($M$5:$M$1004),IFERROR(INDEX($N$5:$N$404,ROW()-4),""),IFERROR(INDEX($P$5:$P$404,ROW()-4-MAX($M$5:$M$1004)),""))</f>
        <v/>
      </c>
    </row>
    <row r="548" customFormat="false" ht="15" hidden="false" customHeight="false" outlineLevel="0" collapsed="false">
      <c r="M548" s="0" t="str">
        <f aca="false">IF(CSV貼付A!$N548="","",IF(COUNTIF(CSV貼付A!$N$5:$N548,CSV貼付A!$N548)&gt;1,"",MAX($M$4:M547)+1))</f>
        <v/>
      </c>
      <c r="O548" s="0" t="str">
        <f aca="false">IF(CSV貼付B!$N548="","",IF(COUNTIF(CSV貼付B!$N$5:$N548,CSV貼付B!$N548)&gt;1,"",MAX($O$4:O547)+1))</f>
        <v/>
      </c>
      <c r="Q548" s="0" t="str">
        <f aca="false">IF(ROW()-4&lt;=MAX($M$5:$M$1004),IFERROR(INDEX($N$5:$N$404,ROW()-4),""),IFERROR(INDEX($P$5:$P$404,ROW()-4-MAX($M$5:$M$1004)),""))</f>
        <v/>
      </c>
    </row>
    <row r="549" customFormat="false" ht="15" hidden="false" customHeight="false" outlineLevel="0" collapsed="false">
      <c r="M549" s="0" t="str">
        <f aca="false">IF(CSV貼付A!$N549="","",IF(COUNTIF(CSV貼付A!$N$5:$N549,CSV貼付A!$N549)&gt;1,"",MAX($M$4:M548)+1))</f>
        <v/>
      </c>
      <c r="O549" s="0" t="str">
        <f aca="false">IF(CSV貼付B!$N549="","",IF(COUNTIF(CSV貼付B!$N$5:$N549,CSV貼付B!$N549)&gt;1,"",MAX($O$4:O548)+1))</f>
        <v/>
      </c>
      <c r="Q549" s="0" t="str">
        <f aca="false">IF(ROW()-4&lt;=MAX($M$5:$M$1004),IFERROR(INDEX($N$5:$N$404,ROW()-4),""),IFERROR(INDEX($P$5:$P$404,ROW()-4-MAX($M$5:$M$1004)),""))</f>
        <v/>
      </c>
    </row>
    <row r="550" customFormat="false" ht="15" hidden="false" customHeight="false" outlineLevel="0" collapsed="false">
      <c r="M550" s="0" t="str">
        <f aca="false">IF(CSV貼付A!$N550="","",IF(COUNTIF(CSV貼付A!$N$5:$N550,CSV貼付A!$N550)&gt;1,"",MAX($M$4:M549)+1))</f>
        <v/>
      </c>
      <c r="O550" s="0" t="str">
        <f aca="false">IF(CSV貼付B!$N550="","",IF(COUNTIF(CSV貼付B!$N$5:$N550,CSV貼付B!$N550)&gt;1,"",MAX($O$4:O549)+1))</f>
        <v/>
      </c>
      <c r="Q550" s="0" t="str">
        <f aca="false">IF(ROW()-4&lt;=MAX($M$5:$M$1004),IFERROR(INDEX($N$5:$N$404,ROW()-4),""),IFERROR(INDEX($P$5:$P$404,ROW()-4-MAX($M$5:$M$1004)),""))</f>
        <v/>
      </c>
    </row>
    <row r="551" customFormat="false" ht="15" hidden="false" customHeight="false" outlineLevel="0" collapsed="false">
      <c r="M551" s="0" t="str">
        <f aca="false">IF(CSV貼付A!$N551="","",IF(COUNTIF(CSV貼付A!$N$5:$N551,CSV貼付A!$N551)&gt;1,"",MAX($M$4:M550)+1))</f>
        <v/>
      </c>
      <c r="O551" s="0" t="str">
        <f aca="false">IF(CSV貼付B!$N551="","",IF(COUNTIF(CSV貼付B!$N$5:$N551,CSV貼付B!$N551)&gt;1,"",MAX($O$4:O550)+1))</f>
        <v/>
      </c>
      <c r="Q551" s="0" t="str">
        <f aca="false">IF(ROW()-4&lt;=MAX($M$5:$M$1004),IFERROR(INDEX($N$5:$N$404,ROW()-4),""),IFERROR(INDEX($P$5:$P$404,ROW()-4-MAX($M$5:$M$1004)),""))</f>
        <v/>
      </c>
    </row>
    <row r="552" customFormat="false" ht="15" hidden="false" customHeight="false" outlineLevel="0" collapsed="false">
      <c r="M552" s="0" t="str">
        <f aca="false">IF(CSV貼付A!$N552="","",IF(COUNTIF(CSV貼付A!$N$5:$N552,CSV貼付A!$N552)&gt;1,"",MAX($M$4:M551)+1))</f>
        <v/>
      </c>
      <c r="O552" s="0" t="str">
        <f aca="false">IF(CSV貼付B!$N552="","",IF(COUNTIF(CSV貼付B!$N$5:$N552,CSV貼付B!$N552)&gt;1,"",MAX($O$4:O551)+1))</f>
        <v/>
      </c>
      <c r="Q552" s="0" t="str">
        <f aca="false">IF(ROW()-4&lt;=MAX($M$5:$M$1004),IFERROR(INDEX($N$5:$N$404,ROW()-4),""),IFERROR(INDEX($P$5:$P$404,ROW()-4-MAX($M$5:$M$1004)),""))</f>
        <v/>
      </c>
    </row>
    <row r="553" customFormat="false" ht="15" hidden="false" customHeight="false" outlineLevel="0" collapsed="false">
      <c r="M553" s="0" t="str">
        <f aca="false">IF(CSV貼付A!$N553="","",IF(COUNTIF(CSV貼付A!$N$5:$N553,CSV貼付A!$N553)&gt;1,"",MAX($M$4:M552)+1))</f>
        <v/>
      </c>
      <c r="O553" s="0" t="str">
        <f aca="false">IF(CSV貼付B!$N553="","",IF(COUNTIF(CSV貼付B!$N$5:$N553,CSV貼付B!$N553)&gt;1,"",MAX($O$4:O552)+1))</f>
        <v/>
      </c>
      <c r="Q553" s="0" t="str">
        <f aca="false">IF(ROW()-4&lt;=MAX($M$5:$M$1004),IFERROR(INDEX($N$5:$N$404,ROW()-4),""),IFERROR(INDEX($P$5:$P$404,ROW()-4-MAX($M$5:$M$1004)),""))</f>
        <v/>
      </c>
    </row>
    <row r="554" customFormat="false" ht="15" hidden="false" customHeight="false" outlineLevel="0" collapsed="false">
      <c r="M554" s="0" t="str">
        <f aca="false">IF(CSV貼付A!$N554="","",IF(COUNTIF(CSV貼付A!$N$5:$N554,CSV貼付A!$N554)&gt;1,"",MAX($M$4:M553)+1))</f>
        <v/>
      </c>
      <c r="O554" s="0" t="str">
        <f aca="false">IF(CSV貼付B!$N554="","",IF(COUNTIF(CSV貼付B!$N$5:$N554,CSV貼付B!$N554)&gt;1,"",MAX($O$4:O553)+1))</f>
        <v/>
      </c>
      <c r="Q554" s="0" t="str">
        <f aca="false">IF(ROW()-4&lt;=MAX($M$5:$M$1004),IFERROR(INDEX($N$5:$N$404,ROW()-4),""),IFERROR(INDEX($P$5:$P$404,ROW()-4-MAX($M$5:$M$1004)),""))</f>
        <v/>
      </c>
    </row>
    <row r="555" customFormat="false" ht="15" hidden="false" customHeight="false" outlineLevel="0" collapsed="false">
      <c r="M555" s="0" t="str">
        <f aca="false">IF(CSV貼付A!$N555="","",IF(COUNTIF(CSV貼付A!$N$5:$N555,CSV貼付A!$N555)&gt;1,"",MAX($M$4:M554)+1))</f>
        <v/>
      </c>
      <c r="O555" s="0" t="str">
        <f aca="false">IF(CSV貼付B!$N555="","",IF(COUNTIF(CSV貼付B!$N$5:$N555,CSV貼付B!$N555)&gt;1,"",MAX($O$4:O554)+1))</f>
        <v/>
      </c>
      <c r="Q555" s="0" t="str">
        <f aca="false">IF(ROW()-4&lt;=MAX($M$5:$M$1004),IFERROR(INDEX($N$5:$N$404,ROW()-4),""),IFERROR(INDEX($P$5:$P$404,ROW()-4-MAX($M$5:$M$1004)),""))</f>
        <v/>
      </c>
    </row>
    <row r="556" customFormat="false" ht="15" hidden="false" customHeight="false" outlineLevel="0" collapsed="false">
      <c r="M556" s="0" t="str">
        <f aca="false">IF(CSV貼付A!$N556="","",IF(COUNTIF(CSV貼付A!$N$5:$N556,CSV貼付A!$N556)&gt;1,"",MAX($M$4:M555)+1))</f>
        <v/>
      </c>
      <c r="O556" s="0" t="str">
        <f aca="false">IF(CSV貼付B!$N556="","",IF(COUNTIF(CSV貼付B!$N$5:$N556,CSV貼付B!$N556)&gt;1,"",MAX($O$4:O555)+1))</f>
        <v/>
      </c>
      <c r="Q556" s="0" t="str">
        <f aca="false">IF(ROW()-4&lt;=MAX($M$5:$M$1004),IFERROR(INDEX($N$5:$N$404,ROW()-4),""),IFERROR(INDEX($P$5:$P$404,ROW()-4-MAX($M$5:$M$1004)),""))</f>
        <v/>
      </c>
    </row>
    <row r="557" customFormat="false" ht="15" hidden="false" customHeight="false" outlineLevel="0" collapsed="false">
      <c r="M557" s="0" t="str">
        <f aca="false">IF(CSV貼付A!$N557="","",IF(COUNTIF(CSV貼付A!$N$5:$N557,CSV貼付A!$N557)&gt;1,"",MAX($M$4:M556)+1))</f>
        <v/>
      </c>
      <c r="O557" s="0" t="str">
        <f aca="false">IF(CSV貼付B!$N557="","",IF(COUNTIF(CSV貼付B!$N$5:$N557,CSV貼付B!$N557)&gt;1,"",MAX($O$4:O556)+1))</f>
        <v/>
      </c>
      <c r="Q557" s="0" t="str">
        <f aca="false">IF(ROW()-4&lt;=MAX($M$5:$M$1004),IFERROR(INDEX($N$5:$N$404,ROW()-4),""),IFERROR(INDEX($P$5:$P$404,ROW()-4-MAX($M$5:$M$1004)),""))</f>
        <v/>
      </c>
    </row>
    <row r="558" customFormat="false" ht="15" hidden="false" customHeight="false" outlineLevel="0" collapsed="false">
      <c r="M558" s="0" t="str">
        <f aca="false">IF(CSV貼付A!$N558="","",IF(COUNTIF(CSV貼付A!$N$5:$N558,CSV貼付A!$N558)&gt;1,"",MAX($M$4:M557)+1))</f>
        <v/>
      </c>
      <c r="O558" s="0" t="str">
        <f aca="false">IF(CSV貼付B!$N558="","",IF(COUNTIF(CSV貼付B!$N$5:$N558,CSV貼付B!$N558)&gt;1,"",MAX($O$4:O557)+1))</f>
        <v/>
      </c>
      <c r="Q558" s="0" t="str">
        <f aca="false">IF(ROW()-4&lt;=MAX($M$5:$M$1004),IFERROR(INDEX($N$5:$N$404,ROW()-4),""),IFERROR(INDEX($P$5:$P$404,ROW()-4-MAX($M$5:$M$1004)),""))</f>
        <v/>
      </c>
    </row>
    <row r="559" customFormat="false" ht="15" hidden="false" customHeight="false" outlineLevel="0" collapsed="false">
      <c r="M559" s="0" t="str">
        <f aca="false">IF(CSV貼付A!$N559="","",IF(COUNTIF(CSV貼付A!$N$5:$N559,CSV貼付A!$N559)&gt;1,"",MAX($M$4:M558)+1))</f>
        <v/>
      </c>
      <c r="O559" s="0" t="str">
        <f aca="false">IF(CSV貼付B!$N559="","",IF(COUNTIF(CSV貼付B!$N$5:$N559,CSV貼付B!$N559)&gt;1,"",MAX($O$4:O558)+1))</f>
        <v/>
      </c>
      <c r="Q559" s="0" t="str">
        <f aca="false">IF(ROW()-4&lt;=MAX($M$5:$M$1004),IFERROR(INDEX($N$5:$N$404,ROW()-4),""),IFERROR(INDEX($P$5:$P$404,ROW()-4-MAX($M$5:$M$1004)),""))</f>
        <v/>
      </c>
    </row>
    <row r="560" customFormat="false" ht="15" hidden="false" customHeight="false" outlineLevel="0" collapsed="false">
      <c r="M560" s="0" t="str">
        <f aca="false">IF(CSV貼付A!$N560="","",IF(COUNTIF(CSV貼付A!$N$5:$N560,CSV貼付A!$N560)&gt;1,"",MAX($M$4:M559)+1))</f>
        <v/>
      </c>
      <c r="O560" s="0" t="str">
        <f aca="false">IF(CSV貼付B!$N560="","",IF(COUNTIF(CSV貼付B!$N$5:$N560,CSV貼付B!$N560)&gt;1,"",MAX($O$4:O559)+1))</f>
        <v/>
      </c>
      <c r="Q560" s="0" t="str">
        <f aca="false">IF(ROW()-4&lt;=MAX($M$5:$M$1004),IFERROR(INDEX($N$5:$N$404,ROW()-4),""),IFERROR(INDEX($P$5:$P$404,ROW()-4-MAX($M$5:$M$1004)),""))</f>
        <v/>
      </c>
    </row>
    <row r="561" customFormat="false" ht="15" hidden="false" customHeight="false" outlineLevel="0" collapsed="false">
      <c r="M561" s="0" t="str">
        <f aca="false">IF(CSV貼付A!$N561="","",IF(COUNTIF(CSV貼付A!$N$5:$N561,CSV貼付A!$N561)&gt;1,"",MAX($M$4:M560)+1))</f>
        <v/>
      </c>
      <c r="O561" s="0" t="str">
        <f aca="false">IF(CSV貼付B!$N561="","",IF(COUNTIF(CSV貼付B!$N$5:$N561,CSV貼付B!$N561)&gt;1,"",MAX($O$4:O560)+1))</f>
        <v/>
      </c>
      <c r="Q561" s="0" t="str">
        <f aca="false">IF(ROW()-4&lt;=MAX($M$5:$M$1004),IFERROR(INDEX($N$5:$N$404,ROW()-4),""),IFERROR(INDEX($P$5:$P$404,ROW()-4-MAX($M$5:$M$1004)),""))</f>
        <v/>
      </c>
    </row>
    <row r="562" customFormat="false" ht="15" hidden="false" customHeight="false" outlineLevel="0" collapsed="false">
      <c r="M562" s="0" t="str">
        <f aca="false">IF(CSV貼付A!$N562="","",IF(COUNTIF(CSV貼付A!$N$5:$N562,CSV貼付A!$N562)&gt;1,"",MAX($M$4:M561)+1))</f>
        <v/>
      </c>
      <c r="O562" s="0" t="str">
        <f aca="false">IF(CSV貼付B!$N562="","",IF(COUNTIF(CSV貼付B!$N$5:$N562,CSV貼付B!$N562)&gt;1,"",MAX($O$4:O561)+1))</f>
        <v/>
      </c>
      <c r="Q562" s="0" t="str">
        <f aca="false">IF(ROW()-4&lt;=MAX($M$5:$M$1004),IFERROR(INDEX($N$5:$N$404,ROW()-4),""),IFERROR(INDEX($P$5:$P$404,ROW()-4-MAX($M$5:$M$1004)),""))</f>
        <v/>
      </c>
    </row>
    <row r="563" customFormat="false" ht="15" hidden="false" customHeight="false" outlineLevel="0" collapsed="false">
      <c r="M563" s="0" t="str">
        <f aca="false">IF(CSV貼付A!$N563="","",IF(COUNTIF(CSV貼付A!$N$5:$N563,CSV貼付A!$N563)&gt;1,"",MAX($M$4:M562)+1))</f>
        <v/>
      </c>
      <c r="O563" s="0" t="str">
        <f aca="false">IF(CSV貼付B!$N563="","",IF(COUNTIF(CSV貼付B!$N$5:$N563,CSV貼付B!$N563)&gt;1,"",MAX($O$4:O562)+1))</f>
        <v/>
      </c>
      <c r="Q563" s="0" t="str">
        <f aca="false">IF(ROW()-4&lt;=MAX($M$5:$M$1004),IFERROR(INDEX($N$5:$N$404,ROW()-4),""),IFERROR(INDEX($P$5:$P$404,ROW()-4-MAX($M$5:$M$1004)),""))</f>
        <v/>
      </c>
    </row>
    <row r="564" customFormat="false" ht="15" hidden="false" customHeight="false" outlineLevel="0" collapsed="false">
      <c r="M564" s="0" t="str">
        <f aca="false">IF(CSV貼付A!$N564="","",IF(COUNTIF(CSV貼付A!$N$5:$N564,CSV貼付A!$N564)&gt;1,"",MAX($M$4:M563)+1))</f>
        <v/>
      </c>
      <c r="O564" s="0" t="str">
        <f aca="false">IF(CSV貼付B!$N564="","",IF(COUNTIF(CSV貼付B!$N$5:$N564,CSV貼付B!$N564)&gt;1,"",MAX($O$4:O563)+1))</f>
        <v/>
      </c>
      <c r="Q564" s="0" t="str">
        <f aca="false">IF(ROW()-4&lt;=MAX($M$5:$M$1004),IFERROR(INDEX($N$5:$N$404,ROW()-4),""),IFERROR(INDEX($P$5:$P$404,ROW()-4-MAX($M$5:$M$1004)),""))</f>
        <v/>
      </c>
    </row>
    <row r="565" customFormat="false" ht="15" hidden="false" customHeight="false" outlineLevel="0" collapsed="false">
      <c r="M565" s="0" t="str">
        <f aca="false">IF(CSV貼付A!$N565="","",IF(COUNTIF(CSV貼付A!$N$5:$N565,CSV貼付A!$N565)&gt;1,"",MAX($M$4:M564)+1))</f>
        <v/>
      </c>
      <c r="O565" s="0" t="str">
        <f aca="false">IF(CSV貼付B!$N565="","",IF(COUNTIF(CSV貼付B!$N$5:$N565,CSV貼付B!$N565)&gt;1,"",MAX($O$4:O564)+1))</f>
        <v/>
      </c>
      <c r="Q565" s="0" t="str">
        <f aca="false">IF(ROW()-4&lt;=MAX($M$5:$M$1004),IFERROR(INDEX($N$5:$N$404,ROW()-4),""),IFERROR(INDEX($P$5:$P$404,ROW()-4-MAX($M$5:$M$1004)),""))</f>
        <v/>
      </c>
    </row>
    <row r="566" customFormat="false" ht="15" hidden="false" customHeight="false" outlineLevel="0" collapsed="false">
      <c r="M566" s="0" t="str">
        <f aca="false">IF(CSV貼付A!$N566="","",IF(COUNTIF(CSV貼付A!$N$5:$N566,CSV貼付A!$N566)&gt;1,"",MAX($M$4:M565)+1))</f>
        <v/>
      </c>
      <c r="O566" s="0" t="str">
        <f aca="false">IF(CSV貼付B!$N566="","",IF(COUNTIF(CSV貼付B!$N$5:$N566,CSV貼付B!$N566)&gt;1,"",MAX($O$4:O565)+1))</f>
        <v/>
      </c>
      <c r="Q566" s="0" t="str">
        <f aca="false">IF(ROW()-4&lt;=MAX($M$5:$M$1004),IFERROR(INDEX($N$5:$N$404,ROW()-4),""),IFERROR(INDEX($P$5:$P$404,ROW()-4-MAX($M$5:$M$1004)),""))</f>
        <v/>
      </c>
    </row>
    <row r="567" customFormat="false" ht="15" hidden="false" customHeight="false" outlineLevel="0" collapsed="false">
      <c r="M567" s="0" t="str">
        <f aca="false">IF(CSV貼付A!$N567="","",IF(COUNTIF(CSV貼付A!$N$5:$N567,CSV貼付A!$N567)&gt;1,"",MAX($M$4:M566)+1))</f>
        <v/>
      </c>
      <c r="O567" s="0" t="str">
        <f aca="false">IF(CSV貼付B!$N567="","",IF(COUNTIF(CSV貼付B!$N$5:$N567,CSV貼付B!$N567)&gt;1,"",MAX($O$4:O566)+1))</f>
        <v/>
      </c>
      <c r="Q567" s="0" t="str">
        <f aca="false">IF(ROW()-4&lt;=MAX($M$5:$M$1004),IFERROR(INDEX($N$5:$N$404,ROW()-4),""),IFERROR(INDEX($P$5:$P$404,ROW()-4-MAX($M$5:$M$1004)),""))</f>
        <v/>
      </c>
    </row>
    <row r="568" customFormat="false" ht="15" hidden="false" customHeight="false" outlineLevel="0" collapsed="false">
      <c r="M568" s="0" t="str">
        <f aca="false">IF(CSV貼付A!$N568="","",IF(COUNTIF(CSV貼付A!$N$5:$N568,CSV貼付A!$N568)&gt;1,"",MAX($M$4:M567)+1))</f>
        <v/>
      </c>
      <c r="O568" s="0" t="str">
        <f aca="false">IF(CSV貼付B!$N568="","",IF(COUNTIF(CSV貼付B!$N$5:$N568,CSV貼付B!$N568)&gt;1,"",MAX($O$4:O567)+1))</f>
        <v/>
      </c>
      <c r="Q568" s="0" t="str">
        <f aca="false">IF(ROW()-4&lt;=MAX($M$5:$M$1004),IFERROR(INDEX($N$5:$N$404,ROW()-4),""),IFERROR(INDEX($P$5:$P$404,ROW()-4-MAX($M$5:$M$1004)),""))</f>
        <v/>
      </c>
    </row>
    <row r="569" customFormat="false" ht="15" hidden="false" customHeight="false" outlineLevel="0" collapsed="false">
      <c r="M569" s="0" t="str">
        <f aca="false">IF(CSV貼付A!$N569="","",IF(COUNTIF(CSV貼付A!$N$5:$N569,CSV貼付A!$N569)&gt;1,"",MAX($M$4:M568)+1))</f>
        <v/>
      </c>
      <c r="O569" s="0" t="str">
        <f aca="false">IF(CSV貼付B!$N569="","",IF(COUNTIF(CSV貼付B!$N$5:$N569,CSV貼付B!$N569)&gt;1,"",MAX($O$4:O568)+1))</f>
        <v/>
      </c>
      <c r="Q569" s="0" t="str">
        <f aca="false">IF(ROW()-4&lt;=MAX($M$5:$M$1004),IFERROR(INDEX($N$5:$N$404,ROW()-4),""),IFERROR(INDEX($P$5:$P$404,ROW()-4-MAX($M$5:$M$1004)),""))</f>
        <v/>
      </c>
    </row>
    <row r="570" customFormat="false" ht="15" hidden="false" customHeight="false" outlineLevel="0" collapsed="false">
      <c r="M570" s="0" t="str">
        <f aca="false">IF(CSV貼付A!$N570="","",IF(COUNTIF(CSV貼付A!$N$5:$N570,CSV貼付A!$N570)&gt;1,"",MAX($M$4:M569)+1))</f>
        <v/>
      </c>
      <c r="O570" s="0" t="str">
        <f aca="false">IF(CSV貼付B!$N570="","",IF(COUNTIF(CSV貼付B!$N$5:$N570,CSV貼付B!$N570)&gt;1,"",MAX($O$4:O569)+1))</f>
        <v/>
      </c>
      <c r="Q570" s="0" t="str">
        <f aca="false">IF(ROW()-4&lt;=MAX($M$5:$M$1004),IFERROR(INDEX($N$5:$N$404,ROW()-4),""),IFERROR(INDEX($P$5:$P$404,ROW()-4-MAX($M$5:$M$1004)),""))</f>
        <v/>
      </c>
    </row>
    <row r="571" customFormat="false" ht="15" hidden="false" customHeight="false" outlineLevel="0" collapsed="false">
      <c r="M571" s="0" t="str">
        <f aca="false">IF(CSV貼付A!$N571="","",IF(COUNTIF(CSV貼付A!$N$5:$N571,CSV貼付A!$N571)&gt;1,"",MAX($M$4:M570)+1))</f>
        <v/>
      </c>
      <c r="O571" s="0" t="str">
        <f aca="false">IF(CSV貼付B!$N571="","",IF(COUNTIF(CSV貼付B!$N$5:$N571,CSV貼付B!$N571)&gt;1,"",MAX($O$4:O570)+1))</f>
        <v/>
      </c>
      <c r="Q571" s="0" t="str">
        <f aca="false">IF(ROW()-4&lt;=MAX($M$5:$M$1004),IFERROR(INDEX($N$5:$N$404,ROW()-4),""),IFERROR(INDEX($P$5:$P$404,ROW()-4-MAX($M$5:$M$1004)),""))</f>
        <v/>
      </c>
    </row>
    <row r="572" customFormat="false" ht="15" hidden="false" customHeight="false" outlineLevel="0" collapsed="false">
      <c r="M572" s="0" t="str">
        <f aca="false">IF(CSV貼付A!$N572="","",IF(COUNTIF(CSV貼付A!$N$5:$N572,CSV貼付A!$N572)&gt;1,"",MAX($M$4:M571)+1))</f>
        <v/>
      </c>
      <c r="O572" s="0" t="str">
        <f aca="false">IF(CSV貼付B!$N572="","",IF(COUNTIF(CSV貼付B!$N$5:$N572,CSV貼付B!$N572)&gt;1,"",MAX($O$4:O571)+1))</f>
        <v/>
      </c>
      <c r="Q572" s="0" t="str">
        <f aca="false">IF(ROW()-4&lt;=MAX($M$5:$M$1004),IFERROR(INDEX($N$5:$N$404,ROW()-4),""),IFERROR(INDEX($P$5:$P$404,ROW()-4-MAX($M$5:$M$1004)),""))</f>
        <v/>
      </c>
    </row>
    <row r="573" customFormat="false" ht="15" hidden="false" customHeight="false" outlineLevel="0" collapsed="false">
      <c r="M573" s="0" t="str">
        <f aca="false">IF(CSV貼付A!$N573="","",IF(COUNTIF(CSV貼付A!$N$5:$N573,CSV貼付A!$N573)&gt;1,"",MAX($M$4:M572)+1))</f>
        <v/>
      </c>
      <c r="O573" s="0" t="str">
        <f aca="false">IF(CSV貼付B!$N573="","",IF(COUNTIF(CSV貼付B!$N$5:$N573,CSV貼付B!$N573)&gt;1,"",MAX($O$4:O572)+1))</f>
        <v/>
      </c>
      <c r="Q573" s="0" t="str">
        <f aca="false">IF(ROW()-4&lt;=MAX($M$5:$M$1004),IFERROR(INDEX($N$5:$N$404,ROW()-4),""),IFERROR(INDEX($P$5:$P$404,ROW()-4-MAX($M$5:$M$1004)),""))</f>
        <v/>
      </c>
    </row>
    <row r="574" customFormat="false" ht="15" hidden="false" customHeight="false" outlineLevel="0" collapsed="false">
      <c r="M574" s="0" t="str">
        <f aca="false">IF(CSV貼付A!$N574="","",IF(COUNTIF(CSV貼付A!$N$5:$N574,CSV貼付A!$N574)&gt;1,"",MAX($M$4:M573)+1))</f>
        <v/>
      </c>
      <c r="O574" s="0" t="str">
        <f aca="false">IF(CSV貼付B!$N574="","",IF(COUNTIF(CSV貼付B!$N$5:$N574,CSV貼付B!$N574)&gt;1,"",MAX($O$4:O573)+1))</f>
        <v/>
      </c>
      <c r="Q574" s="0" t="str">
        <f aca="false">IF(ROW()-4&lt;=MAX($M$5:$M$1004),IFERROR(INDEX($N$5:$N$404,ROW()-4),""),IFERROR(INDEX($P$5:$P$404,ROW()-4-MAX($M$5:$M$1004)),""))</f>
        <v/>
      </c>
    </row>
    <row r="575" customFormat="false" ht="15" hidden="false" customHeight="false" outlineLevel="0" collapsed="false">
      <c r="M575" s="0" t="str">
        <f aca="false">IF(CSV貼付A!$N575="","",IF(COUNTIF(CSV貼付A!$N$5:$N575,CSV貼付A!$N575)&gt;1,"",MAX($M$4:M574)+1))</f>
        <v/>
      </c>
      <c r="O575" s="0" t="str">
        <f aca="false">IF(CSV貼付B!$N575="","",IF(COUNTIF(CSV貼付B!$N$5:$N575,CSV貼付B!$N575)&gt;1,"",MAX($O$4:O574)+1))</f>
        <v/>
      </c>
      <c r="Q575" s="0" t="str">
        <f aca="false">IF(ROW()-4&lt;=MAX($M$5:$M$1004),IFERROR(INDEX($N$5:$N$404,ROW()-4),""),IFERROR(INDEX($P$5:$P$404,ROW()-4-MAX($M$5:$M$1004)),""))</f>
        <v/>
      </c>
    </row>
    <row r="576" customFormat="false" ht="15" hidden="false" customHeight="false" outlineLevel="0" collapsed="false">
      <c r="M576" s="0" t="str">
        <f aca="false">IF(CSV貼付A!$N576="","",IF(COUNTIF(CSV貼付A!$N$5:$N576,CSV貼付A!$N576)&gt;1,"",MAX($M$4:M575)+1))</f>
        <v/>
      </c>
      <c r="O576" s="0" t="str">
        <f aca="false">IF(CSV貼付B!$N576="","",IF(COUNTIF(CSV貼付B!$N$5:$N576,CSV貼付B!$N576)&gt;1,"",MAX($O$4:O575)+1))</f>
        <v/>
      </c>
      <c r="Q576" s="0" t="str">
        <f aca="false">IF(ROW()-4&lt;=MAX($M$5:$M$1004),IFERROR(INDEX($N$5:$N$404,ROW()-4),""),IFERROR(INDEX($P$5:$P$404,ROW()-4-MAX($M$5:$M$1004)),""))</f>
        <v/>
      </c>
    </row>
    <row r="577" customFormat="false" ht="15" hidden="false" customHeight="false" outlineLevel="0" collapsed="false">
      <c r="M577" s="0" t="str">
        <f aca="false">IF(CSV貼付A!$N577="","",IF(COUNTIF(CSV貼付A!$N$5:$N577,CSV貼付A!$N577)&gt;1,"",MAX($M$4:M576)+1))</f>
        <v/>
      </c>
      <c r="O577" s="0" t="str">
        <f aca="false">IF(CSV貼付B!$N577="","",IF(COUNTIF(CSV貼付B!$N$5:$N577,CSV貼付B!$N577)&gt;1,"",MAX($O$4:O576)+1))</f>
        <v/>
      </c>
      <c r="Q577" s="0" t="str">
        <f aca="false">IF(ROW()-4&lt;=MAX($M$5:$M$1004),IFERROR(INDEX($N$5:$N$404,ROW()-4),""),IFERROR(INDEX($P$5:$P$404,ROW()-4-MAX($M$5:$M$1004)),""))</f>
        <v/>
      </c>
    </row>
    <row r="578" customFormat="false" ht="15" hidden="false" customHeight="false" outlineLevel="0" collapsed="false">
      <c r="M578" s="0" t="str">
        <f aca="false">IF(CSV貼付A!$N578="","",IF(COUNTIF(CSV貼付A!$N$5:$N578,CSV貼付A!$N578)&gt;1,"",MAX($M$4:M577)+1))</f>
        <v/>
      </c>
      <c r="O578" s="0" t="str">
        <f aca="false">IF(CSV貼付B!$N578="","",IF(COUNTIF(CSV貼付B!$N$5:$N578,CSV貼付B!$N578)&gt;1,"",MAX($O$4:O577)+1))</f>
        <v/>
      </c>
      <c r="Q578" s="0" t="str">
        <f aca="false">IF(ROW()-4&lt;=MAX($M$5:$M$1004),IFERROR(INDEX($N$5:$N$404,ROW()-4),""),IFERROR(INDEX($P$5:$P$404,ROW()-4-MAX($M$5:$M$1004)),""))</f>
        <v/>
      </c>
    </row>
    <row r="579" customFormat="false" ht="15" hidden="false" customHeight="false" outlineLevel="0" collapsed="false">
      <c r="M579" s="0" t="str">
        <f aca="false">IF(CSV貼付A!$N579="","",IF(COUNTIF(CSV貼付A!$N$5:$N579,CSV貼付A!$N579)&gt;1,"",MAX($M$4:M578)+1))</f>
        <v/>
      </c>
      <c r="O579" s="0" t="str">
        <f aca="false">IF(CSV貼付B!$N579="","",IF(COUNTIF(CSV貼付B!$N$5:$N579,CSV貼付B!$N579)&gt;1,"",MAX($O$4:O578)+1))</f>
        <v/>
      </c>
      <c r="Q579" s="0" t="str">
        <f aca="false">IF(ROW()-4&lt;=MAX($M$5:$M$1004),IFERROR(INDEX($N$5:$N$404,ROW()-4),""),IFERROR(INDEX($P$5:$P$404,ROW()-4-MAX($M$5:$M$1004)),""))</f>
        <v/>
      </c>
    </row>
    <row r="580" customFormat="false" ht="15" hidden="false" customHeight="false" outlineLevel="0" collapsed="false">
      <c r="M580" s="0" t="str">
        <f aca="false">IF(CSV貼付A!$N580="","",IF(COUNTIF(CSV貼付A!$N$5:$N580,CSV貼付A!$N580)&gt;1,"",MAX($M$4:M579)+1))</f>
        <v/>
      </c>
      <c r="O580" s="0" t="str">
        <f aca="false">IF(CSV貼付B!$N580="","",IF(COUNTIF(CSV貼付B!$N$5:$N580,CSV貼付B!$N580)&gt;1,"",MAX($O$4:O579)+1))</f>
        <v/>
      </c>
      <c r="Q580" s="0" t="str">
        <f aca="false">IF(ROW()-4&lt;=MAX($M$5:$M$1004),IFERROR(INDEX($N$5:$N$404,ROW()-4),""),IFERROR(INDEX($P$5:$P$404,ROW()-4-MAX($M$5:$M$1004)),""))</f>
        <v/>
      </c>
    </row>
    <row r="581" customFormat="false" ht="15" hidden="false" customHeight="false" outlineLevel="0" collapsed="false">
      <c r="M581" s="0" t="str">
        <f aca="false">IF(CSV貼付A!$N581="","",IF(COUNTIF(CSV貼付A!$N$5:$N581,CSV貼付A!$N581)&gt;1,"",MAX($M$4:M580)+1))</f>
        <v/>
      </c>
      <c r="O581" s="0" t="str">
        <f aca="false">IF(CSV貼付B!$N581="","",IF(COUNTIF(CSV貼付B!$N$5:$N581,CSV貼付B!$N581)&gt;1,"",MAX($O$4:O580)+1))</f>
        <v/>
      </c>
      <c r="Q581" s="0" t="str">
        <f aca="false">IF(ROW()-4&lt;=MAX($M$5:$M$1004),IFERROR(INDEX($N$5:$N$404,ROW()-4),""),IFERROR(INDEX($P$5:$P$404,ROW()-4-MAX($M$5:$M$1004)),""))</f>
        <v/>
      </c>
    </row>
    <row r="582" customFormat="false" ht="15" hidden="false" customHeight="false" outlineLevel="0" collapsed="false">
      <c r="M582" s="0" t="str">
        <f aca="false">IF(CSV貼付A!$N582="","",IF(COUNTIF(CSV貼付A!$N$5:$N582,CSV貼付A!$N582)&gt;1,"",MAX($M$4:M581)+1))</f>
        <v/>
      </c>
      <c r="O582" s="0" t="str">
        <f aca="false">IF(CSV貼付B!$N582="","",IF(COUNTIF(CSV貼付B!$N$5:$N582,CSV貼付B!$N582)&gt;1,"",MAX($O$4:O581)+1))</f>
        <v/>
      </c>
      <c r="Q582" s="0" t="str">
        <f aca="false">IF(ROW()-4&lt;=MAX($M$5:$M$1004),IFERROR(INDEX($N$5:$N$404,ROW()-4),""),IFERROR(INDEX($P$5:$P$404,ROW()-4-MAX($M$5:$M$1004)),""))</f>
        <v/>
      </c>
    </row>
    <row r="583" customFormat="false" ht="15" hidden="false" customHeight="false" outlineLevel="0" collapsed="false">
      <c r="M583" s="0" t="str">
        <f aca="false">IF(CSV貼付A!$N583="","",IF(COUNTIF(CSV貼付A!$N$5:$N583,CSV貼付A!$N583)&gt;1,"",MAX($M$4:M582)+1))</f>
        <v/>
      </c>
      <c r="O583" s="0" t="str">
        <f aca="false">IF(CSV貼付B!$N583="","",IF(COUNTIF(CSV貼付B!$N$5:$N583,CSV貼付B!$N583)&gt;1,"",MAX($O$4:O582)+1))</f>
        <v/>
      </c>
      <c r="Q583" s="0" t="str">
        <f aca="false">IF(ROW()-4&lt;=MAX($M$5:$M$1004),IFERROR(INDEX($N$5:$N$404,ROW()-4),""),IFERROR(INDEX($P$5:$P$404,ROW()-4-MAX($M$5:$M$1004)),""))</f>
        <v/>
      </c>
    </row>
    <row r="584" customFormat="false" ht="15" hidden="false" customHeight="false" outlineLevel="0" collapsed="false">
      <c r="M584" s="0" t="str">
        <f aca="false">IF(CSV貼付A!$N584="","",IF(COUNTIF(CSV貼付A!$N$5:$N584,CSV貼付A!$N584)&gt;1,"",MAX($M$4:M583)+1))</f>
        <v/>
      </c>
      <c r="O584" s="0" t="str">
        <f aca="false">IF(CSV貼付B!$N584="","",IF(COUNTIF(CSV貼付B!$N$5:$N584,CSV貼付B!$N584)&gt;1,"",MAX($O$4:O583)+1))</f>
        <v/>
      </c>
      <c r="Q584" s="0" t="str">
        <f aca="false">IF(ROW()-4&lt;=MAX($M$5:$M$1004),IFERROR(INDEX($N$5:$N$404,ROW()-4),""),IFERROR(INDEX($P$5:$P$404,ROW()-4-MAX($M$5:$M$1004)),""))</f>
        <v/>
      </c>
    </row>
    <row r="585" customFormat="false" ht="15" hidden="false" customHeight="false" outlineLevel="0" collapsed="false">
      <c r="M585" s="0" t="str">
        <f aca="false">IF(CSV貼付A!$N585="","",IF(COUNTIF(CSV貼付A!$N$5:$N585,CSV貼付A!$N585)&gt;1,"",MAX($M$4:M584)+1))</f>
        <v/>
      </c>
      <c r="O585" s="0" t="str">
        <f aca="false">IF(CSV貼付B!$N585="","",IF(COUNTIF(CSV貼付B!$N$5:$N585,CSV貼付B!$N585)&gt;1,"",MAX($O$4:O584)+1))</f>
        <v/>
      </c>
      <c r="Q585" s="0" t="str">
        <f aca="false">IF(ROW()-4&lt;=MAX($M$5:$M$1004),IFERROR(INDEX($N$5:$N$404,ROW()-4),""),IFERROR(INDEX($P$5:$P$404,ROW()-4-MAX($M$5:$M$1004)),""))</f>
        <v/>
      </c>
    </row>
    <row r="586" customFormat="false" ht="15" hidden="false" customHeight="false" outlineLevel="0" collapsed="false">
      <c r="M586" s="0" t="str">
        <f aca="false">IF(CSV貼付A!$N586="","",IF(COUNTIF(CSV貼付A!$N$5:$N586,CSV貼付A!$N586)&gt;1,"",MAX($M$4:M585)+1))</f>
        <v/>
      </c>
      <c r="O586" s="0" t="str">
        <f aca="false">IF(CSV貼付B!$N586="","",IF(COUNTIF(CSV貼付B!$N$5:$N586,CSV貼付B!$N586)&gt;1,"",MAX($O$4:O585)+1))</f>
        <v/>
      </c>
      <c r="Q586" s="0" t="str">
        <f aca="false">IF(ROW()-4&lt;=MAX($M$5:$M$1004),IFERROR(INDEX($N$5:$N$404,ROW()-4),""),IFERROR(INDEX($P$5:$P$404,ROW()-4-MAX($M$5:$M$1004)),""))</f>
        <v/>
      </c>
    </row>
    <row r="587" customFormat="false" ht="15" hidden="false" customHeight="false" outlineLevel="0" collapsed="false">
      <c r="M587" s="0" t="str">
        <f aca="false">IF(CSV貼付A!$N587="","",IF(COUNTIF(CSV貼付A!$N$5:$N587,CSV貼付A!$N587)&gt;1,"",MAX($M$4:M586)+1))</f>
        <v/>
      </c>
      <c r="O587" s="0" t="str">
        <f aca="false">IF(CSV貼付B!$N587="","",IF(COUNTIF(CSV貼付B!$N$5:$N587,CSV貼付B!$N587)&gt;1,"",MAX($O$4:O586)+1))</f>
        <v/>
      </c>
      <c r="Q587" s="0" t="str">
        <f aca="false">IF(ROW()-4&lt;=MAX($M$5:$M$1004),IFERROR(INDEX($N$5:$N$404,ROW()-4),""),IFERROR(INDEX($P$5:$P$404,ROW()-4-MAX($M$5:$M$1004)),""))</f>
        <v/>
      </c>
    </row>
    <row r="588" customFormat="false" ht="15" hidden="false" customHeight="false" outlineLevel="0" collapsed="false">
      <c r="M588" s="0" t="str">
        <f aca="false">IF(CSV貼付A!$N588="","",IF(COUNTIF(CSV貼付A!$N$5:$N588,CSV貼付A!$N588)&gt;1,"",MAX($M$4:M587)+1))</f>
        <v/>
      </c>
      <c r="O588" s="0" t="str">
        <f aca="false">IF(CSV貼付B!$N588="","",IF(COUNTIF(CSV貼付B!$N$5:$N588,CSV貼付B!$N588)&gt;1,"",MAX($O$4:O587)+1))</f>
        <v/>
      </c>
      <c r="Q588" s="0" t="str">
        <f aca="false">IF(ROW()-4&lt;=MAX($M$5:$M$1004),IFERROR(INDEX($N$5:$N$404,ROW()-4),""),IFERROR(INDEX($P$5:$P$404,ROW()-4-MAX($M$5:$M$1004)),""))</f>
        <v/>
      </c>
    </row>
    <row r="589" customFormat="false" ht="15" hidden="false" customHeight="false" outlineLevel="0" collapsed="false">
      <c r="M589" s="0" t="str">
        <f aca="false">IF(CSV貼付A!$N589="","",IF(COUNTIF(CSV貼付A!$N$5:$N589,CSV貼付A!$N589)&gt;1,"",MAX($M$4:M588)+1))</f>
        <v/>
      </c>
      <c r="O589" s="0" t="str">
        <f aca="false">IF(CSV貼付B!$N589="","",IF(COUNTIF(CSV貼付B!$N$5:$N589,CSV貼付B!$N589)&gt;1,"",MAX($O$4:O588)+1))</f>
        <v/>
      </c>
      <c r="Q589" s="0" t="str">
        <f aca="false">IF(ROW()-4&lt;=MAX($M$5:$M$1004),IFERROR(INDEX($N$5:$N$404,ROW()-4),""),IFERROR(INDEX($P$5:$P$404,ROW()-4-MAX($M$5:$M$1004)),""))</f>
        <v/>
      </c>
    </row>
    <row r="590" customFormat="false" ht="15" hidden="false" customHeight="false" outlineLevel="0" collapsed="false">
      <c r="M590" s="0" t="str">
        <f aca="false">IF(CSV貼付A!$N590="","",IF(COUNTIF(CSV貼付A!$N$5:$N590,CSV貼付A!$N590)&gt;1,"",MAX($M$4:M589)+1))</f>
        <v/>
      </c>
      <c r="O590" s="0" t="str">
        <f aca="false">IF(CSV貼付B!$N590="","",IF(COUNTIF(CSV貼付B!$N$5:$N590,CSV貼付B!$N590)&gt;1,"",MAX($O$4:O589)+1))</f>
        <v/>
      </c>
      <c r="Q590" s="0" t="str">
        <f aca="false">IF(ROW()-4&lt;=MAX($M$5:$M$1004),IFERROR(INDEX($N$5:$N$404,ROW()-4),""),IFERROR(INDEX($P$5:$P$404,ROW()-4-MAX($M$5:$M$1004)),""))</f>
        <v/>
      </c>
    </row>
    <row r="591" customFormat="false" ht="15" hidden="false" customHeight="false" outlineLevel="0" collapsed="false">
      <c r="M591" s="0" t="str">
        <f aca="false">IF(CSV貼付A!$N591="","",IF(COUNTIF(CSV貼付A!$N$5:$N591,CSV貼付A!$N591)&gt;1,"",MAX($M$4:M590)+1))</f>
        <v/>
      </c>
      <c r="O591" s="0" t="str">
        <f aca="false">IF(CSV貼付B!$N591="","",IF(COUNTIF(CSV貼付B!$N$5:$N591,CSV貼付B!$N591)&gt;1,"",MAX($O$4:O590)+1))</f>
        <v/>
      </c>
      <c r="Q591" s="0" t="str">
        <f aca="false">IF(ROW()-4&lt;=MAX($M$5:$M$1004),IFERROR(INDEX($N$5:$N$404,ROW()-4),""),IFERROR(INDEX($P$5:$P$404,ROW()-4-MAX($M$5:$M$1004)),""))</f>
        <v/>
      </c>
    </row>
    <row r="592" customFormat="false" ht="15" hidden="false" customHeight="false" outlineLevel="0" collapsed="false">
      <c r="M592" s="0" t="str">
        <f aca="false">IF(CSV貼付A!$N592="","",IF(COUNTIF(CSV貼付A!$N$5:$N592,CSV貼付A!$N592)&gt;1,"",MAX($M$4:M591)+1))</f>
        <v/>
      </c>
      <c r="O592" s="0" t="str">
        <f aca="false">IF(CSV貼付B!$N592="","",IF(COUNTIF(CSV貼付B!$N$5:$N592,CSV貼付B!$N592)&gt;1,"",MAX($O$4:O591)+1))</f>
        <v/>
      </c>
      <c r="Q592" s="0" t="str">
        <f aca="false">IF(ROW()-4&lt;=MAX($M$5:$M$1004),IFERROR(INDEX($N$5:$N$404,ROW()-4),""),IFERROR(INDEX($P$5:$P$404,ROW()-4-MAX($M$5:$M$1004)),""))</f>
        <v/>
      </c>
    </row>
    <row r="593" customFormat="false" ht="15" hidden="false" customHeight="false" outlineLevel="0" collapsed="false">
      <c r="M593" s="0" t="str">
        <f aca="false">IF(CSV貼付A!$N593="","",IF(COUNTIF(CSV貼付A!$N$5:$N593,CSV貼付A!$N593)&gt;1,"",MAX($M$4:M592)+1))</f>
        <v/>
      </c>
      <c r="O593" s="0" t="str">
        <f aca="false">IF(CSV貼付B!$N593="","",IF(COUNTIF(CSV貼付B!$N$5:$N593,CSV貼付B!$N593)&gt;1,"",MAX($O$4:O592)+1))</f>
        <v/>
      </c>
      <c r="Q593" s="0" t="str">
        <f aca="false">IF(ROW()-4&lt;=MAX($M$5:$M$1004),IFERROR(INDEX($N$5:$N$404,ROW()-4),""),IFERROR(INDEX($P$5:$P$404,ROW()-4-MAX($M$5:$M$1004)),""))</f>
        <v/>
      </c>
    </row>
    <row r="594" customFormat="false" ht="15" hidden="false" customHeight="false" outlineLevel="0" collapsed="false">
      <c r="M594" s="0" t="str">
        <f aca="false">IF(CSV貼付A!$N594="","",IF(COUNTIF(CSV貼付A!$N$5:$N594,CSV貼付A!$N594)&gt;1,"",MAX($M$4:M593)+1))</f>
        <v/>
      </c>
      <c r="O594" s="0" t="str">
        <f aca="false">IF(CSV貼付B!$N594="","",IF(COUNTIF(CSV貼付B!$N$5:$N594,CSV貼付B!$N594)&gt;1,"",MAX($O$4:O593)+1))</f>
        <v/>
      </c>
      <c r="Q594" s="0" t="str">
        <f aca="false">IF(ROW()-4&lt;=MAX($M$5:$M$1004),IFERROR(INDEX($N$5:$N$404,ROW()-4),""),IFERROR(INDEX($P$5:$P$404,ROW()-4-MAX($M$5:$M$1004)),""))</f>
        <v/>
      </c>
    </row>
    <row r="595" customFormat="false" ht="15" hidden="false" customHeight="false" outlineLevel="0" collapsed="false">
      <c r="M595" s="0" t="str">
        <f aca="false">IF(CSV貼付A!$N595="","",IF(COUNTIF(CSV貼付A!$N$5:$N595,CSV貼付A!$N595)&gt;1,"",MAX($M$4:M594)+1))</f>
        <v/>
      </c>
      <c r="O595" s="0" t="str">
        <f aca="false">IF(CSV貼付B!$N595="","",IF(COUNTIF(CSV貼付B!$N$5:$N595,CSV貼付B!$N595)&gt;1,"",MAX($O$4:O594)+1))</f>
        <v/>
      </c>
      <c r="Q595" s="0" t="str">
        <f aca="false">IF(ROW()-4&lt;=MAX($M$5:$M$1004),IFERROR(INDEX($N$5:$N$404,ROW()-4),""),IFERROR(INDEX($P$5:$P$404,ROW()-4-MAX($M$5:$M$1004)),""))</f>
        <v/>
      </c>
    </row>
    <row r="596" customFormat="false" ht="15" hidden="false" customHeight="false" outlineLevel="0" collapsed="false">
      <c r="M596" s="0" t="str">
        <f aca="false">IF(CSV貼付A!$N596="","",IF(COUNTIF(CSV貼付A!$N$5:$N596,CSV貼付A!$N596)&gt;1,"",MAX($M$4:M595)+1))</f>
        <v/>
      </c>
      <c r="O596" s="0" t="str">
        <f aca="false">IF(CSV貼付B!$N596="","",IF(COUNTIF(CSV貼付B!$N$5:$N596,CSV貼付B!$N596)&gt;1,"",MAX($O$4:O595)+1))</f>
        <v/>
      </c>
      <c r="Q596" s="0" t="str">
        <f aca="false">IF(ROW()-4&lt;=MAX($M$5:$M$1004),IFERROR(INDEX($N$5:$N$404,ROW()-4),""),IFERROR(INDEX($P$5:$P$404,ROW()-4-MAX($M$5:$M$1004)),""))</f>
        <v/>
      </c>
    </row>
    <row r="597" customFormat="false" ht="15" hidden="false" customHeight="false" outlineLevel="0" collapsed="false">
      <c r="M597" s="0" t="str">
        <f aca="false">IF(CSV貼付A!$N597="","",IF(COUNTIF(CSV貼付A!$N$5:$N597,CSV貼付A!$N597)&gt;1,"",MAX($M$4:M596)+1))</f>
        <v/>
      </c>
      <c r="O597" s="0" t="str">
        <f aca="false">IF(CSV貼付B!$N597="","",IF(COUNTIF(CSV貼付B!$N$5:$N597,CSV貼付B!$N597)&gt;1,"",MAX($O$4:O596)+1))</f>
        <v/>
      </c>
      <c r="Q597" s="0" t="str">
        <f aca="false">IF(ROW()-4&lt;=MAX($M$5:$M$1004),IFERROR(INDEX($N$5:$N$404,ROW()-4),""),IFERROR(INDEX($P$5:$P$404,ROW()-4-MAX($M$5:$M$1004)),""))</f>
        <v/>
      </c>
    </row>
    <row r="598" customFormat="false" ht="15" hidden="false" customHeight="false" outlineLevel="0" collapsed="false">
      <c r="M598" s="0" t="str">
        <f aca="false">IF(CSV貼付A!$N598="","",IF(COUNTIF(CSV貼付A!$N$5:$N598,CSV貼付A!$N598)&gt;1,"",MAX($M$4:M597)+1))</f>
        <v/>
      </c>
      <c r="O598" s="0" t="str">
        <f aca="false">IF(CSV貼付B!$N598="","",IF(COUNTIF(CSV貼付B!$N$5:$N598,CSV貼付B!$N598)&gt;1,"",MAX($O$4:O597)+1))</f>
        <v/>
      </c>
      <c r="Q598" s="0" t="str">
        <f aca="false">IF(ROW()-4&lt;=MAX($M$5:$M$1004),IFERROR(INDEX($N$5:$N$404,ROW()-4),""),IFERROR(INDEX($P$5:$P$404,ROW()-4-MAX($M$5:$M$1004)),""))</f>
        <v/>
      </c>
    </row>
    <row r="599" customFormat="false" ht="15" hidden="false" customHeight="false" outlineLevel="0" collapsed="false">
      <c r="M599" s="0" t="str">
        <f aca="false">IF(CSV貼付A!$N599="","",IF(COUNTIF(CSV貼付A!$N$5:$N599,CSV貼付A!$N599)&gt;1,"",MAX($M$4:M598)+1))</f>
        <v/>
      </c>
      <c r="O599" s="0" t="str">
        <f aca="false">IF(CSV貼付B!$N599="","",IF(COUNTIF(CSV貼付B!$N$5:$N599,CSV貼付B!$N599)&gt;1,"",MAX($O$4:O598)+1))</f>
        <v/>
      </c>
      <c r="Q599" s="0" t="str">
        <f aca="false">IF(ROW()-4&lt;=MAX($M$5:$M$1004),IFERROR(INDEX($N$5:$N$404,ROW()-4),""),IFERROR(INDEX($P$5:$P$404,ROW()-4-MAX($M$5:$M$1004)),""))</f>
        <v/>
      </c>
    </row>
    <row r="600" customFormat="false" ht="15" hidden="false" customHeight="false" outlineLevel="0" collapsed="false">
      <c r="M600" s="0" t="str">
        <f aca="false">IF(CSV貼付A!$N600="","",IF(COUNTIF(CSV貼付A!$N$5:$N600,CSV貼付A!$N600)&gt;1,"",MAX($M$4:M599)+1))</f>
        <v/>
      </c>
      <c r="O600" s="0" t="str">
        <f aca="false">IF(CSV貼付B!$N600="","",IF(COUNTIF(CSV貼付B!$N$5:$N600,CSV貼付B!$N600)&gt;1,"",MAX($O$4:O599)+1))</f>
        <v/>
      </c>
      <c r="Q600" s="0" t="str">
        <f aca="false">IF(ROW()-4&lt;=MAX($M$5:$M$1004),IFERROR(INDEX($N$5:$N$404,ROW()-4),""),IFERROR(INDEX($P$5:$P$404,ROW()-4-MAX($M$5:$M$1004)),""))</f>
        <v/>
      </c>
    </row>
    <row r="601" customFormat="false" ht="15" hidden="false" customHeight="false" outlineLevel="0" collapsed="false">
      <c r="M601" s="0" t="str">
        <f aca="false">IF(CSV貼付A!$N601="","",IF(COUNTIF(CSV貼付A!$N$5:$N601,CSV貼付A!$N601)&gt;1,"",MAX($M$4:M600)+1))</f>
        <v/>
      </c>
      <c r="O601" s="0" t="str">
        <f aca="false">IF(CSV貼付B!$N601="","",IF(COUNTIF(CSV貼付B!$N$5:$N601,CSV貼付B!$N601)&gt;1,"",MAX($O$4:O600)+1))</f>
        <v/>
      </c>
      <c r="Q601" s="0" t="str">
        <f aca="false">IF(ROW()-4&lt;=MAX($M$5:$M$1004),IFERROR(INDEX($N$5:$N$404,ROW()-4),""),IFERROR(INDEX($P$5:$P$404,ROW()-4-MAX($M$5:$M$1004)),""))</f>
        <v/>
      </c>
    </row>
    <row r="602" customFormat="false" ht="15" hidden="false" customHeight="false" outlineLevel="0" collapsed="false">
      <c r="M602" s="0" t="str">
        <f aca="false">IF(CSV貼付A!$N602="","",IF(COUNTIF(CSV貼付A!$N$5:$N602,CSV貼付A!$N602)&gt;1,"",MAX($M$4:M601)+1))</f>
        <v/>
      </c>
      <c r="O602" s="0" t="str">
        <f aca="false">IF(CSV貼付B!$N602="","",IF(COUNTIF(CSV貼付B!$N$5:$N602,CSV貼付B!$N602)&gt;1,"",MAX($O$4:O601)+1))</f>
        <v/>
      </c>
      <c r="Q602" s="0" t="str">
        <f aca="false">IF(ROW()-4&lt;=MAX($M$5:$M$1004),IFERROR(INDEX($N$5:$N$404,ROW()-4),""),IFERROR(INDEX($P$5:$P$404,ROW()-4-MAX($M$5:$M$1004)),""))</f>
        <v/>
      </c>
    </row>
    <row r="603" customFormat="false" ht="15" hidden="false" customHeight="false" outlineLevel="0" collapsed="false">
      <c r="M603" s="0" t="str">
        <f aca="false">IF(CSV貼付A!$N603="","",IF(COUNTIF(CSV貼付A!$N$5:$N603,CSV貼付A!$N603)&gt;1,"",MAX($M$4:M602)+1))</f>
        <v/>
      </c>
      <c r="O603" s="0" t="str">
        <f aca="false">IF(CSV貼付B!$N603="","",IF(COUNTIF(CSV貼付B!$N$5:$N603,CSV貼付B!$N603)&gt;1,"",MAX($O$4:O602)+1))</f>
        <v/>
      </c>
      <c r="Q603" s="0" t="str">
        <f aca="false">IF(ROW()-4&lt;=MAX($M$5:$M$1004),IFERROR(INDEX($N$5:$N$404,ROW()-4),""),IFERROR(INDEX($P$5:$P$404,ROW()-4-MAX($M$5:$M$1004)),""))</f>
        <v/>
      </c>
    </row>
    <row r="604" customFormat="false" ht="15" hidden="false" customHeight="false" outlineLevel="0" collapsed="false">
      <c r="M604" s="0" t="str">
        <f aca="false">IF(CSV貼付A!$N604="","",IF(COUNTIF(CSV貼付A!$N$5:$N604,CSV貼付A!$N604)&gt;1,"",MAX($M$4:M603)+1))</f>
        <v/>
      </c>
      <c r="O604" s="0" t="str">
        <f aca="false">IF(CSV貼付B!$N604="","",IF(COUNTIF(CSV貼付B!$N$5:$N604,CSV貼付B!$N604)&gt;1,"",MAX($O$4:O603)+1))</f>
        <v/>
      </c>
      <c r="Q604" s="0" t="str">
        <f aca="false">IF(ROW()-4&lt;=MAX($M$5:$M$1004),IFERROR(INDEX($N$5:$N$404,ROW()-4),""),IFERROR(INDEX($P$5:$P$404,ROW()-4-MAX($M$5:$M$1004)),""))</f>
        <v/>
      </c>
    </row>
    <row r="605" customFormat="false" ht="15" hidden="false" customHeight="false" outlineLevel="0" collapsed="false">
      <c r="M605" s="0" t="str">
        <f aca="false">IF(CSV貼付A!$N605="","",IF(COUNTIF(CSV貼付A!$N$5:$N605,CSV貼付A!$N605)&gt;1,"",MAX($M$4:M604)+1))</f>
        <v/>
      </c>
      <c r="O605" s="0" t="str">
        <f aca="false">IF(CSV貼付B!$N605="","",IF(COUNTIF(CSV貼付B!$N$5:$N605,CSV貼付B!$N605)&gt;1,"",MAX($O$4:O604)+1))</f>
        <v/>
      </c>
      <c r="Q605" s="0" t="str">
        <f aca="false">IF(ROW()-4&lt;=MAX($M$5:$M$1004),IFERROR(INDEX($N$5:$N$404,ROW()-4),""),IFERROR(INDEX($P$5:$P$404,ROW()-4-MAX($M$5:$M$1004)),""))</f>
        <v/>
      </c>
    </row>
    <row r="606" customFormat="false" ht="15" hidden="false" customHeight="false" outlineLevel="0" collapsed="false">
      <c r="M606" s="0" t="str">
        <f aca="false">IF(CSV貼付A!$N606="","",IF(COUNTIF(CSV貼付A!$N$5:$N606,CSV貼付A!$N606)&gt;1,"",MAX($M$4:M605)+1))</f>
        <v/>
      </c>
      <c r="O606" s="0" t="str">
        <f aca="false">IF(CSV貼付B!$N606="","",IF(COUNTIF(CSV貼付B!$N$5:$N606,CSV貼付B!$N606)&gt;1,"",MAX($O$4:O605)+1))</f>
        <v/>
      </c>
      <c r="Q606" s="0" t="str">
        <f aca="false">IF(ROW()-4&lt;=MAX($M$5:$M$1004),IFERROR(INDEX($N$5:$N$404,ROW()-4),""),IFERROR(INDEX($P$5:$P$404,ROW()-4-MAX($M$5:$M$1004)),""))</f>
        <v/>
      </c>
    </row>
    <row r="607" customFormat="false" ht="15" hidden="false" customHeight="false" outlineLevel="0" collapsed="false">
      <c r="M607" s="0" t="str">
        <f aca="false">IF(CSV貼付A!$N607="","",IF(COUNTIF(CSV貼付A!$N$5:$N607,CSV貼付A!$N607)&gt;1,"",MAX($M$4:M606)+1))</f>
        <v/>
      </c>
      <c r="O607" s="0" t="str">
        <f aca="false">IF(CSV貼付B!$N607="","",IF(COUNTIF(CSV貼付B!$N$5:$N607,CSV貼付B!$N607)&gt;1,"",MAX($O$4:O606)+1))</f>
        <v/>
      </c>
      <c r="Q607" s="0" t="str">
        <f aca="false">IF(ROW()-4&lt;=MAX($M$5:$M$1004),IFERROR(INDEX($N$5:$N$404,ROW()-4),""),IFERROR(INDEX($P$5:$P$404,ROW()-4-MAX($M$5:$M$1004)),""))</f>
        <v/>
      </c>
    </row>
    <row r="608" customFormat="false" ht="15" hidden="false" customHeight="false" outlineLevel="0" collapsed="false">
      <c r="M608" s="0" t="str">
        <f aca="false">IF(CSV貼付A!$N608="","",IF(COUNTIF(CSV貼付A!$N$5:$N608,CSV貼付A!$N608)&gt;1,"",MAX($M$4:M607)+1))</f>
        <v/>
      </c>
      <c r="O608" s="0" t="str">
        <f aca="false">IF(CSV貼付B!$N608="","",IF(COUNTIF(CSV貼付B!$N$5:$N608,CSV貼付B!$N608)&gt;1,"",MAX($O$4:O607)+1))</f>
        <v/>
      </c>
      <c r="Q608" s="0" t="str">
        <f aca="false">IF(ROW()-4&lt;=MAX($M$5:$M$1004),IFERROR(INDEX($N$5:$N$404,ROW()-4),""),IFERROR(INDEX($P$5:$P$404,ROW()-4-MAX($M$5:$M$1004)),""))</f>
        <v/>
      </c>
    </row>
    <row r="609" customFormat="false" ht="15" hidden="false" customHeight="false" outlineLevel="0" collapsed="false">
      <c r="M609" s="0" t="str">
        <f aca="false">IF(CSV貼付A!$N609="","",IF(COUNTIF(CSV貼付A!$N$5:$N609,CSV貼付A!$N609)&gt;1,"",MAX($M$4:M608)+1))</f>
        <v/>
      </c>
      <c r="O609" s="0" t="str">
        <f aca="false">IF(CSV貼付B!$N609="","",IF(COUNTIF(CSV貼付B!$N$5:$N609,CSV貼付B!$N609)&gt;1,"",MAX($O$4:O608)+1))</f>
        <v/>
      </c>
      <c r="Q609" s="0" t="str">
        <f aca="false">IF(ROW()-4&lt;=MAX($M$5:$M$1004),IFERROR(INDEX($N$5:$N$404,ROW()-4),""),IFERROR(INDEX($P$5:$P$404,ROW()-4-MAX($M$5:$M$1004)),""))</f>
        <v/>
      </c>
    </row>
    <row r="610" customFormat="false" ht="15" hidden="false" customHeight="false" outlineLevel="0" collapsed="false">
      <c r="M610" s="0" t="str">
        <f aca="false">IF(CSV貼付A!$N610="","",IF(COUNTIF(CSV貼付A!$N$5:$N610,CSV貼付A!$N610)&gt;1,"",MAX($M$4:M609)+1))</f>
        <v/>
      </c>
      <c r="O610" s="0" t="str">
        <f aca="false">IF(CSV貼付B!$N610="","",IF(COUNTIF(CSV貼付B!$N$5:$N610,CSV貼付B!$N610)&gt;1,"",MAX($O$4:O609)+1))</f>
        <v/>
      </c>
      <c r="Q610" s="0" t="str">
        <f aca="false">IF(ROW()-4&lt;=MAX($M$5:$M$1004),IFERROR(INDEX($N$5:$N$404,ROW()-4),""),IFERROR(INDEX($P$5:$P$404,ROW()-4-MAX($M$5:$M$1004)),""))</f>
        <v/>
      </c>
    </row>
    <row r="611" customFormat="false" ht="15" hidden="false" customHeight="false" outlineLevel="0" collapsed="false">
      <c r="M611" s="0" t="str">
        <f aca="false">IF(CSV貼付A!$N611="","",IF(COUNTIF(CSV貼付A!$N$5:$N611,CSV貼付A!$N611)&gt;1,"",MAX($M$4:M610)+1))</f>
        <v/>
      </c>
      <c r="O611" s="0" t="str">
        <f aca="false">IF(CSV貼付B!$N611="","",IF(COUNTIF(CSV貼付B!$N$5:$N611,CSV貼付B!$N611)&gt;1,"",MAX($O$4:O610)+1))</f>
        <v/>
      </c>
      <c r="Q611" s="0" t="str">
        <f aca="false">IF(ROW()-4&lt;=MAX($M$5:$M$1004),IFERROR(INDEX($N$5:$N$404,ROW()-4),""),IFERROR(INDEX($P$5:$P$404,ROW()-4-MAX($M$5:$M$1004)),""))</f>
        <v/>
      </c>
    </row>
    <row r="612" customFormat="false" ht="15" hidden="false" customHeight="false" outlineLevel="0" collapsed="false">
      <c r="M612" s="0" t="str">
        <f aca="false">IF(CSV貼付A!$N612="","",IF(COUNTIF(CSV貼付A!$N$5:$N612,CSV貼付A!$N612)&gt;1,"",MAX($M$4:M611)+1))</f>
        <v/>
      </c>
      <c r="O612" s="0" t="str">
        <f aca="false">IF(CSV貼付B!$N612="","",IF(COUNTIF(CSV貼付B!$N$5:$N612,CSV貼付B!$N612)&gt;1,"",MAX($O$4:O611)+1))</f>
        <v/>
      </c>
      <c r="Q612" s="0" t="str">
        <f aca="false">IF(ROW()-4&lt;=MAX($M$5:$M$1004),IFERROR(INDEX($N$5:$N$404,ROW()-4),""),IFERROR(INDEX($P$5:$P$404,ROW()-4-MAX($M$5:$M$1004)),""))</f>
        <v/>
      </c>
    </row>
    <row r="613" customFormat="false" ht="15" hidden="false" customHeight="false" outlineLevel="0" collapsed="false">
      <c r="M613" s="0" t="str">
        <f aca="false">IF(CSV貼付A!$N613="","",IF(COUNTIF(CSV貼付A!$N$5:$N613,CSV貼付A!$N613)&gt;1,"",MAX($M$4:M612)+1))</f>
        <v/>
      </c>
      <c r="O613" s="0" t="str">
        <f aca="false">IF(CSV貼付B!$N613="","",IF(COUNTIF(CSV貼付B!$N$5:$N613,CSV貼付B!$N613)&gt;1,"",MAX($O$4:O612)+1))</f>
        <v/>
      </c>
      <c r="Q613" s="0" t="str">
        <f aca="false">IF(ROW()-4&lt;=MAX($M$5:$M$1004),IFERROR(INDEX($N$5:$N$404,ROW()-4),""),IFERROR(INDEX($P$5:$P$404,ROW()-4-MAX($M$5:$M$1004)),""))</f>
        <v/>
      </c>
    </row>
    <row r="614" customFormat="false" ht="15" hidden="false" customHeight="false" outlineLevel="0" collapsed="false">
      <c r="M614" s="0" t="str">
        <f aca="false">IF(CSV貼付A!$N614="","",IF(COUNTIF(CSV貼付A!$N$5:$N614,CSV貼付A!$N614)&gt;1,"",MAX($M$4:M613)+1))</f>
        <v/>
      </c>
      <c r="O614" s="0" t="str">
        <f aca="false">IF(CSV貼付B!$N614="","",IF(COUNTIF(CSV貼付B!$N$5:$N614,CSV貼付B!$N614)&gt;1,"",MAX($O$4:O613)+1))</f>
        <v/>
      </c>
      <c r="Q614" s="0" t="str">
        <f aca="false">IF(ROW()-4&lt;=MAX($M$5:$M$1004),IFERROR(INDEX($N$5:$N$404,ROW()-4),""),IFERROR(INDEX($P$5:$P$404,ROW()-4-MAX($M$5:$M$1004)),""))</f>
        <v/>
      </c>
    </row>
    <row r="615" customFormat="false" ht="15" hidden="false" customHeight="false" outlineLevel="0" collapsed="false">
      <c r="M615" s="0" t="str">
        <f aca="false">IF(CSV貼付A!$N615="","",IF(COUNTIF(CSV貼付A!$N$5:$N615,CSV貼付A!$N615)&gt;1,"",MAX($M$4:M614)+1))</f>
        <v/>
      </c>
      <c r="O615" s="0" t="str">
        <f aca="false">IF(CSV貼付B!$N615="","",IF(COUNTIF(CSV貼付B!$N$5:$N615,CSV貼付B!$N615)&gt;1,"",MAX($O$4:O614)+1))</f>
        <v/>
      </c>
      <c r="Q615" s="0" t="str">
        <f aca="false">IF(ROW()-4&lt;=MAX($M$5:$M$1004),IFERROR(INDEX($N$5:$N$404,ROW()-4),""),IFERROR(INDEX($P$5:$P$404,ROW()-4-MAX($M$5:$M$1004)),""))</f>
        <v/>
      </c>
    </row>
    <row r="616" customFormat="false" ht="15" hidden="false" customHeight="false" outlineLevel="0" collapsed="false">
      <c r="M616" s="0" t="str">
        <f aca="false">IF(CSV貼付A!$N616="","",IF(COUNTIF(CSV貼付A!$N$5:$N616,CSV貼付A!$N616)&gt;1,"",MAX($M$4:M615)+1))</f>
        <v/>
      </c>
      <c r="O616" s="0" t="str">
        <f aca="false">IF(CSV貼付B!$N616="","",IF(COUNTIF(CSV貼付B!$N$5:$N616,CSV貼付B!$N616)&gt;1,"",MAX($O$4:O615)+1))</f>
        <v/>
      </c>
      <c r="Q616" s="0" t="str">
        <f aca="false">IF(ROW()-4&lt;=MAX($M$5:$M$1004),IFERROR(INDEX($N$5:$N$404,ROW()-4),""),IFERROR(INDEX($P$5:$P$404,ROW()-4-MAX($M$5:$M$1004)),""))</f>
        <v/>
      </c>
    </row>
    <row r="617" customFormat="false" ht="15" hidden="false" customHeight="false" outlineLevel="0" collapsed="false">
      <c r="M617" s="0" t="str">
        <f aca="false">IF(CSV貼付A!$N617="","",IF(COUNTIF(CSV貼付A!$N$5:$N617,CSV貼付A!$N617)&gt;1,"",MAX($M$4:M616)+1))</f>
        <v/>
      </c>
      <c r="O617" s="0" t="str">
        <f aca="false">IF(CSV貼付B!$N617="","",IF(COUNTIF(CSV貼付B!$N$5:$N617,CSV貼付B!$N617)&gt;1,"",MAX($O$4:O616)+1))</f>
        <v/>
      </c>
      <c r="Q617" s="0" t="str">
        <f aca="false">IF(ROW()-4&lt;=MAX($M$5:$M$1004),IFERROR(INDEX($N$5:$N$404,ROW()-4),""),IFERROR(INDEX($P$5:$P$404,ROW()-4-MAX($M$5:$M$1004)),""))</f>
        <v/>
      </c>
    </row>
    <row r="618" customFormat="false" ht="15" hidden="false" customHeight="false" outlineLevel="0" collapsed="false">
      <c r="M618" s="0" t="str">
        <f aca="false">IF(CSV貼付A!$N618="","",IF(COUNTIF(CSV貼付A!$N$5:$N618,CSV貼付A!$N618)&gt;1,"",MAX($M$4:M617)+1))</f>
        <v/>
      </c>
      <c r="O618" s="0" t="str">
        <f aca="false">IF(CSV貼付B!$N618="","",IF(COUNTIF(CSV貼付B!$N$5:$N618,CSV貼付B!$N618)&gt;1,"",MAX($O$4:O617)+1))</f>
        <v/>
      </c>
      <c r="Q618" s="0" t="str">
        <f aca="false">IF(ROW()-4&lt;=MAX($M$5:$M$1004),IFERROR(INDEX($N$5:$N$404,ROW()-4),""),IFERROR(INDEX($P$5:$P$404,ROW()-4-MAX($M$5:$M$1004)),""))</f>
        <v/>
      </c>
    </row>
    <row r="619" customFormat="false" ht="15" hidden="false" customHeight="false" outlineLevel="0" collapsed="false">
      <c r="M619" s="0" t="str">
        <f aca="false">IF(CSV貼付A!$N619="","",IF(COUNTIF(CSV貼付A!$N$5:$N619,CSV貼付A!$N619)&gt;1,"",MAX($M$4:M618)+1))</f>
        <v/>
      </c>
      <c r="O619" s="0" t="str">
        <f aca="false">IF(CSV貼付B!$N619="","",IF(COUNTIF(CSV貼付B!$N$5:$N619,CSV貼付B!$N619)&gt;1,"",MAX($O$4:O618)+1))</f>
        <v/>
      </c>
      <c r="Q619" s="0" t="str">
        <f aca="false">IF(ROW()-4&lt;=MAX($M$5:$M$1004),IFERROR(INDEX($N$5:$N$404,ROW()-4),""),IFERROR(INDEX($P$5:$P$404,ROW()-4-MAX($M$5:$M$1004)),""))</f>
        <v/>
      </c>
    </row>
    <row r="620" customFormat="false" ht="15" hidden="false" customHeight="false" outlineLevel="0" collapsed="false">
      <c r="M620" s="0" t="str">
        <f aca="false">IF(CSV貼付A!$N620="","",IF(COUNTIF(CSV貼付A!$N$5:$N620,CSV貼付A!$N620)&gt;1,"",MAX($M$4:M619)+1))</f>
        <v/>
      </c>
      <c r="O620" s="0" t="str">
        <f aca="false">IF(CSV貼付B!$N620="","",IF(COUNTIF(CSV貼付B!$N$5:$N620,CSV貼付B!$N620)&gt;1,"",MAX($O$4:O619)+1))</f>
        <v/>
      </c>
      <c r="Q620" s="0" t="str">
        <f aca="false">IF(ROW()-4&lt;=MAX($M$5:$M$1004),IFERROR(INDEX($N$5:$N$404,ROW()-4),""),IFERROR(INDEX($P$5:$P$404,ROW()-4-MAX($M$5:$M$1004)),""))</f>
        <v/>
      </c>
    </row>
    <row r="621" customFormat="false" ht="15" hidden="false" customHeight="false" outlineLevel="0" collapsed="false">
      <c r="M621" s="0" t="str">
        <f aca="false">IF(CSV貼付A!$N621="","",IF(COUNTIF(CSV貼付A!$N$5:$N621,CSV貼付A!$N621)&gt;1,"",MAX($M$4:M620)+1))</f>
        <v/>
      </c>
      <c r="O621" s="0" t="str">
        <f aca="false">IF(CSV貼付B!$N621="","",IF(COUNTIF(CSV貼付B!$N$5:$N621,CSV貼付B!$N621)&gt;1,"",MAX($O$4:O620)+1))</f>
        <v/>
      </c>
      <c r="Q621" s="0" t="str">
        <f aca="false">IF(ROW()-4&lt;=MAX($M$5:$M$1004),IFERROR(INDEX($N$5:$N$404,ROW()-4),""),IFERROR(INDEX($P$5:$P$404,ROW()-4-MAX($M$5:$M$1004)),""))</f>
        <v/>
      </c>
    </row>
    <row r="622" customFormat="false" ht="15" hidden="false" customHeight="false" outlineLevel="0" collapsed="false">
      <c r="M622" s="0" t="str">
        <f aca="false">IF(CSV貼付A!$N622="","",IF(COUNTIF(CSV貼付A!$N$5:$N622,CSV貼付A!$N622)&gt;1,"",MAX($M$4:M621)+1))</f>
        <v/>
      </c>
      <c r="O622" s="0" t="str">
        <f aca="false">IF(CSV貼付B!$N622="","",IF(COUNTIF(CSV貼付B!$N$5:$N622,CSV貼付B!$N622)&gt;1,"",MAX($O$4:O621)+1))</f>
        <v/>
      </c>
      <c r="Q622" s="0" t="str">
        <f aca="false">IF(ROW()-4&lt;=MAX($M$5:$M$1004),IFERROR(INDEX($N$5:$N$404,ROW()-4),""),IFERROR(INDEX($P$5:$P$404,ROW()-4-MAX($M$5:$M$1004)),""))</f>
        <v/>
      </c>
    </row>
    <row r="623" customFormat="false" ht="15" hidden="false" customHeight="false" outlineLevel="0" collapsed="false">
      <c r="M623" s="0" t="str">
        <f aca="false">IF(CSV貼付A!$N623="","",IF(COUNTIF(CSV貼付A!$N$5:$N623,CSV貼付A!$N623)&gt;1,"",MAX($M$4:M622)+1))</f>
        <v/>
      </c>
      <c r="O623" s="0" t="str">
        <f aca="false">IF(CSV貼付B!$N623="","",IF(COUNTIF(CSV貼付B!$N$5:$N623,CSV貼付B!$N623)&gt;1,"",MAX($O$4:O622)+1))</f>
        <v/>
      </c>
      <c r="Q623" s="0" t="str">
        <f aca="false">IF(ROW()-4&lt;=MAX($M$5:$M$1004),IFERROR(INDEX($N$5:$N$404,ROW()-4),""),IFERROR(INDEX($P$5:$P$404,ROW()-4-MAX($M$5:$M$1004)),""))</f>
        <v/>
      </c>
    </row>
    <row r="624" customFormat="false" ht="15" hidden="false" customHeight="false" outlineLevel="0" collapsed="false">
      <c r="M624" s="0" t="str">
        <f aca="false">IF(CSV貼付A!$N624="","",IF(COUNTIF(CSV貼付A!$N$5:$N624,CSV貼付A!$N624)&gt;1,"",MAX($M$4:M623)+1))</f>
        <v/>
      </c>
      <c r="O624" s="0" t="str">
        <f aca="false">IF(CSV貼付B!$N624="","",IF(COUNTIF(CSV貼付B!$N$5:$N624,CSV貼付B!$N624)&gt;1,"",MAX($O$4:O623)+1))</f>
        <v/>
      </c>
      <c r="Q624" s="0" t="str">
        <f aca="false">IF(ROW()-4&lt;=MAX($M$5:$M$1004),IFERROR(INDEX($N$5:$N$404,ROW()-4),""),IFERROR(INDEX($P$5:$P$404,ROW()-4-MAX($M$5:$M$1004)),""))</f>
        <v/>
      </c>
    </row>
    <row r="625" customFormat="false" ht="15" hidden="false" customHeight="false" outlineLevel="0" collapsed="false">
      <c r="M625" s="0" t="str">
        <f aca="false">IF(CSV貼付A!$N625="","",IF(COUNTIF(CSV貼付A!$N$5:$N625,CSV貼付A!$N625)&gt;1,"",MAX($M$4:M624)+1))</f>
        <v/>
      </c>
      <c r="O625" s="0" t="str">
        <f aca="false">IF(CSV貼付B!$N625="","",IF(COUNTIF(CSV貼付B!$N$5:$N625,CSV貼付B!$N625)&gt;1,"",MAX($O$4:O624)+1))</f>
        <v/>
      </c>
      <c r="Q625" s="0" t="str">
        <f aca="false">IF(ROW()-4&lt;=MAX($M$5:$M$1004),IFERROR(INDEX($N$5:$N$404,ROW()-4),""),IFERROR(INDEX($P$5:$P$404,ROW()-4-MAX($M$5:$M$1004)),""))</f>
        <v/>
      </c>
    </row>
    <row r="626" customFormat="false" ht="15" hidden="false" customHeight="false" outlineLevel="0" collapsed="false">
      <c r="M626" s="0" t="str">
        <f aca="false">IF(CSV貼付A!$N626="","",IF(COUNTIF(CSV貼付A!$N$5:$N626,CSV貼付A!$N626)&gt;1,"",MAX($M$4:M625)+1))</f>
        <v/>
      </c>
      <c r="O626" s="0" t="str">
        <f aca="false">IF(CSV貼付B!$N626="","",IF(COUNTIF(CSV貼付B!$N$5:$N626,CSV貼付B!$N626)&gt;1,"",MAX($O$4:O625)+1))</f>
        <v/>
      </c>
      <c r="Q626" s="0" t="str">
        <f aca="false">IF(ROW()-4&lt;=MAX($M$5:$M$1004),IFERROR(INDEX($N$5:$N$404,ROW()-4),""),IFERROR(INDEX($P$5:$P$404,ROW()-4-MAX($M$5:$M$1004)),""))</f>
        <v/>
      </c>
    </row>
    <row r="627" customFormat="false" ht="15" hidden="false" customHeight="false" outlineLevel="0" collapsed="false">
      <c r="M627" s="0" t="str">
        <f aca="false">IF(CSV貼付A!$N627="","",IF(COUNTIF(CSV貼付A!$N$5:$N627,CSV貼付A!$N627)&gt;1,"",MAX($M$4:M626)+1))</f>
        <v/>
      </c>
      <c r="O627" s="0" t="str">
        <f aca="false">IF(CSV貼付B!$N627="","",IF(COUNTIF(CSV貼付B!$N$5:$N627,CSV貼付B!$N627)&gt;1,"",MAX($O$4:O626)+1))</f>
        <v/>
      </c>
      <c r="Q627" s="0" t="str">
        <f aca="false">IF(ROW()-4&lt;=MAX($M$5:$M$1004),IFERROR(INDEX($N$5:$N$404,ROW()-4),""),IFERROR(INDEX($P$5:$P$404,ROW()-4-MAX($M$5:$M$1004)),""))</f>
        <v/>
      </c>
    </row>
    <row r="628" customFormat="false" ht="15" hidden="false" customHeight="false" outlineLevel="0" collapsed="false">
      <c r="M628" s="0" t="str">
        <f aca="false">IF(CSV貼付A!$N628="","",IF(COUNTIF(CSV貼付A!$N$5:$N628,CSV貼付A!$N628)&gt;1,"",MAX($M$4:M627)+1))</f>
        <v/>
      </c>
      <c r="O628" s="0" t="str">
        <f aca="false">IF(CSV貼付B!$N628="","",IF(COUNTIF(CSV貼付B!$N$5:$N628,CSV貼付B!$N628)&gt;1,"",MAX($O$4:O627)+1))</f>
        <v/>
      </c>
      <c r="Q628" s="0" t="str">
        <f aca="false">IF(ROW()-4&lt;=MAX($M$5:$M$1004),IFERROR(INDEX($N$5:$N$404,ROW()-4),""),IFERROR(INDEX($P$5:$P$404,ROW()-4-MAX($M$5:$M$1004)),""))</f>
        <v/>
      </c>
    </row>
    <row r="629" customFormat="false" ht="15" hidden="false" customHeight="false" outlineLevel="0" collapsed="false">
      <c r="M629" s="0" t="str">
        <f aca="false">IF(CSV貼付A!$N629="","",IF(COUNTIF(CSV貼付A!$N$5:$N629,CSV貼付A!$N629)&gt;1,"",MAX($M$4:M628)+1))</f>
        <v/>
      </c>
      <c r="O629" s="0" t="str">
        <f aca="false">IF(CSV貼付B!$N629="","",IF(COUNTIF(CSV貼付B!$N$5:$N629,CSV貼付B!$N629)&gt;1,"",MAX($O$4:O628)+1))</f>
        <v/>
      </c>
      <c r="Q629" s="0" t="str">
        <f aca="false">IF(ROW()-4&lt;=MAX($M$5:$M$1004),IFERROR(INDEX($N$5:$N$404,ROW()-4),""),IFERROR(INDEX($P$5:$P$404,ROW()-4-MAX($M$5:$M$1004)),""))</f>
        <v/>
      </c>
    </row>
    <row r="630" customFormat="false" ht="15" hidden="false" customHeight="false" outlineLevel="0" collapsed="false">
      <c r="M630" s="0" t="str">
        <f aca="false">IF(CSV貼付A!$N630="","",IF(COUNTIF(CSV貼付A!$N$5:$N630,CSV貼付A!$N630)&gt;1,"",MAX($M$4:M629)+1))</f>
        <v/>
      </c>
      <c r="O630" s="0" t="str">
        <f aca="false">IF(CSV貼付B!$N630="","",IF(COUNTIF(CSV貼付B!$N$5:$N630,CSV貼付B!$N630)&gt;1,"",MAX($O$4:O629)+1))</f>
        <v/>
      </c>
      <c r="Q630" s="0" t="str">
        <f aca="false">IF(ROW()-4&lt;=MAX($M$5:$M$1004),IFERROR(INDEX($N$5:$N$404,ROW()-4),""),IFERROR(INDEX($P$5:$P$404,ROW()-4-MAX($M$5:$M$1004)),""))</f>
        <v/>
      </c>
    </row>
    <row r="631" customFormat="false" ht="15" hidden="false" customHeight="false" outlineLevel="0" collapsed="false">
      <c r="M631" s="0" t="str">
        <f aca="false">IF(CSV貼付A!$N631="","",IF(COUNTIF(CSV貼付A!$N$5:$N631,CSV貼付A!$N631)&gt;1,"",MAX($M$4:M630)+1))</f>
        <v/>
      </c>
      <c r="O631" s="0" t="str">
        <f aca="false">IF(CSV貼付B!$N631="","",IF(COUNTIF(CSV貼付B!$N$5:$N631,CSV貼付B!$N631)&gt;1,"",MAX($O$4:O630)+1))</f>
        <v/>
      </c>
      <c r="Q631" s="0" t="str">
        <f aca="false">IF(ROW()-4&lt;=MAX($M$5:$M$1004),IFERROR(INDEX($N$5:$N$404,ROW()-4),""),IFERROR(INDEX($P$5:$P$404,ROW()-4-MAX($M$5:$M$1004)),""))</f>
        <v/>
      </c>
    </row>
    <row r="632" customFormat="false" ht="15" hidden="false" customHeight="false" outlineLevel="0" collapsed="false">
      <c r="M632" s="0" t="str">
        <f aca="false">IF(CSV貼付A!$N632="","",IF(COUNTIF(CSV貼付A!$N$5:$N632,CSV貼付A!$N632)&gt;1,"",MAX($M$4:M631)+1))</f>
        <v/>
      </c>
      <c r="O632" s="0" t="str">
        <f aca="false">IF(CSV貼付B!$N632="","",IF(COUNTIF(CSV貼付B!$N$5:$N632,CSV貼付B!$N632)&gt;1,"",MAX($O$4:O631)+1))</f>
        <v/>
      </c>
      <c r="Q632" s="0" t="str">
        <f aca="false">IF(ROW()-4&lt;=MAX($M$5:$M$1004),IFERROR(INDEX($N$5:$N$404,ROW()-4),""),IFERROR(INDEX($P$5:$P$404,ROW()-4-MAX($M$5:$M$1004)),""))</f>
        <v/>
      </c>
    </row>
    <row r="633" customFormat="false" ht="15" hidden="false" customHeight="false" outlineLevel="0" collapsed="false">
      <c r="M633" s="0" t="str">
        <f aca="false">IF(CSV貼付A!$N633="","",IF(COUNTIF(CSV貼付A!$N$5:$N633,CSV貼付A!$N633)&gt;1,"",MAX($M$4:M632)+1))</f>
        <v/>
      </c>
      <c r="O633" s="0" t="str">
        <f aca="false">IF(CSV貼付B!$N633="","",IF(COUNTIF(CSV貼付B!$N$5:$N633,CSV貼付B!$N633)&gt;1,"",MAX($O$4:O632)+1))</f>
        <v/>
      </c>
      <c r="Q633" s="0" t="str">
        <f aca="false">IF(ROW()-4&lt;=MAX($M$5:$M$1004),IFERROR(INDEX($N$5:$N$404,ROW()-4),""),IFERROR(INDEX($P$5:$P$404,ROW()-4-MAX($M$5:$M$1004)),""))</f>
        <v/>
      </c>
    </row>
    <row r="634" customFormat="false" ht="15" hidden="false" customHeight="false" outlineLevel="0" collapsed="false">
      <c r="M634" s="0" t="str">
        <f aca="false">IF(CSV貼付A!$N634="","",IF(COUNTIF(CSV貼付A!$N$5:$N634,CSV貼付A!$N634)&gt;1,"",MAX($M$4:M633)+1))</f>
        <v/>
      </c>
      <c r="O634" s="0" t="str">
        <f aca="false">IF(CSV貼付B!$N634="","",IF(COUNTIF(CSV貼付B!$N$5:$N634,CSV貼付B!$N634)&gt;1,"",MAX($O$4:O633)+1))</f>
        <v/>
      </c>
      <c r="Q634" s="0" t="str">
        <f aca="false">IF(ROW()-4&lt;=MAX($M$5:$M$1004),IFERROR(INDEX($N$5:$N$404,ROW()-4),""),IFERROR(INDEX($P$5:$P$404,ROW()-4-MAX($M$5:$M$1004)),""))</f>
        <v/>
      </c>
    </row>
    <row r="635" customFormat="false" ht="15" hidden="false" customHeight="false" outlineLevel="0" collapsed="false">
      <c r="M635" s="0" t="str">
        <f aca="false">IF(CSV貼付A!$N635="","",IF(COUNTIF(CSV貼付A!$N$5:$N635,CSV貼付A!$N635)&gt;1,"",MAX($M$4:M634)+1))</f>
        <v/>
      </c>
      <c r="O635" s="0" t="str">
        <f aca="false">IF(CSV貼付B!$N635="","",IF(COUNTIF(CSV貼付B!$N$5:$N635,CSV貼付B!$N635)&gt;1,"",MAX($O$4:O634)+1))</f>
        <v/>
      </c>
      <c r="Q635" s="0" t="str">
        <f aca="false">IF(ROW()-4&lt;=MAX($M$5:$M$1004),IFERROR(INDEX($N$5:$N$404,ROW()-4),""),IFERROR(INDEX($P$5:$P$404,ROW()-4-MAX($M$5:$M$1004)),""))</f>
        <v/>
      </c>
    </row>
    <row r="636" customFormat="false" ht="15" hidden="false" customHeight="false" outlineLevel="0" collapsed="false">
      <c r="M636" s="0" t="str">
        <f aca="false">IF(CSV貼付A!$N636="","",IF(COUNTIF(CSV貼付A!$N$5:$N636,CSV貼付A!$N636)&gt;1,"",MAX($M$4:M635)+1))</f>
        <v/>
      </c>
      <c r="O636" s="0" t="str">
        <f aca="false">IF(CSV貼付B!$N636="","",IF(COUNTIF(CSV貼付B!$N$5:$N636,CSV貼付B!$N636)&gt;1,"",MAX($O$4:O635)+1))</f>
        <v/>
      </c>
      <c r="Q636" s="0" t="str">
        <f aca="false">IF(ROW()-4&lt;=MAX($M$5:$M$1004),IFERROR(INDEX($N$5:$N$404,ROW()-4),""),IFERROR(INDEX($P$5:$P$404,ROW()-4-MAX($M$5:$M$1004)),""))</f>
        <v/>
      </c>
    </row>
    <row r="637" customFormat="false" ht="15" hidden="false" customHeight="false" outlineLevel="0" collapsed="false">
      <c r="M637" s="0" t="str">
        <f aca="false">IF(CSV貼付A!$N637="","",IF(COUNTIF(CSV貼付A!$N$5:$N637,CSV貼付A!$N637)&gt;1,"",MAX($M$4:M636)+1))</f>
        <v/>
      </c>
      <c r="O637" s="0" t="str">
        <f aca="false">IF(CSV貼付B!$N637="","",IF(COUNTIF(CSV貼付B!$N$5:$N637,CSV貼付B!$N637)&gt;1,"",MAX($O$4:O636)+1))</f>
        <v/>
      </c>
      <c r="Q637" s="0" t="str">
        <f aca="false">IF(ROW()-4&lt;=MAX($M$5:$M$1004),IFERROR(INDEX($N$5:$N$404,ROW()-4),""),IFERROR(INDEX($P$5:$P$404,ROW()-4-MAX($M$5:$M$1004)),""))</f>
        <v/>
      </c>
    </row>
    <row r="638" customFormat="false" ht="15" hidden="false" customHeight="false" outlineLevel="0" collapsed="false">
      <c r="M638" s="0" t="str">
        <f aca="false">IF(CSV貼付A!$N638="","",IF(COUNTIF(CSV貼付A!$N$5:$N638,CSV貼付A!$N638)&gt;1,"",MAX($M$4:M637)+1))</f>
        <v/>
      </c>
      <c r="O638" s="0" t="str">
        <f aca="false">IF(CSV貼付B!$N638="","",IF(COUNTIF(CSV貼付B!$N$5:$N638,CSV貼付B!$N638)&gt;1,"",MAX($O$4:O637)+1))</f>
        <v/>
      </c>
      <c r="Q638" s="0" t="str">
        <f aca="false">IF(ROW()-4&lt;=MAX($M$5:$M$1004),IFERROR(INDEX($N$5:$N$404,ROW()-4),""),IFERROR(INDEX($P$5:$P$404,ROW()-4-MAX($M$5:$M$1004)),""))</f>
        <v/>
      </c>
    </row>
    <row r="639" customFormat="false" ht="15" hidden="false" customHeight="false" outlineLevel="0" collapsed="false">
      <c r="M639" s="0" t="str">
        <f aca="false">IF(CSV貼付A!$N639="","",IF(COUNTIF(CSV貼付A!$N$5:$N639,CSV貼付A!$N639)&gt;1,"",MAX($M$4:M638)+1))</f>
        <v/>
      </c>
      <c r="O639" s="0" t="str">
        <f aca="false">IF(CSV貼付B!$N639="","",IF(COUNTIF(CSV貼付B!$N$5:$N639,CSV貼付B!$N639)&gt;1,"",MAX($O$4:O638)+1))</f>
        <v/>
      </c>
      <c r="Q639" s="0" t="str">
        <f aca="false">IF(ROW()-4&lt;=MAX($M$5:$M$1004),IFERROR(INDEX($N$5:$N$404,ROW()-4),""),IFERROR(INDEX($P$5:$P$404,ROW()-4-MAX($M$5:$M$1004)),""))</f>
        <v/>
      </c>
    </row>
    <row r="640" customFormat="false" ht="15" hidden="false" customHeight="false" outlineLevel="0" collapsed="false">
      <c r="M640" s="0" t="str">
        <f aca="false">IF(CSV貼付A!$N640="","",IF(COUNTIF(CSV貼付A!$N$5:$N640,CSV貼付A!$N640)&gt;1,"",MAX($M$4:M639)+1))</f>
        <v/>
      </c>
      <c r="O640" s="0" t="str">
        <f aca="false">IF(CSV貼付B!$N640="","",IF(COUNTIF(CSV貼付B!$N$5:$N640,CSV貼付B!$N640)&gt;1,"",MAX($O$4:O639)+1))</f>
        <v/>
      </c>
      <c r="Q640" s="0" t="str">
        <f aca="false">IF(ROW()-4&lt;=MAX($M$5:$M$1004),IFERROR(INDEX($N$5:$N$404,ROW()-4),""),IFERROR(INDEX($P$5:$P$404,ROW()-4-MAX($M$5:$M$1004)),""))</f>
        <v/>
      </c>
    </row>
    <row r="641" customFormat="false" ht="15" hidden="false" customHeight="false" outlineLevel="0" collapsed="false">
      <c r="M641" s="0" t="str">
        <f aca="false">IF(CSV貼付A!$N641="","",IF(COUNTIF(CSV貼付A!$N$5:$N641,CSV貼付A!$N641)&gt;1,"",MAX($M$4:M640)+1))</f>
        <v/>
      </c>
      <c r="O641" s="0" t="str">
        <f aca="false">IF(CSV貼付B!$N641="","",IF(COUNTIF(CSV貼付B!$N$5:$N641,CSV貼付B!$N641)&gt;1,"",MAX($O$4:O640)+1))</f>
        <v/>
      </c>
      <c r="Q641" s="0" t="str">
        <f aca="false">IF(ROW()-4&lt;=MAX($M$5:$M$1004),IFERROR(INDEX($N$5:$N$404,ROW()-4),""),IFERROR(INDEX($P$5:$P$404,ROW()-4-MAX($M$5:$M$1004)),""))</f>
        <v/>
      </c>
    </row>
    <row r="642" customFormat="false" ht="15" hidden="false" customHeight="false" outlineLevel="0" collapsed="false">
      <c r="M642" s="0" t="str">
        <f aca="false">IF(CSV貼付A!$N642="","",IF(COUNTIF(CSV貼付A!$N$5:$N642,CSV貼付A!$N642)&gt;1,"",MAX($M$4:M641)+1))</f>
        <v/>
      </c>
      <c r="O642" s="0" t="str">
        <f aca="false">IF(CSV貼付B!$N642="","",IF(COUNTIF(CSV貼付B!$N$5:$N642,CSV貼付B!$N642)&gt;1,"",MAX($O$4:O641)+1))</f>
        <v/>
      </c>
      <c r="Q642" s="0" t="str">
        <f aca="false">IF(ROW()-4&lt;=MAX($M$5:$M$1004),IFERROR(INDEX($N$5:$N$404,ROW()-4),""),IFERROR(INDEX($P$5:$P$404,ROW()-4-MAX($M$5:$M$1004)),""))</f>
        <v/>
      </c>
    </row>
    <row r="643" customFormat="false" ht="15" hidden="false" customHeight="false" outlineLevel="0" collapsed="false">
      <c r="M643" s="0" t="str">
        <f aca="false">IF(CSV貼付A!$N643="","",IF(COUNTIF(CSV貼付A!$N$5:$N643,CSV貼付A!$N643)&gt;1,"",MAX($M$4:M642)+1))</f>
        <v/>
      </c>
      <c r="O643" s="0" t="str">
        <f aca="false">IF(CSV貼付B!$N643="","",IF(COUNTIF(CSV貼付B!$N$5:$N643,CSV貼付B!$N643)&gt;1,"",MAX($O$4:O642)+1))</f>
        <v/>
      </c>
      <c r="Q643" s="0" t="str">
        <f aca="false">IF(ROW()-4&lt;=MAX($M$5:$M$1004),IFERROR(INDEX($N$5:$N$404,ROW()-4),""),IFERROR(INDEX($P$5:$P$404,ROW()-4-MAX($M$5:$M$1004)),""))</f>
        <v/>
      </c>
    </row>
    <row r="644" customFormat="false" ht="15" hidden="false" customHeight="false" outlineLevel="0" collapsed="false">
      <c r="M644" s="0" t="str">
        <f aca="false">IF(CSV貼付A!$N644="","",IF(COUNTIF(CSV貼付A!$N$5:$N644,CSV貼付A!$N644)&gt;1,"",MAX($M$4:M643)+1))</f>
        <v/>
      </c>
      <c r="O644" s="0" t="str">
        <f aca="false">IF(CSV貼付B!$N644="","",IF(COUNTIF(CSV貼付B!$N$5:$N644,CSV貼付B!$N644)&gt;1,"",MAX($O$4:O643)+1))</f>
        <v/>
      </c>
      <c r="Q644" s="0" t="str">
        <f aca="false">IF(ROW()-4&lt;=MAX($M$5:$M$1004),IFERROR(INDEX($N$5:$N$404,ROW()-4),""),IFERROR(INDEX($P$5:$P$404,ROW()-4-MAX($M$5:$M$1004)),""))</f>
        <v/>
      </c>
    </row>
    <row r="645" customFormat="false" ht="15" hidden="false" customHeight="false" outlineLevel="0" collapsed="false">
      <c r="M645" s="0" t="str">
        <f aca="false">IF(CSV貼付A!$N645="","",IF(COUNTIF(CSV貼付A!$N$5:$N645,CSV貼付A!$N645)&gt;1,"",MAX($M$4:M644)+1))</f>
        <v/>
      </c>
      <c r="O645" s="0" t="str">
        <f aca="false">IF(CSV貼付B!$N645="","",IF(COUNTIF(CSV貼付B!$N$5:$N645,CSV貼付B!$N645)&gt;1,"",MAX($O$4:O644)+1))</f>
        <v/>
      </c>
      <c r="Q645" s="0" t="str">
        <f aca="false">IF(ROW()-4&lt;=MAX($M$5:$M$1004),IFERROR(INDEX($N$5:$N$404,ROW()-4),""),IFERROR(INDEX($P$5:$P$404,ROW()-4-MAX($M$5:$M$1004)),""))</f>
        <v/>
      </c>
    </row>
    <row r="646" customFormat="false" ht="15" hidden="false" customHeight="false" outlineLevel="0" collapsed="false">
      <c r="M646" s="0" t="str">
        <f aca="false">IF(CSV貼付A!$N646="","",IF(COUNTIF(CSV貼付A!$N$5:$N646,CSV貼付A!$N646)&gt;1,"",MAX($M$4:M645)+1))</f>
        <v/>
      </c>
      <c r="O646" s="0" t="str">
        <f aca="false">IF(CSV貼付B!$N646="","",IF(COUNTIF(CSV貼付B!$N$5:$N646,CSV貼付B!$N646)&gt;1,"",MAX($O$4:O645)+1))</f>
        <v/>
      </c>
      <c r="Q646" s="0" t="str">
        <f aca="false">IF(ROW()-4&lt;=MAX($M$5:$M$1004),IFERROR(INDEX($N$5:$N$404,ROW()-4),""),IFERROR(INDEX($P$5:$P$404,ROW()-4-MAX($M$5:$M$1004)),""))</f>
        <v/>
      </c>
    </row>
    <row r="647" customFormat="false" ht="15" hidden="false" customHeight="false" outlineLevel="0" collapsed="false">
      <c r="M647" s="0" t="str">
        <f aca="false">IF(CSV貼付A!$N647="","",IF(COUNTIF(CSV貼付A!$N$5:$N647,CSV貼付A!$N647)&gt;1,"",MAX($M$4:M646)+1))</f>
        <v/>
      </c>
      <c r="O647" s="0" t="str">
        <f aca="false">IF(CSV貼付B!$N647="","",IF(COUNTIF(CSV貼付B!$N$5:$N647,CSV貼付B!$N647)&gt;1,"",MAX($O$4:O646)+1))</f>
        <v/>
      </c>
      <c r="Q647" s="0" t="str">
        <f aca="false">IF(ROW()-4&lt;=MAX($M$5:$M$1004),IFERROR(INDEX($N$5:$N$404,ROW()-4),""),IFERROR(INDEX($P$5:$P$404,ROW()-4-MAX($M$5:$M$1004)),""))</f>
        <v/>
      </c>
    </row>
    <row r="648" customFormat="false" ht="15" hidden="false" customHeight="false" outlineLevel="0" collapsed="false">
      <c r="M648" s="0" t="str">
        <f aca="false">IF(CSV貼付A!$N648="","",IF(COUNTIF(CSV貼付A!$N$5:$N648,CSV貼付A!$N648)&gt;1,"",MAX($M$4:M647)+1))</f>
        <v/>
      </c>
      <c r="O648" s="0" t="str">
        <f aca="false">IF(CSV貼付B!$N648="","",IF(COUNTIF(CSV貼付B!$N$5:$N648,CSV貼付B!$N648)&gt;1,"",MAX($O$4:O647)+1))</f>
        <v/>
      </c>
      <c r="Q648" s="0" t="str">
        <f aca="false">IF(ROW()-4&lt;=MAX($M$5:$M$1004),IFERROR(INDEX($N$5:$N$404,ROW()-4),""),IFERROR(INDEX($P$5:$P$404,ROW()-4-MAX($M$5:$M$1004)),""))</f>
        <v/>
      </c>
    </row>
    <row r="649" customFormat="false" ht="15" hidden="false" customHeight="false" outlineLevel="0" collapsed="false">
      <c r="M649" s="0" t="str">
        <f aca="false">IF(CSV貼付A!$N649="","",IF(COUNTIF(CSV貼付A!$N$5:$N649,CSV貼付A!$N649)&gt;1,"",MAX($M$4:M648)+1))</f>
        <v/>
      </c>
      <c r="O649" s="0" t="str">
        <f aca="false">IF(CSV貼付B!$N649="","",IF(COUNTIF(CSV貼付B!$N$5:$N649,CSV貼付B!$N649)&gt;1,"",MAX($O$4:O648)+1))</f>
        <v/>
      </c>
      <c r="Q649" s="0" t="str">
        <f aca="false">IF(ROW()-4&lt;=MAX($M$5:$M$1004),IFERROR(INDEX($N$5:$N$404,ROW()-4),""),IFERROR(INDEX($P$5:$P$404,ROW()-4-MAX($M$5:$M$1004)),""))</f>
        <v/>
      </c>
    </row>
    <row r="650" customFormat="false" ht="15" hidden="false" customHeight="false" outlineLevel="0" collapsed="false">
      <c r="M650" s="0" t="str">
        <f aca="false">IF(CSV貼付A!$N650="","",IF(COUNTIF(CSV貼付A!$N$5:$N650,CSV貼付A!$N650)&gt;1,"",MAX($M$4:M649)+1))</f>
        <v/>
      </c>
      <c r="O650" s="0" t="str">
        <f aca="false">IF(CSV貼付B!$N650="","",IF(COUNTIF(CSV貼付B!$N$5:$N650,CSV貼付B!$N650)&gt;1,"",MAX($O$4:O649)+1))</f>
        <v/>
      </c>
      <c r="Q650" s="0" t="str">
        <f aca="false">IF(ROW()-4&lt;=MAX($M$5:$M$1004),IFERROR(INDEX($N$5:$N$404,ROW()-4),""),IFERROR(INDEX($P$5:$P$404,ROW()-4-MAX($M$5:$M$1004)),""))</f>
        <v/>
      </c>
    </row>
    <row r="651" customFormat="false" ht="15" hidden="false" customHeight="false" outlineLevel="0" collapsed="false">
      <c r="M651" s="0" t="str">
        <f aca="false">IF(CSV貼付A!$N651="","",IF(COUNTIF(CSV貼付A!$N$5:$N651,CSV貼付A!$N651)&gt;1,"",MAX($M$4:M650)+1))</f>
        <v/>
      </c>
      <c r="O651" s="0" t="str">
        <f aca="false">IF(CSV貼付B!$N651="","",IF(COUNTIF(CSV貼付B!$N$5:$N651,CSV貼付B!$N651)&gt;1,"",MAX($O$4:O650)+1))</f>
        <v/>
      </c>
      <c r="Q651" s="0" t="str">
        <f aca="false">IF(ROW()-4&lt;=MAX($M$5:$M$1004),IFERROR(INDEX($N$5:$N$404,ROW()-4),""),IFERROR(INDEX($P$5:$P$404,ROW()-4-MAX($M$5:$M$1004)),""))</f>
        <v/>
      </c>
    </row>
    <row r="652" customFormat="false" ht="15" hidden="false" customHeight="false" outlineLevel="0" collapsed="false">
      <c r="M652" s="0" t="str">
        <f aca="false">IF(CSV貼付A!$N652="","",IF(COUNTIF(CSV貼付A!$N$5:$N652,CSV貼付A!$N652)&gt;1,"",MAX($M$4:M651)+1))</f>
        <v/>
      </c>
      <c r="O652" s="0" t="str">
        <f aca="false">IF(CSV貼付B!$N652="","",IF(COUNTIF(CSV貼付B!$N$5:$N652,CSV貼付B!$N652)&gt;1,"",MAX($O$4:O651)+1))</f>
        <v/>
      </c>
      <c r="Q652" s="0" t="str">
        <f aca="false">IF(ROW()-4&lt;=MAX($M$5:$M$1004),IFERROR(INDEX($N$5:$N$404,ROW()-4),""),IFERROR(INDEX($P$5:$P$404,ROW()-4-MAX($M$5:$M$1004)),""))</f>
        <v/>
      </c>
    </row>
    <row r="653" customFormat="false" ht="15" hidden="false" customHeight="false" outlineLevel="0" collapsed="false">
      <c r="M653" s="0" t="str">
        <f aca="false">IF(CSV貼付A!$N653="","",IF(COUNTIF(CSV貼付A!$N$5:$N653,CSV貼付A!$N653)&gt;1,"",MAX($M$4:M652)+1))</f>
        <v/>
      </c>
      <c r="O653" s="0" t="str">
        <f aca="false">IF(CSV貼付B!$N653="","",IF(COUNTIF(CSV貼付B!$N$5:$N653,CSV貼付B!$N653)&gt;1,"",MAX($O$4:O652)+1))</f>
        <v/>
      </c>
      <c r="Q653" s="0" t="str">
        <f aca="false">IF(ROW()-4&lt;=MAX($M$5:$M$1004),IFERROR(INDEX($N$5:$N$404,ROW()-4),""),IFERROR(INDEX($P$5:$P$404,ROW()-4-MAX($M$5:$M$1004)),""))</f>
        <v/>
      </c>
    </row>
    <row r="654" customFormat="false" ht="15" hidden="false" customHeight="false" outlineLevel="0" collapsed="false">
      <c r="M654" s="0" t="str">
        <f aca="false">IF(CSV貼付A!$N654="","",IF(COUNTIF(CSV貼付A!$N$5:$N654,CSV貼付A!$N654)&gt;1,"",MAX($M$4:M653)+1))</f>
        <v/>
      </c>
      <c r="O654" s="0" t="str">
        <f aca="false">IF(CSV貼付B!$N654="","",IF(COUNTIF(CSV貼付B!$N$5:$N654,CSV貼付B!$N654)&gt;1,"",MAX($O$4:O653)+1))</f>
        <v/>
      </c>
      <c r="Q654" s="0" t="str">
        <f aca="false">IF(ROW()-4&lt;=MAX($M$5:$M$1004),IFERROR(INDEX($N$5:$N$404,ROW()-4),""),IFERROR(INDEX($P$5:$P$404,ROW()-4-MAX($M$5:$M$1004)),""))</f>
        <v/>
      </c>
    </row>
    <row r="655" customFormat="false" ht="15" hidden="false" customHeight="false" outlineLevel="0" collapsed="false">
      <c r="M655" s="0" t="str">
        <f aca="false">IF(CSV貼付A!$N655="","",IF(COUNTIF(CSV貼付A!$N$5:$N655,CSV貼付A!$N655)&gt;1,"",MAX($M$4:M654)+1))</f>
        <v/>
      </c>
      <c r="O655" s="0" t="str">
        <f aca="false">IF(CSV貼付B!$N655="","",IF(COUNTIF(CSV貼付B!$N$5:$N655,CSV貼付B!$N655)&gt;1,"",MAX($O$4:O654)+1))</f>
        <v/>
      </c>
      <c r="Q655" s="0" t="str">
        <f aca="false">IF(ROW()-4&lt;=MAX($M$5:$M$1004),IFERROR(INDEX($N$5:$N$404,ROW()-4),""),IFERROR(INDEX($P$5:$P$404,ROW()-4-MAX($M$5:$M$1004)),""))</f>
        <v/>
      </c>
    </row>
    <row r="656" customFormat="false" ht="15" hidden="false" customHeight="false" outlineLevel="0" collapsed="false">
      <c r="M656" s="0" t="str">
        <f aca="false">IF(CSV貼付A!$N656="","",IF(COUNTIF(CSV貼付A!$N$5:$N656,CSV貼付A!$N656)&gt;1,"",MAX($M$4:M655)+1))</f>
        <v/>
      </c>
      <c r="O656" s="0" t="str">
        <f aca="false">IF(CSV貼付B!$N656="","",IF(COUNTIF(CSV貼付B!$N$5:$N656,CSV貼付B!$N656)&gt;1,"",MAX($O$4:O655)+1))</f>
        <v/>
      </c>
      <c r="Q656" s="0" t="str">
        <f aca="false">IF(ROW()-4&lt;=MAX($M$5:$M$1004),IFERROR(INDEX($N$5:$N$404,ROW()-4),""),IFERROR(INDEX($P$5:$P$404,ROW()-4-MAX($M$5:$M$1004)),""))</f>
        <v/>
      </c>
    </row>
    <row r="657" customFormat="false" ht="15" hidden="false" customHeight="false" outlineLevel="0" collapsed="false">
      <c r="M657" s="0" t="str">
        <f aca="false">IF(CSV貼付A!$N657="","",IF(COUNTIF(CSV貼付A!$N$5:$N657,CSV貼付A!$N657)&gt;1,"",MAX($M$4:M656)+1))</f>
        <v/>
      </c>
      <c r="O657" s="0" t="str">
        <f aca="false">IF(CSV貼付B!$N657="","",IF(COUNTIF(CSV貼付B!$N$5:$N657,CSV貼付B!$N657)&gt;1,"",MAX($O$4:O656)+1))</f>
        <v/>
      </c>
      <c r="Q657" s="0" t="str">
        <f aca="false">IF(ROW()-4&lt;=MAX($M$5:$M$1004),IFERROR(INDEX($N$5:$N$404,ROW()-4),""),IFERROR(INDEX($P$5:$P$404,ROW()-4-MAX($M$5:$M$1004)),""))</f>
        <v/>
      </c>
    </row>
    <row r="658" customFormat="false" ht="15" hidden="false" customHeight="false" outlineLevel="0" collapsed="false">
      <c r="M658" s="0" t="str">
        <f aca="false">IF(CSV貼付A!$N658="","",IF(COUNTIF(CSV貼付A!$N$5:$N658,CSV貼付A!$N658)&gt;1,"",MAX($M$4:M657)+1))</f>
        <v/>
      </c>
      <c r="O658" s="0" t="str">
        <f aca="false">IF(CSV貼付B!$N658="","",IF(COUNTIF(CSV貼付B!$N$5:$N658,CSV貼付B!$N658)&gt;1,"",MAX($O$4:O657)+1))</f>
        <v/>
      </c>
      <c r="Q658" s="0" t="str">
        <f aca="false">IF(ROW()-4&lt;=MAX($M$5:$M$1004),IFERROR(INDEX($N$5:$N$404,ROW()-4),""),IFERROR(INDEX($P$5:$P$404,ROW()-4-MAX($M$5:$M$1004)),""))</f>
        <v/>
      </c>
    </row>
    <row r="659" customFormat="false" ht="15" hidden="false" customHeight="false" outlineLevel="0" collapsed="false">
      <c r="M659" s="0" t="str">
        <f aca="false">IF(CSV貼付A!$N659="","",IF(COUNTIF(CSV貼付A!$N$5:$N659,CSV貼付A!$N659)&gt;1,"",MAX($M$4:M658)+1))</f>
        <v/>
      </c>
      <c r="O659" s="0" t="str">
        <f aca="false">IF(CSV貼付B!$N659="","",IF(COUNTIF(CSV貼付B!$N$5:$N659,CSV貼付B!$N659)&gt;1,"",MAX($O$4:O658)+1))</f>
        <v/>
      </c>
      <c r="Q659" s="0" t="str">
        <f aca="false">IF(ROW()-4&lt;=MAX($M$5:$M$1004),IFERROR(INDEX($N$5:$N$404,ROW()-4),""),IFERROR(INDEX($P$5:$P$404,ROW()-4-MAX($M$5:$M$1004)),""))</f>
        <v/>
      </c>
    </row>
    <row r="660" customFormat="false" ht="15" hidden="false" customHeight="false" outlineLevel="0" collapsed="false">
      <c r="M660" s="0" t="str">
        <f aca="false">IF(CSV貼付A!$N660="","",IF(COUNTIF(CSV貼付A!$N$5:$N660,CSV貼付A!$N660)&gt;1,"",MAX($M$4:M659)+1))</f>
        <v/>
      </c>
      <c r="O660" s="0" t="str">
        <f aca="false">IF(CSV貼付B!$N660="","",IF(COUNTIF(CSV貼付B!$N$5:$N660,CSV貼付B!$N660)&gt;1,"",MAX($O$4:O659)+1))</f>
        <v/>
      </c>
      <c r="Q660" s="0" t="str">
        <f aca="false">IF(ROW()-4&lt;=MAX($M$5:$M$1004),IFERROR(INDEX($N$5:$N$404,ROW()-4),""),IFERROR(INDEX($P$5:$P$404,ROW()-4-MAX($M$5:$M$1004)),""))</f>
        <v/>
      </c>
    </row>
    <row r="661" customFormat="false" ht="15" hidden="false" customHeight="false" outlineLevel="0" collapsed="false">
      <c r="M661" s="0" t="str">
        <f aca="false">IF(CSV貼付A!$N661="","",IF(COUNTIF(CSV貼付A!$N$5:$N661,CSV貼付A!$N661)&gt;1,"",MAX($M$4:M660)+1))</f>
        <v/>
      </c>
      <c r="O661" s="0" t="str">
        <f aca="false">IF(CSV貼付B!$N661="","",IF(COUNTIF(CSV貼付B!$N$5:$N661,CSV貼付B!$N661)&gt;1,"",MAX($O$4:O660)+1))</f>
        <v/>
      </c>
      <c r="Q661" s="0" t="str">
        <f aca="false">IF(ROW()-4&lt;=MAX($M$5:$M$1004),IFERROR(INDEX($N$5:$N$404,ROW()-4),""),IFERROR(INDEX($P$5:$P$404,ROW()-4-MAX($M$5:$M$1004)),""))</f>
        <v/>
      </c>
    </row>
    <row r="662" customFormat="false" ht="15" hidden="false" customHeight="false" outlineLevel="0" collapsed="false">
      <c r="M662" s="0" t="str">
        <f aca="false">IF(CSV貼付A!$N662="","",IF(COUNTIF(CSV貼付A!$N$5:$N662,CSV貼付A!$N662)&gt;1,"",MAX($M$4:M661)+1))</f>
        <v/>
      </c>
      <c r="O662" s="0" t="str">
        <f aca="false">IF(CSV貼付B!$N662="","",IF(COUNTIF(CSV貼付B!$N$5:$N662,CSV貼付B!$N662)&gt;1,"",MAX($O$4:O661)+1))</f>
        <v/>
      </c>
      <c r="Q662" s="0" t="str">
        <f aca="false">IF(ROW()-4&lt;=MAX($M$5:$M$1004),IFERROR(INDEX($N$5:$N$404,ROW()-4),""),IFERROR(INDEX($P$5:$P$404,ROW()-4-MAX($M$5:$M$1004)),""))</f>
        <v/>
      </c>
    </row>
    <row r="663" customFormat="false" ht="15" hidden="false" customHeight="false" outlineLevel="0" collapsed="false">
      <c r="M663" s="0" t="str">
        <f aca="false">IF(CSV貼付A!$N663="","",IF(COUNTIF(CSV貼付A!$N$5:$N663,CSV貼付A!$N663)&gt;1,"",MAX($M$4:M662)+1))</f>
        <v/>
      </c>
      <c r="O663" s="0" t="str">
        <f aca="false">IF(CSV貼付B!$N663="","",IF(COUNTIF(CSV貼付B!$N$5:$N663,CSV貼付B!$N663)&gt;1,"",MAX($O$4:O662)+1))</f>
        <v/>
      </c>
      <c r="Q663" s="0" t="str">
        <f aca="false">IF(ROW()-4&lt;=MAX($M$5:$M$1004),IFERROR(INDEX($N$5:$N$404,ROW()-4),""),IFERROR(INDEX($P$5:$P$404,ROW()-4-MAX($M$5:$M$1004)),""))</f>
        <v/>
      </c>
    </row>
    <row r="664" customFormat="false" ht="15" hidden="false" customHeight="false" outlineLevel="0" collapsed="false">
      <c r="M664" s="0" t="str">
        <f aca="false">IF(CSV貼付A!$N664="","",IF(COUNTIF(CSV貼付A!$N$5:$N664,CSV貼付A!$N664)&gt;1,"",MAX($M$4:M663)+1))</f>
        <v/>
      </c>
      <c r="O664" s="0" t="str">
        <f aca="false">IF(CSV貼付B!$N664="","",IF(COUNTIF(CSV貼付B!$N$5:$N664,CSV貼付B!$N664)&gt;1,"",MAX($O$4:O663)+1))</f>
        <v/>
      </c>
      <c r="Q664" s="0" t="str">
        <f aca="false">IF(ROW()-4&lt;=MAX($M$5:$M$1004),IFERROR(INDEX($N$5:$N$404,ROW()-4),""),IFERROR(INDEX($P$5:$P$404,ROW()-4-MAX($M$5:$M$1004)),""))</f>
        <v/>
      </c>
    </row>
    <row r="665" customFormat="false" ht="15" hidden="false" customHeight="false" outlineLevel="0" collapsed="false">
      <c r="M665" s="0" t="str">
        <f aca="false">IF(CSV貼付A!$N665="","",IF(COUNTIF(CSV貼付A!$N$5:$N665,CSV貼付A!$N665)&gt;1,"",MAX($M$4:M664)+1))</f>
        <v/>
      </c>
      <c r="O665" s="0" t="str">
        <f aca="false">IF(CSV貼付B!$N665="","",IF(COUNTIF(CSV貼付B!$N$5:$N665,CSV貼付B!$N665)&gt;1,"",MAX($O$4:O664)+1))</f>
        <v/>
      </c>
      <c r="Q665" s="0" t="str">
        <f aca="false">IF(ROW()-4&lt;=MAX($M$5:$M$1004),IFERROR(INDEX($N$5:$N$404,ROW()-4),""),IFERROR(INDEX($P$5:$P$404,ROW()-4-MAX($M$5:$M$1004)),""))</f>
        <v/>
      </c>
    </row>
    <row r="666" customFormat="false" ht="15" hidden="false" customHeight="false" outlineLevel="0" collapsed="false">
      <c r="M666" s="0" t="str">
        <f aca="false">IF(CSV貼付A!$N666="","",IF(COUNTIF(CSV貼付A!$N$5:$N666,CSV貼付A!$N666)&gt;1,"",MAX($M$4:M665)+1))</f>
        <v/>
      </c>
      <c r="O666" s="0" t="str">
        <f aca="false">IF(CSV貼付B!$N666="","",IF(COUNTIF(CSV貼付B!$N$5:$N666,CSV貼付B!$N666)&gt;1,"",MAX($O$4:O665)+1))</f>
        <v/>
      </c>
      <c r="Q666" s="0" t="str">
        <f aca="false">IF(ROW()-4&lt;=MAX($M$5:$M$1004),IFERROR(INDEX($N$5:$N$404,ROW()-4),""),IFERROR(INDEX($P$5:$P$404,ROW()-4-MAX($M$5:$M$1004)),""))</f>
        <v/>
      </c>
    </row>
    <row r="667" customFormat="false" ht="15" hidden="false" customHeight="false" outlineLevel="0" collapsed="false">
      <c r="M667" s="0" t="str">
        <f aca="false">IF(CSV貼付A!$N667="","",IF(COUNTIF(CSV貼付A!$N$5:$N667,CSV貼付A!$N667)&gt;1,"",MAX($M$4:M666)+1))</f>
        <v/>
      </c>
      <c r="O667" s="0" t="str">
        <f aca="false">IF(CSV貼付B!$N667="","",IF(COUNTIF(CSV貼付B!$N$5:$N667,CSV貼付B!$N667)&gt;1,"",MAX($O$4:O666)+1))</f>
        <v/>
      </c>
      <c r="Q667" s="0" t="str">
        <f aca="false">IF(ROW()-4&lt;=MAX($M$5:$M$1004),IFERROR(INDEX($N$5:$N$404,ROW()-4),""),IFERROR(INDEX($P$5:$P$404,ROW()-4-MAX($M$5:$M$1004)),""))</f>
        <v/>
      </c>
    </row>
    <row r="668" customFormat="false" ht="15" hidden="false" customHeight="false" outlineLevel="0" collapsed="false">
      <c r="M668" s="0" t="str">
        <f aca="false">IF(CSV貼付A!$N668="","",IF(COUNTIF(CSV貼付A!$N$5:$N668,CSV貼付A!$N668)&gt;1,"",MAX($M$4:M667)+1))</f>
        <v/>
      </c>
      <c r="O668" s="0" t="str">
        <f aca="false">IF(CSV貼付B!$N668="","",IF(COUNTIF(CSV貼付B!$N$5:$N668,CSV貼付B!$N668)&gt;1,"",MAX($O$4:O667)+1))</f>
        <v/>
      </c>
      <c r="Q668" s="0" t="str">
        <f aca="false">IF(ROW()-4&lt;=MAX($M$5:$M$1004),IFERROR(INDEX($N$5:$N$404,ROW()-4),""),IFERROR(INDEX($P$5:$P$404,ROW()-4-MAX($M$5:$M$1004)),""))</f>
        <v/>
      </c>
    </row>
    <row r="669" customFormat="false" ht="15" hidden="false" customHeight="false" outlineLevel="0" collapsed="false">
      <c r="M669" s="0" t="str">
        <f aca="false">IF(CSV貼付A!$N669="","",IF(COUNTIF(CSV貼付A!$N$5:$N669,CSV貼付A!$N669)&gt;1,"",MAX($M$4:M668)+1))</f>
        <v/>
      </c>
      <c r="O669" s="0" t="str">
        <f aca="false">IF(CSV貼付B!$N669="","",IF(COUNTIF(CSV貼付B!$N$5:$N669,CSV貼付B!$N669)&gt;1,"",MAX($O$4:O668)+1))</f>
        <v/>
      </c>
      <c r="Q669" s="0" t="str">
        <f aca="false">IF(ROW()-4&lt;=MAX($M$5:$M$1004),IFERROR(INDEX($N$5:$N$404,ROW()-4),""),IFERROR(INDEX($P$5:$P$404,ROW()-4-MAX($M$5:$M$1004)),""))</f>
        <v/>
      </c>
    </row>
    <row r="670" customFormat="false" ht="15" hidden="false" customHeight="false" outlineLevel="0" collapsed="false">
      <c r="M670" s="0" t="str">
        <f aca="false">IF(CSV貼付A!$N670="","",IF(COUNTIF(CSV貼付A!$N$5:$N670,CSV貼付A!$N670)&gt;1,"",MAX($M$4:M669)+1))</f>
        <v/>
      </c>
      <c r="O670" s="0" t="str">
        <f aca="false">IF(CSV貼付B!$N670="","",IF(COUNTIF(CSV貼付B!$N$5:$N670,CSV貼付B!$N670)&gt;1,"",MAX($O$4:O669)+1))</f>
        <v/>
      </c>
      <c r="Q670" s="0" t="str">
        <f aca="false">IF(ROW()-4&lt;=MAX($M$5:$M$1004),IFERROR(INDEX($N$5:$N$404,ROW()-4),""),IFERROR(INDEX($P$5:$P$404,ROW()-4-MAX($M$5:$M$1004)),""))</f>
        <v/>
      </c>
    </row>
    <row r="671" customFormat="false" ht="15" hidden="false" customHeight="false" outlineLevel="0" collapsed="false">
      <c r="M671" s="0" t="str">
        <f aca="false">IF(CSV貼付A!$N671="","",IF(COUNTIF(CSV貼付A!$N$5:$N671,CSV貼付A!$N671)&gt;1,"",MAX($M$4:M670)+1))</f>
        <v/>
      </c>
      <c r="O671" s="0" t="str">
        <f aca="false">IF(CSV貼付B!$N671="","",IF(COUNTIF(CSV貼付B!$N$5:$N671,CSV貼付B!$N671)&gt;1,"",MAX($O$4:O670)+1))</f>
        <v/>
      </c>
      <c r="Q671" s="0" t="str">
        <f aca="false">IF(ROW()-4&lt;=MAX($M$5:$M$1004),IFERROR(INDEX($N$5:$N$404,ROW()-4),""),IFERROR(INDEX($P$5:$P$404,ROW()-4-MAX($M$5:$M$1004)),""))</f>
        <v/>
      </c>
    </row>
    <row r="672" customFormat="false" ht="15" hidden="false" customHeight="false" outlineLevel="0" collapsed="false">
      <c r="M672" s="0" t="str">
        <f aca="false">IF(CSV貼付A!$N672="","",IF(COUNTIF(CSV貼付A!$N$5:$N672,CSV貼付A!$N672)&gt;1,"",MAX($M$4:M671)+1))</f>
        <v/>
      </c>
      <c r="O672" s="0" t="str">
        <f aca="false">IF(CSV貼付B!$N672="","",IF(COUNTIF(CSV貼付B!$N$5:$N672,CSV貼付B!$N672)&gt;1,"",MAX($O$4:O671)+1))</f>
        <v/>
      </c>
      <c r="Q672" s="0" t="str">
        <f aca="false">IF(ROW()-4&lt;=MAX($M$5:$M$1004),IFERROR(INDEX($N$5:$N$404,ROW()-4),""),IFERROR(INDEX($P$5:$P$404,ROW()-4-MAX($M$5:$M$1004)),""))</f>
        <v/>
      </c>
    </row>
    <row r="673" customFormat="false" ht="15" hidden="false" customHeight="false" outlineLevel="0" collapsed="false">
      <c r="M673" s="0" t="str">
        <f aca="false">IF(CSV貼付A!$N673="","",IF(COUNTIF(CSV貼付A!$N$5:$N673,CSV貼付A!$N673)&gt;1,"",MAX($M$4:M672)+1))</f>
        <v/>
      </c>
      <c r="O673" s="0" t="str">
        <f aca="false">IF(CSV貼付B!$N673="","",IF(COUNTIF(CSV貼付B!$N$5:$N673,CSV貼付B!$N673)&gt;1,"",MAX($O$4:O672)+1))</f>
        <v/>
      </c>
      <c r="Q673" s="0" t="str">
        <f aca="false">IF(ROW()-4&lt;=MAX($M$5:$M$1004),IFERROR(INDEX($N$5:$N$404,ROW()-4),""),IFERROR(INDEX($P$5:$P$404,ROW()-4-MAX($M$5:$M$1004)),""))</f>
        <v/>
      </c>
    </row>
    <row r="674" customFormat="false" ht="15" hidden="false" customHeight="false" outlineLevel="0" collapsed="false">
      <c r="M674" s="0" t="str">
        <f aca="false">IF(CSV貼付A!$N674="","",IF(COUNTIF(CSV貼付A!$N$5:$N674,CSV貼付A!$N674)&gt;1,"",MAX($M$4:M673)+1))</f>
        <v/>
      </c>
      <c r="O674" s="0" t="str">
        <f aca="false">IF(CSV貼付B!$N674="","",IF(COUNTIF(CSV貼付B!$N$5:$N674,CSV貼付B!$N674)&gt;1,"",MAX($O$4:O673)+1))</f>
        <v/>
      </c>
      <c r="Q674" s="0" t="str">
        <f aca="false">IF(ROW()-4&lt;=MAX($M$5:$M$1004),IFERROR(INDEX($N$5:$N$404,ROW()-4),""),IFERROR(INDEX($P$5:$P$404,ROW()-4-MAX($M$5:$M$1004)),""))</f>
        <v/>
      </c>
    </row>
    <row r="675" customFormat="false" ht="15" hidden="false" customHeight="false" outlineLevel="0" collapsed="false">
      <c r="M675" s="0" t="str">
        <f aca="false">IF(CSV貼付A!$N675="","",IF(COUNTIF(CSV貼付A!$N$5:$N675,CSV貼付A!$N675)&gt;1,"",MAX($M$4:M674)+1))</f>
        <v/>
      </c>
      <c r="O675" s="0" t="str">
        <f aca="false">IF(CSV貼付B!$N675="","",IF(COUNTIF(CSV貼付B!$N$5:$N675,CSV貼付B!$N675)&gt;1,"",MAX($O$4:O674)+1))</f>
        <v/>
      </c>
      <c r="Q675" s="0" t="str">
        <f aca="false">IF(ROW()-4&lt;=MAX($M$5:$M$1004),IFERROR(INDEX($N$5:$N$404,ROW()-4),""),IFERROR(INDEX($P$5:$P$404,ROW()-4-MAX($M$5:$M$1004)),""))</f>
        <v/>
      </c>
    </row>
    <row r="676" customFormat="false" ht="15" hidden="false" customHeight="false" outlineLevel="0" collapsed="false">
      <c r="M676" s="0" t="str">
        <f aca="false">IF(CSV貼付A!$N676="","",IF(COUNTIF(CSV貼付A!$N$5:$N676,CSV貼付A!$N676)&gt;1,"",MAX($M$4:M675)+1))</f>
        <v/>
      </c>
      <c r="O676" s="0" t="str">
        <f aca="false">IF(CSV貼付B!$N676="","",IF(COUNTIF(CSV貼付B!$N$5:$N676,CSV貼付B!$N676)&gt;1,"",MAX($O$4:O675)+1))</f>
        <v/>
      </c>
      <c r="Q676" s="0" t="str">
        <f aca="false">IF(ROW()-4&lt;=MAX($M$5:$M$1004),IFERROR(INDEX($N$5:$N$404,ROW()-4),""),IFERROR(INDEX($P$5:$P$404,ROW()-4-MAX($M$5:$M$1004)),""))</f>
        <v/>
      </c>
    </row>
    <row r="677" customFormat="false" ht="15" hidden="false" customHeight="false" outlineLevel="0" collapsed="false">
      <c r="M677" s="0" t="str">
        <f aca="false">IF(CSV貼付A!$N677="","",IF(COUNTIF(CSV貼付A!$N$5:$N677,CSV貼付A!$N677)&gt;1,"",MAX($M$4:M676)+1))</f>
        <v/>
      </c>
      <c r="O677" s="0" t="str">
        <f aca="false">IF(CSV貼付B!$N677="","",IF(COUNTIF(CSV貼付B!$N$5:$N677,CSV貼付B!$N677)&gt;1,"",MAX($O$4:O676)+1))</f>
        <v/>
      </c>
      <c r="Q677" s="0" t="str">
        <f aca="false">IF(ROW()-4&lt;=MAX($M$5:$M$1004),IFERROR(INDEX($N$5:$N$404,ROW()-4),""),IFERROR(INDEX($P$5:$P$404,ROW()-4-MAX($M$5:$M$1004)),""))</f>
        <v/>
      </c>
    </row>
    <row r="678" customFormat="false" ht="15" hidden="false" customHeight="false" outlineLevel="0" collapsed="false">
      <c r="M678" s="0" t="str">
        <f aca="false">IF(CSV貼付A!$N678="","",IF(COUNTIF(CSV貼付A!$N$5:$N678,CSV貼付A!$N678)&gt;1,"",MAX($M$4:M677)+1))</f>
        <v/>
      </c>
      <c r="O678" s="0" t="str">
        <f aca="false">IF(CSV貼付B!$N678="","",IF(COUNTIF(CSV貼付B!$N$5:$N678,CSV貼付B!$N678)&gt;1,"",MAX($O$4:O677)+1))</f>
        <v/>
      </c>
      <c r="Q678" s="0" t="str">
        <f aca="false">IF(ROW()-4&lt;=MAX($M$5:$M$1004),IFERROR(INDEX($N$5:$N$404,ROW()-4),""),IFERROR(INDEX($P$5:$P$404,ROW()-4-MAX($M$5:$M$1004)),""))</f>
        <v/>
      </c>
    </row>
    <row r="679" customFormat="false" ht="15" hidden="false" customHeight="false" outlineLevel="0" collapsed="false">
      <c r="M679" s="0" t="str">
        <f aca="false">IF(CSV貼付A!$N679="","",IF(COUNTIF(CSV貼付A!$N$5:$N679,CSV貼付A!$N679)&gt;1,"",MAX($M$4:M678)+1))</f>
        <v/>
      </c>
      <c r="O679" s="0" t="str">
        <f aca="false">IF(CSV貼付B!$N679="","",IF(COUNTIF(CSV貼付B!$N$5:$N679,CSV貼付B!$N679)&gt;1,"",MAX($O$4:O678)+1))</f>
        <v/>
      </c>
      <c r="Q679" s="0" t="str">
        <f aca="false">IF(ROW()-4&lt;=MAX($M$5:$M$1004),IFERROR(INDEX($N$5:$N$404,ROW()-4),""),IFERROR(INDEX($P$5:$P$404,ROW()-4-MAX($M$5:$M$1004)),""))</f>
        <v/>
      </c>
    </row>
    <row r="680" customFormat="false" ht="15" hidden="false" customHeight="false" outlineLevel="0" collapsed="false">
      <c r="M680" s="0" t="str">
        <f aca="false">IF(CSV貼付A!$N680="","",IF(COUNTIF(CSV貼付A!$N$5:$N680,CSV貼付A!$N680)&gt;1,"",MAX($M$4:M679)+1))</f>
        <v/>
      </c>
      <c r="O680" s="0" t="str">
        <f aca="false">IF(CSV貼付B!$N680="","",IF(COUNTIF(CSV貼付B!$N$5:$N680,CSV貼付B!$N680)&gt;1,"",MAX($O$4:O679)+1))</f>
        <v/>
      </c>
      <c r="Q680" s="0" t="str">
        <f aca="false">IF(ROW()-4&lt;=MAX($M$5:$M$1004),IFERROR(INDEX($N$5:$N$404,ROW()-4),""),IFERROR(INDEX($P$5:$P$404,ROW()-4-MAX($M$5:$M$1004)),""))</f>
        <v/>
      </c>
    </row>
    <row r="681" customFormat="false" ht="15" hidden="false" customHeight="false" outlineLevel="0" collapsed="false">
      <c r="M681" s="0" t="str">
        <f aca="false">IF(CSV貼付A!$N681="","",IF(COUNTIF(CSV貼付A!$N$5:$N681,CSV貼付A!$N681)&gt;1,"",MAX($M$4:M680)+1))</f>
        <v/>
      </c>
      <c r="O681" s="0" t="str">
        <f aca="false">IF(CSV貼付B!$N681="","",IF(COUNTIF(CSV貼付B!$N$5:$N681,CSV貼付B!$N681)&gt;1,"",MAX($O$4:O680)+1))</f>
        <v/>
      </c>
      <c r="Q681" s="0" t="str">
        <f aca="false">IF(ROW()-4&lt;=MAX($M$5:$M$1004),IFERROR(INDEX($N$5:$N$404,ROW()-4),""),IFERROR(INDEX($P$5:$P$404,ROW()-4-MAX($M$5:$M$1004)),""))</f>
        <v/>
      </c>
    </row>
    <row r="682" customFormat="false" ht="15" hidden="false" customHeight="false" outlineLevel="0" collapsed="false">
      <c r="M682" s="0" t="str">
        <f aca="false">IF(CSV貼付A!$N682="","",IF(COUNTIF(CSV貼付A!$N$5:$N682,CSV貼付A!$N682)&gt;1,"",MAX($M$4:M681)+1))</f>
        <v/>
      </c>
      <c r="O682" s="0" t="str">
        <f aca="false">IF(CSV貼付B!$N682="","",IF(COUNTIF(CSV貼付B!$N$5:$N682,CSV貼付B!$N682)&gt;1,"",MAX($O$4:O681)+1))</f>
        <v/>
      </c>
      <c r="Q682" s="0" t="str">
        <f aca="false">IF(ROW()-4&lt;=MAX($M$5:$M$1004),IFERROR(INDEX($N$5:$N$404,ROW()-4),""),IFERROR(INDEX($P$5:$P$404,ROW()-4-MAX($M$5:$M$1004)),""))</f>
        <v/>
      </c>
    </row>
    <row r="683" customFormat="false" ht="15" hidden="false" customHeight="false" outlineLevel="0" collapsed="false">
      <c r="M683" s="0" t="str">
        <f aca="false">IF(CSV貼付A!$N683="","",IF(COUNTIF(CSV貼付A!$N$5:$N683,CSV貼付A!$N683)&gt;1,"",MAX($M$4:M682)+1))</f>
        <v/>
      </c>
      <c r="O683" s="0" t="str">
        <f aca="false">IF(CSV貼付B!$N683="","",IF(COUNTIF(CSV貼付B!$N$5:$N683,CSV貼付B!$N683)&gt;1,"",MAX($O$4:O682)+1))</f>
        <v/>
      </c>
      <c r="Q683" s="0" t="str">
        <f aca="false">IF(ROW()-4&lt;=MAX($M$5:$M$1004),IFERROR(INDEX($N$5:$N$404,ROW()-4),""),IFERROR(INDEX($P$5:$P$404,ROW()-4-MAX($M$5:$M$1004)),""))</f>
        <v/>
      </c>
    </row>
    <row r="684" customFormat="false" ht="15" hidden="false" customHeight="false" outlineLevel="0" collapsed="false">
      <c r="M684" s="0" t="str">
        <f aca="false">IF(CSV貼付A!$N684="","",IF(COUNTIF(CSV貼付A!$N$5:$N684,CSV貼付A!$N684)&gt;1,"",MAX($M$4:M683)+1))</f>
        <v/>
      </c>
      <c r="O684" s="0" t="str">
        <f aca="false">IF(CSV貼付B!$N684="","",IF(COUNTIF(CSV貼付B!$N$5:$N684,CSV貼付B!$N684)&gt;1,"",MAX($O$4:O683)+1))</f>
        <v/>
      </c>
      <c r="Q684" s="0" t="str">
        <f aca="false">IF(ROW()-4&lt;=MAX($M$5:$M$1004),IFERROR(INDEX($N$5:$N$404,ROW()-4),""),IFERROR(INDEX($P$5:$P$404,ROW()-4-MAX($M$5:$M$1004)),""))</f>
        <v/>
      </c>
    </row>
    <row r="685" customFormat="false" ht="15" hidden="false" customHeight="false" outlineLevel="0" collapsed="false">
      <c r="M685" s="0" t="str">
        <f aca="false">IF(CSV貼付A!$N685="","",IF(COUNTIF(CSV貼付A!$N$5:$N685,CSV貼付A!$N685)&gt;1,"",MAX($M$4:M684)+1))</f>
        <v/>
      </c>
      <c r="O685" s="0" t="str">
        <f aca="false">IF(CSV貼付B!$N685="","",IF(COUNTIF(CSV貼付B!$N$5:$N685,CSV貼付B!$N685)&gt;1,"",MAX($O$4:O684)+1))</f>
        <v/>
      </c>
      <c r="Q685" s="0" t="str">
        <f aca="false">IF(ROW()-4&lt;=MAX($M$5:$M$1004),IFERROR(INDEX($N$5:$N$404,ROW()-4),""),IFERROR(INDEX($P$5:$P$404,ROW()-4-MAX($M$5:$M$1004)),""))</f>
        <v/>
      </c>
    </row>
    <row r="686" customFormat="false" ht="15" hidden="false" customHeight="false" outlineLevel="0" collapsed="false">
      <c r="M686" s="0" t="str">
        <f aca="false">IF(CSV貼付A!$N686="","",IF(COUNTIF(CSV貼付A!$N$5:$N686,CSV貼付A!$N686)&gt;1,"",MAX($M$4:M685)+1))</f>
        <v/>
      </c>
      <c r="O686" s="0" t="str">
        <f aca="false">IF(CSV貼付B!$N686="","",IF(COUNTIF(CSV貼付B!$N$5:$N686,CSV貼付B!$N686)&gt;1,"",MAX($O$4:O685)+1))</f>
        <v/>
      </c>
      <c r="Q686" s="0" t="str">
        <f aca="false">IF(ROW()-4&lt;=MAX($M$5:$M$1004),IFERROR(INDEX($N$5:$N$404,ROW()-4),""),IFERROR(INDEX($P$5:$P$404,ROW()-4-MAX($M$5:$M$1004)),""))</f>
        <v/>
      </c>
    </row>
    <row r="687" customFormat="false" ht="15" hidden="false" customHeight="false" outlineLevel="0" collapsed="false">
      <c r="M687" s="0" t="str">
        <f aca="false">IF(CSV貼付A!$N687="","",IF(COUNTIF(CSV貼付A!$N$5:$N687,CSV貼付A!$N687)&gt;1,"",MAX($M$4:M686)+1))</f>
        <v/>
      </c>
      <c r="O687" s="0" t="str">
        <f aca="false">IF(CSV貼付B!$N687="","",IF(COUNTIF(CSV貼付B!$N$5:$N687,CSV貼付B!$N687)&gt;1,"",MAX($O$4:O686)+1))</f>
        <v/>
      </c>
      <c r="Q687" s="0" t="str">
        <f aca="false">IF(ROW()-4&lt;=MAX($M$5:$M$1004),IFERROR(INDEX($N$5:$N$404,ROW()-4),""),IFERROR(INDEX($P$5:$P$404,ROW()-4-MAX($M$5:$M$1004)),""))</f>
        <v/>
      </c>
    </row>
    <row r="688" customFormat="false" ht="15" hidden="false" customHeight="false" outlineLevel="0" collapsed="false">
      <c r="M688" s="0" t="str">
        <f aca="false">IF(CSV貼付A!$N688="","",IF(COUNTIF(CSV貼付A!$N$5:$N688,CSV貼付A!$N688)&gt;1,"",MAX($M$4:M687)+1))</f>
        <v/>
      </c>
      <c r="O688" s="0" t="str">
        <f aca="false">IF(CSV貼付B!$N688="","",IF(COUNTIF(CSV貼付B!$N$5:$N688,CSV貼付B!$N688)&gt;1,"",MAX($O$4:O687)+1))</f>
        <v/>
      </c>
      <c r="Q688" s="0" t="str">
        <f aca="false">IF(ROW()-4&lt;=MAX($M$5:$M$1004),IFERROR(INDEX($N$5:$N$404,ROW()-4),""),IFERROR(INDEX($P$5:$P$404,ROW()-4-MAX($M$5:$M$1004)),""))</f>
        <v/>
      </c>
    </row>
    <row r="689" customFormat="false" ht="15" hidden="false" customHeight="false" outlineLevel="0" collapsed="false">
      <c r="M689" s="0" t="str">
        <f aca="false">IF(CSV貼付A!$N689="","",IF(COUNTIF(CSV貼付A!$N$5:$N689,CSV貼付A!$N689)&gt;1,"",MAX($M$4:M688)+1))</f>
        <v/>
      </c>
      <c r="O689" s="0" t="str">
        <f aca="false">IF(CSV貼付B!$N689="","",IF(COUNTIF(CSV貼付B!$N$5:$N689,CSV貼付B!$N689)&gt;1,"",MAX($O$4:O688)+1))</f>
        <v/>
      </c>
      <c r="Q689" s="0" t="str">
        <f aca="false">IF(ROW()-4&lt;=MAX($M$5:$M$1004),IFERROR(INDEX($N$5:$N$404,ROW()-4),""),IFERROR(INDEX($P$5:$P$404,ROW()-4-MAX($M$5:$M$1004)),""))</f>
        <v/>
      </c>
    </row>
    <row r="690" customFormat="false" ht="15" hidden="false" customHeight="false" outlineLevel="0" collapsed="false">
      <c r="M690" s="0" t="str">
        <f aca="false">IF(CSV貼付A!$N690="","",IF(COUNTIF(CSV貼付A!$N$5:$N690,CSV貼付A!$N690)&gt;1,"",MAX($M$4:M689)+1))</f>
        <v/>
      </c>
      <c r="O690" s="0" t="str">
        <f aca="false">IF(CSV貼付B!$N690="","",IF(COUNTIF(CSV貼付B!$N$5:$N690,CSV貼付B!$N690)&gt;1,"",MAX($O$4:O689)+1))</f>
        <v/>
      </c>
      <c r="Q690" s="0" t="str">
        <f aca="false">IF(ROW()-4&lt;=MAX($M$5:$M$1004),IFERROR(INDEX($N$5:$N$404,ROW()-4),""),IFERROR(INDEX($P$5:$P$404,ROW()-4-MAX($M$5:$M$1004)),""))</f>
        <v/>
      </c>
    </row>
    <row r="691" customFormat="false" ht="15" hidden="false" customHeight="false" outlineLevel="0" collapsed="false">
      <c r="M691" s="0" t="str">
        <f aca="false">IF(CSV貼付A!$N691="","",IF(COUNTIF(CSV貼付A!$N$5:$N691,CSV貼付A!$N691)&gt;1,"",MAX($M$4:M690)+1))</f>
        <v/>
      </c>
      <c r="O691" s="0" t="str">
        <f aca="false">IF(CSV貼付B!$N691="","",IF(COUNTIF(CSV貼付B!$N$5:$N691,CSV貼付B!$N691)&gt;1,"",MAX($O$4:O690)+1))</f>
        <v/>
      </c>
      <c r="Q691" s="0" t="str">
        <f aca="false">IF(ROW()-4&lt;=MAX($M$5:$M$1004),IFERROR(INDEX($N$5:$N$404,ROW()-4),""),IFERROR(INDEX($P$5:$P$404,ROW()-4-MAX($M$5:$M$1004)),""))</f>
        <v/>
      </c>
    </row>
    <row r="692" customFormat="false" ht="15" hidden="false" customHeight="false" outlineLevel="0" collapsed="false">
      <c r="M692" s="0" t="str">
        <f aca="false">IF(CSV貼付A!$N692="","",IF(COUNTIF(CSV貼付A!$N$5:$N692,CSV貼付A!$N692)&gt;1,"",MAX($M$4:M691)+1))</f>
        <v/>
      </c>
      <c r="O692" s="0" t="str">
        <f aca="false">IF(CSV貼付B!$N692="","",IF(COUNTIF(CSV貼付B!$N$5:$N692,CSV貼付B!$N692)&gt;1,"",MAX($O$4:O691)+1))</f>
        <v/>
      </c>
      <c r="Q692" s="0" t="str">
        <f aca="false">IF(ROW()-4&lt;=MAX($M$5:$M$1004),IFERROR(INDEX($N$5:$N$404,ROW()-4),""),IFERROR(INDEX($P$5:$P$404,ROW()-4-MAX($M$5:$M$1004)),""))</f>
        <v/>
      </c>
    </row>
    <row r="693" customFormat="false" ht="15" hidden="false" customHeight="false" outlineLevel="0" collapsed="false">
      <c r="M693" s="0" t="str">
        <f aca="false">IF(CSV貼付A!$N693="","",IF(COUNTIF(CSV貼付A!$N$5:$N693,CSV貼付A!$N693)&gt;1,"",MAX($M$4:M692)+1))</f>
        <v/>
      </c>
      <c r="O693" s="0" t="str">
        <f aca="false">IF(CSV貼付B!$N693="","",IF(COUNTIF(CSV貼付B!$N$5:$N693,CSV貼付B!$N693)&gt;1,"",MAX($O$4:O692)+1))</f>
        <v/>
      </c>
      <c r="Q693" s="0" t="str">
        <f aca="false">IF(ROW()-4&lt;=MAX($M$5:$M$1004),IFERROR(INDEX($N$5:$N$404,ROW()-4),""),IFERROR(INDEX($P$5:$P$404,ROW()-4-MAX($M$5:$M$1004)),""))</f>
        <v/>
      </c>
    </row>
    <row r="694" customFormat="false" ht="15" hidden="false" customHeight="false" outlineLevel="0" collapsed="false">
      <c r="M694" s="0" t="str">
        <f aca="false">IF(CSV貼付A!$N694="","",IF(COUNTIF(CSV貼付A!$N$5:$N694,CSV貼付A!$N694)&gt;1,"",MAX($M$4:M693)+1))</f>
        <v/>
      </c>
      <c r="O694" s="0" t="str">
        <f aca="false">IF(CSV貼付B!$N694="","",IF(COUNTIF(CSV貼付B!$N$5:$N694,CSV貼付B!$N694)&gt;1,"",MAX($O$4:O693)+1))</f>
        <v/>
      </c>
      <c r="Q694" s="0" t="str">
        <f aca="false">IF(ROW()-4&lt;=MAX($M$5:$M$1004),IFERROR(INDEX($N$5:$N$404,ROW()-4),""),IFERROR(INDEX($P$5:$P$404,ROW()-4-MAX($M$5:$M$1004)),""))</f>
        <v/>
      </c>
    </row>
    <row r="695" customFormat="false" ht="15" hidden="false" customHeight="false" outlineLevel="0" collapsed="false">
      <c r="M695" s="0" t="str">
        <f aca="false">IF(CSV貼付A!$N695="","",IF(COUNTIF(CSV貼付A!$N$5:$N695,CSV貼付A!$N695)&gt;1,"",MAX($M$4:M694)+1))</f>
        <v/>
      </c>
      <c r="O695" s="0" t="str">
        <f aca="false">IF(CSV貼付B!$N695="","",IF(COUNTIF(CSV貼付B!$N$5:$N695,CSV貼付B!$N695)&gt;1,"",MAX($O$4:O694)+1))</f>
        <v/>
      </c>
      <c r="Q695" s="0" t="str">
        <f aca="false">IF(ROW()-4&lt;=MAX($M$5:$M$1004),IFERROR(INDEX($N$5:$N$404,ROW()-4),""),IFERROR(INDEX($P$5:$P$404,ROW()-4-MAX($M$5:$M$1004)),""))</f>
        <v/>
      </c>
    </row>
    <row r="696" customFormat="false" ht="15" hidden="false" customHeight="false" outlineLevel="0" collapsed="false">
      <c r="M696" s="0" t="str">
        <f aca="false">IF(CSV貼付A!$N696="","",IF(COUNTIF(CSV貼付A!$N$5:$N696,CSV貼付A!$N696)&gt;1,"",MAX($M$4:M695)+1))</f>
        <v/>
      </c>
      <c r="O696" s="0" t="str">
        <f aca="false">IF(CSV貼付B!$N696="","",IF(COUNTIF(CSV貼付B!$N$5:$N696,CSV貼付B!$N696)&gt;1,"",MAX($O$4:O695)+1))</f>
        <v/>
      </c>
      <c r="Q696" s="0" t="str">
        <f aca="false">IF(ROW()-4&lt;=MAX($M$5:$M$1004),IFERROR(INDEX($N$5:$N$404,ROW()-4),""),IFERROR(INDEX($P$5:$P$404,ROW()-4-MAX($M$5:$M$1004)),""))</f>
        <v/>
      </c>
    </row>
    <row r="697" customFormat="false" ht="15" hidden="false" customHeight="false" outlineLevel="0" collapsed="false">
      <c r="M697" s="0" t="str">
        <f aca="false">IF(CSV貼付A!$N697="","",IF(COUNTIF(CSV貼付A!$N$5:$N697,CSV貼付A!$N697)&gt;1,"",MAX($M$4:M696)+1))</f>
        <v/>
      </c>
      <c r="O697" s="0" t="str">
        <f aca="false">IF(CSV貼付B!$N697="","",IF(COUNTIF(CSV貼付B!$N$5:$N697,CSV貼付B!$N697)&gt;1,"",MAX($O$4:O696)+1))</f>
        <v/>
      </c>
      <c r="Q697" s="0" t="str">
        <f aca="false">IF(ROW()-4&lt;=MAX($M$5:$M$1004),IFERROR(INDEX($N$5:$N$404,ROW()-4),""),IFERROR(INDEX($P$5:$P$404,ROW()-4-MAX($M$5:$M$1004)),""))</f>
        <v/>
      </c>
    </row>
    <row r="698" customFormat="false" ht="15" hidden="false" customHeight="false" outlineLevel="0" collapsed="false">
      <c r="M698" s="0" t="str">
        <f aca="false">IF(CSV貼付A!$N698="","",IF(COUNTIF(CSV貼付A!$N$5:$N698,CSV貼付A!$N698)&gt;1,"",MAX($M$4:M697)+1))</f>
        <v/>
      </c>
      <c r="O698" s="0" t="str">
        <f aca="false">IF(CSV貼付B!$N698="","",IF(COUNTIF(CSV貼付B!$N$5:$N698,CSV貼付B!$N698)&gt;1,"",MAX($O$4:O697)+1))</f>
        <v/>
      </c>
      <c r="Q698" s="0" t="str">
        <f aca="false">IF(ROW()-4&lt;=MAX($M$5:$M$1004),IFERROR(INDEX($N$5:$N$404,ROW()-4),""),IFERROR(INDEX($P$5:$P$404,ROW()-4-MAX($M$5:$M$1004)),""))</f>
        <v/>
      </c>
    </row>
    <row r="699" customFormat="false" ht="15" hidden="false" customHeight="false" outlineLevel="0" collapsed="false">
      <c r="M699" s="0" t="str">
        <f aca="false">IF(CSV貼付A!$N699="","",IF(COUNTIF(CSV貼付A!$N$5:$N699,CSV貼付A!$N699)&gt;1,"",MAX($M$4:M698)+1))</f>
        <v/>
      </c>
      <c r="O699" s="0" t="str">
        <f aca="false">IF(CSV貼付B!$N699="","",IF(COUNTIF(CSV貼付B!$N$5:$N699,CSV貼付B!$N699)&gt;1,"",MAX($O$4:O698)+1))</f>
        <v/>
      </c>
      <c r="Q699" s="0" t="str">
        <f aca="false">IF(ROW()-4&lt;=MAX($M$5:$M$1004),IFERROR(INDEX($N$5:$N$404,ROW()-4),""),IFERROR(INDEX($P$5:$P$404,ROW()-4-MAX($M$5:$M$1004)),""))</f>
        <v/>
      </c>
    </row>
    <row r="700" customFormat="false" ht="15" hidden="false" customHeight="false" outlineLevel="0" collapsed="false">
      <c r="M700" s="0" t="str">
        <f aca="false">IF(CSV貼付A!$N700="","",IF(COUNTIF(CSV貼付A!$N$5:$N700,CSV貼付A!$N700)&gt;1,"",MAX($M$4:M699)+1))</f>
        <v/>
      </c>
      <c r="O700" s="0" t="str">
        <f aca="false">IF(CSV貼付B!$N700="","",IF(COUNTIF(CSV貼付B!$N$5:$N700,CSV貼付B!$N700)&gt;1,"",MAX($O$4:O699)+1))</f>
        <v/>
      </c>
      <c r="Q700" s="0" t="str">
        <f aca="false">IF(ROW()-4&lt;=MAX($M$5:$M$1004),IFERROR(INDEX($N$5:$N$404,ROW()-4),""),IFERROR(INDEX($P$5:$P$404,ROW()-4-MAX($M$5:$M$1004)),""))</f>
        <v/>
      </c>
    </row>
    <row r="701" customFormat="false" ht="15" hidden="false" customHeight="false" outlineLevel="0" collapsed="false">
      <c r="M701" s="0" t="str">
        <f aca="false">IF(CSV貼付A!$N701="","",IF(COUNTIF(CSV貼付A!$N$5:$N701,CSV貼付A!$N701)&gt;1,"",MAX($M$4:M700)+1))</f>
        <v/>
      </c>
      <c r="O701" s="0" t="str">
        <f aca="false">IF(CSV貼付B!$N701="","",IF(COUNTIF(CSV貼付B!$N$5:$N701,CSV貼付B!$N701)&gt;1,"",MAX($O$4:O700)+1))</f>
        <v/>
      </c>
      <c r="Q701" s="0" t="str">
        <f aca="false">IF(ROW()-4&lt;=MAX($M$5:$M$1004),IFERROR(INDEX($N$5:$N$404,ROW()-4),""),IFERROR(INDEX($P$5:$P$404,ROW()-4-MAX($M$5:$M$1004)),""))</f>
        <v/>
      </c>
    </row>
    <row r="702" customFormat="false" ht="15" hidden="false" customHeight="false" outlineLevel="0" collapsed="false">
      <c r="M702" s="0" t="str">
        <f aca="false">IF(CSV貼付A!$N702="","",IF(COUNTIF(CSV貼付A!$N$5:$N702,CSV貼付A!$N702)&gt;1,"",MAX($M$4:M701)+1))</f>
        <v/>
      </c>
      <c r="O702" s="0" t="str">
        <f aca="false">IF(CSV貼付B!$N702="","",IF(COUNTIF(CSV貼付B!$N$5:$N702,CSV貼付B!$N702)&gt;1,"",MAX($O$4:O701)+1))</f>
        <v/>
      </c>
      <c r="Q702" s="0" t="str">
        <f aca="false">IF(ROW()-4&lt;=MAX($M$5:$M$1004),IFERROR(INDEX($N$5:$N$404,ROW()-4),""),IFERROR(INDEX($P$5:$P$404,ROW()-4-MAX($M$5:$M$1004)),""))</f>
        <v/>
      </c>
    </row>
    <row r="703" customFormat="false" ht="15" hidden="false" customHeight="false" outlineLevel="0" collapsed="false">
      <c r="M703" s="0" t="str">
        <f aca="false">IF(CSV貼付A!$N703="","",IF(COUNTIF(CSV貼付A!$N$5:$N703,CSV貼付A!$N703)&gt;1,"",MAX($M$4:M702)+1))</f>
        <v/>
      </c>
      <c r="O703" s="0" t="str">
        <f aca="false">IF(CSV貼付B!$N703="","",IF(COUNTIF(CSV貼付B!$N$5:$N703,CSV貼付B!$N703)&gt;1,"",MAX($O$4:O702)+1))</f>
        <v/>
      </c>
      <c r="Q703" s="0" t="str">
        <f aca="false">IF(ROW()-4&lt;=MAX($M$5:$M$1004),IFERROR(INDEX($N$5:$N$404,ROW()-4),""),IFERROR(INDEX($P$5:$P$404,ROW()-4-MAX($M$5:$M$1004)),""))</f>
        <v/>
      </c>
    </row>
    <row r="704" customFormat="false" ht="15" hidden="false" customHeight="false" outlineLevel="0" collapsed="false">
      <c r="M704" s="0" t="str">
        <f aca="false">IF(CSV貼付A!$N704="","",IF(COUNTIF(CSV貼付A!$N$5:$N704,CSV貼付A!$N704)&gt;1,"",MAX($M$4:M703)+1))</f>
        <v/>
      </c>
      <c r="O704" s="0" t="str">
        <f aca="false">IF(CSV貼付B!$N704="","",IF(COUNTIF(CSV貼付B!$N$5:$N704,CSV貼付B!$N704)&gt;1,"",MAX($O$4:O703)+1))</f>
        <v/>
      </c>
      <c r="Q704" s="0" t="str">
        <f aca="false">IF(ROW()-4&lt;=MAX($M$5:$M$1004),IFERROR(INDEX($N$5:$N$404,ROW()-4),""),IFERROR(INDEX($P$5:$P$404,ROW()-4-MAX($M$5:$M$1004)),""))</f>
        <v/>
      </c>
    </row>
    <row r="705" customFormat="false" ht="15" hidden="false" customHeight="false" outlineLevel="0" collapsed="false">
      <c r="M705" s="0" t="str">
        <f aca="false">IF(CSV貼付A!$N705="","",IF(COUNTIF(CSV貼付A!$N$5:$N705,CSV貼付A!$N705)&gt;1,"",MAX($M$4:M704)+1))</f>
        <v/>
      </c>
      <c r="O705" s="0" t="str">
        <f aca="false">IF(CSV貼付B!$N705="","",IF(COUNTIF(CSV貼付B!$N$5:$N705,CSV貼付B!$N705)&gt;1,"",MAX($O$4:O704)+1))</f>
        <v/>
      </c>
      <c r="Q705" s="0" t="str">
        <f aca="false">IF(ROW()-4&lt;=MAX($M$5:$M$1004),IFERROR(INDEX($N$5:$N$404,ROW()-4),""),IFERROR(INDEX($P$5:$P$404,ROW()-4-MAX($M$5:$M$1004)),""))</f>
        <v/>
      </c>
    </row>
    <row r="706" customFormat="false" ht="15" hidden="false" customHeight="false" outlineLevel="0" collapsed="false">
      <c r="M706" s="0" t="str">
        <f aca="false">IF(CSV貼付A!$N706="","",IF(COUNTIF(CSV貼付A!$N$5:$N706,CSV貼付A!$N706)&gt;1,"",MAX($M$4:M705)+1))</f>
        <v/>
      </c>
      <c r="O706" s="0" t="str">
        <f aca="false">IF(CSV貼付B!$N706="","",IF(COUNTIF(CSV貼付B!$N$5:$N706,CSV貼付B!$N706)&gt;1,"",MAX($O$4:O705)+1))</f>
        <v/>
      </c>
      <c r="Q706" s="0" t="str">
        <f aca="false">IF(ROW()-4&lt;=MAX($M$5:$M$1004),IFERROR(INDEX($N$5:$N$404,ROW()-4),""),IFERROR(INDEX($P$5:$P$404,ROW()-4-MAX($M$5:$M$1004)),""))</f>
        <v/>
      </c>
    </row>
    <row r="707" customFormat="false" ht="15" hidden="false" customHeight="false" outlineLevel="0" collapsed="false">
      <c r="M707" s="0" t="str">
        <f aca="false">IF(CSV貼付A!$N707="","",IF(COUNTIF(CSV貼付A!$N$5:$N707,CSV貼付A!$N707)&gt;1,"",MAX($M$4:M706)+1))</f>
        <v/>
      </c>
      <c r="O707" s="0" t="str">
        <f aca="false">IF(CSV貼付B!$N707="","",IF(COUNTIF(CSV貼付B!$N$5:$N707,CSV貼付B!$N707)&gt;1,"",MAX($O$4:O706)+1))</f>
        <v/>
      </c>
      <c r="Q707" s="0" t="str">
        <f aca="false">IF(ROW()-4&lt;=MAX($M$5:$M$1004),IFERROR(INDEX($N$5:$N$404,ROW()-4),""),IFERROR(INDEX($P$5:$P$404,ROW()-4-MAX($M$5:$M$1004)),""))</f>
        <v/>
      </c>
    </row>
    <row r="708" customFormat="false" ht="15" hidden="false" customHeight="false" outlineLevel="0" collapsed="false">
      <c r="M708" s="0" t="str">
        <f aca="false">IF(CSV貼付A!$N708="","",IF(COUNTIF(CSV貼付A!$N$5:$N708,CSV貼付A!$N708)&gt;1,"",MAX($M$4:M707)+1))</f>
        <v/>
      </c>
      <c r="O708" s="0" t="str">
        <f aca="false">IF(CSV貼付B!$N708="","",IF(COUNTIF(CSV貼付B!$N$5:$N708,CSV貼付B!$N708)&gt;1,"",MAX($O$4:O707)+1))</f>
        <v/>
      </c>
      <c r="Q708" s="0" t="str">
        <f aca="false">IF(ROW()-4&lt;=MAX($M$5:$M$1004),IFERROR(INDEX($N$5:$N$404,ROW()-4),""),IFERROR(INDEX($P$5:$P$404,ROW()-4-MAX($M$5:$M$1004)),""))</f>
        <v/>
      </c>
    </row>
    <row r="709" customFormat="false" ht="15" hidden="false" customHeight="false" outlineLevel="0" collapsed="false">
      <c r="M709" s="0" t="str">
        <f aca="false">IF(CSV貼付A!$N709="","",IF(COUNTIF(CSV貼付A!$N$5:$N709,CSV貼付A!$N709)&gt;1,"",MAX($M$4:M708)+1))</f>
        <v/>
      </c>
      <c r="O709" s="0" t="str">
        <f aca="false">IF(CSV貼付B!$N709="","",IF(COUNTIF(CSV貼付B!$N$5:$N709,CSV貼付B!$N709)&gt;1,"",MAX($O$4:O708)+1))</f>
        <v/>
      </c>
      <c r="Q709" s="0" t="str">
        <f aca="false">IF(ROW()-4&lt;=MAX($M$5:$M$1004),IFERROR(INDEX($N$5:$N$404,ROW()-4),""),IFERROR(INDEX($P$5:$P$404,ROW()-4-MAX($M$5:$M$1004)),""))</f>
        <v/>
      </c>
    </row>
    <row r="710" customFormat="false" ht="15" hidden="false" customHeight="false" outlineLevel="0" collapsed="false">
      <c r="M710" s="0" t="str">
        <f aca="false">IF(CSV貼付A!$N710="","",IF(COUNTIF(CSV貼付A!$N$5:$N710,CSV貼付A!$N710)&gt;1,"",MAX($M$4:M709)+1))</f>
        <v/>
      </c>
      <c r="O710" s="0" t="str">
        <f aca="false">IF(CSV貼付B!$N710="","",IF(COUNTIF(CSV貼付B!$N$5:$N710,CSV貼付B!$N710)&gt;1,"",MAX($O$4:O709)+1))</f>
        <v/>
      </c>
      <c r="Q710" s="0" t="str">
        <f aca="false">IF(ROW()-4&lt;=MAX($M$5:$M$1004),IFERROR(INDEX($N$5:$N$404,ROW()-4),""),IFERROR(INDEX($P$5:$P$404,ROW()-4-MAX($M$5:$M$1004)),""))</f>
        <v/>
      </c>
    </row>
    <row r="711" customFormat="false" ht="15" hidden="false" customHeight="false" outlineLevel="0" collapsed="false">
      <c r="M711" s="0" t="str">
        <f aca="false">IF(CSV貼付A!$N711="","",IF(COUNTIF(CSV貼付A!$N$5:$N711,CSV貼付A!$N711)&gt;1,"",MAX($M$4:M710)+1))</f>
        <v/>
      </c>
      <c r="O711" s="0" t="str">
        <f aca="false">IF(CSV貼付B!$N711="","",IF(COUNTIF(CSV貼付B!$N$5:$N711,CSV貼付B!$N711)&gt;1,"",MAX($O$4:O710)+1))</f>
        <v/>
      </c>
      <c r="Q711" s="0" t="str">
        <f aca="false">IF(ROW()-4&lt;=MAX($M$5:$M$1004),IFERROR(INDEX($N$5:$N$404,ROW()-4),""),IFERROR(INDEX($P$5:$P$404,ROW()-4-MAX($M$5:$M$1004)),""))</f>
        <v/>
      </c>
    </row>
    <row r="712" customFormat="false" ht="15" hidden="false" customHeight="false" outlineLevel="0" collapsed="false">
      <c r="M712" s="0" t="str">
        <f aca="false">IF(CSV貼付A!$N712="","",IF(COUNTIF(CSV貼付A!$N$5:$N712,CSV貼付A!$N712)&gt;1,"",MAX($M$4:M711)+1))</f>
        <v/>
      </c>
      <c r="O712" s="0" t="str">
        <f aca="false">IF(CSV貼付B!$N712="","",IF(COUNTIF(CSV貼付B!$N$5:$N712,CSV貼付B!$N712)&gt;1,"",MAX($O$4:O711)+1))</f>
        <v/>
      </c>
      <c r="Q712" s="0" t="str">
        <f aca="false">IF(ROW()-4&lt;=MAX($M$5:$M$1004),IFERROR(INDEX($N$5:$N$404,ROW()-4),""),IFERROR(INDEX($P$5:$P$404,ROW()-4-MAX($M$5:$M$1004)),""))</f>
        <v/>
      </c>
    </row>
    <row r="713" customFormat="false" ht="15" hidden="false" customHeight="false" outlineLevel="0" collapsed="false">
      <c r="M713" s="0" t="str">
        <f aca="false">IF(CSV貼付A!$N713="","",IF(COUNTIF(CSV貼付A!$N$5:$N713,CSV貼付A!$N713)&gt;1,"",MAX($M$4:M712)+1))</f>
        <v/>
      </c>
      <c r="O713" s="0" t="str">
        <f aca="false">IF(CSV貼付B!$N713="","",IF(COUNTIF(CSV貼付B!$N$5:$N713,CSV貼付B!$N713)&gt;1,"",MAX($O$4:O712)+1))</f>
        <v/>
      </c>
      <c r="Q713" s="0" t="str">
        <f aca="false">IF(ROW()-4&lt;=MAX($M$5:$M$1004),IFERROR(INDEX($N$5:$N$404,ROW()-4),""),IFERROR(INDEX($P$5:$P$404,ROW()-4-MAX($M$5:$M$1004)),""))</f>
        <v/>
      </c>
    </row>
    <row r="714" customFormat="false" ht="15" hidden="false" customHeight="false" outlineLevel="0" collapsed="false">
      <c r="M714" s="0" t="str">
        <f aca="false">IF(CSV貼付A!$N714="","",IF(COUNTIF(CSV貼付A!$N$5:$N714,CSV貼付A!$N714)&gt;1,"",MAX($M$4:M713)+1))</f>
        <v/>
      </c>
      <c r="O714" s="0" t="str">
        <f aca="false">IF(CSV貼付B!$N714="","",IF(COUNTIF(CSV貼付B!$N$5:$N714,CSV貼付B!$N714)&gt;1,"",MAX($O$4:O713)+1))</f>
        <v/>
      </c>
      <c r="Q714" s="0" t="str">
        <f aca="false">IF(ROW()-4&lt;=MAX($M$5:$M$1004),IFERROR(INDEX($N$5:$N$404,ROW()-4),""),IFERROR(INDEX($P$5:$P$404,ROW()-4-MAX($M$5:$M$1004)),""))</f>
        <v/>
      </c>
    </row>
    <row r="715" customFormat="false" ht="15" hidden="false" customHeight="false" outlineLevel="0" collapsed="false">
      <c r="M715" s="0" t="str">
        <f aca="false">IF(CSV貼付A!$N715="","",IF(COUNTIF(CSV貼付A!$N$5:$N715,CSV貼付A!$N715)&gt;1,"",MAX($M$4:M714)+1))</f>
        <v/>
      </c>
      <c r="O715" s="0" t="str">
        <f aca="false">IF(CSV貼付B!$N715="","",IF(COUNTIF(CSV貼付B!$N$5:$N715,CSV貼付B!$N715)&gt;1,"",MAX($O$4:O714)+1))</f>
        <v/>
      </c>
      <c r="Q715" s="0" t="str">
        <f aca="false">IF(ROW()-4&lt;=MAX($M$5:$M$1004),IFERROR(INDEX($N$5:$N$404,ROW()-4),""),IFERROR(INDEX($P$5:$P$404,ROW()-4-MAX($M$5:$M$1004)),""))</f>
        <v/>
      </c>
    </row>
    <row r="716" customFormat="false" ht="15" hidden="false" customHeight="false" outlineLevel="0" collapsed="false">
      <c r="M716" s="0" t="str">
        <f aca="false">IF(CSV貼付A!$N716="","",IF(COUNTIF(CSV貼付A!$N$5:$N716,CSV貼付A!$N716)&gt;1,"",MAX($M$4:M715)+1))</f>
        <v/>
      </c>
      <c r="O716" s="0" t="str">
        <f aca="false">IF(CSV貼付B!$N716="","",IF(COUNTIF(CSV貼付B!$N$5:$N716,CSV貼付B!$N716)&gt;1,"",MAX($O$4:O715)+1))</f>
        <v/>
      </c>
      <c r="Q716" s="0" t="str">
        <f aca="false">IF(ROW()-4&lt;=MAX($M$5:$M$1004),IFERROR(INDEX($N$5:$N$404,ROW()-4),""),IFERROR(INDEX($P$5:$P$404,ROW()-4-MAX($M$5:$M$1004)),""))</f>
        <v/>
      </c>
    </row>
    <row r="717" customFormat="false" ht="15" hidden="false" customHeight="false" outlineLevel="0" collapsed="false">
      <c r="M717" s="0" t="str">
        <f aca="false">IF(CSV貼付A!$N717="","",IF(COUNTIF(CSV貼付A!$N$5:$N717,CSV貼付A!$N717)&gt;1,"",MAX($M$4:M716)+1))</f>
        <v/>
      </c>
      <c r="O717" s="0" t="str">
        <f aca="false">IF(CSV貼付B!$N717="","",IF(COUNTIF(CSV貼付B!$N$5:$N717,CSV貼付B!$N717)&gt;1,"",MAX($O$4:O716)+1))</f>
        <v/>
      </c>
      <c r="Q717" s="0" t="str">
        <f aca="false">IF(ROW()-4&lt;=MAX($M$5:$M$1004),IFERROR(INDEX($N$5:$N$404,ROW()-4),""),IFERROR(INDEX($P$5:$P$404,ROW()-4-MAX($M$5:$M$1004)),""))</f>
        <v/>
      </c>
    </row>
    <row r="718" customFormat="false" ht="15" hidden="false" customHeight="false" outlineLevel="0" collapsed="false">
      <c r="M718" s="0" t="str">
        <f aca="false">IF(CSV貼付A!$N718="","",IF(COUNTIF(CSV貼付A!$N$5:$N718,CSV貼付A!$N718)&gt;1,"",MAX($M$4:M717)+1))</f>
        <v/>
      </c>
      <c r="O718" s="0" t="str">
        <f aca="false">IF(CSV貼付B!$N718="","",IF(COUNTIF(CSV貼付B!$N$5:$N718,CSV貼付B!$N718)&gt;1,"",MAX($O$4:O717)+1))</f>
        <v/>
      </c>
      <c r="Q718" s="0" t="str">
        <f aca="false">IF(ROW()-4&lt;=MAX($M$5:$M$1004),IFERROR(INDEX($N$5:$N$404,ROW()-4),""),IFERROR(INDEX($P$5:$P$404,ROW()-4-MAX($M$5:$M$1004)),""))</f>
        <v/>
      </c>
    </row>
    <row r="719" customFormat="false" ht="15" hidden="false" customHeight="false" outlineLevel="0" collapsed="false">
      <c r="M719" s="0" t="str">
        <f aca="false">IF(CSV貼付A!$N719="","",IF(COUNTIF(CSV貼付A!$N$5:$N719,CSV貼付A!$N719)&gt;1,"",MAX($M$4:M718)+1))</f>
        <v/>
      </c>
      <c r="O719" s="0" t="str">
        <f aca="false">IF(CSV貼付B!$N719="","",IF(COUNTIF(CSV貼付B!$N$5:$N719,CSV貼付B!$N719)&gt;1,"",MAX($O$4:O718)+1))</f>
        <v/>
      </c>
      <c r="Q719" s="0" t="str">
        <f aca="false">IF(ROW()-4&lt;=MAX($M$5:$M$1004),IFERROR(INDEX($N$5:$N$404,ROW()-4),""),IFERROR(INDEX($P$5:$P$404,ROW()-4-MAX($M$5:$M$1004)),""))</f>
        <v/>
      </c>
    </row>
    <row r="720" customFormat="false" ht="15" hidden="false" customHeight="false" outlineLevel="0" collapsed="false">
      <c r="M720" s="0" t="str">
        <f aca="false">IF(CSV貼付A!$N720="","",IF(COUNTIF(CSV貼付A!$N$5:$N720,CSV貼付A!$N720)&gt;1,"",MAX($M$4:M719)+1))</f>
        <v/>
      </c>
      <c r="O720" s="0" t="str">
        <f aca="false">IF(CSV貼付B!$N720="","",IF(COUNTIF(CSV貼付B!$N$5:$N720,CSV貼付B!$N720)&gt;1,"",MAX($O$4:O719)+1))</f>
        <v/>
      </c>
      <c r="Q720" s="0" t="str">
        <f aca="false">IF(ROW()-4&lt;=MAX($M$5:$M$1004),IFERROR(INDEX($N$5:$N$404,ROW()-4),""),IFERROR(INDEX($P$5:$P$404,ROW()-4-MAX($M$5:$M$1004)),""))</f>
        <v/>
      </c>
    </row>
    <row r="721" customFormat="false" ht="15" hidden="false" customHeight="false" outlineLevel="0" collapsed="false">
      <c r="M721" s="0" t="str">
        <f aca="false">IF(CSV貼付A!$N721="","",IF(COUNTIF(CSV貼付A!$N$5:$N721,CSV貼付A!$N721)&gt;1,"",MAX($M$4:M720)+1))</f>
        <v/>
      </c>
      <c r="O721" s="0" t="str">
        <f aca="false">IF(CSV貼付B!$N721="","",IF(COUNTIF(CSV貼付B!$N$5:$N721,CSV貼付B!$N721)&gt;1,"",MAX($O$4:O720)+1))</f>
        <v/>
      </c>
      <c r="Q721" s="0" t="str">
        <f aca="false">IF(ROW()-4&lt;=MAX($M$5:$M$1004),IFERROR(INDEX($N$5:$N$404,ROW()-4),""),IFERROR(INDEX($P$5:$P$404,ROW()-4-MAX($M$5:$M$1004)),""))</f>
        <v/>
      </c>
    </row>
    <row r="722" customFormat="false" ht="15" hidden="false" customHeight="false" outlineLevel="0" collapsed="false">
      <c r="M722" s="0" t="str">
        <f aca="false">IF(CSV貼付A!$N722="","",IF(COUNTIF(CSV貼付A!$N$5:$N722,CSV貼付A!$N722)&gt;1,"",MAX($M$4:M721)+1))</f>
        <v/>
      </c>
      <c r="O722" s="0" t="str">
        <f aca="false">IF(CSV貼付B!$N722="","",IF(COUNTIF(CSV貼付B!$N$5:$N722,CSV貼付B!$N722)&gt;1,"",MAX($O$4:O721)+1))</f>
        <v/>
      </c>
      <c r="Q722" s="0" t="str">
        <f aca="false">IF(ROW()-4&lt;=MAX($M$5:$M$1004),IFERROR(INDEX($N$5:$N$404,ROW()-4),""),IFERROR(INDEX($P$5:$P$404,ROW()-4-MAX($M$5:$M$1004)),""))</f>
        <v/>
      </c>
    </row>
    <row r="723" customFormat="false" ht="15" hidden="false" customHeight="false" outlineLevel="0" collapsed="false">
      <c r="M723" s="0" t="str">
        <f aca="false">IF(CSV貼付A!$N723="","",IF(COUNTIF(CSV貼付A!$N$5:$N723,CSV貼付A!$N723)&gt;1,"",MAX($M$4:M722)+1))</f>
        <v/>
      </c>
      <c r="O723" s="0" t="str">
        <f aca="false">IF(CSV貼付B!$N723="","",IF(COUNTIF(CSV貼付B!$N$5:$N723,CSV貼付B!$N723)&gt;1,"",MAX($O$4:O722)+1))</f>
        <v/>
      </c>
      <c r="Q723" s="0" t="str">
        <f aca="false">IF(ROW()-4&lt;=MAX($M$5:$M$1004),IFERROR(INDEX($N$5:$N$404,ROW()-4),""),IFERROR(INDEX($P$5:$P$404,ROW()-4-MAX($M$5:$M$1004)),""))</f>
        <v/>
      </c>
    </row>
    <row r="724" customFormat="false" ht="15" hidden="false" customHeight="false" outlineLevel="0" collapsed="false">
      <c r="M724" s="0" t="str">
        <f aca="false">IF(CSV貼付A!$N724="","",IF(COUNTIF(CSV貼付A!$N$5:$N724,CSV貼付A!$N724)&gt;1,"",MAX($M$4:M723)+1))</f>
        <v/>
      </c>
      <c r="O724" s="0" t="str">
        <f aca="false">IF(CSV貼付B!$N724="","",IF(COUNTIF(CSV貼付B!$N$5:$N724,CSV貼付B!$N724)&gt;1,"",MAX($O$4:O723)+1))</f>
        <v/>
      </c>
      <c r="Q724" s="0" t="str">
        <f aca="false">IF(ROW()-4&lt;=MAX($M$5:$M$1004),IFERROR(INDEX($N$5:$N$404,ROW()-4),""),IFERROR(INDEX($P$5:$P$404,ROW()-4-MAX($M$5:$M$1004)),""))</f>
        <v/>
      </c>
    </row>
    <row r="725" customFormat="false" ht="15" hidden="false" customHeight="false" outlineLevel="0" collapsed="false">
      <c r="M725" s="0" t="str">
        <f aca="false">IF(CSV貼付A!$N725="","",IF(COUNTIF(CSV貼付A!$N$5:$N725,CSV貼付A!$N725)&gt;1,"",MAX($M$4:M724)+1))</f>
        <v/>
      </c>
      <c r="O725" s="0" t="str">
        <f aca="false">IF(CSV貼付B!$N725="","",IF(COUNTIF(CSV貼付B!$N$5:$N725,CSV貼付B!$N725)&gt;1,"",MAX($O$4:O724)+1))</f>
        <v/>
      </c>
      <c r="Q725" s="0" t="str">
        <f aca="false">IF(ROW()-4&lt;=MAX($M$5:$M$1004),IFERROR(INDEX($N$5:$N$404,ROW()-4),""),IFERROR(INDEX($P$5:$P$404,ROW()-4-MAX($M$5:$M$1004)),""))</f>
        <v/>
      </c>
    </row>
    <row r="726" customFormat="false" ht="15" hidden="false" customHeight="false" outlineLevel="0" collapsed="false">
      <c r="M726" s="0" t="str">
        <f aca="false">IF(CSV貼付A!$N726="","",IF(COUNTIF(CSV貼付A!$N$5:$N726,CSV貼付A!$N726)&gt;1,"",MAX($M$4:M725)+1))</f>
        <v/>
      </c>
      <c r="O726" s="0" t="str">
        <f aca="false">IF(CSV貼付B!$N726="","",IF(COUNTIF(CSV貼付B!$N$5:$N726,CSV貼付B!$N726)&gt;1,"",MAX($O$4:O725)+1))</f>
        <v/>
      </c>
      <c r="Q726" s="0" t="str">
        <f aca="false">IF(ROW()-4&lt;=MAX($M$5:$M$1004),IFERROR(INDEX($N$5:$N$404,ROW()-4),""),IFERROR(INDEX($P$5:$P$404,ROW()-4-MAX($M$5:$M$1004)),""))</f>
        <v/>
      </c>
    </row>
    <row r="727" customFormat="false" ht="15" hidden="false" customHeight="false" outlineLevel="0" collapsed="false">
      <c r="M727" s="0" t="str">
        <f aca="false">IF(CSV貼付A!$N727="","",IF(COUNTIF(CSV貼付A!$N$5:$N727,CSV貼付A!$N727)&gt;1,"",MAX($M$4:M726)+1))</f>
        <v/>
      </c>
      <c r="O727" s="0" t="str">
        <f aca="false">IF(CSV貼付B!$N727="","",IF(COUNTIF(CSV貼付B!$N$5:$N727,CSV貼付B!$N727)&gt;1,"",MAX($O$4:O726)+1))</f>
        <v/>
      </c>
      <c r="Q727" s="0" t="str">
        <f aca="false">IF(ROW()-4&lt;=MAX($M$5:$M$1004),IFERROR(INDEX($N$5:$N$404,ROW()-4),""),IFERROR(INDEX($P$5:$P$404,ROW()-4-MAX($M$5:$M$1004)),""))</f>
        <v/>
      </c>
    </row>
    <row r="728" customFormat="false" ht="15" hidden="false" customHeight="false" outlineLevel="0" collapsed="false">
      <c r="M728" s="0" t="str">
        <f aca="false">IF(CSV貼付A!$N728="","",IF(COUNTIF(CSV貼付A!$N$5:$N728,CSV貼付A!$N728)&gt;1,"",MAX($M$4:M727)+1))</f>
        <v/>
      </c>
      <c r="O728" s="0" t="str">
        <f aca="false">IF(CSV貼付B!$N728="","",IF(COUNTIF(CSV貼付B!$N$5:$N728,CSV貼付B!$N728)&gt;1,"",MAX($O$4:O727)+1))</f>
        <v/>
      </c>
      <c r="Q728" s="0" t="str">
        <f aca="false">IF(ROW()-4&lt;=MAX($M$5:$M$1004),IFERROR(INDEX($N$5:$N$404,ROW()-4),""),IFERROR(INDEX($P$5:$P$404,ROW()-4-MAX($M$5:$M$1004)),""))</f>
        <v/>
      </c>
    </row>
    <row r="729" customFormat="false" ht="15" hidden="false" customHeight="false" outlineLevel="0" collapsed="false">
      <c r="M729" s="0" t="str">
        <f aca="false">IF(CSV貼付A!$N729="","",IF(COUNTIF(CSV貼付A!$N$5:$N729,CSV貼付A!$N729)&gt;1,"",MAX($M$4:M728)+1))</f>
        <v/>
      </c>
      <c r="O729" s="0" t="str">
        <f aca="false">IF(CSV貼付B!$N729="","",IF(COUNTIF(CSV貼付B!$N$5:$N729,CSV貼付B!$N729)&gt;1,"",MAX($O$4:O728)+1))</f>
        <v/>
      </c>
      <c r="Q729" s="0" t="str">
        <f aca="false">IF(ROW()-4&lt;=MAX($M$5:$M$1004),IFERROR(INDEX($N$5:$N$404,ROW()-4),""),IFERROR(INDEX($P$5:$P$404,ROW()-4-MAX($M$5:$M$1004)),""))</f>
        <v/>
      </c>
    </row>
    <row r="730" customFormat="false" ht="15" hidden="false" customHeight="false" outlineLevel="0" collapsed="false">
      <c r="M730" s="0" t="str">
        <f aca="false">IF(CSV貼付A!$N730="","",IF(COUNTIF(CSV貼付A!$N$5:$N730,CSV貼付A!$N730)&gt;1,"",MAX($M$4:M729)+1))</f>
        <v/>
      </c>
      <c r="O730" s="0" t="str">
        <f aca="false">IF(CSV貼付B!$N730="","",IF(COUNTIF(CSV貼付B!$N$5:$N730,CSV貼付B!$N730)&gt;1,"",MAX($O$4:O729)+1))</f>
        <v/>
      </c>
      <c r="Q730" s="0" t="str">
        <f aca="false">IF(ROW()-4&lt;=MAX($M$5:$M$1004),IFERROR(INDEX($N$5:$N$404,ROW()-4),""),IFERROR(INDEX($P$5:$P$404,ROW()-4-MAX($M$5:$M$1004)),""))</f>
        <v/>
      </c>
    </row>
    <row r="731" customFormat="false" ht="15" hidden="false" customHeight="false" outlineLevel="0" collapsed="false">
      <c r="M731" s="0" t="str">
        <f aca="false">IF(CSV貼付A!$N731="","",IF(COUNTIF(CSV貼付A!$N$5:$N731,CSV貼付A!$N731)&gt;1,"",MAX($M$4:M730)+1))</f>
        <v/>
      </c>
      <c r="O731" s="0" t="str">
        <f aca="false">IF(CSV貼付B!$N731="","",IF(COUNTIF(CSV貼付B!$N$5:$N731,CSV貼付B!$N731)&gt;1,"",MAX($O$4:O730)+1))</f>
        <v/>
      </c>
      <c r="Q731" s="0" t="str">
        <f aca="false">IF(ROW()-4&lt;=MAX($M$5:$M$1004),IFERROR(INDEX($N$5:$N$404,ROW()-4),""),IFERROR(INDEX($P$5:$P$404,ROW()-4-MAX($M$5:$M$1004)),""))</f>
        <v/>
      </c>
    </row>
    <row r="732" customFormat="false" ht="15" hidden="false" customHeight="false" outlineLevel="0" collapsed="false">
      <c r="M732" s="0" t="str">
        <f aca="false">IF(CSV貼付A!$N732="","",IF(COUNTIF(CSV貼付A!$N$5:$N732,CSV貼付A!$N732)&gt;1,"",MAX($M$4:M731)+1))</f>
        <v/>
      </c>
      <c r="O732" s="0" t="str">
        <f aca="false">IF(CSV貼付B!$N732="","",IF(COUNTIF(CSV貼付B!$N$5:$N732,CSV貼付B!$N732)&gt;1,"",MAX($O$4:O731)+1))</f>
        <v/>
      </c>
      <c r="Q732" s="0" t="str">
        <f aca="false">IF(ROW()-4&lt;=MAX($M$5:$M$1004),IFERROR(INDEX($N$5:$N$404,ROW()-4),""),IFERROR(INDEX($P$5:$P$404,ROW()-4-MAX($M$5:$M$1004)),""))</f>
        <v/>
      </c>
    </row>
    <row r="733" customFormat="false" ht="15" hidden="false" customHeight="false" outlineLevel="0" collapsed="false">
      <c r="M733" s="0" t="str">
        <f aca="false">IF(CSV貼付A!$N733="","",IF(COUNTIF(CSV貼付A!$N$5:$N733,CSV貼付A!$N733)&gt;1,"",MAX($M$4:M732)+1))</f>
        <v/>
      </c>
      <c r="O733" s="0" t="str">
        <f aca="false">IF(CSV貼付B!$N733="","",IF(COUNTIF(CSV貼付B!$N$5:$N733,CSV貼付B!$N733)&gt;1,"",MAX($O$4:O732)+1))</f>
        <v/>
      </c>
      <c r="Q733" s="0" t="str">
        <f aca="false">IF(ROW()-4&lt;=MAX($M$5:$M$1004),IFERROR(INDEX($N$5:$N$404,ROW()-4),""),IFERROR(INDEX($P$5:$P$404,ROW()-4-MAX($M$5:$M$1004)),""))</f>
        <v/>
      </c>
    </row>
    <row r="734" customFormat="false" ht="15" hidden="false" customHeight="false" outlineLevel="0" collapsed="false">
      <c r="M734" s="0" t="str">
        <f aca="false">IF(CSV貼付A!$N734="","",IF(COUNTIF(CSV貼付A!$N$5:$N734,CSV貼付A!$N734)&gt;1,"",MAX($M$4:M733)+1))</f>
        <v/>
      </c>
      <c r="O734" s="0" t="str">
        <f aca="false">IF(CSV貼付B!$N734="","",IF(COUNTIF(CSV貼付B!$N$5:$N734,CSV貼付B!$N734)&gt;1,"",MAX($O$4:O733)+1))</f>
        <v/>
      </c>
      <c r="Q734" s="0" t="str">
        <f aca="false">IF(ROW()-4&lt;=MAX($M$5:$M$1004),IFERROR(INDEX($N$5:$N$404,ROW()-4),""),IFERROR(INDEX($P$5:$P$404,ROW()-4-MAX($M$5:$M$1004)),""))</f>
        <v/>
      </c>
    </row>
    <row r="735" customFormat="false" ht="15" hidden="false" customHeight="false" outlineLevel="0" collapsed="false">
      <c r="M735" s="0" t="str">
        <f aca="false">IF(CSV貼付A!$N735="","",IF(COUNTIF(CSV貼付A!$N$5:$N735,CSV貼付A!$N735)&gt;1,"",MAX($M$4:M734)+1))</f>
        <v/>
      </c>
      <c r="O735" s="0" t="str">
        <f aca="false">IF(CSV貼付B!$N735="","",IF(COUNTIF(CSV貼付B!$N$5:$N735,CSV貼付B!$N735)&gt;1,"",MAX($O$4:O734)+1))</f>
        <v/>
      </c>
      <c r="Q735" s="0" t="str">
        <f aca="false">IF(ROW()-4&lt;=MAX($M$5:$M$1004),IFERROR(INDEX($N$5:$N$404,ROW()-4),""),IFERROR(INDEX($P$5:$P$404,ROW()-4-MAX($M$5:$M$1004)),""))</f>
        <v/>
      </c>
    </row>
    <row r="736" customFormat="false" ht="15" hidden="false" customHeight="false" outlineLevel="0" collapsed="false">
      <c r="M736" s="0" t="str">
        <f aca="false">IF(CSV貼付A!$N736="","",IF(COUNTIF(CSV貼付A!$N$5:$N736,CSV貼付A!$N736)&gt;1,"",MAX($M$4:M735)+1))</f>
        <v/>
      </c>
      <c r="O736" s="0" t="str">
        <f aca="false">IF(CSV貼付B!$N736="","",IF(COUNTIF(CSV貼付B!$N$5:$N736,CSV貼付B!$N736)&gt;1,"",MAX($O$4:O735)+1))</f>
        <v/>
      </c>
      <c r="Q736" s="0" t="str">
        <f aca="false">IF(ROW()-4&lt;=MAX($M$5:$M$1004),IFERROR(INDEX($N$5:$N$404,ROW()-4),""),IFERROR(INDEX($P$5:$P$404,ROW()-4-MAX($M$5:$M$1004)),""))</f>
        <v/>
      </c>
    </row>
    <row r="737" customFormat="false" ht="15" hidden="false" customHeight="false" outlineLevel="0" collapsed="false">
      <c r="M737" s="0" t="str">
        <f aca="false">IF(CSV貼付A!$N737="","",IF(COUNTIF(CSV貼付A!$N$5:$N737,CSV貼付A!$N737)&gt;1,"",MAX($M$4:M736)+1))</f>
        <v/>
      </c>
      <c r="O737" s="0" t="str">
        <f aca="false">IF(CSV貼付B!$N737="","",IF(COUNTIF(CSV貼付B!$N$5:$N737,CSV貼付B!$N737)&gt;1,"",MAX($O$4:O736)+1))</f>
        <v/>
      </c>
      <c r="Q737" s="0" t="str">
        <f aca="false">IF(ROW()-4&lt;=MAX($M$5:$M$1004),IFERROR(INDEX($N$5:$N$404,ROW()-4),""),IFERROR(INDEX($P$5:$P$404,ROW()-4-MAX($M$5:$M$1004)),""))</f>
        <v/>
      </c>
    </row>
    <row r="738" customFormat="false" ht="15" hidden="false" customHeight="false" outlineLevel="0" collapsed="false">
      <c r="M738" s="0" t="str">
        <f aca="false">IF(CSV貼付A!$N738="","",IF(COUNTIF(CSV貼付A!$N$5:$N738,CSV貼付A!$N738)&gt;1,"",MAX($M$4:M737)+1))</f>
        <v/>
      </c>
      <c r="O738" s="0" t="str">
        <f aca="false">IF(CSV貼付B!$N738="","",IF(COUNTIF(CSV貼付B!$N$5:$N738,CSV貼付B!$N738)&gt;1,"",MAX($O$4:O737)+1))</f>
        <v/>
      </c>
      <c r="Q738" s="0" t="str">
        <f aca="false">IF(ROW()-4&lt;=MAX($M$5:$M$1004),IFERROR(INDEX($N$5:$N$404,ROW()-4),""),IFERROR(INDEX($P$5:$P$404,ROW()-4-MAX($M$5:$M$1004)),""))</f>
        <v/>
      </c>
    </row>
    <row r="739" customFormat="false" ht="15" hidden="false" customHeight="false" outlineLevel="0" collapsed="false">
      <c r="M739" s="0" t="str">
        <f aca="false">IF(CSV貼付A!$N739="","",IF(COUNTIF(CSV貼付A!$N$5:$N739,CSV貼付A!$N739)&gt;1,"",MAX($M$4:M738)+1))</f>
        <v/>
      </c>
      <c r="O739" s="0" t="str">
        <f aca="false">IF(CSV貼付B!$N739="","",IF(COUNTIF(CSV貼付B!$N$5:$N739,CSV貼付B!$N739)&gt;1,"",MAX($O$4:O738)+1))</f>
        <v/>
      </c>
      <c r="Q739" s="0" t="str">
        <f aca="false">IF(ROW()-4&lt;=MAX($M$5:$M$1004),IFERROR(INDEX($N$5:$N$404,ROW()-4),""),IFERROR(INDEX($P$5:$P$404,ROW()-4-MAX($M$5:$M$1004)),""))</f>
        <v/>
      </c>
    </row>
    <row r="740" customFormat="false" ht="15" hidden="false" customHeight="false" outlineLevel="0" collapsed="false">
      <c r="M740" s="0" t="str">
        <f aca="false">IF(CSV貼付A!$N740="","",IF(COUNTIF(CSV貼付A!$N$5:$N740,CSV貼付A!$N740)&gt;1,"",MAX($M$4:M739)+1))</f>
        <v/>
      </c>
      <c r="O740" s="0" t="str">
        <f aca="false">IF(CSV貼付B!$N740="","",IF(COUNTIF(CSV貼付B!$N$5:$N740,CSV貼付B!$N740)&gt;1,"",MAX($O$4:O739)+1))</f>
        <v/>
      </c>
      <c r="Q740" s="0" t="str">
        <f aca="false">IF(ROW()-4&lt;=MAX($M$5:$M$1004),IFERROR(INDEX($N$5:$N$404,ROW()-4),""),IFERROR(INDEX($P$5:$P$404,ROW()-4-MAX($M$5:$M$1004)),""))</f>
        <v/>
      </c>
    </row>
    <row r="741" customFormat="false" ht="15" hidden="false" customHeight="false" outlineLevel="0" collapsed="false">
      <c r="M741" s="0" t="str">
        <f aca="false">IF(CSV貼付A!$N741="","",IF(COUNTIF(CSV貼付A!$N$5:$N741,CSV貼付A!$N741)&gt;1,"",MAX($M$4:M740)+1))</f>
        <v/>
      </c>
      <c r="O741" s="0" t="str">
        <f aca="false">IF(CSV貼付B!$N741="","",IF(COUNTIF(CSV貼付B!$N$5:$N741,CSV貼付B!$N741)&gt;1,"",MAX($O$4:O740)+1))</f>
        <v/>
      </c>
      <c r="Q741" s="0" t="str">
        <f aca="false">IF(ROW()-4&lt;=MAX($M$5:$M$1004),IFERROR(INDEX($N$5:$N$404,ROW()-4),""),IFERROR(INDEX($P$5:$P$404,ROW()-4-MAX($M$5:$M$1004)),""))</f>
        <v/>
      </c>
    </row>
    <row r="742" customFormat="false" ht="15" hidden="false" customHeight="false" outlineLevel="0" collapsed="false">
      <c r="M742" s="0" t="str">
        <f aca="false">IF(CSV貼付A!$N742="","",IF(COUNTIF(CSV貼付A!$N$5:$N742,CSV貼付A!$N742)&gt;1,"",MAX($M$4:M741)+1))</f>
        <v/>
      </c>
      <c r="O742" s="0" t="str">
        <f aca="false">IF(CSV貼付B!$N742="","",IF(COUNTIF(CSV貼付B!$N$5:$N742,CSV貼付B!$N742)&gt;1,"",MAX($O$4:O741)+1))</f>
        <v/>
      </c>
      <c r="Q742" s="0" t="str">
        <f aca="false">IF(ROW()-4&lt;=MAX($M$5:$M$1004),IFERROR(INDEX($N$5:$N$404,ROW()-4),""),IFERROR(INDEX($P$5:$P$404,ROW()-4-MAX($M$5:$M$1004)),""))</f>
        <v/>
      </c>
    </row>
    <row r="743" customFormat="false" ht="15" hidden="false" customHeight="false" outlineLevel="0" collapsed="false">
      <c r="M743" s="0" t="str">
        <f aca="false">IF(CSV貼付A!$N743="","",IF(COUNTIF(CSV貼付A!$N$5:$N743,CSV貼付A!$N743)&gt;1,"",MAX($M$4:M742)+1))</f>
        <v/>
      </c>
      <c r="O743" s="0" t="str">
        <f aca="false">IF(CSV貼付B!$N743="","",IF(COUNTIF(CSV貼付B!$N$5:$N743,CSV貼付B!$N743)&gt;1,"",MAX($O$4:O742)+1))</f>
        <v/>
      </c>
      <c r="Q743" s="0" t="str">
        <f aca="false">IF(ROW()-4&lt;=MAX($M$5:$M$1004),IFERROR(INDEX($N$5:$N$404,ROW()-4),""),IFERROR(INDEX($P$5:$P$404,ROW()-4-MAX($M$5:$M$1004)),""))</f>
        <v/>
      </c>
    </row>
    <row r="744" customFormat="false" ht="15" hidden="false" customHeight="false" outlineLevel="0" collapsed="false">
      <c r="M744" s="0" t="str">
        <f aca="false">IF(CSV貼付A!$N744="","",IF(COUNTIF(CSV貼付A!$N$5:$N744,CSV貼付A!$N744)&gt;1,"",MAX($M$4:M743)+1))</f>
        <v/>
      </c>
      <c r="O744" s="0" t="str">
        <f aca="false">IF(CSV貼付B!$N744="","",IF(COUNTIF(CSV貼付B!$N$5:$N744,CSV貼付B!$N744)&gt;1,"",MAX($O$4:O743)+1))</f>
        <v/>
      </c>
      <c r="Q744" s="0" t="str">
        <f aca="false">IF(ROW()-4&lt;=MAX($M$5:$M$1004),IFERROR(INDEX($N$5:$N$404,ROW()-4),""),IFERROR(INDEX($P$5:$P$404,ROW()-4-MAX($M$5:$M$1004)),""))</f>
        <v/>
      </c>
    </row>
    <row r="745" customFormat="false" ht="15" hidden="false" customHeight="false" outlineLevel="0" collapsed="false">
      <c r="M745" s="0" t="str">
        <f aca="false">IF(CSV貼付A!$N745="","",IF(COUNTIF(CSV貼付A!$N$5:$N745,CSV貼付A!$N745)&gt;1,"",MAX($M$4:M744)+1))</f>
        <v/>
      </c>
      <c r="O745" s="0" t="str">
        <f aca="false">IF(CSV貼付B!$N745="","",IF(COUNTIF(CSV貼付B!$N$5:$N745,CSV貼付B!$N745)&gt;1,"",MAX($O$4:O744)+1))</f>
        <v/>
      </c>
      <c r="Q745" s="0" t="str">
        <f aca="false">IF(ROW()-4&lt;=MAX($M$5:$M$1004),IFERROR(INDEX($N$5:$N$404,ROW()-4),""),IFERROR(INDEX($P$5:$P$404,ROW()-4-MAX($M$5:$M$1004)),""))</f>
        <v/>
      </c>
    </row>
    <row r="746" customFormat="false" ht="15" hidden="false" customHeight="false" outlineLevel="0" collapsed="false">
      <c r="M746" s="0" t="str">
        <f aca="false">IF(CSV貼付A!$N746="","",IF(COUNTIF(CSV貼付A!$N$5:$N746,CSV貼付A!$N746)&gt;1,"",MAX($M$4:M745)+1))</f>
        <v/>
      </c>
      <c r="O746" s="0" t="str">
        <f aca="false">IF(CSV貼付B!$N746="","",IF(COUNTIF(CSV貼付B!$N$5:$N746,CSV貼付B!$N746)&gt;1,"",MAX($O$4:O745)+1))</f>
        <v/>
      </c>
      <c r="Q746" s="0" t="str">
        <f aca="false">IF(ROW()-4&lt;=MAX($M$5:$M$1004),IFERROR(INDEX($N$5:$N$404,ROW()-4),""),IFERROR(INDEX($P$5:$P$404,ROW()-4-MAX($M$5:$M$1004)),""))</f>
        <v/>
      </c>
    </row>
    <row r="747" customFormat="false" ht="15" hidden="false" customHeight="false" outlineLevel="0" collapsed="false">
      <c r="M747" s="0" t="str">
        <f aca="false">IF(CSV貼付A!$N747="","",IF(COUNTIF(CSV貼付A!$N$5:$N747,CSV貼付A!$N747)&gt;1,"",MAX($M$4:M746)+1))</f>
        <v/>
      </c>
      <c r="O747" s="0" t="str">
        <f aca="false">IF(CSV貼付B!$N747="","",IF(COUNTIF(CSV貼付B!$N$5:$N747,CSV貼付B!$N747)&gt;1,"",MAX($O$4:O746)+1))</f>
        <v/>
      </c>
      <c r="Q747" s="0" t="str">
        <f aca="false">IF(ROW()-4&lt;=MAX($M$5:$M$1004),IFERROR(INDEX($N$5:$N$404,ROW()-4),""),IFERROR(INDEX($P$5:$P$404,ROW()-4-MAX($M$5:$M$1004)),""))</f>
        <v/>
      </c>
    </row>
    <row r="748" customFormat="false" ht="15" hidden="false" customHeight="false" outlineLevel="0" collapsed="false">
      <c r="M748" s="0" t="str">
        <f aca="false">IF(CSV貼付A!$N748="","",IF(COUNTIF(CSV貼付A!$N$5:$N748,CSV貼付A!$N748)&gt;1,"",MAX($M$4:M747)+1))</f>
        <v/>
      </c>
      <c r="O748" s="0" t="str">
        <f aca="false">IF(CSV貼付B!$N748="","",IF(COUNTIF(CSV貼付B!$N$5:$N748,CSV貼付B!$N748)&gt;1,"",MAX($O$4:O747)+1))</f>
        <v/>
      </c>
      <c r="Q748" s="0" t="str">
        <f aca="false">IF(ROW()-4&lt;=MAX($M$5:$M$1004),IFERROR(INDEX($N$5:$N$404,ROW()-4),""),IFERROR(INDEX($P$5:$P$404,ROW()-4-MAX($M$5:$M$1004)),""))</f>
        <v/>
      </c>
    </row>
    <row r="749" customFormat="false" ht="15" hidden="false" customHeight="false" outlineLevel="0" collapsed="false">
      <c r="M749" s="0" t="str">
        <f aca="false">IF(CSV貼付A!$N749="","",IF(COUNTIF(CSV貼付A!$N$5:$N749,CSV貼付A!$N749)&gt;1,"",MAX($M$4:M748)+1))</f>
        <v/>
      </c>
      <c r="O749" s="0" t="str">
        <f aca="false">IF(CSV貼付B!$N749="","",IF(COUNTIF(CSV貼付B!$N$5:$N749,CSV貼付B!$N749)&gt;1,"",MAX($O$4:O748)+1))</f>
        <v/>
      </c>
      <c r="Q749" s="0" t="str">
        <f aca="false">IF(ROW()-4&lt;=MAX($M$5:$M$1004),IFERROR(INDEX($N$5:$N$404,ROW()-4),""),IFERROR(INDEX($P$5:$P$404,ROW()-4-MAX($M$5:$M$1004)),""))</f>
        <v/>
      </c>
    </row>
    <row r="750" customFormat="false" ht="15" hidden="false" customHeight="false" outlineLevel="0" collapsed="false">
      <c r="M750" s="0" t="str">
        <f aca="false">IF(CSV貼付A!$N750="","",IF(COUNTIF(CSV貼付A!$N$5:$N750,CSV貼付A!$N750)&gt;1,"",MAX($M$4:M749)+1))</f>
        <v/>
      </c>
      <c r="O750" s="0" t="str">
        <f aca="false">IF(CSV貼付B!$N750="","",IF(COUNTIF(CSV貼付B!$N$5:$N750,CSV貼付B!$N750)&gt;1,"",MAX($O$4:O749)+1))</f>
        <v/>
      </c>
      <c r="Q750" s="0" t="str">
        <f aca="false">IF(ROW()-4&lt;=MAX($M$5:$M$1004),IFERROR(INDEX($N$5:$N$404,ROW()-4),""),IFERROR(INDEX($P$5:$P$404,ROW()-4-MAX($M$5:$M$1004)),""))</f>
        <v/>
      </c>
    </row>
    <row r="751" customFormat="false" ht="15" hidden="false" customHeight="false" outlineLevel="0" collapsed="false">
      <c r="M751" s="0" t="str">
        <f aca="false">IF(CSV貼付A!$N751="","",IF(COUNTIF(CSV貼付A!$N$5:$N751,CSV貼付A!$N751)&gt;1,"",MAX($M$4:M750)+1))</f>
        <v/>
      </c>
      <c r="O751" s="0" t="str">
        <f aca="false">IF(CSV貼付B!$N751="","",IF(COUNTIF(CSV貼付B!$N$5:$N751,CSV貼付B!$N751)&gt;1,"",MAX($O$4:O750)+1))</f>
        <v/>
      </c>
      <c r="Q751" s="0" t="str">
        <f aca="false">IF(ROW()-4&lt;=MAX($M$5:$M$1004),IFERROR(INDEX($N$5:$N$404,ROW()-4),""),IFERROR(INDEX($P$5:$P$404,ROW()-4-MAX($M$5:$M$1004)),""))</f>
        <v/>
      </c>
    </row>
    <row r="752" customFormat="false" ht="15" hidden="false" customHeight="false" outlineLevel="0" collapsed="false">
      <c r="M752" s="0" t="str">
        <f aca="false">IF(CSV貼付A!$N752="","",IF(COUNTIF(CSV貼付A!$N$5:$N752,CSV貼付A!$N752)&gt;1,"",MAX($M$4:M751)+1))</f>
        <v/>
      </c>
      <c r="O752" s="0" t="str">
        <f aca="false">IF(CSV貼付B!$N752="","",IF(COUNTIF(CSV貼付B!$N$5:$N752,CSV貼付B!$N752)&gt;1,"",MAX($O$4:O751)+1))</f>
        <v/>
      </c>
      <c r="Q752" s="0" t="str">
        <f aca="false">IF(ROW()-4&lt;=MAX($M$5:$M$1004),IFERROR(INDEX($N$5:$N$404,ROW()-4),""),IFERROR(INDEX($P$5:$P$404,ROW()-4-MAX($M$5:$M$1004)),""))</f>
        <v/>
      </c>
    </row>
    <row r="753" customFormat="false" ht="15" hidden="false" customHeight="false" outlineLevel="0" collapsed="false">
      <c r="M753" s="0" t="str">
        <f aca="false">IF(CSV貼付A!$N753="","",IF(COUNTIF(CSV貼付A!$N$5:$N753,CSV貼付A!$N753)&gt;1,"",MAX($M$4:M752)+1))</f>
        <v/>
      </c>
      <c r="O753" s="0" t="str">
        <f aca="false">IF(CSV貼付B!$N753="","",IF(COUNTIF(CSV貼付B!$N$5:$N753,CSV貼付B!$N753)&gt;1,"",MAX($O$4:O752)+1))</f>
        <v/>
      </c>
      <c r="Q753" s="0" t="str">
        <f aca="false">IF(ROW()-4&lt;=MAX($M$5:$M$1004),IFERROR(INDEX($N$5:$N$404,ROW()-4),""),IFERROR(INDEX($P$5:$P$404,ROW()-4-MAX($M$5:$M$1004)),""))</f>
        <v/>
      </c>
    </row>
    <row r="754" customFormat="false" ht="15" hidden="false" customHeight="false" outlineLevel="0" collapsed="false">
      <c r="M754" s="0" t="str">
        <f aca="false">IF(CSV貼付A!$N754="","",IF(COUNTIF(CSV貼付A!$N$5:$N754,CSV貼付A!$N754)&gt;1,"",MAX($M$4:M753)+1))</f>
        <v/>
      </c>
      <c r="O754" s="0" t="str">
        <f aca="false">IF(CSV貼付B!$N754="","",IF(COUNTIF(CSV貼付B!$N$5:$N754,CSV貼付B!$N754)&gt;1,"",MAX($O$4:O753)+1))</f>
        <v/>
      </c>
      <c r="Q754" s="0" t="str">
        <f aca="false">IF(ROW()-4&lt;=MAX($M$5:$M$1004),IFERROR(INDEX($N$5:$N$404,ROW()-4),""),IFERROR(INDEX($P$5:$P$404,ROW()-4-MAX($M$5:$M$1004)),""))</f>
        <v/>
      </c>
    </row>
    <row r="755" customFormat="false" ht="15" hidden="false" customHeight="false" outlineLevel="0" collapsed="false">
      <c r="M755" s="0" t="str">
        <f aca="false">IF(CSV貼付A!$N755="","",IF(COUNTIF(CSV貼付A!$N$5:$N755,CSV貼付A!$N755)&gt;1,"",MAX($M$4:M754)+1))</f>
        <v/>
      </c>
      <c r="O755" s="0" t="str">
        <f aca="false">IF(CSV貼付B!$N755="","",IF(COUNTIF(CSV貼付B!$N$5:$N755,CSV貼付B!$N755)&gt;1,"",MAX($O$4:O754)+1))</f>
        <v/>
      </c>
      <c r="Q755" s="0" t="str">
        <f aca="false">IF(ROW()-4&lt;=MAX($M$5:$M$1004),IFERROR(INDEX($N$5:$N$404,ROW()-4),""),IFERROR(INDEX($P$5:$P$404,ROW()-4-MAX($M$5:$M$1004)),""))</f>
        <v/>
      </c>
    </row>
    <row r="756" customFormat="false" ht="15" hidden="false" customHeight="false" outlineLevel="0" collapsed="false">
      <c r="M756" s="0" t="str">
        <f aca="false">IF(CSV貼付A!$N756="","",IF(COUNTIF(CSV貼付A!$N$5:$N756,CSV貼付A!$N756)&gt;1,"",MAX($M$4:M755)+1))</f>
        <v/>
      </c>
      <c r="O756" s="0" t="str">
        <f aca="false">IF(CSV貼付B!$N756="","",IF(COUNTIF(CSV貼付B!$N$5:$N756,CSV貼付B!$N756)&gt;1,"",MAX($O$4:O755)+1))</f>
        <v/>
      </c>
      <c r="Q756" s="0" t="str">
        <f aca="false">IF(ROW()-4&lt;=MAX($M$5:$M$1004),IFERROR(INDEX($N$5:$N$404,ROW()-4),""),IFERROR(INDEX($P$5:$P$404,ROW()-4-MAX($M$5:$M$1004)),""))</f>
        <v/>
      </c>
    </row>
    <row r="757" customFormat="false" ht="15" hidden="false" customHeight="false" outlineLevel="0" collapsed="false">
      <c r="M757" s="0" t="str">
        <f aca="false">IF(CSV貼付A!$N757="","",IF(COUNTIF(CSV貼付A!$N$5:$N757,CSV貼付A!$N757)&gt;1,"",MAX($M$4:M756)+1))</f>
        <v/>
      </c>
      <c r="O757" s="0" t="str">
        <f aca="false">IF(CSV貼付B!$N757="","",IF(COUNTIF(CSV貼付B!$N$5:$N757,CSV貼付B!$N757)&gt;1,"",MAX($O$4:O756)+1))</f>
        <v/>
      </c>
      <c r="Q757" s="0" t="str">
        <f aca="false">IF(ROW()-4&lt;=MAX($M$5:$M$1004),IFERROR(INDEX($N$5:$N$404,ROW()-4),""),IFERROR(INDEX($P$5:$P$404,ROW()-4-MAX($M$5:$M$1004)),""))</f>
        <v/>
      </c>
    </row>
    <row r="758" customFormat="false" ht="15" hidden="false" customHeight="false" outlineLevel="0" collapsed="false">
      <c r="M758" s="0" t="str">
        <f aca="false">IF(CSV貼付A!$N758="","",IF(COUNTIF(CSV貼付A!$N$5:$N758,CSV貼付A!$N758)&gt;1,"",MAX($M$4:M757)+1))</f>
        <v/>
      </c>
      <c r="O758" s="0" t="str">
        <f aca="false">IF(CSV貼付B!$N758="","",IF(COUNTIF(CSV貼付B!$N$5:$N758,CSV貼付B!$N758)&gt;1,"",MAX($O$4:O757)+1))</f>
        <v/>
      </c>
      <c r="Q758" s="0" t="str">
        <f aca="false">IF(ROW()-4&lt;=MAX($M$5:$M$1004),IFERROR(INDEX($N$5:$N$404,ROW()-4),""),IFERROR(INDEX($P$5:$P$404,ROW()-4-MAX($M$5:$M$1004)),""))</f>
        <v/>
      </c>
    </row>
    <row r="759" customFormat="false" ht="15" hidden="false" customHeight="false" outlineLevel="0" collapsed="false">
      <c r="M759" s="0" t="str">
        <f aca="false">IF(CSV貼付A!$N759="","",IF(COUNTIF(CSV貼付A!$N$5:$N759,CSV貼付A!$N759)&gt;1,"",MAX($M$4:M758)+1))</f>
        <v/>
      </c>
      <c r="O759" s="0" t="str">
        <f aca="false">IF(CSV貼付B!$N759="","",IF(COUNTIF(CSV貼付B!$N$5:$N759,CSV貼付B!$N759)&gt;1,"",MAX($O$4:O758)+1))</f>
        <v/>
      </c>
      <c r="Q759" s="0" t="str">
        <f aca="false">IF(ROW()-4&lt;=MAX($M$5:$M$1004),IFERROR(INDEX($N$5:$N$404,ROW()-4),""),IFERROR(INDEX($P$5:$P$404,ROW()-4-MAX($M$5:$M$1004)),""))</f>
        <v/>
      </c>
    </row>
    <row r="760" customFormat="false" ht="15" hidden="false" customHeight="false" outlineLevel="0" collapsed="false">
      <c r="M760" s="0" t="str">
        <f aca="false">IF(CSV貼付A!$N760="","",IF(COUNTIF(CSV貼付A!$N$5:$N760,CSV貼付A!$N760)&gt;1,"",MAX($M$4:M759)+1))</f>
        <v/>
      </c>
      <c r="O760" s="0" t="str">
        <f aca="false">IF(CSV貼付B!$N760="","",IF(COUNTIF(CSV貼付B!$N$5:$N760,CSV貼付B!$N760)&gt;1,"",MAX($O$4:O759)+1))</f>
        <v/>
      </c>
      <c r="Q760" s="0" t="str">
        <f aca="false">IF(ROW()-4&lt;=MAX($M$5:$M$1004),IFERROR(INDEX($N$5:$N$404,ROW()-4),""),IFERROR(INDEX($P$5:$P$404,ROW()-4-MAX($M$5:$M$1004)),""))</f>
        <v/>
      </c>
    </row>
    <row r="761" customFormat="false" ht="15" hidden="false" customHeight="false" outlineLevel="0" collapsed="false">
      <c r="M761" s="0" t="str">
        <f aca="false">IF(CSV貼付A!$N761="","",IF(COUNTIF(CSV貼付A!$N$5:$N761,CSV貼付A!$N761)&gt;1,"",MAX($M$4:M760)+1))</f>
        <v/>
      </c>
      <c r="O761" s="0" t="str">
        <f aca="false">IF(CSV貼付B!$N761="","",IF(COUNTIF(CSV貼付B!$N$5:$N761,CSV貼付B!$N761)&gt;1,"",MAX($O$4:O760)+1))</f>
        <v/>
      </c>
      <c r="Q761" s="0" t="str">
        <f aca="false">IF(ROW()-4&lt;=MAX($M$5:$M$1004),IFERROR(INDEX($N$5:$N$404,ROW()-4),""),IFERROR(INDEX($P$5:$P$404,ROW()-4-MAX($M$5:$M$1004)),""))</f>
        <v/>
      </c>
    </row>
    <row r="762" customFormat="false" ht="15" hidden="false" customHeight="false" outlineLevel="0" collapsed="false">
      <c r="M762" s="0" t="str">
        <f aca="false">IF(CSV貼付A!$N762="","",IF(COUNTIF(CSV貼付A!$N$5:$N762,CSV貼付A!$N762)&gt;1,"",MAX($M$4:M761)+1))</f>
        <v/>
      </c>
      <c r="O762" s="0" t="str">
        <f aca="false">IF(CSV貼付B!$N762="","",IF(COUNTIF(CSV貼付B!$N$5:$N762,CSV貼付B!$N762)&gt;1,"",MAX($O$4:O761)+1))</f>
        <v/>
      </c>
      <c r="Q762" s="0" t="str">
        <f aca="false">IF(ROW()-4&lt;=MAX($M$5:$M$1004),IFERROR(INDEX($N$5:$N$404,ROW()-4),""),IFERROR(INDEX($P$5:$P$404,ROW()-4-MAX($M$5:$M$1004)),""))</f>
        <v/>
      </c>
    </row>
    <row r="763" customFormat="false" ht="15" hidden="false" customHeight="false" outlineLevel="0" collapsed="false">
      <c r="M763" s="0" t="str">
        <f aca="false">IF(CSV貼付A!$N763="","",IF(COUNTIF(CSV貼付A!$N$5:$N763,CSV貼付A!$N763)&gt;1,"",MAX($M$4:M762)+1))</f>
        <v/>
      </c>
      <c r="O763" s="0" t="str">
        <f aca="false">IF(CSV貼付B!$N763="","",IF(COUNTIF(CSV貼付B!$N$5:$N763,CSV貼付B!$N763)&gt;1,"",MAX($O$4:O762)+1))</f>
        <v/>
      </c>
      <c r="Q763" s="0" t="str">
        <f aca="false">IF(ROW()-4&lt;=MAX($M$5:$M$1004),IFERROR(INDEX($N$5:$N$404,ROW()-4),""),IFERROR(INDEX($P$5:$P$404,ROW()-4-MAX($M$5:$M$1004)),""))</f>
        <v/>
      </c>
    </row>
    <row r="764" customFormat="false" ht="15" hidden="false" customHeight="false" outlineLevel="0" collapsed="false">
      <c r="M764" s="0" t="str">
        <f aca="false">IF(CSV貼付A!$N764="","",IF(COUNTIF(CSV貼付A!$N$5:$N764,CSV貼付A!$N764)&gt;1,"",MAX($M$4:M763)+1))</f>
        <v/>
      </c>
      <c r="O764" s="0" t="str">
        <f aca="false">IF(CSV貼付B!$N764="","",IF(COUNTIF(CSV貼付B!$N$5:$N764,CSV貼付B!$N764)&gt;1,"",MAX($O$4:O763)+1))</f>
        <v/>
      </c>
      <c r="Q764" s="0" t="str">
        <f aca="false">IF(ROW()-4&lt;=MAX($M$5:$M$1004),IFERROR(INDEX($N$5:$N$404,ROW()-4),""),IFERROR(INDEX($P$5:$P$404,ROW()-4-MAX($M$5:$M$1004)),""))</f>
        <v/>
      </c>
    </row>
    <row r="765" customFormat="false" ht="15" hidden="false" customHeight="false" outlineLevel="0" collapsed="false">
      <c r="M765" s="0" t="str">
        <f aca="false">IF(CSV貼付A!$N765="","",IF(COUNTIF(CSV貼付A!$N$5:$N765,CSV貼付A!$N765)&gt;1,"",MAX($M$4:M764)+1))</f>
        <v/>
      </c>
      <c r="O765" s="0" t="str">
        <f aca="false">IF(CSV貼付B!$N765="","",IF(COUNTIF(CSV貼付B!$N$5:$N765,CSV貼付B!$N765)&gt;1,"",MAX($O$4:O764)+1))</f>
        <v/>
      </c>
      <c r="Q765" s="0" t="str">
        <f aca="false">IF(ROW()-4&lt;=MAX($M$5:$M$1004),IFERROR(INDEX($N$5:$N$404,ROW()-4),""),IFERROR(INDEX($P$5:$P$404,ROW()-4-MAX($M$5:$M$1004)),""))</f>
        <v/>
      </c>
    </row>
    <row r="766" customFormat="false" ht="15" hidden="false" customHeight="false" outlineLevel="0" collapsed="false">
      <c r="M766" s="0" t="str">
        <f aca="false">IF(CSV貼付A!$N766="","",IF(COUNTIF(CSV貼付A!$N$5:$N766,CSV貼付A!$N766)&gt;1,"",MAX($M$4:M765)+1))</f>
        <v/>
      </c>
      <c r="O766" s="0" t="str">
        <f aca="false">IF(CSV貼付B!$N766="","",IF(COUNTIF(CSV貼付B!$N$5:$N766,CSV貼付B!$N766)&gt;1,"",MAX($O$4:O765)+1))</f>
        <v/>
      </c>
      <c r="Q766" s="0" t="str">
        <f aca="false">IF(ROW()-4&lt;=MAX($M$5:$M$1004),IFERROR(INDEX($N$5:$N$404,ROW()-4),""),IFERROR(INDEX($P$5:$P$404,ROW()-4-MAX($M$5:$M$1004)),""))</f>
        <v/>
      </c>
    </row>
    <row r="767" customFormat="false" ht="15" hidden="false" customHeight="false" outlineLevel="0" collapsed="false">
      <c r="M767" s="0" t="str">
        <f aca="false">IF(CSV貼付A!$N767="","",IF(COUNTIF(CSV貼付A!$N$5:$N767,CSV貼付A!$N767)&gt;1,"",MAX($M$4:M766)+1))</f>
        <v/>
      </c>
      <c r="O767" s="0" t="str">
        <f aca="false">IF(CSV貼付B!$N767="","",IF(COUNTIF(CSV貼付B!$N$5:$N767,CSV貼付B!$N767)&gt;1,"",MAX($O$4:O766)+1))</f>
        <v/>
      </c>
      <c r="Q767" s="0" t="str">
        <f aca="false">IF(ROW()-4&lt;=MAX($M$5:$M$1004),IFERROR(INDEX($N$5:$N$404,ROW()-4),""),IFERROR(INDEX($P$5:$P$404,ROW()-4-MAX($M$5:$M$1004)),""))</f>
        <v/>
      </c>
    </row>
    <row r="768" customFormat="false" ht="15" hidden="false" customHeight="false" outlineLevel="0" collapsed="false">
      <c r="M768" s="0" t="str">
        <f aca="false">IF(CSV貼付A!$N768="","",IF(COUNTIF(CSV貼付A!$N$5:$N768,CSV貼付A!$N768)&gt;1,"",MAX($M$4:M767)+1))</f>
        <v/>
      </c>
      <c r="O768" s="0" t="str">
        <f aca="false">IF(CSV貼付B!$N768="","",IF(COUNTIF(CSV貼付B!$N$5:$N768,CSV貼付B!$N768)&gt;1,"",MAX($O$4:O767)+1))</f>
        <v/>
      </c>
      <c r="Q768" s="0" t="str">
        <f aca="false">IF(ROW()-4&lt;=MAX($M$5:$M$1004),IFERROR(INDEX($N$5:$N$404,ROW()-4),""),IFERROR(INDEX($P$5:$P$404,ROW()-4-MAX($M$5:$M$1004)),""))</f>
        <v/>
      </c>
    </row>
    <row r="769" customFormat="false" ht="15" hidden="false" customHeight="false" outlineLevel="0" collapsed="false">
      <c r="M769" s="0" t="str">
        <f aca="false">IF(CSV貼付A!$N769="","",IF(COUNTIF(CSV貼付A!$N$5:$N769,CSV貼付A!$N769)&gt;1,"",MAX($M$4:M768)+1))</f>
        <v/>
      </c>
      <c r="O769" s="0" t="str">
        <f aca="false">IF(CSV貼付B!$N769="","",IF(COUNTIF(CSV貼付B!$N$5:$N769,CSV貼付B!$N769)&gt;1,"",MAX($O$4:O768)+1))</f>
        <v/>
      </c>
      <c r="Q769" s="0" t="str">
        <f aca="false">IF(ROW()-4&lt;=MAX($M$5:$M$1004),IFERROR(INDEX($N$5:$N$404,ROW()-4),""),IFERROR(INDEX($P$5:$P$404,ROW()-4-MAX($M$5:$M$1004)),""))</f>
        <v/>
      </c>
    </row>
    <row r="770" customFormat="false" ht="15" hidden="false" customHeight="false" outlineLevel="0" collapsed="false">
      <c r="M770" s="0" t="str">
        <f aca="false">IF(CSV貼付A!$N770="","",IF(COUNTIF(CSV貼付A!$N$5:$N770,CSV貼付A!$N770)&gt;1,"",MAX($M$4:M769)+1))</f>
        <v/>
      </c>
      <c r="O770" s="0" t="str">
        <f aca="false">IF(CSV貼付B!$N770="","",IF(COUNTIF(CSV貼付B!$N$5:$N770,CSV貼付B!$N770)&gt;1,"",MAX($O$4:O769)+1))</f>
        <v/>
      </c>
      <c r="Q770" s="0" t="str">
        <f aca="false">IF(ROW()-4&lt;=MAX($M$5:$M$1004),IFERROR(INDEX($N$5:$N$404,ROW()-4),""),IFERROR(INDEX($P$5:$P$404,ROW()-4-MAX($M$5:$M$1004)),""))</f>
        <v/>
      </c>
    </row>
    <row r="771" customFormat="false" ht="15" hidden="false" customHeight="false" outlineLevel="0" collapsed="false">
      <c r="M771" s="0" t="str">
        <f aca="false">IF(CSV貼付A!$N771="","",IF(COUNTIF(CSV貼付A!$N$5:$N771,CSV貼付A!$N771)&gt;1,"",MAX($M$4:M770)+1))</f>
        <v/>
      </c>
      <c r="O771" s="0" t="str">
        <f aca="false">IF(CSV貼付B!$N771="","",IF(COUNTIF(CSV貼付B!$N$5:$N771,CSV貼付B!$N771)&gt;1,"",MAX($O$4:O770)+1))</f>
        <v/>
      </c>
      <c r="Q771" s="0" t="str">
        <f aca="false">IF(ROW()-4&lt;=MAX($M$5:$M$1004),IFERROR(INDEX($N$5:$N$404,ROW()-4),""),IFERROR(INDEX($P$5:$P$404,ROW()-4-MAX($M$5:$M$1004)),""))</f>
        <v/>
      </c>
    </row>
    <row r="772" customFormat="false" ht="15" hidden="false" customHeight="false" outlineLevel="0" collapsed="false">
      <c r="M772" s="0" t="str">
        <f aca="false">IF(CSV貼付A!$N772="","",IF(COUNTIF(CSV貼付A!$N$5:$N772,CSV貼付A!$N772)&gt;1,"",MAX($M$4:M771)+1))</f>
        <v/>
      </c>
      <c r="O772" s="0" t="str">
        <f aca="false">IF(CSV貼付B!$N772="","",IF(COUNTIF(CSV貼付B!$N$5:$N772,CSV貼付B!$N772)&gt;1,"",MAX($O$4:O771)+1))</f>
        <v/>
      </c>
      <c r="Q772" s="0" t="str">
        <f aca="false">IF(ROW()-4&lt;=MAX($M$5:$M$1004),IFERROR(INDEX($N$5:$N$404,ROW()-4),""),IFERROR(INDEX($P$5:$P$404,ROW()-4-MAX($M$5:$M$1004)),""))</f>
        <v/>
      </c>
    </row>
    <row r="773" customFormat="false" ht="15" hidden="false" customHeight="false" outlineLevel="0" collapsed="false">
      <c r="M773" s="0" t="str">
        <f aca="false">IF(CSV貼付A!$N773="","",IF(COUNTIF(CSV貼付A!$N$5:$N773,CSV貼付A!$N773)&gt;1,"",MAX($M$4:M772)+1))</f>
        <v/>
      </c>
      <c r="O773" s="0" t="str">
        <f aca="false">IF(CSV貼付B!$N773="","",IF(COUNTIF(CSV貼付B!$N$5:$N773,CSV貼付B!$N773)&gt;1,"",MAX($O$4:O772)+1))</f>
        <v/>
      </c>
      <c r="Q773" s="0" t="str">
        <f aca="false">IF(ROW()-4&lt;=MAX($M$5:$M$1004),IFERROR(INDEX($N$5:$N$404,ROW()-4),""),IFERROR(INDEX($P$5:$P$404,ROW()-4-MAX($M$5:$M$1004)),""))</f>
        <v/>
      </c>
    </row>
    <row r="774" customFormat="false" ht="15" hidden="false" customHeight="false" outlineLevel="0" collapsed="false">
      <c r="M774" s="0" t="str">
        <f aca="false">IF(CSV貼付A!$N774="","",IF(COUNTIF(CSV貼付A!$N$5:$N774,CSV貼付A!$N774)&gt;1,"",MAX($M$4:M773)+1))</f>
        <v/>
      </c>
      <c r="O774" s="0" t="str">
        <f aca="false">IF(CSV貼付B!$N774="","",IF(COUNTIF(CSV貼付B!$N$5:$N774,CSV貼付B!$N774)&gt;1,"",MAX($O$4:O773)+1))</f>
        <v/>
      </c>
      <c r="Q774" s="0" t="str">
        <f aca="false">IF(ROW()-4&lt;=MAX($M$5:$M$1004),IFERROR(INDEX($N$5:$N$404,ROW()-4),""),IFERROR(INDEX($P$5:$P$404,ROW()-4-MAX($M$5:$M$1004)),""))</f>
        <v/>
      </c>
    </row>
    <row r="775" customFormat="false" ht="15" hidden="false" customHeight="false" outlineLevel="0" collapsed="false">
      <c r="M775" s="0" t="str">
        <f aca="false">IF(CSV貼付A!$N775="","",IF(COUNTIF(CSV貼付A!$N$5:$N775,CSV貼付A!$N775)&gt;1,"",MAX($M$4:M774)+1))</f>
        <v/>
      </c>
      <c r="O775" s="0" t="str">
        <f aca="false">IF(CSV貼付B!$N775="","",IF(COUNTIF(CSV貼付B!$N$5:$N775,CSV貼付B!$N775)&gt;1,"",MAX($O$4:O774)+1))</f>
        <v/>
      </c>
      <c r="Q775" s="0" t="str">
        <f aca="false">IF(ROW()-4&lt;=MAX($M$5:$M$1004),IFERROR(INDEX($N$5:$N$404,ROW()-4),""),IFERROR(INDEX($P$5:$P$404,ROW()-4-MAX($M$5:$M$1004)),""))</f>
        <v/>
      </c>
    </row>
    <row r="776" customFormat="false" ht="15" hidden="false" customHeight="false" outlineLevel="0" collapsed="false">
      <c r="M776" s="0" t="str">
        <f aca="false">IF(CSV貼付A!$N776="","",IF(COUNTIF(CSV貼付A!$N$5:$N776,CSV貼付A!$N776)&gt;1,"",MAX($M$4:M775)+1))</f>
        <v/>
      </c>
      <c r="O776" s="0" t="str">
        <f aca="false">IF(CSV貼付B!$N776="","",IF(COUNTIF(CSV貼付B!$N$5:$N776,CSV貼付B!$N776)&gt;1,"",MAX($O$4:O775)+1))</f>
        <v/>
      </c>
      <c r="Q776" s="0" t="str">
        <f aca="false">IF(ROW()-4&lt;=MAX($M$5:$M$1004),IFERROR(INDEX($N$5:$N$404,ROW()-4),""),IFERROR(INDEX($P$5:$P$404,ROW()-4-MAX($M$5:$M$1004)),""))</f>
        <v/>
      </c>
    </row>
    <row r="777" customFormat="false" ht="15" hidden="false" customHeight="false" outlineLevel="0" collapsed="false">
      <c r="M777" s="0" t="str">
        <f aca="false">IF(CSV貼付A!$N777="","",IF(COUNTIF(CSV貼付A!$N$5:$N777,CSV貼付A!$N777)&gt;1,"",MAX($M$4:M776)+1))</f>
        <v/>
      </c>
      <c r="O777" s="0" t="str">
        <f aca="false">IF(CSV貼付B!$N777="","",IF(COUNTIF(CSV貼付B!$N$5:$N777,CSV貼付B!$N777)&gt;1,"",MAX($O$4:O776)+1))</f>
        <v/>
      </c>
      <c r="Q777" s="0" t="str">
        <f aca="false">IF(ROW()-4&lt;=MAX($M$5:$M$1004),IFERROR(INDEX($N$5:$N$404,ROW()-4),""),IFERROR(INDEX($P$5:$P$404,ROW()-4-MAX($M$5:$M$1004)),""))</f>
        <v/>
      </c>
    </row>
    <row r="778" customFormat="false" ht="15" hidden="false" customHeight="false" outlineLevel="0" collapsed="false">
      <c r="M778" s="0" t="str">
        <f aca="false">IF(CSV貼付A!$N778="","",IF(COUNTIF(CSV貼付A!$N$5:$N778,CSV貼付A!$N778)&gt;1,"",MAX($M$4:M777)+1))</f>
        <v/>
      </c>
      <c r="O778" s="0" t="str">
        <f aca="false">IF(CSV貼付B!$N778="","",IF(COUNTIF(CSV貼付B!$N$5:$N778,CSV貼付B!$N778)&gt;1,"",MAX($O$4:O777)+1))</f>
        <v/>
      </c>
      <c r="Q778" s="0" t="str">
        <f aca="false">IF(ROW()-4&lt;=MAX($M$5:$M$1004),IFERROR(INDEX($N$5:$N$404,ROW()-4),""),IFERROR(INDEX($P$5:$P$404,ROW()-4-MAX($M$5:$M$1004)),""))</f>
        <v/>
      </c>
    </row>
    <row r="779" customFormat="false" ht="15" hidden="false" customHeight="false" outlineLevel="0" collapsed="false">
      <c r="M779" s="0" t="str">
        <f aca="false">IF(CSV貼付A!$N779="","",IF(COUNTIF(CSV貼付A!$N$5:$N779,CSV貼付A!$N779)&gt;1,"",MAX($M$4:M778)+1))</f>
        <v/>
      </c>
      <c r="O779" s="0" t="str">
        <f aca="false">IF(CSV貼付B!$N779="","",IF(COUNTIF(CSV貼付B!$N$5:$N779,CSV貼付B!$N779)&gt;1,"",MAX($O$4:O778)+1))</f>
        <v/>
      </c>
      <c r="Q779" s="0" t="str">
        <f aca="false">IF(ROW()-4&lt;=MAX($M$5:$M$1004),IFERROR(INDEX($N$5:$N$404,ROW()-4),""),IFERROR(INDEX($P$5:$P$404,ROW()-4-MAX($M$5:$M$1004)),""))</f>
        <v/>
      </c>
    </row>
    <row r="780" customFormat="false" ht="15" hidden="false" customHeight="false" outlineLevel="0" collapsed="false">
      <c r="M780" s="0" t="str">
        <f aca="false">IF(CSV貼付A!$N780="","",IF(COUNTIF(CSV貼付A!$N$5:$N780,CSV貼付A!$N780)&gt;1,"",MAX($M$4:M779)+1))</f>
        <v/>
      </c>
      <c r="O780" s="0" t="str">
        <f aca="false">IF(CSV貼付B!$N780="","",IF(COUNTIF(CSV貼付B!$N$5:$N780,CSV貼付B!$N780)&gt;1,"",MAX($O$4:O779)+1))</f>
        <v/>
      </c>
      <c r="Q780" s="0" t="str">
        <f aca="false">IF(ROW()-4&lt;=MAX($M$5:$M$1004),IFERROR(INDEX($N$5:$N$404,ROW()-4),""),IFERROR(INDEX($P$5:$P$404,ROW()-4-MAX($M$5:$M$1004)),""))</f>
        <v/>
      </c>
    </row>
    <row r="781" customFormat="false" ht="15" hidden="false" customHeight="false" outlineLevel="0" collapsed="false">
      <c r="M781" s="0" t="str">
        <f aca="false">IF(CSV貼付A!$N781="","",IF(COUNTIF(CSV貼付A!$N$5:$N781,CSV貼付A!$N781)&gt;1,"",MAX($M$4:M780)+1))</f>
        <v/>
      </c>
      <c r="O781" s="0" t="str">
        <f aca="false">IF(CSV貼付B!$N781="","",IF(COUNTIF(CSV貼付B!$N$5:$N781,CSV貼付B!$N781)&gt;1,"",MAX($O$4:O780)+1))</f>
        <v/>
      </c>
      <c r="Q781" s="0" t="str">
        <f aca="false">IF(ROW()-4&lt;=MAX($M$5:$M$1004),IFERROR(INDEX($N$5:$N$404,ROW()-4),""),IFERROR(INDEX($P$5:$P$404,ROW()-4-MAX($M$5:$M$1004)),""))</f>
        <v/>
      </c>
    </row>
    <row r="782" customFormat="false" ht="15" hidden="false" customHeight="false" outlineLevel="0" collapsed="false">
      <c r="M782" s="0" t="str">
        <f aca="false">IF(CSV貼付A!$N782="","",IF(COUNTIF(CSV貼付A!$N$5:$N782,CSV貼付A!$N782)&gt;1,"",MAX($M$4:M781)+1))</f>
        <v/>
      </c>
      <c r="O782" s="0" t="str">
        <f aca="false">IF(CSV貼付B!$N782="","",IF(COUNTIF(CSV貼付B!$N$5:$N782,CSV貼付B!$N782)&gt;1,"",MAX($O$4:O781)+1))</f>
        <v/>
      </c>
      <c r="Q782" s="0" t="str">
        <f aca="false">IF(ROW()-4&lt;=MAX($M$5:$M$1004),IFERROR(INDEX($N$5:$N$404,ROW()-4),""),IFERROR(INDEX($P$5:$P$404,ROW()-4-MAX($M$5:$M$1004)),""))</f>
        <v/>
      </c>
    </row>
    <row r="783" customFormat="false" ht="15" hidden="false" customHeight="false" outlineLevel="0" collapsed="false">
      <c r="M783" s="0" t="str">
        <f aca="false">IF(CSV貼付A!$N783="","",IF(COUNTIF(CSV貼付A!$N$5:$N783,CSV貼付A!$N783)&gt;1,"",MAX($M$4:M782)+1))</f>
        <v/>
      </c>
      <c r="O783" s="0" t="str">
        <f aca="false">IF(CSV貼付B!$N783="","",IF(COUNTIF(CSV貼付B!$N$5:$N783,CSV貼付B!$N783)&gt;1,"",MAX($O$4:O782)+1))</f>
        <v/>
      </c>
      <c r="Q783" s="0" t="str">
        <f aca="false">IF(ROW()-4&lt;=MAX($M$5:$M$1004),IFERROR(INDEX($N$5:$N$404,ROW()-4),""),IFERROR(INDEX($P$5:$P$404,ROW()-4-MAX($M$5:$M$1004)),""))</f>
        <v/>
      </c>
    </row>
    <row r="784" customFormat="false" ht="15" hidden="false" customHeight="false" outlineLevel="0" collapsed="false">
      <c r="M784" s="0" t="str">
        <f aca="false">IF(CSV貼付A!$N784="","",IF(COUNTIF(CSV貼付A!$N$5:$N784,CSV貼付A!$N784)&gt;1,"",MAX($M$4:M783)+1))</f>
        <v/>
      </c>
      <c r="O784" s="0" t="str">
        <f aca="false">IF(CSV貼付B!$N784="","",IF(COUNTIF(CSV貼付B!$N$5:$N784,CSV貼付B!$N784)&gt;1,"",MAX($O$4:O783)+1))</f>
        <v/>
      </c>
      <c r="Q784" s="0" t="str">
        <f aca="false">IF(ROW()-4&lt;=MAX($M$5:$M$1004),IFERROR(INDEX($N$5:$N$404,ROW()-4),""),IFERROR(INDEX($P$5:$P$404,ROW()-4-MAX($M$5:$M$1004)),""))</f>
        <v/>
      </c>
    </row>
    <row r="785" customFormat="false" ht="15" hidden="false" customHeight="false" outlineLevel="0" collapsed="false">
      <c r="M785" s="0" t="str">
        <f aca="false">IF(CSV貼付A!$N785="","",IF(COUNTIF(CSV貼付A!$N$5:$N785,CSV貼付A!$N785)&gt;1,"",MAX($M$4:M784)+1))</f>
        <v/>
      </c>
      <c r="O785" s="0" t="str">
        <f aca="false">IF(CSV貼付B!$N785="","",IF(COUNTIF(CSV貼付B!$N$5:$N785,CSV貼付B!$N785)&gt;1,"",MAX($O$4:O784)+1))</f>
        <v/>
      </c>
      <c r="Q785" s="0" t="str">
        <f aca="false">IF(ROW()-4&lt;=MAX($M$5:$M$1004),IFERROR(INDEX($N$5:$N$404,ROW()-4),""),IFERROR(INDEX($P$5:$P$404,ROW()-4-MAX($M$5:$M$1004)),""))</f>
        <v/>
      </c>
    </row>
    <row r="786" customFormat="false" ht="15" hidden="false" customHeight="false" outlineLevel="0" collapsed="false">
      <c r="M786" s="0" t="str">
        <f aca="false">IF(CSV貼付A!$N786="","",IF(COUNTIF(CSV貼付A!$N$5:$N786,CSV貼付A!$N786)&gt;1,"",MAX($M$4:M785)+1))</f>
        <v/>
      </c>
      <c r="O786" s="0" t="str">
        <f aca="false">IF(CSV貼付B!$N786="","",IF(COUNTIF(CSV貼付B!$N$5:$N786,CSV貼付B!$N786)&gt;1,"",MAX($O$4:O785)+1))</f>
        <v/>
      </c>
      <c r="Q786" s="0" t="str">
        <f aca="false">IF(ROW()-4&lt;=MAX($M$5:$M$1004),IFERROR(INDEX($N$5:$N$404,ROW()-4),""),IFERROR(INDEX($P$5:$P$404,ROW()-4-MAX($M$5:$M$1004)),""))</f>
        <v/>
      </c>
    </row>
    <row r="787" customFormat="false" ht="15" hidden="false" customHeight="false" outlineLevel="0" collapsed="false">
      <c r="M787" s="0" t="str">
        <f aca="false">IF(CSV貼付A!$N787="","",IF(COUNTIF(CSV貼付A!$N$5:$N787,CSV貼付A!$N787)&gt;1,"",MAX($M$4:M786)+1))</f>
        <v/>
      </c>
      <c r="O787" s="0" t="str">
        <f aca="false">IF(CSV貼付B!$N787="","",IF(COUNTIF(CSV貼付B!$N$5:$N787,CSV貼付B!$N787)&gt;1,"",MAX($O$4:O786)+1))</f>
        <v/>
      </c>
      <c r="Q787" s="0" t="str">
        <f aca="false">IF(ROW()-4&lt;=MAX($M$5:$M$1004),IFERROR(INDEX($N$5:$N$404,ROW()-4),""),IFERROR(INDEX($P$5:$P$404,ROW()-4-MAX($M$5:$M$1004)),""))</f>
        <v/>
      </c>
    </row>
    <row r="788" customFormat="false" ht="15" hidden="false" customHeight="false" outlineLevel="0" collapsed="false">
      <c r="M788" s="0" t="str">
        <f aca="false">IF(CSV貼付A!$N788="","",IF(COUNTIF(CSV貼付A!$N$5:$N788,CSV貼付A!$N788)&gt;1,"",MAX($M$4:M787)+1))</f>
        <v/>
      </c>
      <c r="O788" s="0" t="str">
        <f aca="false">IF(CSV貼付B!$N788="","",IF(COUNTIF(CSV貼付B!$N$5:$N788,CSV貼付B!$N788)&gt;1,"",MAX($O$4:O787)+1))</f>
        <v/>
      </c>
      <c r="Q788" s="0" t="str">
        <f aca="false">IF(ROW()-4&lt;=MAX($M$5:$M$1004),IFERROR(INDEX($N$5:$N$404,ROW()-4),""),IFERROR(INDEX($P$5:$P$404,ROW()-4-MAX($M$5:$M$1004)),""))</f>
        <v/>
      </c>
    </row>
    <row r="789" customFormat="false" ht="15" hidden="false" customHeight="false" outlineLevel="0" collapsed="false">
      <c r="M789" s="0" t="str">
        <f aca="false">IF(CSV貼付A!$N789="","",IF(COUNTIF(CSV貼付A!$N$5:$N789,CSV貼付A!$N789)&gt;1,"",MAX($M$4:M788)+1))</f>
        <v/>
      </c>
      <c r="O789" s="0" t="str">
        <f aca="false">IF(CSV貼付B!$N789="","",IF(COUNTIF(CSV貼付B!$N$5:$N789,CSV貼付B!$N789)&gt;1,"",MAX($O$4:O788)+1))</f>
        <v/>
      </c>
      <c r="Q789" s="0" t="str">
        <f aca="false">IF(ROW()-4&lt;=MAX($M$5:$M$1004),IFERROR(INDEX($N$5:$N$404,ROW()-4),""),IFERROR(INDEX($P$5:$P$404,ROW()-4-MAX($M$5:$M$1004)),""))</f>
        <v/>
      </c>
    </row>
    <row r="790" customFormat="false" ht="15" hidden="false" customHeight="false" outlineLevel="0" collapsed="false">
      <c r="M790" s="0" t="str">
        <f aca="false">IF(CSV貼付A!$N790="","",IF(COUNTIF(CSV貼付A!$N$5:$N790,CSV貼付A!$N790)&gt;1,"",MAX($M$4:M789)+1))</f>
        <v/>
      </c>
      <c r="O790" s="0" t="str">
        <f aca="false">IF(CSV貼付B!$N790="","",IF(COUNTIF(CSV貼付B!$N$5:$N790,CSV貼付B!$N790)&gt;1,"",MAX($O$4:O789)+1))</f>
        <v/>
      </c>
      <c r="Q790" s="0" t="str">
        <f aca="false">IF(ROW()-4&lt;=MAX($M$5:$M$1004),IFERROR(INDEX($N$5:$N$404,ROW()-4),""),IFERROR(INDEX($P$5:$P$404,ROW()-4-MAX($M$5:$M$1004)),""))</f>
        <v/>
      </c>
    </row>
    <row r="791" customFormat="false" ht="15" hidden="false" customHeight="false" outlineLevel="0" collapsed="false">
      <c r="M791" s="0" t="str">
        <f aca="false">IF(CSV貼付A!$N791="","",IF(COUNTIF(CSV貼付A!$N$5:$N791,CSV貼付A!$N791)&gt;1,"",MAX($M$4:M790)+1))</f>
        <v/>
      </c>
      <c r="O791" s="0" t="str">
        <f aca="false">IF(CSV貼付B!$N791="","",IF(COUNTIF(CSV貼付B!$N$5:$N791,CSV貼付B!$N791)&gt;1,"",MAX($O$4:O790)+1))</f>
        <v/>
      </c>
      <c r="Q791" s="0" t="str">
        <f aca="false">IF(ROW()-4&lt;=MAX($M$5:$M$1004),IFERROR(INDEX($N$5:$N$404,ROW()-4),""),IFERROR(INDEX($P$5:$P$404,ROW()-4-MAX($M$5:$M$1004)),""))</f>
        <v/>
      </c>
    </row>
    <row r="792" customFormat="false" ht="15" hidden="false" customHeight="false" outlineLevel="0" collapsed="false">
      <c r="M792" s="0" t="str">
        <f aca="false">IF(CSV貼付A!$N792="","",IF(COUNTIF(CSV貼付A!$N$5:$N792,CSV貼付A!$N792)&gt;1,"",MAX($M$4:M791)+1))</f>
        <v/>
      </c>
      <c r="O792" s="0" t="str">
        <f aca="false">IF(CSV貼付B!$N792="","",IF(COUNTIF(CSV貼付B!$N$5:$N792,CSV貼付B!$N792)&gt;1,"",MAX($O$4:O791)+1))</f>
        <v/>
      </c>
      <c r="Q792" s="0" t="str">
        <f aca="false">IF(ROW()-4&lt;=MAX($M$5:$M$1004),IFERROR(INDEX($N$5:$N$404,ROW()-4),""),IFERROR(INDEX($P$5:$P$404,ROW()-4-MAX($M$5:$M$1004)),""))</f>
        <v/>
      </c>
    </row>
    <row r="793" customFormat="false" ht="15" hidden="false" customHeight="false" outlineLevel="0" collapsed="false">
      <c r="M793" s="0" t="str">
        <f aca="false">IF(CSV貼付A!$N793="","",IF(COUNTIF(CSV貼付A!$N$5:$N793,CSV貼付A!$N793)&gt;1,"",MAX($M$4:M792)+1))</f>
        <v/>
      </c>
      <c r="O793" s="0" t="str">
        <f aca="false">IF(CSV貼付B!$N793="","",IF(COUNTIF(CSV貼付B!$N$5:$N793,CSV貼付B!$N793)&gt;1,"",MAX($O$4:O792)+1))</f>
        <v/>
      </c>
      <c r="Q793" s="0" t="str">
        <f aca="false">IF(ROW()-4&lt;=MAX($M$5:$M$1004),IFERROR(INDEX($N$5:$N$404,ROW()-4),""),IFERROR(INDEX($P$5:$P$404,ROW()-4-MAX($M$5:$M$1004)),""))</f>
        <v/>
      </c>
    </row>
    <row r="794" customFormat="false" ht="15" hidden="false" customHeight="false" outlineLevel="0" collapsed="false">
      <c r="M794" s="0" t="str">
        <f aca="false">IF(CSV貼付A!$N794="","",IF(COUNTIF(CSV貼付A!$N$5:$N794,CSV貼付A!$N794)&gt;1,"",MAX($M$4:M793)+1))</f>
        <v/>
      </c>
      <c r="O794" s="0" t="str">
        <f aca="false">IF(CSV貼付B!$N794="","",IF(COUNTIF(CSV貼付B!$N$5:$N794,CSV貼付B!$N794)&gt;1,"",MAX($O$4:O793)+1))</f>
        <v/>
      </c>
      <c r="Q794" s="0" t="str">
        <f aca="false">IF(ROW()-4&lt;=MAX($M$5:$M$1004),IFERROR(INDEX($N$5:$N$404,ROW()-4),""),IFERROR(INDEX($P$5:$P$404,ROW()-4-MAX($M$5:$M$1004)),""))</f>
        <v/>
      </c>
    </row>
    <row r="795" customFormat="false" ht="15" hidden="false" customHeight="false" outlineLevel="0" collapsed="false">
      <c r="M795" s="0" t="str">
        <f aca="false">IF(CSV貼付A!$N795="","",IF(COUNTIF(CSV貼付A!$N$5:$N795,CSV貼付A!$N795)&gt;1,"",MAX($M$4:M794)+1))</f>
        <v/>
      </c>
      <c r="O795" s="0" t="str">
        <f aca="false">IF(CSV貼付B!$N795="","",IF(COUNTIF(CSV貼付B!$N$5:$N795,CSV貼付B!$N795)&gt;1,"",MAX($O$4:O794)+1))</f>
        <v/>
      </c>
      <c r="Q795" s="0" t="str">
        <f aca="false">IF(ROW()-4&lt;=MAX($M$5:$M$1004),IFERROR(INDEX($N$5:$N$404,ROW()-4),""),IFERROR(INDEX($P$5:$P$404,ROW()-4-MAX($M$5:$M$1004)),""))</f>
        <v/>
      </c>
    </row>
    <row r="796" customFormat="false" ht="15" hidden="false" customHeight="false" outlineLevel="0" collapsed="false">
      <c r="M796" s="0" t="str">
        <f aca="false">IF(CSV貼付A!$N796="","",IF(COUNTIF(CSV貼付A!$N$5:$N796,CSV貼付A!$N796)&gt;1,"",MAX($M$4:M795)+1))</f>
        <v/>
      </c>
      <c r="O796" s="0" t="str">
        <f aca="false">IF(CSV貼付B!$N796="","",IF(COUNTIF(CSV貼付B!$N$5:$N796,CSV貼付B!$N796)&gt;1,"",MAX($O$4:O795)+1))</f>
        <v/>
      </c>
      <c r="Q796" s="0" t="str">
        <f aca="false">IF(ROW()-4&lt;=MAX($M$5:$M$1004),IFERROR(INDEX($N$5:$N$404,ROW()-4),""),IFERROR(INDEX($P$5:$P$404,ROW()-4-MAX($M$5:$M$1004)),""))</f>
        <v/>
      </c>
    </row>
    <row r="797" customFormat="false" ht="15" hidden="false" customHeight="false" outlineLevel="0" collapsed="false">
      <c r="M797" s="0" t="str">
        <f aca="false">IF(CSV貼付A!$N797="","",IF(COUNTIF(CSV貼付A!$N$5:$N797,CSV貼付A!$N797)&gt;1,"",MAX($M$4:M796)+1))</f>
        <v/>
      </c>
      <c r="O797" s="0" t="str">
        <f aca="false">IF(CSV貼付B!$N797="","",IF(COUNTIF(CSV貼付B!$N$5:$N797,CSV貼付B!$N797)&gt;1,"",MAX($O$4:O796)+1))</f>
        <v/>
      </c>
      <c r="Q797" s="0" t="str">
        <f aca="false">IF(ROW()-4&lt;=MAX($M$5:$M$1004),IFERROR(INDEX($N$5:$N$404,ROW()-4),""),IFERROR(INDEX($P$5:$P$404,ROW()-4-MAX($M$5:$M$1004)),""))</f>
        <v/>
      </c>
    </row>
    <row r="798" customFormat="false" ht="15" hidden="false" customHeight="false" outlineLevel="0" collapsed="false">
      <c r="M798" s="0" t="str">
        <f aca="false">IF(CSV貼付A!$N798="","",IF(COUNTIF(CSV貼付A!$N$5:$N798,CSV貼付A!$N798)&gt;1,"",MAX($M$4:M797)+1))</f>
        <v/>
      </c>
      <c r="O798" s="0" t="str">
        <f aca="false">IF(CSV貼付B!$N798="","",IF(COUNTIF(CSV貼付B!$N$5:$N798,CSV貼付B!$N798)&gt;1,"",MAX($O$4:O797)+1))</f>
        <v/>
      </c>
      <c r="Q798" s="0" t="str">
        <f aca="false">IF(ROW()-4&lt;=MAX($M$5:$M$1004),IFERROR(INDEX($N$5:$N$404,ROW()-4),""),IFERROR(INDEX($P$5:$P$404,ROW()-4-MAX($M$5:$M$1004)),""))</f>
        <v/>
      </c>
    </row>
    <row r="799" customFormat="false" ht="15" hidden="false" customHeight="false" outlineLevel="0" collapsed="false">
      <c r="M799" s="0" t="str">
        <f aca="false">IF(CSV貼付A!$N799="","",IF(COUNTIF(CSV貼付A!$N$5:$N799,CSV貼付A!$N799)&gt;1,"",MAX($M$4:M798)+1))</f>
        <v/>
      </c>
      <c r="O799" s="0" t="str">
        <f aca="false">IF(CSV貼付B!$N799="","",IF(COUNTIF(CSV貼付B!$N$5:$N799,CSV貼付B!$N799)&gt;1,"",MAX($O$4:O798)+1))</f>
        <v/>
      </c>
      <c r="Q799" s="0" t="str">
        <f aca="false">IF(ROW()-4&lt;=MAX($M$5:$M$1004),IFERROR(INDEX($N$5:$N$404,ROW()-4),""),IFERROR(INDEX($P$5:$P$404,ROW()-4-MAX($M$5:$M$1004)),""))</f>
        <v/>
      </c>
    </row>
    <row r="800" customFormat="false" ht="15" hidden="false" customHeight="false" outlineLevel="0" collapsed="false">
      <c r="M800" s="0" t="str">
        <f aca="false">IF(CSV貼付A!$N800="","",IF(COUNTIF(CSV貼付A!$N$5:$N800,CSV貼付A!$N800)&gt;1,"",MAX($M$4:M799)+1))</f>
        <v/>
      </c>
      <c r="O800" s="0" t="str">
        <f aca="false">IF(CSV貼付B!$N800="","",IF(COUNTIF(CSV貼付B!$N$5:$N800,CSV貼付B!$N800)&gt;1,"",MAX($O$4:O799)+1))</f>
        <v/>
      </c>
      <c r="Q800" s="0" t="str">
        <f aca="false">IF(ROW()-4&lt;=MAX($M$5:$M$1004),IFERROR(INDEX($N$5:$N$404,ROW()-4),""),IFERROR(INDEX($P$5:$P$404,ROW()-4-MAX($M$5:$M$1004)),""))</f>
        <v/>
      </c>
    </row>
    <row r="801" customFormat="false" ht="15" hidden="false" customHeight="false" outlineLevel="0" collapsed="false">
      <c r="M801" s="0" t="str">
        <f aca="false">IF(CSV貼付A!$N801="","",IF(COUNTIF(CSV貼付A!$N$5:$N801,CSV貼付A!$N801)&gt;1,"",MAX($M$4:M800)+1))</f>
        <v/>
      </c>
      <c r="O801" s="0" t="str">
        <f aca="false">IF(CSV貼付B!$N801="","",IF(COUNTIF(CSV貼付B!$N$5:$N801,CSV貼付B!$N801)&gt;1,"",MAX($O$4:O800)+1))</f>
        <v/>
      </c>
      <c r="Q801" s="0" t="str">
        <f aca="false">IF(ROW()-4&lt;=MAX($M$5:$M$1004),IFERROR(INDEX($N$5:$N$404,ROW()-4),""),IFERROR(INDEX($P$5:$P$404,ROW()-4-MAX($M$5:$M$1004)),""))</f>
        <v/>
      </c>
    </row>
    <row r="802" customFormat="false" ht="15" hidden="false" customHeight="false" outlineLevel="0" collapsed="false">
      <c r="M802" s="0" t="str">
        <f aca="false">IF(CSV貼付A!$N802="","",IF(COUNTIF(CSV貼付A!$N$5:$N802,CSV貼付A!$N802)&gt;1,"",MAX($M$4:M801)+1))</f>
        <v/>
      </c>
      <c r="O802" s="0" t="str">
        <f aca="false">IF(CSV貼付B!$N802="","",IF(COUNTIF(CSV貼付B!$N$5:$N802,CSV貼付B!$N802)&gt;1,"",MAX($O$4:O801)+1))</f>
        <v/>
      </c>
      <c r="Q802" s="0" t="str">
        <f aca="false">IF(ROW()-4&lt;=MAX($M$5:$M$1004),IFERROR(INDEX($N$5:$N$404,ROW()-4),""),IFERROR(INDEX($P$5:$P$404,ROW()-4-MAX($M$5:$M$1004)),""))</f>
        <v/>
      </c>
    </row>
    <row r="803" customFormat="false" ht="15" hidden="false" customHeight="false" outlineLevel="0" collapsed="false">
      <c r="M803" s="0" t="str">
        <f aca="false">IF(CSV貼付A!$N803="","",IF(COUNTIF(CSV貼付A!$N$5:$N803,CSV貼付A!$N803)&gt;1,"",MAX($M$4:M802)+1))</f>
        <v/>
      </c>
      <c r="O803" s="0" t="str">
        <f aca="false">IF(CSV貼付B!$N803="","",IF(COUNTIF(CSV貼付B!$N$5:$N803,CSV貼付B!$N803)&gt;1,"",MAX($O$4:O802)+1))</f>
        <v/>
      </c>
      <c r="Q803" s="0" t="str">
        <f aca="false">IF(ROW()-4&lt;=MAX($M$5:$M$1004),IFERROR(INDEX($N$5:$N$404,ROW()-4),""),IFERROR(INDEX($P$5:$P$404,ROW()-4-MAX($M$5:$M$1004)),""))</f>
        <v/>
      </c>
    </row>
    <row r="804" customFormat="false" ht="15" hidden="false" customHeight="false" outlineLevel="0" collapsed="false">
      <c r="M804" s="0" t="str">
        <f aca="false">IF(CSV貼付A!$N804="","",IF(COUNTIF(CSV貼付A!$N$5:$N804,CSV貼付A!$N804)&gt;1,"",MAX($M$4:M803)+1))</f>
        <v/>
      </c>
      <c r="O804" s="0" t="str">
        <f aca="false">IF(CSV貼付B!$N804="","",IF(COUNTIF(CSV貼付B!$N$5:$N804,CSV貼付B!$N804)&gt;1,"",MAX($O$4:O803)+1))</f>
        <v/>
      </c>
      <c r="Q804" s="0" t="str">
        <f aca="false">IF(ROW()-4&lt;=MAX($M$5:$M$1004),IFERROR(INDEX($N$5:$N$404,ROW()-4),""),IFERROR(INDEX($P$5:$P$404,ROW()-4-MAX($M$5:$M$1004)),""))</f>
        <v/>
      </c>
    </row>
    <row r="805" customFormat="false" ht="15" hidden="false" customHeight="false" outlineLevel="0" collapsed="false">
      <c r="M805" s="0" t="str">
        <f aca="false">IF(CSV貼付A!$N805="","",IF(COUNTIF(CSV貼付A!$N$5:$N805,CSV貼付A!$N805)&gt;1,"",MAX($M$4:M804)+1))</f>
        <v/>
      </c>
      <c r="O805" s="0" t="str">
        <f aca="false">IF(CSV貼付B!$N805="","",IF(COUNTIF(CSV貼付B!$N$5:$N805,CSV貼付B!$N805)&gt;1,"",MAX($O$4:O804)+1))</f>
        <v/>
      </c>
    </row>
    <row r="806" customFormat="false" ht="15" hidden="false" customHeight="false" outlineLevel="0" collapsed="false">
      <c r="M806" s="0" t="str">
        <f aca="false">IF(CSV貼付A!$N806="","",IF(COUNTIF(CSV貼付A!$N$5:$N806,CSV貼付A!$N806)&gt;1,"",MAX($M$4:M805)+1))</f>
        <v/>
      </c>
      <c r="O806" s="0" t="str">
        <f aca="false">IF(CSV貼付B!$N806="","",IF(COUNTIF(CSV貼付B!$N$5:$N806,CSV貼付B!$N806)&gt;1,"",MAX($O$4:O805)+1))</f>
        <v/>
      </c>
    </row>
    <row r="807" customFormat="false" ht="15" hidden="false" customHeight="false" outlineLevel="0" collapsed="false">
      <c r="M807" s="0" t="str">
        <f aca="false">IF(CSV貼付A!$N807="","",IF(COUNTIF(CSV貼付A!$N$5:$N807,CSV貼付A!$N807)&gt;1,"",MAX($M$4:M806)+1))</f>
        <v/>
      </c>
      <c r="O807" s="0" t="str">
        <f aca="false">IF(CSV貼付B!$N807="","",IF(COUNTIF(CSV貼付B!$N$5:$N807,CSV貼付B!$N807)&gt;1,"",MAX($O$4:O806)+1))</f>
        <v/>
      </c>
    </row>
    <row r="808" customFormat="false" ht="15" hidden="false" customHeight="false" outlineLevel="0" collapsed="false">
      <c r="M808" s="0" t="str">
        <f aca="false">IF(CSV貼付A!$N808="","",IF(COUNTIF(CSV貼付A!$N$5:$N808,CSV貼付A!$N808)&gt;1,"",MAX($M$4:M807)+1))</f>
        <v/>
      </c>
      <c r="O808" s="0" t="str">
        <f aca="false">IF(CSV貼付B!$N808="","",IF(COUNTIF(CSV貼付B!$N$5:$N808,CSV貼付B!$N808)&gt;1,"",MAX($O$4:O807)+1))</f>
        <v/>
      </c>
    </row>
    <row r="809" customFormat="false" ht="15" hidden="false" customHeight="false" outlineLevel="0" collapsed="false">
      <c r="M809" s="0" t="str">
        <f aca="false">IF(CSV貼付A!$N809="","",IF(COUNTIF(CSV貼付A!$N$5:$N809,CSV貼付A!$N809)&gt;1,"",MAX($M$4:M808)+1))</f>
        <v/>
      </c>
      <c r="O809" s="0" t="str">
        <f aca="false">IF(CSV貼付B!$N809="","",IF(COUNTIF(CSV貼付B!$N$5:$N809,CSV貼付B!$N809)&gt;1,"",MAX($O$4:O808)+1))</f>
        <v/>
      </c>
    </row>
    <row r="810" customFormat="false" ht="15" hidden="false" customHeight="false" outlineLevel="0" collapsed="false">
      <c r="M810" s="0" t="str">
        <f aca="false">IF(CSV貼付A!$N810="","",IF(COUNTIF(CSV貼付A!$N$5:$N810,CSV貼付A!$N810)&gt;1,"",MAX($M$4:M809)+1))</f>
        <v/>
      </c>
      <c r="O810" s="0" t="str">
        <f aca="false">IF(CSV貼付B!$N810="","",IF(COUNTIF(CSV貼付B!$N$5:$N810,CSV貼付B!$N810)&gt;1,"",MAX($O$4:O809)+1))</f>
        <v/>
      </c>
    </row>
    <row r="811" customFormat="false" ht="15" hidden="false" customHeight="false" outlineLevel="0" collapsed="false">
      <c r="M811" s="0" t="str">
        <f aca="false">IF(CSV貼付A!$N811="","",IF(COUNTIF(CSV貼付A!$N$5:$N811,CSV貼付A!$N811)&gt;1,"",MAX($M$4:M810)+1))</f>
        <v/>
      </c>
      <c r="O811" s="0" t="str">
        <f aca="false">IF(CSV貼付B!$N811="","",IF(COUNTIF(CSV貼付B!$N$5:$N811,CSV貼付B!$N811)&gt;1,"",MAX($O$4:O810)+1))</f>
        <v/>
      </c>
    </row>
    <row r="812" customFormat="false" ht="15" hidden="false" customHeight="false" outlineLevel="0" collapsed="false">
      <c r="M812" s="0" t="str">
        <f aca="false">IF(CSV貼付A!$N812="","",IF(COUNTIF(CSV貼付A!$N$5:$N812,CSV貼付A!$N812)&gt;1,"",MAX($M$4:M811)+1))</f>
        <v/>
      </c>
      <c r="O812" s="0" t="str">
        <f aca="false">IF(CSV貼付B!$N812="","",IF(COUNTIF(CSV貼付B!$N$5:$N812,CSV貼付B!$N812)&gt;1,"",MAX($O$4:O811)+1))</f>
        <v/>
      </c>
    </row>
    <row r="813" customFormat="false" ht="15" hidden="false" customHeight="false" outlineLevel="0" collapsed="false">
      <c r="M813" s="0" t="str">
        <f aca="false">IF(CSV貼付A!$N813="","",IF(COUNTIF(CSV貼付A!$N$5:$N813,CSV貼付A!$N813)&gt;1,"",MAX($M$4:M812)+1))</f>
        <v/>
      </c>
      <c r="O813" s="0" t="str">
        <f aca="false">IF(CSV貼付B!$N813="","",IF(COUNTIF(CSV貼付B!$N$5:$N813,CSV貼付B!$N813)&gt;1,"",MAX($O$4:O812)+1))</f>
        <v/>
      </c>
    </row>
    <row r="814" customFormat="false" ht="15" hidden="false" customHeight="false" outlineLevel="0" collapsed="false">
      <c r="M814" s="0" t="str">
        <f aca="false">IF(CSV貼付A!$N814="","",IF(COUNTIF(CSV貼付A!$N$5:$N814,CSV貼付A!$N814)&gt;1,"",MAX($M$4:M813)+1))</f>
        <v/>
      </c>
      <c r="O814" s="0" t="str">
        <f aca="false">IF(CSV貼付B!$N814="","",IF(COUNTIF(CSV貼付B!$N$5:$N814,CSV貼付B!$N814)&gt;1,"",MAX($O$4:O813)+1))</f>
        <v/>
      </c>
    </row>
    <row r="815" customFormat="false" ht="15" hidden="false" customHeight="false" outlineLevel="0" collapsed="false">
      <c r="M815" s="0" t="str">
        <f aca="false">IF(CSV貼付A!$N815="","",IF(COUNTIF(CSV貼付A!$N$5:$N815,CSV貼付A!$N815)&gt;1,"",MAX($M$4:M814)+1))</f>
        <v/>
      </c>
      <c r="O815" s="0" t="str">
        <f aca="false">IF(CSV貼付B!$N815="","",IF(COUNTIF(CSV貼付B!$N$5:$N815,CSV貼付B!$N815)&gt;1,"",MAX($O$4:O814)+1))</f>
        <v/>
      </c>
    </row>
    <row r="816" customFormat="false" ht="15" hidden="false" customHeight="false" outlineLevel="0" collapsed="false">
      <c r="M816" s="0" t="str">
        <f aca="false">IF(CSV貼付A!$N816="","",IF(COUNTIF(CSV貼付A!$N$5:$N816,CSV貼付A!$N816)&gt;1,"",MAX($M$4:M815)+1))</f>
        <v/>
      </c>
      <c r="O816" s="0" t="str">
        <f aca="false">IF(CSV貼付B!$N816="","",IF(COUNTIF(CSV貼付B!$N$5:$N816,CSV貼付B!$N816)&gt;1,"",MAX($O$4:O815)+1))</f>
        <v/>
      </c>
    </row>
    <row r="817" customFormat="false" ht="15" hidden="false" customHeight="false" outlineLevel="0" collapsed="false">
      <c r="M817" s="0" t="str">
        <f aca="false">IF(CSV貼付A!$N817="","",IF(COUNTIF(CSV貼付A!$N$5:$N817,CSV貼付A!$N817)&gt;1,"",MAX($M$4:M816)+1))</f>
        <v/>
      </c>
      <c r="O817" s="0" t="str">
        <f aca="false">IF(CSV貼付B!$N817="","",IF(COUNTIF(CSV貼付B!$N$5:$N817,CSV貼付B!$N817)&gt;1,"",MAX($O$4:O816)+1))</f>
        <v/>
      </c>
    </row>
    <row r="818" customFormat="false" ht="15" hidden="false" customHeight="false" outlineLevel="0" collapsed="false">
      <c r="M818" s="0" t="str">
        <f aca="false">IF(CSV貼付A!$N818="","",IF(COUNTIF(CSV貼付A!$N$5:$N818,CSV貼付A!$N818)&gt;1,"",MAX($M$4:M817)+1))</f>
        <v/>
      </c>
      <c r="O818" s="0" t="str">
        <f aca="false">IF(CSV貼付B!$N818="","",IF(COUNTIF(CSV貼付B!$N$5:$N818,CSV貼付B!$N818)&gt;1,"",MAX($O$4:O817)+1))</f>
        <v/>
      </c>
    </row>
    <row r="819" customFormat="false" ht="15" hidden="false" customHeight="false" outlineLevel="0" collapsed="false">
      <c r="M819" s="0" t="str">
        <f aca="false">IF(CSV貼付A!$N819="","",IF(COUNTIF(CSV貼付A!$N$5:$N819,CSV貼付A!$N819)&gt;1,"",MAX($M$4:M818)+1))</f>
        <v/>
      </c>
      <c r="O819" s="0" t="str">
        <f aca="false">IF(CSV貼付B!$N819="","",IF(COUNTIF(CSV貼付B!$N$5:$N819,CSV貼付B!$N819)&gt;1,"",MAX($O$4:O818)+1))</f>
        <v/>
      </c>
    </row>
    <row r="820" customFormat="false" ht="15" hidden="false" customHeight="false" outlineLevel="0" collapsed="false">
      <c r="M820" s="0" t="str">
        <f aca="false">IF(CSV貼付A!$N820="","",IF(COUNTIF(CSV貼付A!$N$5:$N820,CSV貼付A!$N820)&gt;1,"",MAX($M$4:M819)+1))</f>
        <v/>
      </c>
      <c r="O820" s="0" t="str">
        <f aca="false">IF(CSV貼付B!$N820="","",IF(COUNTIF(CSV貼付B!$N$5:$N820,CSV貼付B!$N820)&gt;1,"",MAX($O$4:O819)+1))</f>
        <v/>
      </c>
    </row>
    <row r="821" customFormat="false" ht="15" hidden="false" customHeight="false" outlineLevel="0" collapsed="false">
      <c r="M821" s="0" t="str">
        <f aca="false">IF(CSV貼付A!$N821="","",IF(COUNTIF(CSV貼付A!$N$5:$N821,CSV貼付A!$N821)&gt;1,"",MAX($M$4:M820)+1))</f>
        <v/>
      </c>
      <c r="O821" s="0" t="str">
        <f aca="false">IF(CSV貼付B!$N821="","",IF(COUNTIF(CSV貼付B!$N$5:$N821,CSV貼付B!$N821)&gt;1,"",MAX($O$4:O820)+1))</f>
        <v/>
      </c>
    </row>
    <row r="822" customFormat="false" ht="15" hidden="false" customHeight="false" outlineLevel="0" collapsed="false">
      <c r="M822" s="0" t="str">
        <f aca="false">IF(CSV貼付A!$N822="","",IF(COUNTIF(CSV貼付A!$N$5:$N822,CSV貼付A!$N822)&gt;1,"",MAX($M$4:M821)+1))</f>
        <v/>
      </c>
      <c r="O822" s="0" t="str">
        <f aca="false">IF(CSV貼付B!$N822="","",IF(COUNTIF(CSV貼付B!$N$5:$N822,CSV貼付B!$N822)&gt;1,"",MAX($O$4:O821)+1))</f>
        <v/>
      </c>
    </row>
    <row r="823" customFormat="false" ht="15" hidden="false" customHeight="false" outlineLevel="0" collapsed="false">
      <c r="M823" s="0" t="str">
        <f aca="false">IF(CSV貼付A!$N823="","",IF(COUNTIF(CSV貼付A!$N$5:$N823,CSV貼付A!$N823)&gt;1,"",MAX($M$4:M822)+1))</f>
        <v/>
      </c>
      <c r="O823" s="0" t="str">
        <f aca="false">IF(CSV貼付B!$N823="","",IF(COUNTIF(CSV貼付B!$N$5:$N823,CSV貼付B!$N823)&gt;1,"",MAX($O$4:O822)+1))</f>
        <v/>
      </c>
    </row>
    <row r="824" customFormat="false" ht="15" hidden="false" customHeight="false" outlineLevel="0" collapsed="false">
      <c r="M824" s="0" t="str">
        <f aca="false">IF(CSV貼付A!$N824="","",IF(COUNTIF(CSV貼付A!$N$5:$N824,CSV貼付A!$N824)&gt;1,"",MAX($M$4:M823)+1))</f>
        <v/>
      </c>
      <c r="O824" s="0" t="str">
        <f aca="false">IF(CSV貼付B!$N824="","",IF(COUNTIF(CSV貼付B!$N$5:$N824,CSV貼付B!$N824)&gt;1,"",MAX($O$4:O823)+1))</f>
        <v/>
      </c>
    </row>
    <row r="825" customFormat="false" ht="15" hidden="false" customHeight="false" outlineLevel="0" collapsed="false">
      <c r="M825" s="0" t="str">
        <f aca="false">IF(CSV貼付A!$N825="","",IF(COUNTIF(CSV貼付A!$N$5:$N825,CSV貼付A!$N825)&gt;1,"",MAX($M$4:M824)+1))</f>
        <v/>
      </c>
      <c r="O825" s="0" t="str">
        <f aca="false">IF(CSV貼付B!$N825="","",IF(COUNTIF(CSV貼付B!$N$5:$N825,CSV貼付B!$N825)&gt;1,"",MAX($O$4:O824)+1))</f>
        <v/>
      </c>
    </row>
    <row r="826" customFormat="false" ht="15" hidden="false" customHeight="false" outlineLevel="0" collapsed="false">
      <c r="M826" s="0" t="str">
        <f aca="false">IF(CSV貼付A!$N826="","",IF(COUNTIF(CSV貼付A!$N$5:$N826,CSV貼付A!$N826)&gt;1,"",MAX($M$4:M825)+1))</f>
        <v/>
      </c>
      <c r="O826" s="0" t="str">
        <f aca="false">IF(CSV貼付B!$N826="","",IF(COUNTIF(CSV貼付B!$N$5:$N826,CSV貼付B!$N826)&gt;1,"",MAX($O$4:O825)+1))</f>
        <v/>
      </c>
    </row>
    <row r="827" customFormat="false" ht="15" hidden="false" customHeight="false" outlineLevel="0" collapsed="false">
      <c r="M827" s="0" t="str">
        <f aca="false">IF(CSV貼付A!$N827="","",IF(COUNTIF(CSV貼付A!$N$5:$N827,CSV貼付A!$N827)&gt;1,"",MAX($M$4:M826)+1))</f>
        <v/>
      </c>
      <c r="O827" s="0" t="str">
        <f aca="false">IF(CSV貼付B!$N827="","",IF(COUNTIF(CSV貼付B!$N$5:$N827,CSV貼付B!$N827)&gt;1,"",MAX($O$4:O826)+1))</f>
        <v/>
      </c>
    </row>
    <row r="828" customFormat="false" ht="15" hidden="false" customHeight="false" outlineLevel="0" collapsed="false">
      <c r="M828" s="0" t="str">
        <f aca="false">IF(CSV貼付A!$N828="","",IF(COUNTIF(CSV貼付A!$N$5:$N828,CSV貼付A!$N828)&gt;1,"",MAX($M$4:M827)+1))</f>
        <v/>
      </c>
      <c r="O828" s="0" t="str">
        <f aca="false">IF(CSV貼付B!$N828="","",IF(COUNTIF(CSV貼付B!$N$5:$N828,CSV貼付B!$N828)&gt;1,"",MAX($O$4:O827)+1))</f>
        <v/>
      </c>
    </row>
    <row r="829" customFormat="false" ht="15" hidden="false" customHeight="false" outlineLevel="0" collapsed="false">
      <c r="M829" s="0" t="str">
        <f aca="false">IF(CSV貼付A!$N829="","",IF(COUNTIF(CSV貼付A!$N$5:$N829,CSV貼付A!$N829)&gt;1,"",MAX($M$4:M828)+1))</f>
        <v/>
      </c>
      <c r="O829" s="0" t="str">
        <f aca="false">IF(CSV貼付B!$N829="","",IF(COUNTIF(CSV貼付B!$N$5:$N829,CSV貼付B!$N829)&gt;1,"",MAX($O$4:O828)+1))</f>
        <v/>
      </c>
    </row>
    <row r="830" customFormat="false" ht="15" hidden="false" customHeight="false" outlineLevel="0" collapsed="false">
      <c r="M830" s="0" t="str">
        <f aca="false">IF(CSV貼付A!$N830="","",IF(COUNTIF(CSV貼付A!$N$5:$N830,CSV貼付A!$N830)&gt;1,"",MAX($M$4:M829)+1))</f>
        <v/>
      </c>
      <c r="O830" s="0" t="str">
        <f aca="false">IF(CSV貼付B!$N830="","",IF(COUNTIF(CSV貼付B!$N$5:$N830,CSV貼付B!$N830)&gt;1,"",MAX($O$4:O829)+1))</f>
        <v/>
      </c>
    </row>
    <row r="831" customFormat="false" ht="15" hidden="false" customHeight="false" outlineLevel="0" collapsed="false">
      <c r="M831" s="0" t="str">
        <f aca="false">IF(CSV貼付A!$N831="","",IF(COUNTIF(CSV貼付A!$N$5:$N831,CSV貼付A!$N831)&gt;1,"",MAX($M$4:M830)+1))</f>
        <v/>
      </c>
      <c r="O831" s="0" t="str">
        <f aca="false">IF(CSV貼付B!$N831="","",IF(COUNTIF(CSV貼付B!$N$5:$N831,CSV貼付B!$N831)&gt;1,"",MAX($O$4:O830)+1))</f>
        <v/>
      </c>
    </row>
    <row r="832" customFormat="false" ht="15" hidden="false" customHeight="false" outlineLevel="0" collapsed="false">
      <c r="M832" s="0" t="str">
        <f aca="false">IF(CSV貼付A!$N832="","",IF(COUNTIF(CSV貼付A!$N$5:$N832,CSV貼付A!$N832)&gt;1,"",MAX($M$4:M831)+1))</f>
        <v/>
      </c>
      <c r="O832" s="0" t="str">
        <f aca="false">IF(CSV貼付B!$N832="","",IF(COUNTIF(CSV貼付B!$N$5:$N832,CSV貼付B!$N832)&gt;1,"",MAX($O$4:O831)+1))</f>
        <v/>
      </c>
    </row>
    <row r="833" customFormat="false" ht="15" hidden="false" customHeight="false" outlineLevel="0" collapsed="false">
      <c r="M833" s="0" t="str">
        <f aca="false">IF(CSV貼付A!$N833="","",IF(COUNTIF(CSV貼付A!$N$5:$N833,CSV貼付A!$N833)&gt;1,"",MAX($M$4:M832)+1))</f>
        <v/>
      </c>
      <c r="O833" s="0" t="str">
        <f aca="false">IF(CSV貼付B!$N833="","",IF(COUNTIF(CSV貼付B!$N$5:$N833,CSV貼付B!$N833)&gt;1,"",MAX($O$4:O832)+1))</f>
        <v/>
      </c>
    </row>
    <row r="834" customFormat="false" ht="15" hidden="false" customHeight="false" outlineLevel="0" collapsed="false">
      <c r="M834" s="0" t="str">
        <f aca="false">IF(CSV貼付A!$N834="","",IF(COUNTIF(CSV貼付A!$N$5:$N834,CSV貼付A!$N834)&gt;1,"",MAX($M$4:M833)+1))</f>
        <v/>
      </c>
      <c r="O834" s="0" t="str">
        <f aca="false">IF(CSV貼付B!$N834="","",IF(COUNTIF(CSV貼付B!$N$5:$N834,CSV貼付B!$N834)&gt;1,"",MAX($O$4:O833)+1))</f>
        <v/>
      </c>
    </row>
    <row r="835" customFormat="false" ht="15" hidden="false" customHeight="false" outlineLevel="0" collapsed="false">
      <c r="M835" s="0" t="str">
        <f aca="false">IF(CSV貼付A!$N835="","",IF(COUNTIF(CSV貼付A!$N$5:$N835,CSV貼付A!$N835)&gt;1,"",MAX($M$4:M834)+1))</f>
        <v/>
      </c>
      <c r="O835" s="0" t="str">
        <f aca="false">IF(CSV貼付B!$N835="","",IF(COUNTIF(CSV貼付B!$N$5:$N835,CSV貼付B!$N835)&gt;1,"",MAX($O$4:O834)+1))</f>
        <v/>
      </c>
    </row>
    <row r="836" customFormat="false" ht="15" hidden="false" customHeight="false" outlineLevel="0" collapsed="false">
      <c r="M836" s="0" t="str">
        <f aca="false">IF(CSV貼付A!$N836="","",IF(COUNTIF(CSV貼付A!$N$5:$N836,CSV貼付A!$N836)&gt;1,"",MAX($M$4:M835)+1))</f>
        <v/>
      </c>
      <c r="O836" s="0" t="str">
        <f aca="false">IF(CSV貼付B!$N836="","",IF(COUNTIF(CSV貼付B!$N$5:$N836,CSV貼付B!$N836)&gt;1,"",MAX($O$4:O835)+1))</f>
        <v/>
      </c>
    </row>
    <row r="837" customFormat="false" ht="15" hidden="false" customHeight="false" outlineLevel="0" collapsed="false">
      <c r="M837" s="0" t="str">
        <f aca="false">IF(CSV貼付A!$N837="","",IF(COUNTIF(CSV貼付A!$N$5:$N837,CSV貼付A!$N837)&gt;1,"",MAX($M$4:M836)+1))</f>
        <v/>
      </c>
      <c r="O837" s="0" t="str">
        <f aca="false">IF(CSV貼付B!$N837="","",IF(COUNTIF(CSV貼付B!$N$5:$N837,CSV貼付B!$N837)&gt;1,"",MAX($O$4:O836)+1))</f>
        <v/>
      </c>
    </row>
    <row r="838" customFormat="false" ht="15" hidden="false" customHeight="false" outlineLevel="0" collapsed="false">
      <c r="M838" s="0" t="str">
        <f aca="false">IF(CSV貼付A!$N838="","",IF(COUNTIF(CSV貼付A!$N$5:$N838,CSV貼付A!$N838)&gt;1,"",MAX($M$4:M837)+1))</f>
        <v/>
      </c>
      <c r="O838" s="0" t="str">
        <f aca="false">IF(CSV貼付B!$N838="","",IF(COUNTIF(CSV貼付B!$N$5:$N838,CSV貼付B!$N838)&gt;1,"",MAX($O$4:O837)+1))</f>
        <v/>
      </c>
    </row>
    <row r="839" customFormat="false" ht="15" hidden="false" customHeight="false" outlineLevel="0" collapsed="false">
      <c r="M839" s="0" t="str">
        <f aca="false">IF(CSV貼付A!$N839="","",IF(COUNTIF(CSV貼付A!$N$5:$N839,CSV貼付A!$N839)&gt;1,"",MAX($M$4:M838)+1))</f>
        <v/>
      </c>
      <c r="O839" s="0" t="str">
        <f aca="false">IF(CSV貼付B!$N839="","",IF(COUNTIF(CSV貼付B!$N$5:$N839,CSV貼付B!$N839)&gt;1,"",MAX($O$4:O838)+1))</f>
        <v/>
      </c>
    </row>
    <row r="840" customFormat="false" ht="15" hidden="false" customHeight="false" outlineLevel="0" collapsed="false">
      <c r="M840" s="0" t="str">
        <f aca="false">IF(CSV貼付A!$N840="","",IF(COUNTIF(CSV貼付A!$N$5:$N840,CSV貼付A!$N840)&gt;1,"",MAX($M$4:M839)+1))</f>
        <v/>
      </c>
      <c r="O840" s="0" t="str">
        <f aca="false">IF(CSV貼付B!$N840="","",IF(COUNTIF(CSV貼付B!$N$5:$N840,CSV貼付B!$N840)&gt;1,"",MAX($O$4:O839)+1))</f>
        <v/>
      </c>
    </row>
    <row r="841" customFormat="false" ht="15" hidden="false" customHeight="false" outlineLevel="0" collapsed="false">
      <c r="M841" s="0" t="str">
        <f aca="false">IF(CSV貼付A!$N841="","",IF(COUNTIF(CSV貼付A!$N$5:$N841,CSV貼付A!$N841)&gt;1,"",MAX($M$4:M840)+1))</f>
        <v/>
      </c>
      <c r="O841" s="0" t="str">
        <f aca="false">IF(CSV貼付B!$N841="","",IF(COUNTIF(CSV貼付B!$N$5:$N841,CSV貼付B!$N841)&gt;1,"",MAX($O$4:O840)+1))</f>
        <v/>
      </c>
    </row>
    <row r="842" customFormat="false" ht="15" hidden="false" customHeight="false" outlineLevel="0" collapsed="false">
      <c r="M842" s="0" t="str">
        <f aca="false">IF(CSV貼付A!$N842="","",IF(COUNTIF(CSV貼付A!$N$5:$N842,CSV貼付A!$N842)&gt;1,"",MAX($M$4:M841)+1))</f>
        <v/>
      </c>
      <c r="O842" s="0" t="str">
        <f aca="false">IF(CSV貼付B!$N842="","",IF(COUNTIF(CSV貼付B!$N$5:$N842,CSV貼付B!$N842)&gt;1,"",MAX($O$4:O841)+1))</f>
        <v/>
      </c>
    </row>
    <row r="843" customFormat="false" ht="15" hidden="false" customHeight="false" outlineLevel="0" collapsed="false">
      <c r="M843" s="0" t="str">
        <f aca="false">IF(CSV貼付A!$N843="","",IF(COUNTIF(CSV貼付A!$N$5:$N843,CSV貼付A!$N843)&gt;1,"",MAX($M$4:M842)+1))</f>
        <v/>
      </c>
      <c r="O843" s="0" t="str">
        <f aca="false">IF(CSV貼付B!$N843="","",IF(COUNTIF(CSV貼付B!$N$5:$N843,CSV貼付B!$N843)&gt;1,"",MAX($O$4:O842)+1))</f>
        <v/>
      </c>
    </row>
    <row r="844" customFormat="false" ht="15" hidden="false" customHeight="false" outlineLevel="0" collapsed="false">
      <c r="M844" s="0" t="str">
        <f aca="false">IF(CSV貼付A!$N844="","",IF(COUNTIF(CSV貼付A!$N$5:$N844,CSV貼付A!$N844)&gt;1,"",MAX($M$4:M843)+1))</f>
        <v/>
      </c>
      <c r="O844" s="0" t="str">
        <f aca="false">IF(CSV貼付B!$N844="","",IF(COUNTIF(CSV貼付B!$N$5:$N844,CSV貼付B!$N844)&gt;1,"",MAX($O$4:O843)+1))</f>
        <v/>
      </c>
    </row>
    <row r="845" customFormat="false" ht="15" hidden="false" customHeight="false" outlineLevel="0" collapsed="false">
      <c r="M845" s="0" t="str">
        <f aca="false">IF(CSV貼付A!$N845="","",IF(COUNTIF(CSV貼付A!$N$5:$N845,CSV貼付A!$N845)&gt;1,"",MAX($M$4:M844)+1))</f>
        <v/>
      </c>
      <c r="O845" s="0" t="str">
        <f aca="false">IF(CSV貼付B!$N845="","",IF(COUNTIF(CSV貼付B!$N$5:$N845,CSV貼付B!$N845)&gt;1,"",MAX($O$4:O844)+1))</f>
        <v/>
      </c>
    </row>
    <row r="846" customFormat="false" ht="15" hidden="false" customHeight="false" outlineLevel="0" collapsed="false">
      <c r="M846" s="0" t="str">
        <f aca="false">IF(CSV貼付A!$N846="","",IF(COUNTIF(CSV貼付A!$N$5:$N846,CSV貼付A!$N846)&gt;1,"",MAX($M$4:M845)+1))</f>
        <v/>
      </c>
      <c r="O846" s="0" t="str">
        <f aca="false">IF(CSV貼付B!$N846="","",IF(COUNTIF(CSV貼付B!$N$5:$N846,CSV貼付B!$N846)&gt;1,"",MAX($O$4:O845)+1))</f>
        <v/>
      </c>
    </row>
    <row r="847" customFormat="false" ht="15" hidden="false" customHeight="false" outlineLevel="0" collapsed="false">
      <c r="M847" s="0" t="str">
        <f aca="false">IF(CSV貼付A!$N847="","",IF(COUNTIF(CSV貼付A!$N$5:$N847,CSV貼付A!$N847)&gt;1,"",MAX($M$4:M846)+1))</f>
        <v/>
      </c>
      <c r="O847" s="0" t="str">
        <f aca="false">IF(CSV貼付B!$N847="","",IF(COUNTIF(CSV貼付B!$N$5:$N847,CSV貼付B!$N847)&gt;1,"",MAX($O$4:O846)+1))</f>
        <v/>
      </c>
    </row>
    <row r="848" customFormat="false" ht="15" hidden="false" customHeight="false" outlineLevel="0" collapsed="false">
      <c r="M848" s="0" t="str">
        <f aca="false">IF(CSV貼付A!$N848="","",IF(COUNTIF(CSV貼付A!$N$5:$N848,CSV貼付A!$N848)&gt;1,"",MAX($M$4:M847)+1))</f>
        <v/>
      </c>
      <c r="O848" s="0" t="str">
        <f aca="false">IF(CSV貼付B!$N848="","",IF(COUNTIF(CSV貼付B!$N$5:$N848,CSV貼付B!$N848)&gt;1,"",MAX($O$4:O847)+1))</f>
        <v/>
      </c>
    </row>
    <row r="849" customFormat="false" ht="15" hidden="false" customHeight="false" outlineLevel="0" collapsed="false">
      <c r="M849" s="0" t="str">
        <f aca="false">IF(CSV貼付A!$N849="","",IF(COUNTIF(CSV貼付A!$N$5:$N849,CSV貼付A!$N849)&gt;1,"",MAX($M$4:M848)+1))</f>
        <v/>
      </c>
      <c r="O849" s="0" t="str">
        <f aca="false">IF(CSV貼付B!$N849="","",IF(COUNTIF(CSV貼付B!$N$5:$N849,CSV貼付B!$N849)&gt;1,"",MAX($O$4:O848)+1))</f>
        <v/>
      </c>
    </row>
    <row r="850" customFormat="false" ht="15" hidden="false" customHeight="false" outlineLevel="0" collapsed="false">
      <c r="M850" s="0" t="str">
        <f aca="false">IF(CSV貼付A!$N850="","",IF(COUNTIF(CSV貼付A!$N$5:$N850,CSV貼付A!$N850)&gt;1,"",MAX($M$4:M849)+1))</f>
        <v/>
      </c>
      <c r="O850" s="0" t="str">
        <f aca="false">IF(CSV貼付B!$N850="","",IF(COUNTIF(CSV貼付B!$N$5:$N850,CSV貼付B!$N850)&gt;1,"",MAX($O$4:O849)+1))</f>
        <v/>
      </c>
    </row>
    <row r="851" customFormat="false" ht="15" hidden="false" customHeight="false" outlineLevel="0" collapsed="false">
      <c r="M851" s="0" t="str">
        <f aca="false">IF(CSV貼付A!$N851="","",IF(COUNTIF(CSV貼付A!$N$5:$N851,CSV貼付A!$N851)&gt;1,"",MAX($M$4:M850)+1))</f>
        <v/>
      </c>
      <c r="O851" s="0" t="str">
        <f aca="false">IF(CSV貼付B!$N851="","",IF(COUNTIF(CSV貼付B!$N$5:$N851,CSV貼付B!$N851)&gt;1,"",MAX($O$4:O850)+1))</f>
        <v/>
      </c>
    </row>
    <row r="852" customFormat="false" ht="15" hidden="false" customHeight="false" outlineLevel="0" collapsed="false">
      <c r="M852" s="0" t="str">
        <f aca="false">IF(CSV貼付A!$N852="","",IF(COUNTIF(CSV貼付A!$N$5:$N852,CSV貼付A!$N852)&gt;1,"",MAX($M$4:M851)+1))</f>
        <v/>
      </c>
      <c r="O852" s="0" t="str">
        <f aca="false">IF(CSV貼付B!$N852="","",IF(COUNTIF(CSV貼付B!$N$5:$N852,CSV貼付B!$N852)&gt;1,"",MAX($O$4:O851)+1))</f>
        <v/>
      </c>
    </row>
    <row r="853" customFormat="false" ht="15" hidden="false" customHeight="false" outlineLevel="0" collapsed="false">
      <c r="M853" s="0" t="str">
        <f aca="false">IF(CSV貼付A!$N853="","",IF(COUNTIF(CSV貼付A!$N$5:$N853,CSV貼付A!$N853)&gt;1,"",MAX($M$4:M852)+1))</f>
        <v/>
      </c>
      <c r="O853" s="0" t="str">
        <f aca="false">IF(CSV貼付B!$N853="","",IF(COUNTIF(CSV貼付B!$N$5:$N853,CSV貼付B!$N853)&gt;1,"",MAX($O$4:O852)+1))</f>
        <v/>
      </c>
    </row>
    <row r="854" customFormat="false" ht="15" hidden="false" customHeight="false" outlineLevel="0" collapsed="false">
      <c r="M854" s="0" t="str">
        <f aca="false">IF(CSV貼付A!$N854="","",IF(COUNTIF(CSV貼付A!$N$5:$N854,CSV貼付A!$N854)&gt;1,"",MAX($M$4:M853)+1))</f>
        <v/>
      </c>
      <c r="O854" s="0" t="str">
        <f aca="false">IF(CSV貼付B!$N854="","",IF(COUNTIF(CSV貼付B!$N$5:$N854,CSV貼付B!$N854)&gt;1,"",MAX($O$4:O853)+1))</f>
        <v/>
      </c>
    </row>
    <row r="855" customFormat="false" ht="15" hidden="false" customHeight="false" outlineLevel="0" collapsed="false">
      <c r="M855" s="0" t="str">
        <f aca="false">IF(CSV貼付A!$N855="","",IF(COUNTIF(CSV貼付A!$N$5:$N855,CSV貼付A!$N855)&gt;1,"",MAX($M$4:M854)+1))</f>
        <v/>
      </c>
      <c r="O855" s="0" t="str">
        <f aca="false">IF(CSV貼付B!$N855="","",IF(COUNTIF(CSV貼付B!$N$5:$N855,CSV貼付B!$N855)&gt;1,"",MAX($O$4:O854)+1))</f>
        <v/>
      </c>
    </row>
    <row r="856" customFormat="false" ht="15" hidden="false" customHeight="false" outlineLevel="0" collapsed="false">
      <c r="M856" s="0" t="str">
        <f aca="false">IF(CSV貼付A!$N856="","",IF(COUNTIF(CSV貼付A!$N$5:$N856,CSV貼付A!$N856)&gt;1,"",MAX($M$4:M855)+1))</f>
        <v/>
      </c>
      <c r="O856" s="0" t="str">
        <f aca="false">IF(CSV貼付B!$N856="","",IF(COUNTIF(CSV貼付B!$N$5:$N856,CSV貼付B!$N856)&gt;1,"",MAX($O$4:O855)+1))</f>
        <v/>
      </c>
    </row>
    <row r="857" customFormat="false" ht="15" hidden="false" customHeight="false" outlineLevel="0" collapsed="false">
      <c r="M857" s="0" t="str">
        <f aca="false">IF(CSV貼付A!$N857="","",IF(COUNTIF(CSV貼付A!$N$5:$N857,CSV貼付A!$N857)&gt;1,"",MAX($M$4:M856)+1))</f>
        <v/>
      </c>
      <c r="O857" s="0" t="str">
        <f aca="false">IF(CSV貼付B!$N857="","",IF(COUNTIF(CSV貼付B!$N$5:$N857,CSV貼付B!$N857)&gt;1,"",MAX($O$4:O856)+1))</f>
        <v/>
      </c>
    </row>
    <row r="858" customFormat="false" ht="15" hidden="false" customHeight="false" outlineLevel="0" collapsed="false">
      <c r="M858" s="0" t="str">
        <f aca="false">IF(CSV貼付A!$N858="","",IF(COUNTIF(CSV貼付A!$N$5:$N858,CSV貼付A!$N858)&gt;1,"",MAX($M$4:M857)+1))</f>
        <v/>
      </c>
      <c r="O858" s="0" t="str">
        <f aca="false">IF(CSV貼付B!$N858="","",IF(COUNTIF(CSV貼付B!$N$5:$N858,CSV貼付B!$N858)&gt;1,"",MAX($O$4:O857)+1))</f>
        <v/>
      </c>
    </row>
    <row r="859" customFormat="false" ht="15" hidden="false" customHeight="false" outlineLevel="0" collapsed="false">
      <c r="M859" s="0" t="str">
        <f aca="false">IF(CSV貼付A!$N859="","",IF(COUNTIF(CSV貼付A!$N$5:$N859,CSV貼付A!$N859)&gt;1,"",MAX($M$4:M858)+1))</f>
        <v/>
      </c>
      <c r="O859" s="0" t="str">
        <f aca="false">IF(CSV貼付B!$N859="","",IF(COUNTIF(CSV貼付B!$N$5:$N859,CSV貼付B!$N859)&gt;1,"",MAX($O$4:O858)+1))</f>
        <v/>
      </c>
    </row>
    <row r="860" customFormat="false" ht="15" hidden="false" customHeight="false" outlineLevel="0" collapsed="false">
      <c r="M860" s="0" t="str">
        <f aca="false">IF(CSV貼付A!$N860="","",IF(COUNTIF(CSV貼付A!$N$5:$N860,CSV貼付A!$N860)&gt;1,"",MAX($M$4:M859)+1))</f>
        <v/>
      </c>
      <c r="O860" s="0" t="str">
        <f aca="false">IF(CSV貼付B!$N860="","",IF(COUNTIF(CSV貼付B!$N$5:$N860,CSV貼付B!$N860)&gt;1,"",MAX($O$4:O859)+1))</f>
        <v/>
      </c>
    </row>
    <row r="861" customFormat="false" ht="15" hidden="false" customHeight="false" outlineLevel="0" collapsed="false">
      <c r="M861" s="0" t="str">
        <f aca="false">IF(CSV貼付A!$N861="","",IF(COUNTIF(CSV貼付A!$N$5:$N861,CSV貼付A!$N861)&gt;1,"",MAX($M$4:M860)+1))</f>
        <v/>
      </c>
      <c r="O861" s="0" t="str">
        <f aca="false">IF(CSV貼付B!$N861="","",IF(COUNTIF(CSV貼付B!$N$5:$N861,CSV貼付B!$N861)&gt;1,"",MAX($O$4:O860)+1))</f>
        <v/>
      </c>
    </row>
    <row r="862" customFormat="false" ht="15" hidden="false" customHeight="false" outlineLevel="0" collapsed="false">
      <c r="M862" s="0" t="str">
        <f aca="false">IF(CSV貼付A!$N862="","",IF(COUNTIF(CSV貼付A!$N$5:$N862,CSV貼付A!$N862)&gt;1,"",MAX($M$4:M861)+1))</f>
        <v/>
      </c>
      <c r="O862" s="0" t="str">
        <f aca="false">IF(CSV貼付B!$N862="","",IF(COUNTIF(CSV貼付B!$N$5:$N862,CSV貼付B!$N862)&gt;1,"",MAX($O$4:O861)+1))</f>
        <v/>
      </c>
    </row>
    <row r="863" customFormat="false" ht="15" hidden="false" customHeight="false" outlineLevel="0" collapsed="false">
      <c r="M863" s="0" t="str">
        <f aca="false">IF(CSV貼付A!$N863="","",IF(COUNTIF(CSV貼付A!$N$5:$N863,CSV貼付A!$N863)&gt;1,"",MAX($M$4:M862)+1))</f>
        <v/>
      </c>
      <c r="O863" s="0" t="str">
        <f aca="false">IF(CSV貼付B!$N863="","",IF(COUNTIF(CSV貼付B!$N$5:$N863,CSV貼付B!$N863)&gt;1,"",MAX($O$4:O862)+1))</f>
        <v/>
      </c>
    </row>
    <row r="864" customFormat="false" ht="15" hidden="false" customHeight="false" outlineLevel="0" collapsed="false">
      <c r="M864" s="0" t="str">
        <f aca="false">IF(CSV貼付A!$N864="","",IF(COUNTIF(CSV貼付A!$N$5:$N864,CSV貼付A!$N864)&gt;1,"",MAX($M$4:M863)+1))</f>
        <v/>
      </c>
      <c r="O864" s="0" t="str">
        <f aca="false">IF(CSV貼付B!$N864="","",IF(COUNTIF(CSV貼付B!$N$5:$N864,CSV貼付B!$N864)&gt;1,"",MAX($O$4:O863)+1))</f>
        <v/>
      </c>
    </row>
    <row r="865" customFormat="false" ht="15" hidden="false" customHeight="false" outlineLevel="0" collapsed="false">
      <c r="M865" s="0" t="str">
        <f aca="false">IF(CSV貼付A!$N865="","",IF(COUNTIF(CSV貼付A!$N$5:$N865,CSV貼付A!$N865)&gt;1,"",MAX($M$4:M864)+1))</f>
        <v/>
      </c>
      <c r="O865" s="0" t="str">
        <f aca="false">IF(CSV貼付B!$N865="","",IF(COUNTIF(CSV貼付B!$N$5:$N865,CSV貼付B!$N865)&gt;1,"",MAX($O$4:O864)+1))</f>
        <v/>
      </c>
    </row>
    <row r="866" customFormat="false" ht="15" hidden="false" customHeight="false" outlineLevel="0" collapsed="false">
      <c r="M866" s="0" t="str">
        <f aca="false">IF(CSV貼付A!$N866="","",IF(COUNTIF(CSV貼付A!$N$5:$N866,CSV貼付A!$N866)&gt;1,"",MAX($M$4:M865)+1))</f>
        <v/>
      </c>
      <c r="O866" s="0" t="str">
        <f aca="false">IF(CSV貼付B!$N866="","",IF(COUNTIF(CSV貼付B!$N$5:$N866,CSV貼付B!$N866)&gt;1,"",MAX($O$4:O865)+1))</f>
        <v/>
      </c>
    </row>
    <row r="867" customFormat="false" ht="15" hidden="false" customHeight="false" outlineLevel="0" collapsed="false">
      <c r="M867" s="0" t="str">
        <f aca="false">IF(CSV貼付A!$N867="","",IF(COUNTIF(CSV貼付A!$N$5:$N867,CSV貼付A!$N867)&gt;1,"",MAX($M$4:M866)+1))</f>
        <v/>
      </c>
      <c r="O867" s="0" t="str">
        <f aca="false">IF(CSV貼付B!$N867="","",IF(COUNTIF(CSV貼付B!$N$5:$N867,CSV貼付B!$N867)&gt;1,"",MAX($O$4:O866)+1))</f>
        <v/>
      </c>
    </row>
    <row r="868" customFormat="false" ht="15" hidden="false" customHeight="false" outlineLevel="0" collapsed="false">
      <c r="M868" s="0" t="str">
        <f aca="false">IF(CSV貼付A!$N868="","",IF(COUNTIF(CSV貼付A!$N$5:$N868,CSV貼付A!$N868)&gt;1,"",MAX($M$4:M867)+1))</f>
        <v/>
      </c>
      <c r="O868" s="0" t="str">
        <f aca="false">IF(CSV貼付B!$N868="","",IF(COUNTIF(CSV貼付B!$N$5:$N868,CSV貼付B!$N868)&gt;1,"",MAX($O$4:O867)+1))</f>
        <v/>
      </c>
    </row>
    <row r="869" customFormat="false" ht="15" hidden="false" customHeight="false" outlineLevel="0" collapsed="false">
      <c r="M869" s="0" t="str">
        <f aca="false">IF(CSV貼付A!$N869="","",IF(COUNTIF(CSV貼付A!$N$5:$N869,CSV貼付A!$N869)&gt;1,"",MAX($M$4:M868)+1))</f>
        <v/>
      </c>
      <c r="O869" s="0" t="str">
        <f aca="false">IF(CSV貼付B!$N869="","",IF(COUNTIF(CSV貼付B!$N$5:$N869,CSV貼付B!$N869)&gt;1,"",MAX($O$4:O868)+1))</f>
        <v/>
      </c>
    </row>
    <row r="870" customFormat="false" ht="15" hidden="false" customHeight="false" outlineLevel="0" collapsed="false">
      <c r="M870" s="0" t="str">
        <f aca="false">IF(CSV貼付A!$N870="","",IF(COUNTIF(CSV貼付A!$N$5:$N870,CSV貼付A!$N870)&gt;1,"",MAX($M$4:M869)+1))</f>
        <v/>
      </c>
      <c r="O870" s="0" t="str">
        <f aca="false">IF(CSV貼付B!$N870="","",IF(COUNTIF(CSV貼付B!$N$5:$N870,CSV貼付B!$N870)&gt;1,"",MAX($O$4:O869)+1))</f>
        <v/>
      </c>
    </row>
    <row r="871" customFormat="false" ht="15" hidden="false" customHeight="false" outlineLevel="0" collapsed="false">
      <c r="M871" s="0" t="str">
        <f aca="false">IF(CSV貼付A!$N871="","",IF(COUNTIF(CSV貼付A!$N$5:$N871,CSV貼付A!$N871)&gt;1,"",MAX($M$4:M870)+1))</f>
        <v/>
      </c>
      <c r="O871" s="0" t="str">
        <f aca="false">IF(CSV貼付B!$N871="","",IF(COUNTIF(CSV貼付B!$N$5:$N871,CSV貼付B!$N871)&gt;1,"",MAX($O$4:O870)+1))</f>
        <v/>
      </c>
    </row>
    <row r="872" customFormat="false" ht="15" hidden="false" customHeight="false" outlineLevel="0" collapsed="false">
      <c r="M872" s="0" t="str">
        <f aca="false">IF(CSV貼付A!$N872="","",IF(COUNTIF(CSV貼付A!$N$5:$N872,CSV貼付A!$N872)&gt;1,"",MAX($M$4:M871)+1))</f>
        <v/>
      </c>
      <c r="O872" s="0" t="str">
        <f aca="false">IF(CSV貼付B!$N872="","",IF(COUNTIF(CSV貼付B!$N$5:$N872,CSV貼付B!$N872)&gt;1,"",MAX($O$4:O871)+1))</f>
        <v/>
      </c>
    </row>
    <row r="873" customFormat="false" ht="15" hidden="false" customHeight="false" outlineLevel="0" collapsed="false">
      <c r="M873" s="0" t="str">
        <f aca="false">IF(CSV貼付A!$N873="","",IF(COUNTIF(CSV貼付A!$N$5:$N873,CSV貼付A!$N873)&gt;1,"",MAX($M$4:M872)+1))</f>
        <v/>
      </c>
      <c r="O873" s="0" t="str">
        <f aca="false">IF(CSV貼付B!$N873="","",IF(COUNTIF(CSV貼付B!$N$5:$N873,CSV貼付B!$N873)&gt;1,"",MAX($O$4:O872)+1))</f>
        <v/>
      </c>
    </row>
    <row r="874" customFormat="false" ht="15" hidden="false" customHeight="false" outlineLevel="0" collapsed="false">
      <c r="M874" s="0" t="str">
        <f aca="false">IF(CSV貼付A!$N874="","",IF(COUNTIF(CSV貼付A!$N$5:$N874,CSV貼付A!$N874)&gt;1,"",MAX($M$4:M873)+1))</f>
        <v/>
      </c>
      <c r="O874" s="0" t="str">
        <f aca="false">IF(CSV貼付B!$N874="","",IF(COUNTIF(CSV貼付B!$N$5:$N874,CSV貼付B!$N874)&gt;1,"",MAX($O$4:O873)+1))</f>
        <v/>
      </c>
    </row>
    <row r="875" customFormat="false" ht="15" hidden="false" customHeight="false" outlineLevel="0" collapsed="false">
      <c r="M875" s="0" t="str">
        <f aca="false">IF(CSV貼付A!$N875="","",IF(COUNTIF(CSV貼付A!$N$5:$N875,CSV貼付A!$N875)&gt;1,"",MAX($M$4:M874)+1))</f>
        <v/>
      </c>
      <c r="O875" s="0" t="str">
        <f aca="false">IF(CSV貼付B!$N875="","",IF(COUNTIF(CSV貼付B!$N$5:$N875,CSV貼付B!$N875)&gt;1,"",MAX($O$4:O874)+1))</f>
        <v/>
      </c>
    </row>
    <row r="876" customFormat="false" ht="15" hidden="false" customHeight="false" outlineLevel="0" collapsed="false">
      <c r="M876" s="0" t="str">
        <f aca="false">IF(CSV貼付A!$N876="","",IF(COUNTIF(CSV貼付A!$N$5:$N876,CSV貼付A!$N876)&gt;1,"",MAX($M$4:M875)+1))</f>
        <v/>
      </c>
      <c r="O876" s="0" t="str">
        <f aca="false">IF(CSV貼付B!$N876="","",IF(COUNTIF(CSV貼付B!$N$5:$N876,CSV貼付B!$N876)&gt;1,"",MAX($O$4:O875)+1))</f>
        <v/>
      </c>
    </row>
    <row r="877" customFormat="false" ht="15" hidden="false" customHeight="false" outlineLevel="0" collapsed="false">
      <c r="M877" s="0" t="str">
        <f aca="false">IF(CSV貼付A!$N877="","",IF(COUNTIF(CSV貼付A!$N$5:$N877,CSV貼付A!$N877)&gt;1,"",MAX($M$4:M876)+1))</f>
        <v/>
      </c>
      <c r="O877" s="0" t="str">
        <f aca="false">IF(CSV貼付B!$N877="","",IF(COUNTIF(CSV貼付B!$N$5:$N877,CSV貼付B!$N877)&gt;1,"",MAX($O$4:O876)+1))</f>
        <v/>
      </c>
    </row>
    <row r="878" customFormat="false" ht="15" hidden="false" customHeight="false" outlineLevel="0" collapsed="false">
      <c r="M878" s="0" t="str">
        <f aca="false">IF(CSV貼付A!$N878="","",IF(COUNTIF(CSV貼付A!$N$5:$N878,CSV貼付A!$N878)&gt;1,"",MAX($M$4:M877)+1))</f>
        <v/>
      </c>
      <c r="O878" s="0" t="str">
        <f aca="false">IF(CSV貼付B!$N878="","",IF(COUNTIF(CSV貼付B!$N$5:$N878,CSV貼付B!$N878)&gt;1,"",MAX($O$4:O877)+1))</f>
        <v/>
      </c>
    </row>
    <row r="879" customFormat="false" ht="15" hidden="false" customHeight="false" outlineLevel="0" collapsed="false">
      <c r="M879" s="0" t="str">
        <f aca="false">IF(CSV貼付A!$N879="","",IF(COUNTIF(CSV貼付A!$N$5:$N879,CSV貼付A!$N879)&gt;1,"",MAX($M$4:M878)+1))</f>
        <v/>
      </c>
      <c r="O879" s="0" t="str">
        <f aca="false">IF(CSV貼付B!$N879="","",IF(COUNTIF(CSV貼付B!$N$5:$N879,CSV貼付B!$N879)&gt;1,"",MAX($O$4:O878)+1))</f>
        <v/>
      </c>
    </row>
    <row r="880" customFormat="false" ht="15" hidden="false" customHeight="false" outlineLevel="0" collapsed="false">
      <c r="M880" s="0" t="str">
        <f aca="false">IF(CSV貼付A!$N880="","",IF(COUNTIF(CSV貼付A!$N$5:$N880,CSV貼付A!$N880)&gt;1,"",MAX($M$4:M879)+1))</f>
        <v/>
      </c>
      <c r="O880" s="0" t="str">
        <f aca="false">IF(CSV貼付B!$N880="","",IF(COUNTIF(CSV貼付B!$N$5:$N880,CSV貼付B!$N880)&gt;1,"",MAX($O$4:O879)+1))</f>
        <v/>
      </c>
    </row>
    <row r="881" customFormat="false" ht="15" hidden="false" customHeight="false" outlineLevel="0" collapsed="false">
      <c r="M881" s="0" t="str">
        <f aca="false">IF(CSV貼付A!$N881="","",IF(COUNTIF(CSV貼付A!$N$5:$N881,CSV貼付A!$N881)&gt;1,"",MAX($M$4:M880)+1))</f>
        <v/>
      </c>
      <c r="O881" s="0" t="str">
        <f aca="false">IF(CSV貼付B!$N881="","",IF(COUNTIF(CSV貼付B!$N$5:$N881,CSV貼付B!$N881)&gt;1,"",MAX($O$4:O880)+1))</f>
        <v/>
      </c>
    </row>
    <row r="882" customFormat="false" ht="15" hidden="false" customHeight="false" outlineLevel="0" collapsed="false">
      <c r="M882" s="0" t="str">
        <f aca="false">IF(CSV貼付A!$N882="","",IF(COUNTIF(CSV貼付A!$N$5:$N882,CSV貼付A!$N882)&gt;1,"",MAX($M$4:M881)+1))</f>
        <v/>
      </c>
      <c r="O882" s="0" t="str">
        <f aca="false">IF(CSV貼付B!$N882="","",IF(COUNTIF(CSV貼付B!$N$5:$N882,CSV貼付B!$N882)&gt;1,"",MAX($O$4:O881)+1))</f>
        <v/>
      </c>
    </row>
    <row r="883" customFormat="false" ht="15" hidden="false" customHeight="false" outlineLevel="0" collapsed="false">
      <c r="M883" s="0" t="str">
        <f aca="false">IF(CSV貼付A!$N883="","",IF(COUNTIF(CSV貼付A!$N$5:$N883,CSV貼付A!$N883)&gt;1,"",MAX($M$4:M882)+1))</f>
        <v/>
      </c>
      <c r="O883" s="0" t="str">
        <f aca="false">IF(CSV貼付B!$N883="","",IF(COUNTIF(CSV貼付B!$N$5:$N883,CSV貼付B!$N883)&gt;1,"",MAX($O$4:O882)+1))</f>
        <v/>
      </c>
    </row>
    <row r="884" customFormat="false" ht="15" hidden="false" customHeight="false" outlineLevel="0" collapsed="false">
      <c r="M884" s="0" t="str">
        <f aca="false">IF(CSV貼付A!$N884="","",IF(COUNTIF(CSV貼付A!$N$5:$N884,CSV貼付A!$N884)&gt;1,"",MAX($M$4:M883)+1))</f>
        <v/>
      </c>
      <c r="O884" s="0" t="str">
        <f aca="false">IF(CSV貼付B!$N884="","",IF(COUNTIF(CSV貼付B!$N$5:$N884,CSV貼付B!$N884)&gt;1,"",MAX($O$4:O883)+1))</f>
        <v/>
      </c>
    </row>
    <row r="885" customFormat="false" ht="15" hidden="false" customHeight="false" outlineLevel="0" collapsed="false">
      <c r="M885" s="0" t="str">
        <f aca="false">IF(CSV貼付A!$N885="","",IF(COUNTIF(CSV貼付A!$N$5:$N885,CSV貼付A!$N885)&gt;1,"",MAX($M$4:M884)+1))</f>
        <v/>
      </c>
      <c r="O885" s="0" t="str">
        <f aca="false">IF(CSV貼付B!$N885="","",IF(COUNTIF(CSV貼付B!$N$5:$N885,CSV貼付B!$N885)&gt;1,"",MAX($O$4:O884)+1))</f>
        <v/>
      </c>
    </row>
    <row r="886" customFormat="false" ht="15" hidden="false" customHeight="false" outlineLevel="0" collapsed="false">
      <c r="M886" s="0" t="str">
        <f aca="false">IF(CSV貼付A!$N886="","",IF(COUNTIF(CSV貼付A!$N$5:$N886,CSV貼付A!$N886)&gt;1,"",MAX($M$4:M885)+1))</f>
        <v/>
      </c>
      <c r="O886" s="0" t="str">
        <f aca="false">IF(CSV貼付B!$N886="","",IF(COUNTIF(CSV貼付B!$N$5:$N886,CSV貼付B!$N886)&gt;1,"",MAX($O$4:O885)+1))</f>
        <v/>
      </c>
    </row>
    <row r="887" customFormat="false" ht="15" hidden="false" customHeight="false" outlineLevel="0" collapsed="false">
      <c r="M887" s="0" t="str">
        <f aca="false">IF(CSV貼付A!$N887="","",IF(COUNTIF(CSV貼付A!$N$5:$N887,CSV貼付A!$N887)&gt;1,"",MAX($M$4:M886)+1))</f>
        <v/>
      </c>
      <c r="O887" s="0" t="str">
        <f aca="false">IF(CSV貼付B!$N887="","",IF(COUNTIF(CSV貼付B!$N$5:$N887,CSV貼付B!$N887)&gt;1,"",MAX($O$4:O886)+1))</f>
        <v/>
      </c>
    </row>
    <row r="888" customFormat="false" ht="15" hidden="false" customHeight="false" outlineLevel="0" collapsed="false">
      <c r="M888" s="0" t="str">
        <f aca="false">IF(CSV貼付A!$N888="","",IF(COUNTIF(CSV貼付A!$N$5:$N888,CSV貼付A!$N888)&gt;1,"",MAX($M$4:M887)+1))</f>
        <v/>
      </c>
      <c r="O888" s="0" t="str">
        <f aca="false">IF(CSV貼付B!$N888="","",IF(COUNTIF(CSV貼付B!$N$5:$N888,CSV貼付B!$N888)&gt;1,"",MAX($O$4:O887)+1))</f>
        <v/>
      </c>
    </row>
    <row r="889" customFormat="false" ht="15" hidden="false" customHeight="false" outlineLevel="0" collapsed="false">
      <c r="M889" s="0" t="str">
        <f aca="false">IF(CSV貼付A!$N889="","",IF(COUNTIF(CSV貼付A!$N$5:$N889,CSV貼付A!$N889)&gt;1,"",MAX($M$4:M888)+1))</f>
        <v/>
      </c>
      <c r="O889" s="0" t="str">
        <f aca="false">IF(CSV貼付B!$N889="","",IF(COUNTIF(CSV貼付B!$N$5:$N889,CSV貼付B!$N889)&gt;1,"",MAX($O$4:O888)+1))</f>
        <v/>
      </c>
    </row>
    <row r="890" customFormat="false" ht="15" hidden="false" customHeight="false" outlineLevel="0" collapsed="false">
      <c r="M890" s="0" t="str">
        <f aca="false">IF(CSV貼付A!$N890="","",IF(COUNTIF(CSV貼付A!$N$5:$N890,CSV貼付A!$N890)&gt;1,"",MAX($M$4:M889)+1))</f>
        <v/>
      </c>
      <c r="O890" s="0" t="str">
        <f aca="false">IF(CSV貼付B!$N890="","",IF(COUNTIF(CSV貼付B!$N$5:$N890,CSV貼付B!$N890)&gt;1,"",MAX($O$4:O889)+1))</f>
        <v/>
      </c>
    </row>
    <row r="891" customFormat="false" ht="15" hidden="false" customHeight="false" outlineLevel="0" collapsed="false">
      <c r="M891" s="0" t="str">
        <f aca="false">IF(CSV貼付A!$N891="","",IF(COUNTIF(CSV貼付A!$N$5:$N891,CSV貼付A!$N891)&gt;1,"",MAX($M$4:M890)+1))</f>
        <v/>
      </c>
      <c r="O891" s="0" t="str">
        <f aca="false">IF(CSV貼付B!$N891="","",IF(COUNTIF(CSV貼付B!$N$5:$N891,CSV貼付B!$N891)&gt;1,"",MAX($O$4:O890)+1))</f>
        <v/>
      </c>
    </row>
    <row r="892" customFormat="false" ht="15" hidden="false" customHeight="false" outlineLevel="0" collapsed="false">
      <c r="M892" s="0" t="str">
        <f aca="false">IF(CSV貼付A!$N892="","",IF(COUNTIF(CSV貼付A!$N$5:$N892,CSV貼付A!$N892)&gt;1,"",MAX($M$4:M891)+1))</f>
        <v/>
      </c>
      <c r="O892" s="0" t="str">
        <f aca="false">IF(CSV貼付B!$N892="","",IF(COUNTIF(CSV貼付B!$N$5:$N892,CSV貼付B!$N892)&gt;1,"",MAX($O$4:O891)+1))</f>
        <v/>
      </c>
    </row>
    <row r="893" customFormat="false" ht="15" hidden="false" customHeight="false" outlineLevel="0" collapsed="false">
      <c r="M893" s="0" t="str">
        <f aca="false">IF(CSV貼付A!$N893="","",IF(COUNTIF(CSV貼付A!$N$5:$N893,CSV貼付A!$N893)&gt;1,"",MAX($M$4:M892)+1))</f>
        <v/>
      </c>
      <c r="O893" s="0" t="str">
        <f aca="false">IF(CSV貼付B!$N893="","",IF(COUNTIF(CSV貼付B!$N$5:$N893,CSV貼付B!$N893)&gt;1,"",MAX($O$4:O892)+1))</f>
        <v/>
      </c>
    </row>
    <row r="894" customFormat="false" ht="15" hidden="false" customHeight="false" outlineLevel="0" collapsed="false">
      <c r="M894" s="0" t="str">
        <f aca="false">IF(CSV貼付A!$N894="","",IF(COUNTIF(CSV貼付A!$N$5:$N894,CSV貼付A!$N894)&gt;1,"",MAX($M$4:M893)+1))</f>
        <v/>
      </c>
      <c r="O894" s="0" t="str">
        <f aca="false">IF(CSV貼付B!$N894="","",IF(COUNTIF(CSV貼付B!$N$5:$N894,CSV貼付B!$N894)&gt;1,"",MAX($O$4:O893)+1))</f>
        <v/>
      </c>
    </row>
    <row r="895" customFormat="false" ht="15" hidden="false" customHeight="false" outlineLevel="0" collapsed="false">
      <c r="M895" s="0" t="str">
        <f aca="false">IF(CSV貼付A!$N895="","",IF(COUNTIF(CSV貼付A!$N$5:$N895,CSV貼付A!$N895)&gt;1,"",MAX($M$4:M894)+1))</f>
        <v/>
      </c>
      <c r="O895" s="0" t="str">
        <f aca="false">IF(CSV貼付B!$N895="","",IF(COUNTIF(CSV貼付B!$N$5:$N895,CSV貼付B!$N895)&gt;1,"",MAX($O$4:O894)+1))</f>
        <v/>
      </c>
    </row>
    <row r="896" customFormat="false" ht="15" hidden="false" customHeight="false" outlineLevel="0" collapsed="false">
      <c r="M896" s="0" t="str">
        <f aca="false">IF(CSV貼付A!$N896="","",IF(COUNTIF(CSV貼付A!$N$5:$N896,CSV貼付A!$N896)&gt;1,"",MAX($M$4:M895)+1))</f>
        <v/>
      </c>
      <c r="O896" s="0" t="str">
        <f aca="false">IF(CSV貼付B!$N896="","",IF(COUNTIF(CSV貼付B!$N$5:$N896,CSV貼付B!$N896)&gt;1,"",MAX($O$4:O895)+1))</f>
        <v/>
      </c>
    </row>
    <row r="897" customFormat="false" ht="15" hidden="false" customHeight="false" outlineLevel="0" collapsed="false">
      <c r="M897" s="0" t="str">
        <f aca="false">IF(CSV貼付A!$N897="","",IF(COUNTIF(CSV貼付A!$N$5:$N897,CSV貼付A!$N897)&gt;1,"",MAX($M$4:M896)+1))</f>
        <v/>
      </c>
      <c r="O897" s="0" t="str">
        <f aca="false">IF(CSV貼付B!$N897="","",IF(COUNTIF(CSV貼付B!$N$5:$N897,CSV貼付B!$N897)&gt;1,"",MAX($O$4:O896)+1))</f>
        <v/>
      </c>
    </row>
    <row r="898" customFormat="false" ht="15" hidden="false" customHeight="false" outlineLevel="0" collapsed="false">
      <c r="M898" s="0" t="str">
        <f aca="false">IF(CSV貼付A!$N898="","",IF(COUNTIF(CSV貼付A!$N$5:$N898,CSV貼付A!$N898)&gt;1,"",MAX($M$4:M897)+1))</f>
        <v/>
      </c>
      <c r="O898" s="0" t="str">
        <f aca="false">IF(CSV貼付B!$N898="","",IF(COUNTIF(CSV貼付B!$N$5:$N898,CSV貼付B!$N898)&gt;1,"",MAX($O$4:O897)+1))</f>
        <v/>
      </c>
    </row>
    <row r="899" customFormat="false" ht="15" hidden="false" customHeight="false" outlineLevel="0" collapsed="false">
      <c r="M899" s="0" t="str">
        <f aca="false">IF(CSV貼付A!$N899="","",IF(COUNTIF(CSV貼付A!$N$5:$N899,CSV貼付A!$N899)&gt;1,"",MAX($M$4:M898)+1))</f>
        <v/>
      </c>
      <c r="O899" s="0" t="str">
        <f aca="false">IF(CSV貼付B!$N899="","",IF(COUNTIF(CSV貼付B!$N$5:$N899,CSV貼付B!$N899)&gt;1,"",MAX($O$4:O898)+1))</f>
        <v/>
      </c>
    </row>
    <row r="900" customFormat="false" ht="15" hidden="false" customHeight="false" outlineLevel="0" collapsed="false">
      <c r="M900" s="0" t="str">
        <f aca="false">IF(CSV貼付A!$N900="","",IF(COUNTIF(CSV貼付A!$N$5:$N900,CSV貼付A!$N900)&gt;1,"",MAX($M$4:M899)+1))</f>
        <v/>
      </c>
      <c r="O900" s="0" t="str">
        <f aca="false">IF(CSV貼付B!$N900="","",IF(COUNTIF(CSV貼付B!$N$5:$N900,CSV貼付B!$N900)&gt;1,"",MAX($O$4:O899)+1))</f>
        <v/>
      </c>
    </row>
    <row r="901" customFormat="false" ht="15" hidden="false" customHeight="false" outlineLevel="0" collapsed="false">
      <c r="M901" s="0" t="str">
        <f aca="false">IF(CSV貼付A!$N901="","",IF(COUNTIF(CSV貼付A!$N$5:$N901,CSV貼付A!$N901)&gt;1,"",MAX($M$4:M900)+1))</f>
        <v/>
      </c>
      <c r="O901" s="0" t="str">
        <f aca="false">IF(CSV貼付B!$N901="","",IF(COUNTIF(CSV貼付B!$N$5:$N901,CSV貼付B!$N901)&gt;1,"",MAX($O$4:O900)+1))</f>
        <v/>
      </c>
    </row>
    <row r="902" customFormat="false" ht="15" hidden="false" customHeight="false" outlineLevel="0" collapsed="false">
      <c r="M902" s="0" t="str">
        <f aca="false">IF(CSV貼付A!$N902="","",IF(COUNTIF(CSV貼付A!$N$5:$N902,CSV貼付A!$N902)&gt;1,"",MAX($M$4:M901)+1))</f>
        <v/>
      </c>
      <c r="O902" s="0" t="str">
        <f aca="false">IF(CSV貼付B!$N902="","",IF(COUNTIF(CSV貼付B!$N$5:$N902,CSV貼付B!$N902)&gt;1,"",MAX($O$4:O901)+1))</f>
        <v/>
      </c>
    </row>
    <row r="903" customFormat="false" ht="15" hidden="false" customHeight="false" outlineLevel="0" collapsed="false">
      <c r="M903" s="0" t="str">
        <f aca="false">IF(CSV貼付A!$N903="","",IF(COUNTIF(CSV貼付A!$N$5:$N903,CSV貼付A!$N903)&gt;1,"",MAX($M$4:M902)+1))</f>
        <v/>
      </c>
      <c r="O903" s="0" t="str">
        <f aca="false">IF(CSV貼付B!$N903="","",IF(COUNTIF(CSV貼付B!$N$5:$N903,CSV貼付B!$N903)&gt;1,"",MAX($O$4:O902)+1))</f>
        <v/>
      </c>
    </row>
    <row r="904" customFormat="false" ht="15" hidden="false" customHeight="false" outlineLevel="0" collapsed="false">
      <c r="M904" s="0" t="str">
        <f aca="false">IF(CSV貼付A!$N904="","",IF(COUNTIF(CSV貼付A!$N$5:$N904,CSV貼付A!$N904)&gt;1,"",MAX($M$4:M903)+1))</f>
        <v/>
      </c>
      <c r="O904" s="0" t="str">
        <f aca="false">IF(CSV貼付B!$N904="","",IF(COUNTIF(CSV貼付B!$N$5:$N904,CSV貼付B!$N904)&gt;1,"",MAX($O$4:O903)+1))</f>
        <v/>
      </c>
    </row>
    <row r="905" customFormat="false" ht="15" hidden="false" customHeight="false" outlineLevel="0" collapsed="false">
      <c r="M905" s="0" t="str">
        <f aca="false">IF(CSV貼付A!$N905="","",IF(COUNTIF(CSV貼付A!$N$5:$N905,CSV貼付A!$N905)&gt;1,"",MAX($M$4:M904)+1))</f>
        <v/>
      </c>
      <c r="O905" s="0" t="str">
        <f aca="false">IF(CSV貼付B!$N905="","",IF(COUNTIF(CSV貼付B!$N$5:$N905,CSV貼付B!$N905)&gt;1,"",MAX($O$4:O904)+1))</f>
        <v/>
      </c>
    </row>
    <row r="906" customFormat="false" ht="15" hidden="false" customHeight="false" outlineLevel="0" collapsed="false">
      <c r="M906" s="0" t="str">
        <f aca="false">IF(CSV貼付A!$N906="","",IF(COUNTIF(CSV貼付A!$N$5:$N906,CSV貼付A!$N906)&gt;1,"",MAX($M$4:M905)+1))</f>
        <v/>
      </c>
      <c r="O906" s="0" t="str">
        <f aca="false">IF(CSV貼付B!$N906="","",IF(COUNTIF(CSV貼付B!$N$5:$N906,CSV貼付B!$N906)&gt;1,"",MAX($O$4:O905)+1))</f>
        <v/>
      </c>
    </row>
    <row r="907" customFormat="false" ht="15" hidden="false" customHeight="false" outlineLevel="0" collapsed="false">
      <c r="M907" s="0" t="str">
        <f aca="false">IF(CSV貼付A!$N907="","",IF(COUNTIF(CSV貼付A!$N$5:$N907,CSV貼付A!$N907)&gt;1,"",MAX($M$4:M906)+1))</f>
        <v/>
      </c>
      <c r="O907" s="0" t="str">
        <f aca="false">IF(CSV貼付B!$N907="","",IF(COUNTIF(CSV貼付B!$N$5:$N907,CSV貼付B!$N907)&gt;1,"",MAX($O$4:O906)+1))</f>
        <v/>
      </c>
    </row>
    <row r="908" customFormat="false" ht="15" hidden="false" customHeight="false" outlineLevel="0" collapsed="false">
      <c r="M908" s="0" t="str">
        <f aca="false">IF(CSV貼付A!$N908="","",IF(COUNTIF(CSV貼付A!$N$5:$N908,CSV貼付A!$N908)&gt;1,"",MAX($M$4:M907)+1))</f>
        <v/>
      </c>
      <c r="O908" s="0" t="str">
        <f aca="false">IF(CSV貼付B!$N908="","",IF(COUNTIF(CSV貼付B!$N$5:$N908,CSV貼付B!$N908)&gt;1,"",MAX($O$4:O907)+1))</f>
        <v/>
      </c>
    </row>
    <row r="909" customFormat="false" ht="15" hidden="false" customHeight="false" outlineLevel="0" collapsed="false">
      <c r="M909" s="0" t="str">
        <f aca="false">IF(CSV貼付A!$N909="","",IF(COUNTIF(CSV貼付A!$N$5:$N909,CSV貼付A!$N909)&gt;1,"",MAX($M$4:M908)+1))</f>
        <v/>
      </c>
      <c r="O909" s="0" t="str">
        <f aca="false">IF(CSV貼付B!$N909="","",IF(COUNTIF(CSV貼付B!$N$5:$N909,CSV貼付B!$N909)&gt;1,"",MAX($O$4:O908)+1))</f>
        <v/>
      </c>
    </row>
    <row r="910" customFormat="false" ht="15" hidden="false" customHeight="false" outlineLevel="0" collapsed="false">
      <c r="M910" s="0" t="str">
        <f aca="false">IF(CSV貼付A!$N910="","",IF(COUNTIF(CSV貼付A!$N$5:$N910,CSV貼付A!$N910)&gt;1,"",MAX($M$4:M909)+1))</f>
        <v/>
      </c>
      <c r="O910" s="0" t="str">
        <f aca="false">IF(CSV貼付B!$N910="","",IF(COUNTIF(CSV貼付B!$N$5:$N910,CSV貼付B!$N910)&gt;1,"",MAX($O$4:O909)+1))</f>
        <v/>
      </c>
    </row>
    <row r="911" customFormat="false" ht="15" hidden="false" customHeight="false" outlineLevel="0" collapsed="false">
      <c r="M911" s="0" t="str">
        <f aca="false">IF(CSV貼付A!$N911="","",IF(COUNTIF(CSV貼付A!$N$5:$N911,CSV貼付A!$N911)&gt;1,"",MAX($M$4:M910)+1))</f>
        <v/>
      </c>
      <c r="O911" s="0" t="str">
        <f aca="false">IF(CSV貼付B!$N911="","",IF(COUNTIF(CSV貼付B!$N$5:$N911,CSV貼付B!$N911)&gt;1,"",MAX($O$4:O910)+1))</f>
        <v/>
      </c>
    </row>
    <row r="912" customFormat="false" ht="15" hidden="false" customHeight="false" outlineLevel="0" collapsed="false">
      <c r="M912" s="0" t="str">
        <f aca="false">IF(CSV貼付A!$N912="","",IF(COUNTIF(CSV貼付A!$N$5:$N912,CSV貼付A!$N912)&gt;1,"",MAX($M$4:M911)+1))</f>
        <v/>
      </c>
      <c r="O912" s="0" t="str">
        <f aca="false">IF(CSV貼付B!$N912="","",IF(COUNTIF(CSV貼付B!$N$5:$N912,CSV貼付B!$N912)&gt;1,"",MAX($O$4:O911)+1))</f>
        <v/>
      </c>
    </row>
    <row r="913" customFormat="false" ht="15" hidden="false" customHeight="false" outlineLevel="0" collapsed="false">
      <c r="M913" s="0" t="str">
        <f aca="false">IF(CSV貼付A!$N913="","",IF(COUNTIF(CSV貼付A!$N$5:$N913,CSV貼付A!$N913)&gt;1,"",MAX($M$4:M912)+1))</f>
        <v/>
      </c>
      <c r="O913" s="0" t="str">
        <f aca="false">IF(CSV貼付B!$N913="","",IF(COUNTIF(CSV貼付B!$N$5:$N913,CSV貼付B!$N913)&gt;1,"",MAX($O$4:O912)+1))</f>
        <v/>
      </c>
    </row>
    <row r="914" customFormat="false" ht="15" hidden="false" customHeight="false" outlineLevel="0" collapsed="false">
      <c r="M914" s="0" t="str">
        <f aca="false">IF(CSV貼付A!$N914="","",IF(COUNTIF(CSV貼付A!$N$5:$N914,CSV貼付A!$N914)&gt;1,"",MAX($M$4:M913)+1))</f>
        <v/>
      </c>
      <c r="O914" s="0" t="str">
        <f aca="false">IF(CSV貼付B!$N914="","",IF(COUNTIF(CSV貼付B!$N$5:$N914,CSV貼付B!$N914)&gt;1,"",MAX($O$4:O913)+1))</f>
        <v/>
      </c>
    </row>
    <row r="915" customFormat="false" ht="15" hidden="false" customHeight="false" outlineLevel="0" collapsed="false">
      <c r="M915" s="0" t="str">
        <f aca="false">IF(CSV貼付A!$N915="","",IF(COUNTIF(CSV貼付A!$N$5:$N915,CSV貼付A!$N915)&gt;1,"",MAX($M$4:M914)+1))</f>
        <v/>
      </c>
      <c r="O915" s="0" t="str">
        <f aca="false">IF(CSV貼付B!$N915="","",IF(COUNTIF(CSV貼付B!$N$5:$N915,CSV貼付B!$N915)&gt;1,"",MAX($O$4:O914)+1))</f>
        <v/>
      </c>
    </row>
    <row r="916" customFormat="false" ht="15" hidden="false" customHeight="false" outlineLevel="0" collapsed="false">
      <c r="M916" s="0" t="str">
        <f aca="false">IF(CSV貼付A!$N916="","",IF(COUNTIF(CSV貼付A!$N$5:$N916,CSV貼付A!$N916)&gt;1,"",MAX($M$4:M915)+1))</f>
        <v/>
      </c>
      <c r="O916" s="0" t="str">
        <f aca="false">IF(CSV貼付B!$N916="","",IF(COUNTIF(CSV貼付B!$N$5:$N916,CSV貼付B!$N916)&gt;1,"",MAX($O$4:O915)+1))</f>
        <v/>
      </c>
    </row>
    <row r="917" customFormat="false" ht="15" hidden="false" customHeight="false" outlineLevel="0" collapsed="false">
      <c r="M917" s="0" t="str">
        <f aca="false">IF(CSV貼付A!$N917="","",IF(COUNTIF(CSV貼付A!$N$5:$N917,CSV貼付A!$N917)&gt;1,"",MAX($M$4:M916)+1))</f>
        <v/>
      </c>
      <c r="O917" s="0" t="str">
        <f aca="false">IF(CSV貼付B!$N917="","",IF(COUNTIF(CSV貼付B!$N$5:$N917,CSV貼付B!$N917)&gt;1,"",MAX($O$4:O916)+1))</f>
        <v/>
      </c>
    </row>
    <row r="918" customFormat="false" ht="15" hidden="false" customHeight="false" outlineLevel="0" collapsed="false">
      <c r="M918" s="0" t="str">
        <f aca="false">IF(CSV貼付A!$N918="","",IF(COUNTIF(CSV貼付A!$N$5:$N918,CSV貼付A!$N918)&gt;1,"",MAX($M$4:M917)+1))</f>
        <v/>
      </c>
      <c r="O918" s="0" t="str">
        <f aca="false">IF(CSV貼付B!$N918="","",IF(COUNTIF(CSV貼付B!$N$5:$N918,CSV貼付B!$N918)&gt;1,"",MAX($O$4:O917)+1))</f>
        <v/>
      </c>
    </row>
    <row r="919" customFormat="false" ht="15" hidden="false" customHeight="false" outlineLevel="0" collapsed="false">
      <c r="M919" s="0" t="str">
        <f aca="false">IF(CSV貼付A!$N919="","",IF(COUNTIF(CSV貼付A!$N$5:$N919,CSV貼付A!$N919)&gt;1,"",MAX($M$4:M918)+1))</f>
        <v/>
      </c>
      <c r="O919" s="0" t="str">
        <f aca="false">IF(CSV貼付B!$N919="","",IF(COUNTIF(CSV貼付B!$N$5:$N919,CSV貼付B!$N919)&gt;1,"",MAX($O$4:O918)+1))</f>
        <v/>
      </c>
    </row>
    <row r="920" customFormat="false" ht="15" hidden="false" customHeight="false" outlineLevel="0" collapsed="false">
      <c r="M920" s="0" t="str">
        <f aca="false">IF(CSV貼付A!$N920="","",IF(COUNTIF(CSV貼付A!$N$5:$N920,CSV貼付A!$N920)&gt;1,"",MAX($M$4:M919)+1))</f>
        <v/>
      </c>
      <c r="O920" s="0" t="str">
        <f aca="false">IF(CSV貼付B!$N920="","",IF(COUNTIF(CSV貼付B!$N$5:$N920,CSV貼付B!$N920)&gt;1,"",MAX($O$4:O919)+1))</f>
        <v/>
      </c>
    </row>
    <row r="921" customFormat="false" ht="15" hidden="false" customHeight="false" outlineLevel="0" collapsed="false">
      <c r="M921" s="0" t="str">
        <f aca="false">IF(CSV貼付A!$N921="","",IF(COUNTIF(CSV貼付A!$N$5:$N921,CSV貼付A!$N921)&gt;1,"",MAX($M$4:M920)+1))</f>
        <v/>
      </c>
      <c r="O921" s="0" t="str">
        <f aca="false">IF(CSV貼付B!$N921="","",IF(COUNTIF(CSV貼付B!$N$5:$N921,CSV貼付B!$N921)&gt;1,"",MAX($O$4:O920)+1))</f>
        <v/>
      </c>
    </row>
    <row r="922" customFormat="false" ht="15" hidden="false" customHeight="false" outlineLevel="0" collapsed="false">
      <c r="M922" s="0" t="str">
        <f aca="false">IF(CSV貼付A!$N922="","",IF(COUNTIF(CSV貼付A!$N$5:$N922,CSV貼付A!$N922)&gt;1,"",MAX($M$4:M921)+1))</f>
        <v/>
      </c>
      <c r="O922" s="0" t="str">
        <f aca="false">IF(CSV貼付B!$N922="","",IF(COUNTIF(CSV貼付B!$N$5:$N922,CSV貼付B!$N922)&gt;1,"",MAX($O$4:O921)+1))</f>
        <v/>
      </c>
    </row>
    <row r="923" customFormat="false" ht="15" hidden="false" customHeight="false" outlineLevel="0" collapsed="false">
      <c r="M923" s="0" t="str">
        <f aca="false">IF(CSV貼付A!$N923="","",IF(COUNTIF(CSV貼付A!$N$5:$N923,CSV貼付A!$N923)&gt;1,"",MAX($M$4:M922)+1))</f>
        <v/>
      </c>
      <c r="O923" s="0" t="str">
        <f aca="false">IF(CSV貼付B!$N923="","",IF(COUNTIF(CSV貼付B!$N$5:$N923,CSV貼付B!$N923)&gt;1,"",MAX($O$4:O922)+1))</f>
        <v/>
      </c>
    </row>
    <row r="924" customFormat="false" ht="15" hidden="false" customHeight="false" outlineLevel="0" collapsed="false">
      <c r="M924" s="0" t="str">
        <f aca="false">IF(CSV貼付A!$N924="","",IF(COUNTIF(CSV貼付A!$N$5:$N924,CSV貼付A!$N924)&gt;1,"",MAX($M$4:M923)+1))</f>
        <v/>
      </c>
      <c r="O924" s="0" t="str">
        <f aca="false">IF(CSV貼付B!$N924="","",IF(COUNTIF(CSV貼付B!$N$5:$N924,CSV貼付B!$N924)&gt;1,"",MAX($O$4:O923)+1))</f>
        <v/>
      </c>
    </row>
    <row r="925" customFormat="false" ht="15" hidden="false" customHeight="false" outlineLevel="0" collapsed="false">
      <c r="M925" s="0" t="str">
        <f aca="false">IF(CSV貼付A!$N925="","",IF(COUNTIF(CSV貼付A!$N$5:$N925,CSV貼付A!$N925)&gt;1,"",MAX($M$4:M924)+1))</f>
        <v/>
      </c>
      <c r="O925" s="0" t="str">
        <f aca="false">IF(CSV貼付B!$N925="","",IF(COUNTIF(CSV貼付B!$N$5:$N925,CSV貼付B!$N925)&gt;1,"",MAX($O$4:O924)+1))</f>
        <v/>
      </c>
    </row>
    <row r="926" customFormat="false" ht="15" hidden="false" customHeight="false" outlineLevel="0" collapsed="false">
      <c r="M926" s="0" t="str">
        <f aca="false">IF(CSV貼付A!$N926="","",IF(COUNTIF(CSV貼付A!$N$5:$N926,CSV貼付A!$N926)&gt;1,"",MAX($M$4:M925)+1))</f>
        <v/>
      </c>
      <c r="O926" s="0" t="str">
        <f aca="false">IF(CSV貼付B!$N926="","",IF(COUNTIF(CSV貼付B!$N$5:$N926,CSV貼付B!$N926)&gt;1,"",MAX($O$4:O925)+1))</f>
        <v/>
      </c>
    </row>
    <row r="927" customFormat="false" ht="15" hidden="false" customHeight="false" outlineLevel="0" collapsed="false">
      <c r="M927" s="0" t="str">
        <f aca="false">IF(CSV貼付A!$N927="","",IF(COUNTIF(CSV貼付A!$N$5:$N927,CSV貼付A!$N927)&gt;1,"",MAX($M$4:M926)+1))</f>
        <v/>
      </c>
      <c r="O927" s="0" t="str">
        <f aca="false">IF(CSV貼付B!$N927="","",IF(COUNTIF(CSV貼付B!$N$5:$N927,CSV貼付B!$N927)&gt;1,"",MAX($O$4:O926)+1))</f>
        <v/>
      </c>
    </row>
    <row r="928" customFormat="false" ht="15" hidden="false" customHeight="false" outlineLevel="0" collapsed="false">
      <c r="M928" s="0" t="str">
        <f aca="false">IF(CSV貼付A!$N928="","",IF(COUNTIF(CSV貼付A!$N$5:$N928,CSV貼付A!$N928)&gt;1,"",MAX($M$4:M927)+1))</f>
        <v/>
      </c>
      <c r="O928" s="0" t="str">
        <f aca="false">IF(CSV貼付B!$N928="","",IF(COUNTIF(CSV貼付B!$N$5:$N928,CSV貼付B!$N928)&gt;1,"",MAX($O$4:O927)+1))</f>
        <v/>
      </c>
    </row>
    <row r="929" customFormat="false" ht="15" hidden="false" customHeight="false" outlineLevel="0" collapsed="false">
      <c r="M929" s="0" t="str">
        <f aca="false">IF(CSV貼付A!$N929="","",IF(COUNTIF(CSV貼付A!$N$5:$N929,CSV貼付A!$N929)&gt;1,"",MAX($M$4:M928)+1))</f>
        <v/>
      </c>
      <c r="O929" s="0" t="str">
        <f aca="false">IF(CSV貼付B!$N929="","",IF(COUNTIF(CSV貼付B!$N$5:$N929,CSV貼付B!$N929)&gt;1,"",MAX($O$4:O928)+1))</f>
        <v/>
      </c>
    </row>
    <row r="930" customFormat="false" ht="15" hidden="false" customHeight="false" outlineLevel="0" collapsed="false">
      <c r="M930" s="0" t="str">
        <f aca="false">IF(CSV貼付A!$N930="","",IF(COUNTIF(CSV貼付A!$N$5:$N930,CSV貼付A!$N930)&gt;1,"",MAX($M$4:M929)+1))</f>
        <v/>
      </c>
      <c r="O930" s="0" t="str">
        <f aca="false">IF(CSV貼付B!$N930="","",IF(COUNTIF(CSV貼付B!$N$5:$N930,CSV貼付B!$N930)&gt;1,"",MAX($O$4:O929)+1))</f>
        <v/>
      </c>
    </row>
    <row r="931" customFormat="false" ht="15" hidden="false" customHeight="false" outlineLevel="0" collapsed="false">
      <c r="M931" s="0" t="str">
        <f aca="false">IF(CSV貼付A!$N931="","",IF(COUNTIF(CSV貼付A!$N$5:$N931,CSV貼付A!$N931)&gt;1,"",MAX($M$4:M930)+1))</f>
        <v/>
      </c>
      <c r="O931" s="0" t="str">
        <f aca="false">IF(CSV貼付B!$N931="","",IF(COUNTIF(CSV貼付B!$N$5:$N931,CSV貼付B!$N931)&gt;1,"",MAX($O$4:O930)+1))</f>
        <v/>
      </c>
    </row>
    <row r="932" customFormat="false" ht="15" hidden="false" customHeight="false" outlineLevel="0" collapsed="false">
      <c r="M932" s="0" t="str">
        <f aca="false">IF(CSV貼付A!$N932="","",IF(COUNTIF(CSV貼付A!$N$5:$N932,CSV貼付A!$N932)&gt;1,"",MAX($M$4:M931)+1))</f>
        <v/>
      </c>
      <c r="O932" s="0" t="str">
        <f aca="false">IF(CSV貼付B!$N932="","",IF(COUNTIF(CSV貼付B!$N$5:$N932,CSV貼付B!$N932)&gt;1,"",MAX($O$4:O931)+1))</f>
        <v/>
      </c>
    </row>
    <row r="933" customFormat="false" ht="15" hidden="false" customHeight="false" outlineLevel="0" collapsed="false">
      <c r="M933" s="0" t="str">
        <f aca="false">IF(CSV貼付A!$N933="","",IF(COUNTIF(CSV貼付A!$N$5:$N933,CSV貼付A!$N933)&gt;1,"",MAX($M$4:M932)+1))</f>
        <v/>
      </c>
      <c r="O933" s="0" t="str">
        <f aca="false">IF(CSV貼付B!$N933="","",IF(COUNTIF(CSV貼付B!$N$5:$N933,CSV貼付B!$N933)&gt;1,"",MAX($O$4:O932)+1))</f>
        <v/>
      </c>
    </row>
    <row r="934" customFormat="false" ht="15" hidden="false" customHeight="false" outlineLevel="0" collapsed="false">
      <c r="M934" s="0" t="str">
        <f aca="false">IF(CSV貼付A!$N934="","",IF(COUNTIF(CSV貼付A!$N$5:$N934,CSV貼付A!$N934)&gt;1,"",MAX($M$4:M933)+1))</f>
        <v/>
      </c>
      <c r="O934" s="0" t="str">
        <f aca="false">IF(CSV貼付B!$N934="","",IF(COUNTIF(CSV貼付B!$N$5:$N934,CSV貼付B!$N934)&gt;1,"",MAX($O$4:O933)+1))</f>
        <v/>
      </c>
    </row>
    <row r="935" customFormat="false" ht="15" hidden="false" customHeight="false" outlineLevel="0" collapsed="false">
      <c r="M935" s="0" t="str">
        <f aca="false">IF(CSV貼付A!$N935="","",IF(COUNTIF(CSV貼付A!$N$5:$N935,CSV貼付A!$N935)&gt;1,"",MAX($M$4:M934)+1))</f>
        <v/>
      </c>
      <c r="O935" s="0" t="str">
        <f aca="false">IF(CSV貼付B!$N935="","",IF(COUNTIF(CSV貼付B!$N$5:$N935,CSV貼付B!$N935)&gt;1,"",MAX($O$4:O934)+1))</f>
        <v/>
      </c>
    </row>
    <row r="936" customFormat="false" ht="15" hidden="false" customHeight="false" outlineLevel="0" collapsed="false">
      <c r="M936" s="0" t="str">
        <f aca="false">IF(CSV貼付A!$N936="","",IF(COUNTIF(CSV貼付A!$N$5:$N936,CSV貼付A!$N936)&gt;1,"",MAX($M$4:M935)+1))</f>
        <v/>
      </c>
      <c r="O936" s="0" t="str">
        <f aca="false">IF(CSV貼付B!$N936="","",IF(COUNTIF(CSV貼付B!$N$5:$N936,CSV貼付B!$N936)&gt;1,"",MAX($O$4:O935)+1))</f>
        <v/>
      </c>
    </row>
    <row r="937" customFormat="false" ht="15" hidden="false" customHeight="false" outlineLevel="0" collapsed="false">
      <c r="M937" s="0" t="str">
        <f aca="false">IF(CSV貼付A!$N937="","",IF(COUNTIF(CSV貼付A!$N$5:$N937,CSV貼付A!$N937)&gt;1,"",MAX($M$4:M936)+1))</f>
        <v/>
      </c>
      <c r="O937" s="0" t="str">
        <f aca="false">IF(CSV貼付B!$N937="","",IF(COUNTIF(CSV貼付B!$N$5:$N937,CSV貼付B!$N937)&gt;1,"",MAX($O$4:O936)+1))</f>
        <v/>
      </c>
    </row>
    <row r="938" customFormat="false" ht="15" hidden="false" customHeight="false" outlineLevel="0" collapsed="false">
      <c r="M938" s="0" t="str">
        <f aca="false">IF(CSV貼付A!$N938="","",IF(COUNTIF(CSV貼付A!$N$5:$N938,CSV貼付A!$N938)&gt;1,"",MAX($M$4:M937)+1))</f>
        <v/>
      </c>
      <c r="O938" s="0" t="str">
        <f aca="false">IF(CSV貼付B!$N938="","",IF(COUNTIF(CSV貼付B!$N$5:$N938,CSV貼付B!$N938)&gt;1,"",MAX($O$4:O937)+1))</f>
        <v/>
      </c>
    </row>
    <row r="939" customFormat="false" ht="15" hidden="false" customHeight="false" outlineLevel="0" collapsed="false">
      <c r="M939" s="0" t="str">
        <f aca="false">IF(CSV貼付A!$N939="","",IF(COUNTIF(CSV貼付A!$N$5:$N939,CSV貼付A!$N939)&gt;1,"",MAX($M$4:M938)+1))</f>
        <v/>
      </c>
      <c r="O939" s="0" t="str">
        <f aca="false">IF(CSV貼付B!$N939="","",IF(COUNTIF(CSV貼付B!$N$5:$N939,CSV貼付B!$N939)&gt;1,"",MAX($O$4:O938)+1))</f>
        <v/>
      </c>
    </row>
    <row r="940" customFormat="false" ht="15" hidden="false" customHeight="false" outlineLevel="0" collapsed="false">
      <c r="M940" s="0" t="str">
        <f aca="false">IF(CSV貼付A!$N940="","",IF(COUNTIF(CSV貼付A!$N$5:$N940,CSV貼付A!$N940)&gt;1,"",MAX($M$4:M939)+1))</f>
        <v/>
      </c>
      <c r="O940" s="0" t="str">
        <f aca="false">IF(CSV貼付B!$N940="","",IF(COUNTIF(CSV貼付B!$N$5:$N940,CSV貼付B!$N940)&gt;1,"",MAX($O$4:O939)+1))</f>
        <v/>
      </c>
    </row>
    <row r="941" customFormat="false" ht="15" hidden="false" customHeight="false" outlineLevel="0" collapsed="false">
      <c r="M941" s="0" t="str">
        <f aca="false">IF(CSV貼付A!$N941="","",IF(COUNTIF(CSV貼付A!$N$5:$N941,CSV貼付A!$N941)&gt;1,"",MAX($M$4:M940)+1))</f>
        <v/>
      </c>
      <c r="O941" s="0" t="str">
        <f aca="false">IF(CSV貼付B!$N941="","",IF(COUNTIF(CSV貼付B!$N$5:$N941,CSV貼付B!$N941)&gt;1,"",MAX($O$4:O940)+1))</f>
        <v/>
      </c>
    </row>
    <row r="942" customFormat="false" ht="15" hidden="false" customHeight="false" outlineLevel="0" collapsed="false">
      <c r="M942" s="0" t="str">
        <f aca="false">IF(CSV貼付A!$N942="","",IF(COUNTIF(CSV貼付A!$N$5:$N942,CSV貼付A!$N942)&gt;1,"",MAX($M$4:M941)+1))</f>
        <v/>
      </c>
      <c r="O942" s="0" t="str">
        <f aca="false">IF(CSV貼付B!$N942="","",IF(COUNTIF(CSV貼付B!$N$5:$N942,CSV貼付B!$N942)&gt;1,"",MAX($O$4:O941)+1))</f>
        <v/>
      </c>
    </row>
    <row r="943" customFormat="false" ht="15" hidden="false" customHeight="false" outlineLevel="0" collapsed="false">
      <c r="M943" s="0" t="str">
        <f aca="false">IF(CSV貼付A!$N943="","",IF(COUNTIF(CSV貼付A!$N$5:$N943,CSV貼付A!$N943)&gt;1,"",MAX($M$4:M942)+1))</f>
        <v/>
      </c>
      <c r="O943" s="0" t="str">
        <f aca="false">IF(CSV貼付B!$N943="","",IF(COUNTIF(CSV貼付B!$N$5:$N943,CSV貼付B!$N943)&gt;1,"",MAX($O$4:O942)+1))</f>
        <v/>
      </c>
    </row>
    <row r="944" customFormat="false" ht="15" hidden="false" customHeight="false" outlineLevel="0" collapsed="false">
      <c r="M944" s="0" t="str">
        <f aca="false">IF(CSV貼付A!$N944="","",IF(COUNTIF(CSV貼付A!$N$5:$N944,CSV貼付A!$N944)&gt;1,"",MAX($M$4:M943)+1))</f>
        <v/>
      </c>
      <c r="O944" s="0" t="str">
        <f aca="false">IF(CSV貼付B!$N944="","",IF(COUNTIF(CSV貼付B!$N$5:$N944,CSV貼付B!$N944)&gt;1,"",MAX($O$4:O943)+1))</f>
        <v/>
      </c>
    </row>
    <row r="945" customFormat="false" ht="15" hidden="false" customHeight="false" outlineLevel="0" collapsed="false">
      <c r="M945" s="0" t="str">
        <f aca="false">IF(CSV貼付A!$N945="","",IF(COUNTIF(CSV貼付A!$N$5:$N945,CSV貼付A!$N945)&gt;1,"",MAX($M$4:M944)+1))</f>
        <v/>
      </c>
      <c r="O945" s="0" t="str">
        <f aca="false">IF(CSV貼付B!$N945="","",IF(COUNTIF(CSV貼付B!$N$5:$N945,CSV貼付B!$N945)&gt;1,"",MAX($O$4:O944)+1))</f>
        <v/>
      </c>
    </row>
    <row r="946" customFormat="false" ht="15" hidden="false" customHeight="false" outlineLevel="0" collapsed="false">
      <c r="M946" s="0" t="str">
        <f aca="false">IF(CSV貼付A!$N946="","",IF(COUNTIF(CSV貼付A!$N$5:$N946,CSV貼付A!$N946)&gt;1,"",MAX($M$4:M945)+1))</f>
        <v/>
      </c>
      <c r="O946" s="0" t="str">
        <f aca="false">IF(CSV貼付B!$N946="","",IF(COUNTIF(CSV貼付B!$N$5:$N946,CSV貼付B!$N946)&gt;1,"",MAX($O$4:O945)+1))</f>
        <v/>
      </c>
    </row>
    <row r="947" customFormat="false" ht="15" hidden="false" customHeight="false" outlineLevel="0" collapsed="false">
      <c r="M947" s="0" t="str">
        <f aca="false">IF(CSV貼付A!$N947="","",IF(COUNTIF(CSV貼付A!$N$5:$N947,CSV貼付A!$N947)&gt;1,"",MAX($M$4:M946)+1))</f>
        <v/>
      </c>
      <c r="O947" s="0" t="str">
        <f aca="false">IF(CSV貼付B!$N947="","",IF(COUNTIF(CSV貼付B!$N$5:$N947,CSV貼付B!$N947)&gt;1,"",MAX($O$4:O946)+1))</f>
        <v/>
      </c>
    </row>
    <row r="948" customFormat="false" ht="15" hidden="false" customHeight="false" outlineLevel="0" collapsed="false">
      <c r="M948" s="0" t="str">
        <f aca="false">IF(CSV貼付A!$N948="","",IF(COUNTIF(CSV貼付A!$N$5:$N948,CSV貼付A!$N948)&gt;1,"",MAX($M$4:M947)+1))</f>
        <v/>
      </c>
      <c r="O948" s="0" t="str">
        <f aca="false">IF(CSV貼付B!$N948="","",IF(COUNTIF(CSV貼付B!$N$5:$N948,CSV貼付B!$N948)&gt;1,"",MAX($O$4:O947)+1))</f>
        <v/>
      </c>
    </row>
    <row r="949" customFormat="false" ht="15" hidden="false" customHeight="false" outlineLevel="0" collapsed="false">
      <c r="M949" s="0" t="str">
        <f aca="false">IF(CSV貼付A!$N949="","",IF(COUNTIF(CSV貼付A!$N$5:$N949,CSV貼付A!$N949)&gt;1,"",MAX($M$4:M948)+1))</f>
        <v/>
      </c>
      <c r="O949" s="0" t="str">
        <f aca="false">IF(CSV貼付B!$N949="","",IF(COUNTIF(CSV貼付B!$N$5:$N949,CSV貼付B!$N949)&gt;1,"",MAX($O$4:O948)+1))</f>
        <v/>
      </c>
    </row>
    <row r="950" customFormat="false" ht="15" hidden="false" customHeight="false" outlineLevel="0" collapsed="false">
      <c r="M950" s="0" t="str">
        <f aca="false">IF(CSV貼付A!$N950="","",IF(COUNTIF(CSV貼付A!$N$5:$N950,CSV貼付A!$N950)&gt;1,"",MAX($M$4:M949)+1))</f>
        <v/>
      </c>
      <c r="O950" s="0" t="str">
        <f aca="false">IF(CSV貼付B!$N950="","",IF(COUNTIF(CSV貼付B!$N$5:$N950,CSV貼付B!$N950)&gt;1,"",MAX($O$4:O949)+1))</f>
        <v/>
      </c>
    </row>
    <row r="951" customFormat="false" ht="15" hidden="false" customHeight="false" outlineLevel="0" collapsed="false">
      <c r="M951" s="0" t="str">
        <f aca="false">IF(CSV貼付A!$N951="","",IF(COUNTIF(CSV貼付A!$N$5:$N951,CSV貼付A!$N951)&gt;1,"",MAX($M$4:M950)+1))</f>
        <v/>
      </c>
      <c r="O951" s="0" t="str">
        <f aca="false">IF(CSV貼付B!$N951="","",IF(COUNTIF(CSV貼付B!$N$5:$N951,CSV貼付B!$N951)&gt;1,"",MAX($O$4:O950)+1))</f>
        <v/>
      </c>
    </row>
    <row r="952" customFormat="false" ht="15" hidden="false" customHeight="false" outlineLevel="0" collapsed="false">
      <c r="M952" s="0" t="str">
        <f aca="false">IF(CSV貼付A!$N952="","",IF(COUNTIF(CSV貼付A!$N$5:$N952,CSV貼付A!$N952)&gt;1,"",MAX($M$4:M951)+1))</f>
        <v/>
      </c>
      <c r="O952" s="0" t="str">
        <f aca="false">IF(CSV貼付B!$N952="","",IF(COUNTIF(CSV貼付B!$N$5:$N952,CSV貼付B!$N952)&gt;1,"",MAX($O$4:O951)+1))</f>
        <v/>
      </c>
    </row>
    <row r="953" customFormat="false" ht="15" hidden="false" customHeight="false" outlineLevel="0" collapsed="false">
      <c r="M953" s="0" t="str">
        <f aca="false">IF(CSV貼付A!$N953="","",IF(COUNTIF(CSV貼付A!$N$5:$N953,CSV貼付A!$N953)&gt;1,"",MAX($M$4:M952)+1))</f>
        <v/>
      </c>
      <c r="O953" s="0" t="str">
        <f aca="false">IF(CSV貼付B!$N953="","",IF(COUNTIF(CSV貼付B!$N$5:$N953,CSV貼付B!$N953)&gt;1,"",MAX($O$4:O952)+1))</f>
        <v/>
      </c>
    </row>
    <row r="954" customFormat="false" ht="15" hidden="false" customHeight="false" outlineLevel="0" collapsed="false">
      <c r="M954" s="0" t="str">
        <f aca="false">IF(CSV貼付A!$N954="","",IF(COUNTIF(CSV貼付A!$N$5:$N954,CSV貼付A!$N954)&gt;1,"",MAX($M$4:M953)+1))</f>
        <v/>
      </c>
      <c r="O954" s="0" t="str">
        <f aca="false">IF(CSV貼付B!$N954="","",IF(COUNTIF(CSV貼付B!$N$5:$N954,CSV貼付B!$N954)&gt;1,"",MAX($O$4:O953)+1))</f>
        <v/>
      </c>
    </row>
    <row r="955" customFormat="false" ht="15" hidden="false" customHeight="false" outlineLevel="0" collapsed="false">
      <c r="M955" s="0" t="str">
        <f aca="false">IF(CSV貼付A!$N955="","",IF(COUNTIF(CSV貼付A!$N$5:$N955,CSV貼付A!$N955)&gt;1,"",MAX($M$4:M954)+1))</f>
        <v/>
      </c>
      <c r="O955" s="0" t="str">
        <f aca="false">IF(CSV貼付B!$N955="","",IF(COUNTIF(CSV貼付B!$N$5:$N955,CSV貼付B!$N955)&gt;1,"",MAX($O$4:O954)+1))</f>
        <v/>
      </c>
    </row>
    <row r="956" customFormat="false" ht="15" hidden="false" customHeight="false" outlineLevel="0" collapsed="false">
      <c r="M956" s="0" t="str">
        <f aca="false">IF(CSV貼付A!$N956="","",IF(COUNTIF(CSV貼付A!$N$5:$N956,CSV貼付A!$N956)&gt;1,"",MAX($M$4:M955)+1))</f>
        <v/>
      </c>
      <c r="O956" s="0" t="str">
        <f aca="false">IF(CSV貼付B!$N956="","",IF(COUNTIF(CSV貼付B!$N$5:$N956,CSV貼付B!$N956)&gt;1,"",MAX($O$4:O955)+1))</f>
        <v/>
      </c>
    </row>
    <row r="957" customFormat="false" ht="15" hidden="false" customHeight="false" outlineLevel="0" collapsed="false">
      <c r="M957" s="0" t="str">
        <f aca="false">IF(CSV貼付A!$N957="","",IF(COUNTIF(CSV貼付A!$N$5:$N957,CSV貼付A!$N957)&gt;1,"",MAX($M$4:M956)+1))</f>
        <v/>
      </c>
      <c r="O957" s="0" t="str">
        <f aca="false">IF(CSV貼付B!$N957="","",IF(COUNTIF(CSV貼付B!$N$5:$N957,CSV貼付B!$N957)&gt;1,"",MAX($O$4:O956)+1))</f>
        <v/>
      </c>
    </row>
    <row r="958" customFormat="false" ht="15" hidden="false" customHeight="false" outlineLevel="0" collapsed="false">
      <c r="M958" s="0" t="str">
        <f aca="false">IF(CSV貼付A!$N958="","",IF(COUNTIF(CSV貼付A!$N$5:$N958,CSV貼付A!$N958)&gt;1,"",MAX($M$4:M957)+1))</f>
        <v/>
      </c>
      <c r="O958" s="0" t="str">
        <f aca="false">IF(CSV貼付B!$N958="","",IF(COUNTIF(CSV貼付B!$N$5:$N958,CSV貼付B!$N958)&gt;1,"",MAX($O$4:O957)+1))</f>
        <v/>
      </c>
    </row>
    <row r="959" customFormat="false" ht="15" hidden="false" customHeight="false" outlineLevel="0" collapsed="false">
      <c r="M959" s="0" t="str">
        <f aca="false">IF(CSV貼付A!$N959="","",IF(COUNTIF(CSV貼付A!$N$5:$N959,CSV貼付A!$N959)&gt;1,"",MAX($M$4:M958)+1))</f>
        <v/>
      </c>
      <c r="O959" s="0" t="str">
        <f aca="false">IF(CSV貼付B!$N959="","",IF(COUNTIF(CSV貼付B!$N$5:$N959,CSV貼付B!$N959)&gt;1,"",MAX($O$4:O958)+1))</f>
        <v/>
      </c>
    </row>
    <row r="960" customFormat="false" ht="15" hidden="false" customHeight="false" outlineLevel="0" collapsed="false">
      <c r="M960" s="0" t="str">
        <f aca="false">IF(CSV貼付A!$N960="","",IF(COUNTIF(CSV貼付A!$N$5:$N960,CSV貼付A!$N960)&gt;1,"",MAX($M$4:M959)+1))</f>
        <v/>
      </c>
      <c r="O960" s="0" t="str">
        <f aca="false">IF(CSV貼付B!$N960="","",IF(COUNTIF(CSV貼付B!$N$5:$N960,CSV貼付B!$N960)&gt;1,"",MAX($O$4:O959)+1))</f>
        <v/>
      </c>
    </row>
    <row r="961" customFormat="false" ht="15" hidden="false" customHeight="false" outlineLevel="0" collapsed="false">
      <c r="M961" s="0" t="str">
        <f aca="false">IF(CSV貼付A!$N961="","",IF(COUNTIF(CSV貼付A!$N$5:$N961,CSV貼付A!$N961)&gt;1,"",MAX($M$4:M960)+1))</f>
        <v/>
      </c>
      <c r="O961" s="0" t="str">
        <f aca="false">IF(CSV貼付B!$N961="","",IF(COUNTIF(CSV貼付B!$N$5:$N961,CSV貼付B!$N961)&gt;1,"",MAX($O$4:O960)+1))</f>
        <v/>
      </c>
    </row>
    <row r="962" customFormat="false" ht="15" hidden="false" customHeight="false" outlineLevel="0" collapsed="false">
      <c r="M962" s="0" t="str">
        <f aca="false">IF(CSV貼付A!$N962="","",IF(COUNTIF(CSV貼付A!$N$5:$N962,CSV貼付A!$N962)&gt;1,"",MAX($M$4:M961)+1))</f>
        <v/>
      </c>
      <c r="O962" s="0" t="str">
        <f aca="false">IF(CSV貼付B!$N962="","",IF(COUNTIF(CSV貼付B!$N$5:$N962,CSV貼付B!$N962)&gt;1,"",MAX($O$4:O961)+1))</f>
        <v/>
      </c>
    </row>
    <row r="963" customFormat="false" ht="15" hidden="false" customHeight="false" outlineLevel="0" collapsed="false">
      <c r="M963" s="0" t="str">
        <f aca="false">IF(CSV貼付A!$N963="","",IF(COUNTIF(CSV貼付A!$N$5:$N963,CSV貼付A!$N963)&gt;1,"",MAX($M$4:M962)+1))</f>
        <v/>
      </c>
      <c r="O963" s="0" t="str">
        <f aca="false">IF(CSV貼付B!$N963="","",IF(COUNTIF(CSV貼付B!$N$5:$N963,CSV貼付B!$N963)&gt;1,"",MAX($O$4:O962)+1))</f>
        <v/>
      </c>
    </row>
    <row r="964" customFormat="false" ht="15" hidden="false" customHeight="false" outlineLevel="0" collapsed="false">
      <c r="M964" s="0" t="str">
        <f aca="false">IF(CSV貼付A!$N964="","",IF(COUNTIF(CSV貼付A!$N$5:$N964,CSV貼付A!$N964)&gt;1,"",MAX($M$4:M963)+1))</f>
        <v/>
      </c>
      <c r="O964" s="0" t="str">
        <f aca="false">IF(CSV貼付B!$N964="","",IF(COUNTIF(CSV貼付B!$N$5:$N964,CSV貼付B!$N964)&gt;1,"",MAX($O$4:O963)+1))</f>
        <v/>
      </c>
    </row>
    <row r="965" customFormat="false" ht="15" hidden="false" customHeight="false" outlineLevel="0" collapsed="false">
      <c r="M965" s="0" t="str">
        <f aca="false">IF(CSV貼付A!$N965="","",IF(COUNTIF(CSV貼付A!$N$5:$N965,CSV貼付A!$N965)&gt;1,"",MAX($M$4:M964)+1))</f>
        <v/>
      </c>
      <c r="O965" s="0" t="str">
        <f aca="false">IF(CSV貼付B!$N965="","",IF(COUNTIF(CSV貼付B!$N$5:$N965,CSV貼付B!$N965)&gt;1,"",MAX($O$4:O964)+1))</f>
        <v/>
      </c>
    </row>
    <row r="966" customFormat="false" ht="15" hidden="false" customHeight="false" outlineLevel="0" collapsed="false">
      <c r="M966" s="0" t="str">
        <f aca="false">IF(CSV貼付A!$N966="","",IF(COUNTIF(CSV貼付A!$N$5:$N966,CSV貼付A!$N966)&gt;1,"",MAX($M$4:M965)+1))</f>
        <v/>
      </c>
      <c r="O966" s="0" t="str">
        <f aca="false">IF(CSV貼付B!$N966="","",IF(COUNTIF(CSV貼付B!$N$5:$N966,CSV貼付B!$N966)&gt;1,"",MAX($O$4:O965)+1))</f>
        <v/>
      </c>
    </row>
    <row r="967" customFormat="false" ht="15" hidden="false" customHeight="false" outlineLevel="0" collapsed="false">
      <c r="M967" s="0" t="str">
        <f aca="false">IF(CSV貼付A!$N967="","",IF(COUNTIF(CSV貼付A!$N$5:$N967,CSV貼付A!$N967)&gt;1,"",MAX($M$4:M966)+1))</f>
        <v/>
      </c>
      <c r="O967" s="0" t="str">
        <f aca="false">IF(CSV貼付B!$N967="","",IF(COUNTIF(CSV貼付B!$N$5:$N967,CSV貼付B!$N967)&gt;1,"",MAX($O$4:O966)+1))</f>
        <v/>
      </c>
    </row>
    <row r="968" customFormat="false" ht="15" hidden="false" customHeight="false" outlineLevel="0" collapsed="false">
      <c r="M968" s="0" t="str">
        <f aca="false">IF(CSV貼付A!$N968="","",IF(COUNTIF(CSV貼付A!$N$5:$N968,CSV貼付A!$N968)&gt;1,"",MAX($M$4:M967)+1))</f>
        <v/>
      </c>
      <c r="O968" s="0" t="str">
        <f aca="false">IF(CSV貼付B!$N968="","",IF(COUNTIF(CSV貼付B!$N$5:$N968,CSV貼付B!$N968)&gt;1,"",MAX($O$4:O967)+1))</f>
        <v/>
      </c>
    </row>
    <row r="969" customFormat="false" ht="15" hidden="false" customHeight="false" outlineLevel="0" collapsed="false">
      <c r="M969" s="0" t="str">
        <f aca="false">IF(CSV貼付A!$N969="","",IF(COUNTIF(CSV貼付A!$N$5:$N969,CSV貼付A!$N969)&gt;1,"",MAX($M$4:M968)+1))</f>
        <v/>
      </c>
      <c r="O969" s="0" t="str">
        <f aca="false">IF(CSV貼付B!$N969="","",IF(COUNTIF(CSV貼付B!$N$5:$N969,CSV貼付B!$N969)&gt;1,"",MAX($O$4:O968)+1))</f>
        <v/>
      </c>
    </row>
    <row r="970" customFormat="false" ht="15" hidden="false" customHeight="false" outlineLevel="0" collapsed="false">
      <c r="M970" s="0" t="str">
        <f aca="false">IF(CSV貼付A!$N970="","",IF(COUNTIF(CSV貼付A!$N$5:$N970,CSV貼付A!$N970)&gt;1,"",MAX($M$4:M969)+1))</f>
        <v/>
      </c>
      <c r="O970" s="0" t="str">
        <f aca="false">IF(CSV貼付B!$N970="","",IF(COUNTIF(CSV貼付B!$N$5:$N970,CSV貼付B!$N970)&gt;1,"",MAX($O$4:O969)+1))</f>
        <v/>
      </c>
    </row>
    <row r="971" customFormat="false" ht="15" hidden="false" customHeight="false" outlineLevel="0" collapsed="false">
      <c r="M971" s="0" t="str">
        <f aca="false">IF(CSV貼付A!$N971="","",IF(COUNTIF(CSV貼付A!$N$5:$N971,CSV貼付A!$N971)&gt;1,"",MAX($M$4:M970)+1))</f>
        <v/>
      </c>
      <c r="O971" s="0" t="str">
        <f aca="false">IF(CSV貼付B!$N971="","",IF(COUNTIF(CSV貼付B!$N$5:$N971,CSV貼付B!$N971)&gt;1,"",MAX($O$4:O970)+1))</f>
        <v/>
      </c>
    </row>
    <row r="972" customFormat="false" ht="15" hidden="false" customHeight="false" outlineLevel="0" collapsed="false">
      <c r="M972" s="0" t="str">
        <f aca="false">IF(CSV貼付A!$N972="","",IF(COUNTIF(CSV貼付A!$N$5:$N972,CSV貼付A!$N972)&gt;1,"",MAX($M$4:M971)+1))</f>
        <v/>
      </c>
      <c r="O972" s="0" t="str">
        <f aca="false">IF(CSV貼付B!$N972="","",IF(COUNTIF(CSV貼付B!$N$5:$N972,CSV貼付B!$N972)&gt;1,"",MAX($O$4:O971)+1))</f>
        <v/>
      </c>
    </row>
    <row r="973" customFormat="false" ht="15" hidden="false" customHeight="false" outlineLevel="0" collapsed="false">
      <c r="M973" s="0" t="str">
        <f aca="false">IF(CSV貼付A!$N973="","",IF(COUNTIF(CSV貼付A!$N$5:$N973,CSV貼付A!$N973)&gt;1,"",MAX($M$4:M972)+1))</f>
        <v/>
      </c>
      <c r="O973" s="0" t="str">
        <f aca="false">IF(CSV貼付B!$N973="","",IF(COUNTIF(CSV貼付B!$N$5:$N973,CSV貼付B!$N973)&gt;1,"",MAX($O$4:O972)+1))</f>
        <v/>
      </c>
    </row>
    <row r="974" customFormat="false" ht="15" hidden="false" customHeight="false" outlineLevel="0" collapsed="false">
      <c r="M974" s="0" t="str">
        <f aca="false">IF(CSV貼付A!$N974="","",IF(COUNTIF(CSV貼付A!$N$5:$N974,CSV貼付A!$N974)&gt;1,"",MAX($M$4:M973)+1))</f>
        <v/>
      </c>
      <c r="O974" s="0" t="str">
        <f aca="false">IF(CSV貼付B!$N974="","",IF(COUNTIF(CSV貼付B!$N$5:$N974,CSV貼付B!$N974)&gt;1,"",MAX($O$4:O973)+1))</f>
        <v/>
      </c>
    </row>
    <row r="975" customFormat="false" ht="15" hidden="false" customHeight="false" outlineLevel="0" collapsed="false">
      <c r="M975" s="0" t="str">
        <f aca="false">IF(CSV貼付A!$N975="","",IF(COUNTIF(CSV貼付A!$N$5:$N975,CSV貼付A!$N975)&gt;1,"",MAX($M$4:M974)+1))</f>
        <v/>
      </c>
      <c r="O975" s="0" t="str">
        <f aca="false">IF(CSV貼付B!$N975="","",IF(COUNTIF(CSV貼付B!$N$5:$N975,CSV貼付B!$N975)&gt;1,"",MAX($O$4:O974)+1))</f>
        <v/>
      </c>
    </row>
    <row r="976" customFormat="false" ht="15" hidden="false" customHeight="false" outlineLevel="0" collapsed="false">
      <c r="M976" s="0" t="str">
        <f aca="false">IF(CSV貼付A!$N976="","",IF(COUNTIF(CSV貼付A!$N$5:$N976,CSV貼付A!$N976)&gt;1,"",MAX($M$4:M975)+1))</f>
        <v/>
      </c>
      <c r="O976" s="0" t="str">
        <f aca="false">IF(CSV貼付B!$N976="","",IF(COUNTIF(CSV貼付B!$N$5:$N976,CSV貼付B!$N976)&gt;1,"",MAX($O$4:O975)+1))</f>
        <v/>
      </c>
    </row>
    <row r="977" customFormat="false" ht="15" hidden="false" customHeight="false" outlineLevel="0" collapsed="false">
      <c r="M977" s="0" t="str">
        <f aca="false">IF(CSV貼付A!$N977="","",IF(COUNTIF(CSV貼付A!$N$5:$N977,CSV貼付A!$N977)&gt;1,"",MAX($M$4:M976)+1))</f>
        <v/>
      </c>
      <c r="O977" s="0" t="str">
        <f aca="false">IF(CSV貼付B!$N977="","",IF(COUNTIF(CSV貼付B!$N$5:$N977,CSV貼付B!$N977)&gt;1,"",MAX($O$4:O976)+1))</f>
        <v/>
      </c>
    </row>
    <row r="978" customFormat="false" ht="15" hidden="false" customHeight="false" outlineLevel="0" collapsed="false">
      <c r="M978" s="0" t="str">
        <f aca="false">IF(CSV貼付A!$N978="","",IF(COUNTIF(CSV貼付A!$N$5:$N978,CSV貼付A!$N978)&gt;1,"",MAX($M$4:M977)+1))</f>
        <v/>
      </c>
      <c r="O978" s="0" t="str">
        <f aca="false">IF(CSV貼付B!$N978="","",IF(COUNTIF(CSV貼付B!$N$5:$N978,CSV貼付B!$N978)&gt;1,"",MAX($O$4:O977)+1))</f>
        <v/>
      </c>
    </row>
    <row r="979" customFormat="false" ht="15" hidden="false" customHeight="false" outlineLevel="0" collapsed="false">
      <c r="M979" s="0" t="str">
        <f aca="false">IF(CSV貼付A!$N979="","",IF(COUNTIF(CSV貼付A!$N$5:$N979,CSV貼付A!$N979)&gt;1,"",MAX($M$4:M978)+1))</f>
        <v/>
      </c>
      <c r="O979" s="0" t="str">
        <f aca="false">IF(CSV貼付B!$N979="","",IF(COUNTIF(CSV貼付B!$N$5:$N979,CSV貼付B!$N979)&gt;1,"",MAX($O$4:O978)+1))</f>
        <v/>
      </c>
    </row>
    <row r="980" customFormat="false" ht="15" hidden="false" customHeight="false" outlineLevel="0" collapsed="false">
      <c r="M980" s="0" t="str">
        <f aca="false">IF(CSV貼付A!$N980="","",IF(COUNTIF(CSV貼付A!$N$5:$N980,CSV貼付A!$N980)&gt;1,"",MAX($M$4:M979)+1))</f>
        <v/>
      </c>
      <c r="O980" s="0" t="str">
        <f aca="false">IF(CSV貼付B!$N980="","",IF(COUNTIF(CSV貼付B!$N$5:$N980,CSV貼付B!$N980)&gt;1,"",MAX($O$4:O979)+1))</f>
        <v/>
      </c>
    </row>
    <row r="981" customFormat="false" ht="15" hidden="false" customHeight="false" outlineLevel="0" collapsed="false">
      <c r="M981" s="0" t="str">
        <f aca="false">IF(CSV貼付A!$N981="","",IF(COUNTIF(CSV貼付A!$N$5:$N981,CSV貼付A!$N981)&gt;1,"",MAX($M$4:M980)+1))</f>
        <v/>
      </c>
      <c r="O981" s="0" t="str">
        <f aca="false">IF(CSV貼付B!$N981="","",IF(COUNTIF(CSV貼付B!$N$5:$N981,CSV貼付B!$N981)&gt;1,"",MAX($O$4:O980)+1))</f>
        <v/>
      </c>
    </row>
    <row r="982" customFormat="false" ht="15" hidden="false" customHeight="false" outlineLevel="0" collapsed="false">
      <c r="M982" s="0" t="str">
        <f aca="false">IF(CSV貼付A!$N982="","",IF(COUNTIF(CSV貼付A!$N$5:$N982,CSV貼付A!$N982)&gt;1,"",MAX($M$4:M981)+1))</f>
        <v/>
      </c>
      <c r="O982" s="0" t="str">
        <f aca="false">IF(CSV貼付B!$N982="","",IF(COUNTIF(CSV貼付B!$N$5:$N982,CSV貼付B!$N982)&gt;1,"",MAX($O$4:O981)+1))</f>
        <v/>
      </c>
    </row>
    <row r="983" customFormat="false" ht="15" hidden="false" customHeight="false" outlineLevel="0" collapsed="false">
      <c r="M983" s="0" t="str">
        <f aca="false">IF(CSV貼付A!$N983="","",IF(COUNTIF(CSV貼付A!$N$5:$N983,CSV貼付A!$N983)&gt;1,"",MAX($M$4:M982)+1))</f>
        <v/>
      </c>
      <c r="O983" s="0" t="str">
        <f aca="false">IF(CSV貼付B!$N983="","",IF(COUNTIF(CSV貼付B!$N$5:$N983,CSV貼付B!$N983)&gt;1,"",MAX($O$4:O982)+1))</f>
        <v/>
      </c>
    </row>
    <row r="984" customFormat="false" ht="15" hidden="false" customHeight="false" outlineLevel="0" collapsed="false">
      <c r="M984" s="0" t="str">
        <f aca="false">IF(CSV貼付A!$N984="","",IF(COUNTIF(CSV貼付A!$N$5:$N984,CSV貼付A!$N984)&gt;1,"",MAX($M$4:M983)+1))</f>
        <v/>
      </c>
      <c r="O984" s="0" t="str">
        <f aca="false">IF(CSV貼付B!$N984="","",IF(COUNTIF(CSV貼付B!$N$5:$N984,CSV貼付B!$N984)&gt;1,"",MAX($O$4:O983)+1))</f>
        <v/>
      </c>
    </row>
    <row r="985" customFormat="false" ht="15" hidden="false" customHeight="false" outlineLevel="0" collapsed="false">
      <c r="M985" s="0" t="str">
        <f aca="false">IF(CSV貼付A!$N985="","",IF(COUNTIF(CSV貼付A!$N$5:$N985,CSV貼付A!$N985)&gt;1,"",MAX($M$4:M984)+1))</f>
        <v/>
      </c>
      <c r="O985" s="0" t="str">
        <f aca="false">IF(CSV貼付B!$N985="","",IF(COUNTIF(CSV貼付B!$N$5:$N985,CSV貼付B!$N985)&gt;1,"",MAX($O$4:O984)+1))</f>
        <v/>
      </c>
    </row>
    <row r="986" customFormat="false" ht="15" hidden="false" customHeight="false" outlineLevel="0" collapsed="false">
      <c r="M986" s="0" t="str">
        <f aca="false">IF(CSV貼付A!$N986="","",IF(COUNTIF(CSV貼付A!$N$5:$N986,CSV貼付A!$N986)&gt;1,"",MAX($M$4:M985)+1))</f>
        <v/>
      </c>
      <c r="O986" s="0" t="str">
        <f aca="false">IF(CSV貼付B!$N986="","",IF(COUNTIF(CSV貼付B!$N$5:$N986,CSV貼付B!$N986)&gt;1,"",MAX($O$4:O985)+1))</f>
        <v/>
      </c>
    </row>
    <row r="987" customFormat="false" ht="15" hidden="false" customHeight="false" outlineLevel="0" collapsed="false">
      <c r="M987" s="0" t="str">
        <f aca="false">IF(CSV貼付A!$N987="","",IF(COUNTIF(CSV貼付A!$N$5:$N987,CSV貼付A!$N987)&gt;1,"",MAX($M$4:M986)+1))</f>
        <v/>
      </c>
      <c r="O987" s="0" t="str">
        <f aca="false">IF(CSV貼付B!$N987="","",IF(COUNTIF(CSV貼付B!$N$5:$N987,CSV貼付B!$N987)&gt;1,"",MAX($O$4:O986)+1))</f>
        <v/>
      </c>
    </row>
    <row r="988" customFormat="false" ht="15" hidden="false" customHeight="false" outlineLevel="0" collapsed="false">
      <c r="M988" s="0" t="str">
        <f aca="false">IF(CSV貼付A!$N988="","",IF(COUNTIF(CSV貼付A!$N$5:$N988,CSV貼付A!$N988)&gt;1,"",MAX($M$4:M987)+1))</f>
        <v/>
      </c>
      <c r="O988" s="0" t="str">
        <f aca="false">IF(CSV貼付B!$N988="","",IF(COUNTIF(CSV貼付B!$N$5:$N988,CSV貼付B!$N988)&gt;1,"",MAX($O$4:O987)+1))</f>
        <v/>
      </c>
    </row>
    <row r="989" customFormat="false" ht="15" hidden="false" customHeight="false" outlineLevel="0" collapsed="false">
      <c r="M989" s="0" t="str">
        <f aca="false">IF(CSV貼付A!$N989="","",IF(COUNTIF(CSV貼付A!$N$5:$N989,CSV貼付A!$N989)&gt;1,"",MAX($M$4:M988)+1))</f>
        <v/>
      </c>
      <c r="O989" s="0" t="str">
        <f aca="false">IF(CSV貼付B!$N989="","",IF(COUNTIF(CSV貼付B!$N$5:$N989,CSV貼付B!$N989)&gt;1,"",MAX($O$4:O988)+1))</f>
        <v/>
      </c>
    </row>
    <row r="990" customFormat="false" ht="15" hidden="false" customHeight="false" outlineLevel="0" collapsed="false">
      <c r="M990" s="0" t="str">
        <f aca="false">IF(CSV貼付A!$N990="","",IF(COUNTIF(CSV貼付A!$N$5:$N990,CSV貼付A!$N990)&gt;1,"",MAX($M$4:M989)+1))</f>
        <v/>
      </c>
      <c r="O990" s="0" t="str">
        <f aca="false">IF(CSV貼付B!$N990="","",IF(COUNTIF(CSV貼付B!$N$5:$N990,CSV貼付B!$N990)&gt;1,"",MAX($O$4:O989)+1))</f>
        <v/>
      </c>
    </row>
    <row r="991" customFormat="false" ht="15" hidden="false" customHeight="false" outlineLevel="0" collapsed="false">
      <c r="M991" s="0" t="str">
        <f aca="false">IF(CSV貼付A!$N991="","",IF(COUNTIF(CSV貼付A!$N$5:$N991,CSV貼付A!$N991)&gt;1,"",MAX($M$4:M990)+1))</f>
        <v/>
      </c>
      <c r="O991" s="0" t="str">
        <f aca="false">IF(CSV貼付B!$N991="","",IF(COUNTIF(CSV貼付B!$N$5:$N991,CSV貼付B!$N991)&gt;1,"",MAX($O$4:O990)+1))</f>
        <v/>
      </c>
    </row>
    <row r="992" customFormat="false" ht="15" hidden="false" customHeight="false" outlineLevel="0" collapsed="false">
      <c r="M992" s="0" t="str">
        <f aca="false">IF(CSV貼付A!$N992="","",IF(COUNTIF(CSV貼付A!$N$5:$N992,CSV貼付A!$N992)&gt;1,"",MAX($M$4:M991)+1))</f>
        <v/>
      </c>
      <c r="O992" s="0" t="str">
        <f aca="false">IF(CSV貼付B!$N992="","",IF(COUNTIF(CSV貼付B!$N$5:$N992,CSV貼付B!$N992)&gt;1,"",MAX($O$4:O991)+1))</f>
        <v/>
      </c>
    </row>
    <row r="993" customFormat="false" ht="15" hidden="false" customHeight="false" outlineLevel="0" collapsed="false">
      <c r="M993" s="0" t="str">
        <f aca="false">IF(CSV貼付A!$N993="","",IF(COUNTIF(CSV貼付A!$N$5:$N993,CSV貼付A!$N993)&gt;1,"",MAX($M$4:M992)+1))</f>
        <v/>
      </c>
      <c r="O993" s="0" t="str">
        <f aca="false">IF(CSV貼付B!$N993="","",IF(COUNTIF(CSV貼付B!$N$5:$N993,CSV貼付B!$N993)&gt;1,"",MAX($O$4:O992)+1))</f>
        <v/>
      </c>
    </row>
    <row r="994" customFormat="false" ht="15" hidden="false" customHeight="false" outlineLevel="0" collapsed="false">
      <c r="M994" s="0" t="str">
        <f aca="false">IF(CSV貼付A!$N994="","",IF(COUNTIF(CSV貼付A!$N$5:$N994,CSV貼付A!$N994)&gt;1,"",MAX($M$4:M993)+1))</f>
        <v/>
      </c>
      <c r="O994" s="0" t="str">
        <f aca="false">IF(CSV貼付B!$N994="","",IF(COUNTIF(CSV貼付B!$N$5:$N994,CSV貼付B!$N994)&gt;1,"",MAX($O$4:O993)+1))</f>
        <v/>
      </c>
    </row>
    <row r="995" customFormat="false" ht="15" hidden="false" customHeight="false" outlineLevel="0" collapsed="false">
      <c r="M995" s="0" t="str">
        <f aca="false">IF(CSV貼付A!$N995="","",IF(COUNTIF(CSV貼付A!$N$5:$N995,CSV貼付A!$N995)&gt;1,"",MAX($M$4:M994)+1))</f>
        <v/>
      </c>
      <c r="O995" s="0" t="str">
        <f aca="false">IF(CSV貼付B!$N995="","",IF(COUNTIF(CSV貼付B!$N$5:$N995,CSV貼付B!$N995)&gt;1,"",MAX($O$4:O994)+1))</f>
        <v/>
      </c>
    </row>
    <row r="996" customFormat="false" ht="15" hidden="false" customHeight="false" outlineLevel="0" collapsed="false">
      <c r="M996" s="0" t="str">
        <f aca="false">IF(CSV貼付A!$N996="","",IF(COUNTIF(CSV貼付A!$N$5:$N996,CSV貼付A!$N996)&gt;1,"",MAX($M$4:M995)+1))</f>
        <v/>
      </c>
      <c r="O996" s="0" t="str">
        <f aca="false">IF(CSV貼付B!$N996="","",IF(COUNTIF(CSV貼付B!$N$5:$N996,CSV貼付B!$N996)&gt;1,"",MAX($O$4:O995)+1))</f>
        <v/>
      </c>
    </row>
    <row r="997" customFormat="false" ht="15" hidden="false" customHeight="false" outlineLevel="0" collapsed="false">
      <c r="M997" s="0" t="str">
        <f aca="false">IF(CSV貼付A!$N997="","",IF(COUNTIF(CSV貼付A!$N$5:$N997,CSV貼付A!$N997)&gt;1,"",MAX($M$4:M996)+1))</f>
        <v/>
      </c>
      <c r="O997" s="0" t="str">
        <f aca="false">IF(CSV貼付B!$N997="","",IF(COUNTIF(CSV貼付B!$N$5:$N997,CSV貼付B!$N997)&gt;1,"",MAX($O$4:O996)+1))</f>
        <v/>
      </c>
    </row>
    <row r="998" customFormat="false" ht="15" hidden="false" customHeight="false" outlineLevel="0" collapsed="false">
      <c r="M998" s="0" t="str">
        <f aca="false">IF(CSV貼付A!$N998="","",IF(COUNTIF(CSV貼付A!$N$5:$N998,CSV貼付A!$N998)&gt;1,"",MAX($M$4:M997)+1))</f>
        <v/>
      </c>
      <c r="O998" s="0" t="str">
        <f aca="false">IF(CSV貼付B!$N998="","",IF(COUNTIF(CSV貼付B!$N$5:$N998,CSV貼付B!$N998)&gt;1,"",MAX($O$4:O997)+1))</f>
        <v/>
      </c>
    </row>
    <row r="999" customFormat="false" ht="15" hidden="false" customHeight="false" outlineLevel="0" collapsed="false">
      <c r="M999" s="0" t="str">
        <f aca="false">IF(CSV貼付A!$N999="","",IF(COUNTIF(CSV貼付A!$N$5:$N999,CSV貼付A!$N999)&gt;1,"",MAX($M$4:M998)+1))</f>
        <v/>
      </c>
      <c r="O999" s="0" t="str">
        <f aca="false">IF(CSV貼付B!$N999="","",IF(COUNTIF(CSV貼付B!$N$5:$N999,CSV貼付B!$N999)&gt;1,"",MAX($O$4:O998)+1))</f>
        <v/>
      </c>
    </row>
    <row r="1000" customFormat="false" ht="15" hidden="false" customHeight="false" outlineLevel="0" collapsed="false">
      <c r="M1000" s="0" t="str">
        <f aca="false">IF(CSV貼付A!$N1000="","",IF(COUNTIF(CSV貼付A!$N$5:$N1000,CSV貼付A!$N1000)&gt;1,"",MAX($M$4:M999)+1))</f>
        <v/>
      </c>
      <c r="O1000" s="0" t="str">
        <f aca="false">IF(CSV貼付B!$N1000="","",IF(COUNTIF(CSV貼付B!$N$5:$N1000,CSV貼付B!$N1000)&gt;1,"",MAX($O$4:O999)+1))</f>
        <v/>
      </c>
    </row>
    <row r="1001" customFormat="false" ht="15" hidden="false" customHeight="false" outlineLevel="0" collapsed="false">
      <c r="M1001" s="0" t="str">
        <f aca="false">IF(CSV貼付A!$N1001="","",IF(COUNTIF(CSV貼付A!$N$5:$N1001,CSV貼付A!$N1001)&gt;1,"",MAX($M$4:M1000)+1))</f>
        <v/>
      </c>
      <c r="O1001" s="0" t="str">
        <f aca="false">IF(CSV貼付B!$N1001="","",IF(COUNTIF(CSV貼付B!$N$5:$N1001,CSV貼付B!$N1001)&gt;1,"",MAX($O$4:O1000)+1))</f>
        <v/>
      </c>
    </row>
    <row r="1002" customFormat="false" ht="15" hidden="false" customHeight="false" outlineLevel="0" collapsed="false">
      <c r="M1002" s="0" t="str">
        <f aca="false">IF(CSV貼付A!$N1002="","",IF(COUNTIF(CSV貼付A!$N$5:$N1002,CSV貼付A!$N1002)&gt;1,"",MAX($M$4:M1001)+1))</f>
        <v/>
      </c>
      <c r="O1002" s="0" t="str">
        <f aca="false">IF(CSV貼付B!$N1002="","",IF(COUNTIF(CSV貼付B!$N$5:$N1002,CSV貼付B!$N1002)&gt;1,"",MAX($O$4:O1001)+1))</f>
        <v/>
      </c>
    </row>
    <row r="1003" customFormat="false" ht="15" hidden="false" customHeight="false" outlineLevel="0" collapsed="false">
      <c r="M1003" s="0" t="str">
        <f aca="false">IF(CSV貼付A!$N1003="","",IF(COUNTIF(CSV貼付A!$N$5:$N1003,CSV貼付A!$N1003)&gt;1,"",MAX($M$4:M1002)+1))</f>
        <v/>
      </c>
      <c r="O1003" s="0" t="str">
        <f aca="false">IF(CSV貼付B!$N1003="","",IF(COUNTIF(CSV貼付B!$N$5:$N1003,CSV貼付B!$N1003)&gt;1,"",MAX($O$4:O1002)+1))</f>
        <v/>
      </c>
    </row>
    <row r="1004" customFormat="false" ht="15" hidden="false" customHeight="false" outlineLevel="0" collapsed="false">
      <c r="M1004" s="0" t="str">
        <f aca="false">IF(CSV貼付A!$N1004="","",IF(COUNTIF(CSV貼付A!$N$5:$N1004,CSV貼付A!$N1004)&gt;1,"",MAX($M$4:M1003)+1))</f>
        <v/>
      </c>
      <c r="O1004" s="0" t="str">
        <f aca="false">IF(CSV貼付B!$N1004="","",IF(COUNTIF(CSV貼付B!$N$5:$N1004,CSV貼付B!$N1004)&gt;1,"",MAX($O$4:O1003)+1))</f>
        <v/>
      </c>
    </row>
  </sheetData>
  <mergeCells count="6">
    <mergeCell ref="A1:K1"/>
    <mergeCell ref="C2:D2"/>
    <mergeCell ref="F2:K2"/>
    <mergeCell ref="G4:K4"/>
    <mergeCell ref="J8:K8"/>
    <mergeCell ref="A34:K34"/>
  </mergeCells>
  <conditionalFormatting sqref="C4:E5">
    <cfRule type="expression" priority="2" aboveAverage="0" equalAverage="0" bottom="0" percent="0" rank="0" text="" dxfId="1">
      <formula>WEEKDAY(C$4)=1</formula>
    </cfRule>
    <cfRule type="expression" priority="3" aboveAverage="0" equalAverage="0" bottom="0" percent="0" rank="0" text="" dxfId="2">
      <formula>WEEKDAY(C$4)=7</formula>
    </cfRule>
  </conditionalFormatting>
  <conditionalFormatting sqref="C8:I9">
    <cfRule type="expression" priority="4" aboveAverage="0" equalAverage="0" bottom="0" percent="0" rank="0" text="" dxfId="1">
      <formula>WEEKDAY(C$8)=1</formula>
    </cfRule>
    <cfRule type="expression" priority="5" aboveAverage="0" equalAverage="0" bottom="0" percent="0" rank="0" text="" dxfId="2">
      <formula>WEEKDAY(C$8)=7</formula>
    </cfRule>
  </conditionalFormatting>
  <conditionalFormatting sqref="B14:B33">
    <cfRule type="expression" priority="6" aboveAverage="0" equalAverage="0" bottom="0" percent="0" rank="0" text="" dxfId="3">
      <formula>AND($B14&lt;&gt;"",COUNTIF($B$14:$B$33,$B14)&gt;1)</formula>
    </cfRule>
  </conditionalFormatting>
  <dataValidations count="2">
    <dataValidation allowBlank="false" error="動員数は 0〜999,999 の整数で入力してください（文字や記号は不可）" errorStyle="stop" errorTitle="動員数" operator="between" showDropDown="false" showErrorMessage="true" showInputMessage="false" sqref="C6:E6 C10:I10" type="whole">
      <formula1>0</formula1>
      <formula2>999999</formula2>
    </dataValidation>
    <dataValidation allowBlank="true" errorStyle="stop" operator="between" showDropDown="false" showErrorMessage="false" showInputMessage="false" sqref="B14:B33" type="list">
      <formula1>商品リスト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9A13B"/>
    <pageSetUpPr fitToPage="true"/>
  </sheetPr>
  <dimension ref="A1:AH35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13" min="2" style="0" width="11"/>
    <col collapsed="false" customWidth="true" hidden="false" outlineLevel="0" max="14" min="14" style="0" width="28"/>
    <col collapsed="false" customWidth="true" hidden="false" outlineLevel="0" max="34" min="15" style="0" width="11"/>
  </cols>
  <sheetData>
    <row r="1" customFormat="false" ht="33.75" hidden="false" customHeight="true" outlineLevel="0" collapsed="false">
      <c r="A1" s="1" t="s">
        <v>103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</row>
    <row r="2" customFormat="false" ht="30" hidden="false" customHeight="true" outlineLevel="0" collapsed="false">
      <c r="A2" s="71" t="s">
        <v>104</v>
      </c>
      <c r="B2" s="71"/>
      <c r="C2" s="71"/>
      <c r="D2" s="71"/>
      <c r="E2" s="71"/>
      <c r="F2" s="71"/>
      <c r="G2" s="71"/>
      <c r="H2" s="71"/>
      <c r="I2" s="71"/>
      <c r="J2" s="71"/>
    </row>
    <row r="3" customFormat="false" ht="18" hidden="false" customHeight="true" outlineLevel="0" collapsed="false">
      <c r="A3" s="72" t="str">
        <f aca="false">"貼付行数: "&amp;COUNTA($N$5:$N$1004)&amp;"行"&amp;IF($N$5="","","｜対象期間: "&amp;IFERROR(TEXT(DATEVALUE(TEXT(VALUE($D$5),"0000-00-00")),"m/d")&amp;"〜"&amp;TEXT(DATEVALUE(TEXT(VALUE($E$5),"0000-00-00")),"m/d"),"—"))</f>
        <v>貼付行数: 0行</v>
      </c>
      <c r="B3" s="72"/>
      <c r="C3" s="72"/>
      <c r="D3" s="72"/>
      <c r="E3" s="72"/>
      <c r="F3" s="72"/>
      <c r="G3" s="72"/>
      <c r="H3" s="72"/>
      <c r="I3" s="72"/>
      <c r="J3" s="72"/>
    </row>
    <row r="4" customFormat="false" ht="19.5" hidden="false" customHeight="true" outlineLevel="0" collapsed="false">
      <c r="A4" s="73" t="s">
        <v>105</v>
      </c>
      <c r="B4" s="73" t="s">
        <v>106</v>
      </c>
      <c r="C4" s="73" t="s">
        <v>107</v>
      </c>
      <c r="D4" s="73" t="s">
        <v>108</v>
      </c>
      <c r="E4" s="73" t="s">
        <v>109</v>
      </c>
      <c r="F4" s="73" t="s">
        <v>110</v>
      </c>
      <c r="G4" s="73" t="s">
        <v>111</v>
      </c>
      <c r="H4" s="73" t="s">
        <v>112</v>
      </c>
      <c r="I4" s="73" t="s">
        <v>113</v>
      </c>
      <c r="J4" s="73" t="s">
        <v>114</v>
      </c>
      <c r="K4" s="73" t="s">
        <v>115</v>
      </c>
      <c r="L4" s="73" t="s">
        <v>116</v>
      </c>
      <c r="M4" s="73" t="s">
        <v>117</v>
      </c>
      <c r="N4" s="73" t="s">
        <v>51</v>
      </c>
      <c r="O4" s="73" t="s">
        <v>118</v>
      </c>
      <c r="P4" s="73" t="s">
        <v>119</v>
      </c>
      <c r="Q4" s="73" t="s">
        <v>120</v>
      </c>
      <c r="R4" s="73" t="s">
        <v>121</v>
      </c>
      <c r="S4" s="73" t="s">
        <v>122</v>
      </c>
      <c r="T4" s="73" t="s">
        <v>123</v>
      </c>
      <c r="U4" s="73" t="s">
        <v>124</v>
      </c>
      <c r="V4" s="73" t="s">
        <v>125</v>
      </c>
      <c r="W4" s="73" t="s">
        <v>126</v>
      </c>
      <c r="X4" s="73" t="s">
        <v>127</v>
      </c>
      <c r="Y4" s="73" t="s">
        <v>128</v>
      </c>
      <c r="Z4" s="73" t="s">
        <v>129</v>
      </c>
      <c r="AA4" s="73" t="s">
        <v>130</v>
      </c>
      <c r="AB4" s="73" t="s">
        <v>131</v>
      </c>
      <c r="AC4" s="73" t="s">
        <v>132</v>
      </c>
      <c r="AD4" s="73" t="s">
        <v>133</v>
      </c>
      <c r="AE4" s="73" t="s">
        <v>134</v>
      </c>
      <c r="AF4" s="73" t="s">
        <v>135</v>
      </c>
      <c r="AG4" s="73" t="s">
        <v>136</v>
      </c>
      <c r="AH4" s="73" t="s">
        <v>137</v>
      </c>
    </row>
    <row r="5" customFormat="false" ht="15" hidden="false" customHeight="false" outlineLevel="0" collapsed="false">
      <c r="A5" s="74"/>
      <c r="B5" s="74"/>
      <c r="C5" s="74"/>
      <c r="D5" s="74"/>
      <c r="E5" s="74"/>
      <c r="F5" s="74"/>
      <c r="G5" s="74"/>
      <c r="H5" s="74"/>
      <c r="I5" s="74"/>
      <c r="J5" s="74"/>
      <c r="K5" s="74"/>
      <c r="L5" s="74"/>
      <c r="M5" s="74"/>
      <c r="N5" s="74"/>
      <c r="O5" s="74"/>
      <c r="P5" s="74"/>
      <c r="Q5" s="74"/>
      <c r="R5" s="74"/>
      <c r="S5" s="74"/>
      <c r="T5" s="74"/>
      <c r="U5" s="74"/>
      <c r="V5" s="74"/>
      <c r="W5" s="74"/>
      <c r="X5" s="74"/>
      <c r="Y5" s="74"/>
      <c r="Z5" s="74"/>
      <c r="AA5" s="74"/>
      <c r="AB5" s="74"/>
      <c r="AC5" s="74"/>
      <c r="AD5" s="74"/>
      <c r="AE5" s="74"/>
      <c r="AF5" s="74"/>
      <c r="AG5" s="74"/>
      <c r="AH5" s="74"/>
    </row>
    <row r="6" customFormat="false" ht="15" hidden="false" customHeight="false" outlineLevel="0" collapsed="false">
      <c r="A6" s="74"/>
      <c r="B6" s="74"/>
      <c r="C6" s="74"/>
      <c r="D6" s="74"/>
      <c r="E6" s="74"/>
      <c r="F6" s="74"/>
      <c r="G6" s="74"/>
      <c r="H6" s="74"/>
      <c r="I6" s="74"/>
      <c r="J6" s="74"/>
      <c r="K6" s="74"/>
      <c r="L6" s="74"/>
      <c r="M6" s="74"/>
      <c r="N6" s="74"/>
      <c r="O6" s="74"/>
      <c r="P6" s="74"/>
      <c r="Q6" s="74"/>
      <c r="R6" s="74"/>
      <c r="S6" s="74"/>
      <c r="T6" s="74"/>
      <c r="U6" s="74"/>
      <c r="V6" s="74"/>
      <c r="W6" s="74"/>
      <c r="X6" s="74"/>
      <c r="Y6" s="74"/>
      <c r="Z6" s="74"/>
      <c r="AA6" s="74"/>
      <c r="AB6" s="74"/>
      <c r="AC6" s="74"/>
      <c r="AD6" s="74"/>
      <c r="AE6" s="74"/>
      <c r="AF6" s="74"/>
      <c r="AG6" s="74"/>
      <c r="AH6" s="74"/>
    </row>
    <row r="7" customFormat="false" ht="15" hidden="false" customHeight="false" outlineLevel="0" collapsed="false">
      <c r="A7" s="74"/>
      <c r="B7" s="74"/>
      <c r="C7" s="74"/>
      <c r="D7" s="74"/>
      <c r="E7" s="74"/>
      <c r="F7" s="74"/>
      <c r="G7" s="74"/>
      <c r="H7" s="74"/>
      <c r="I7" s="74"/>
      <c r="J7" s="74"/>
      <c r="K7" s="74"/>
      <c r="L7" s="74"/>
      <c r="M7" s="74"/>
      <c r="N7" s="74"/>
      <c r="O7" s="74"/>
      <c r="P7" s="74"/>
      <c r="Q7" s="74"/>
      <c r="R7" s="74"/>
      <c r="S7" s="74"/>
      <c r="T7" s="74"/>
      <c r="U7" s="74"/>
      <c r="V7" s="74"/>
      <c r="W7" s="74"/>
      <c r="X7" s="74"/>
      <c r="Y7" s="74"/>
      <c r="Z7" s="74"/>
      <c r="AA7" s="74"/>
      <c r="AB7" s="74"/>
      <c r="AC7" s="74"/>
      <c r="AD7" s="74"/>
      <c r="AE7" s="74"/>
      <c r="AF7" s="74"/>
      <c r="AG7" s="74"/>
      <c r="AH7" s="74"/>
    </row>
    <row r="8" customFormat="false" ht="15" hidden="false" customHeight="false" outlineLevel="0" collapsed="false">
      <c r="A8" s="74"/>
      <c r="B8" s="74"/>
      <c r="C8" s="74"/>
      <c r="D8" s="74"/>
      <c r="E8" s="74"/>
      <c r="F8" s="74"/>
      <c r="G8" s="74"/>
      <c r="H8" s="74"/>
      <c r="I8" s="74"/>
      <c r="J8" s="74"/>
      <c r="K8" s="74"/>
      <c r="L8" s="74"/>
      <c r="M8" s="74"/>
      <c r="N8" s="74"/>
      <c r="O8" s="74"/>
      <c r="P8" s="74"/>
      <c r="Q8" s="74"/>
      <c r="R8" s="74"/>
      <c r="S8" s="74"/>
      <c r="T8" s="74"/>
      <c r="U8" s="74"/>
      <c r="V8" s="74"/>
      <c r="W8" s="74"/>
      <c r="X8" s="74"/>
      <c r="Y8" s="74"/>
      <c r="Z8" s="74"/>
      <c r="AA8" s="74"/>
      <c r="AB8" s="74"/>
      <c r="AC8" s="74"/>
      <c r="AD8" s="74"/>
      <c r="AE8" s="74"/>
      <c r="AF8" s="74"/>
      <c r="AG8" s="74"/>
      <c r="AH8" s="74"/>
    </row>
    <row r="9" customFormat="false" ht="15" hidden="false" customHeight="false" outlineLevel="0" collapsed="false">
      <c r="A9" s="74"/>
      <c r="B9" s="74"/>
      <c r="C9" s="74"/>
      <c r="D9" s="74"/>
      <c r="E9" s="74"/>
      <c r="F9" s="74"/>
      <c r="G9" s="74"/>
      <c r="H9" s="74"/>
      <c r="I9" s="74"/>
      <c r="J9" s="74"/>
      <c r="K9" s="74"/>
      <c r="L9" s="74"/>
      <c r="M9" s="74"/>
      <c r="N9" s="74"/>
      <c r="O9" s="74"/>
      <c r="P9" s="74"/>
      <c r="Q9" s="74"/>
      <c r="R9" s="74"/>
      <c r="S9" s="74"/>
      <c r="T9" s="74"/>
      <c r="U9" s="74"/>
      <c r="V9" s="74"/>
      <c r="W9" s="74"/>
      <c r="X9" s="74"/>
      <c r="Y9" s="74"/>
      <c r="Z9" s="74"/>
      <c r="AA9" s="74"/>
      <c r="AB9" s="74"/>
      <c r="AC9" s="74"/>
      <c r="AD9" s="74"/>
      <c r="AE9" s="74"/>
      <c r="AF9" s="74"/>
      <c r="AG9" s="74"/>
      <c r="AH9" s="74"/>
    </row>
    <row r="10" customFormat="false" ht="15" hidden="false" customHeight="false" outlineLevel="0" collapsed="false">
      <c r="A10" s="74"/>
      <c r="B10" s="74"/>
      <c r="C10" s="74"/>
      <c r="D10" s="74"/>
      <c r="E10" s="74"/>
      <c r="F10" s="74"/>
      <c r="G10" s="74"/>
      <c r="H10" s="74"/>
      <c r="I10" s="74"/>
      <c r="J10" s="74"/>
      <c r="K10" s="74"/>
      <c r="L10" s="74"/>
      <c r="M10" s="74"/>
      <c r="N10" s="74"/>
      <c r="O10" s="74"/>
      <c r="P10" s="74"/>
      <c r="Q10" s="74"/>
      <c r="R10" s="74"/>
      <c r="S10" s="74"/>
      <c r="T10" s="74"/>
      <c r="U10" s="74"/>
      <c r="V10" s="74"/>
      <c r="W10" s="74"/>
      <c r="X10" s="74"/>
      <c r="Y10" s="74"/>
      <c r="Z10" s="74"/>
      <c r="AA10" s="74"/>
      <c r="AB10" s="74"/>
      <c r="AC10" s="74"/>
      <c r="AD10" s="74"/>
      <c r="AE10" s="74"/>
      <c r="AF10" s="74"/>
      <c r="AG10" s="74"/>
      <c r="AH10" s="74"/>
    </row>
    <row r="11" customFormat="false" ht="15" hidden="false" customHeight="false" outlineLevel="0" collapsed="false">
      <c r="A11" s="74"/>
      <c r="B11" s="74"/>
      <c r="C11" s="74"/>
      <c r="D11" s="74"/>
      <c r="E11" s="74"/>
      <c r="F11" s="74"/>
      <c r="G11" s="74"/>
      <c r="H11" s="74"/>
      <c r="I11" s="74"/>
      <c r="J11" s="74"/>
      <c r="K11" s="74"/>
      <c r="L11" s="74"/>
      <c r="M11" s="74"/>
      <c r="N11" s="74"/>
      <c r="O11" s="74"/>
      <c r="P11" s="74"/>
      <c r="Q11" s="74"/>
      <c r="R11" s="74"/>
      <c r="S11" s="74"/>
      <c r="T11" s="74"/>
      <c r="U11" s="74"/>
      <c r="V11" s="74"/>
      <c r="W11" s="74"/>
      <c r="X11" s="74"/>
      <c r="Y11" s="74"/>
      <c r="Z11" s="74"/>
      <c r="AA11" s="74"/>
      <c r="AB11" s="74"/>
      <c r="AC11" s="74"/>
      <c r="AD11" s="74"/>
      <c r="AE11" s="74"/>
      <c r="AF11" s="74"/>
      <c r="AG11" s="74"/>
      <c r="AH11" s="74"/>
    </row>
    <row r="12" customFormat="false" ht="15" hidden="false" customHeight="false" outlineLevel="0" collapsed="false">
      <c r="A12" s="74"/>
      <c r="B12" s="74"/>
      <c r="C12" s="74"/>
      <c r="D12" s="74"/>
      <c r="E12" s="74"/>
      <c r="F12" s="74"/>
      <c r="G12" s="74"/>
      <c r="H12" s="74"/>
      <c r="I12" s="74"/>
      <c r="J12" s="74"/>
      <c r="K12" s="74"/>
      <c r="L12" s="74"/>
      <c r="M12" s="74"/>
      <c r="N12" s="74"/>
      <c r="O12" s="74"/>
      <c r="P12" s="74"/>
      <c r="Q12" s="74"/>
      <c r="R12" s="74"/>
      <c r="S12" s="74"/>
      <c r="T12" s="74"/>
      <c r="U12" s="74"/>
      <c r="V12" s="74"/>
      <c r="W12" s="74"/>
      <c r="X12" s="74"/>
      <c r="Y12" s="74"/>
      <c r="Z12" s="74"/>
      <c r="AA12" s="74"/>
      <c r="AB12" s="74"/>
      <c r="AC12" s="74"/>
      <c r="AD12" s="74"/>
      <c r="AE12" s="74"/>
      <c r="AF12" s="74"/>
      <c r="AG12" s="74"/>
      <c r="AH12" s="74"/>
    </row>
    <row r="13" customFormat="false" ht="15" hidden="false" customHeight="false" outlineLevel="0" collapsed="false">
      <c r="A13" s="74"/>
      <c r="B13" s="74"/>
      <c r="C13" s="74"/>
      <c r="D13" s="74"/>
      <c r="E13" s="74"/>
      <c r="F13" s="74"/>
      <c r="G13" s="74"/>
      <c r="H13" s="74"/>
      <c r="I13" s="74"/>
      <c r="J13" s="74"/>
      <c r="K13" s="74"/>
      <c r="L13" s="74"/>
      <c r="M13" s="74"/>
      <c r="N13" s="74"/>
      <c r="O13" s="74"/>
      <c r="P13" s="74"/>
      <c r="Q13" s="74"/>
      <c r="R13" s="74"/>
      <c r="S13" s="74"/>
      <c r="T13" s="74"/>
      <c r="U13" s="74"/>
      <c r="V13" s="74"/>
      <c r="W13" s="74"/>
      <c r="X13" s="74"/>
      <c r="Y13" s="74"/>
      <c r="Z13" s="74"/>
      <c r="AA13" s="74"/>
      <c r="AB13" s="74"/>
      <c r="AC13" s="74"/>
      <c r="AD13" s="74"/>
      <c r="AE13" s="74"/>
      <c r="AF13" s="74"/>
      <c r="AG13" s="74"/>
      <c r="AH13" s="74"/>
    </row>
    <row r="14" customFormat="false" ht="15" hidden="false" customHeight="false" outlineLevel="0" collapsed="false">
      <c r="A14" s="74"/>
      <c r="B14" s="74"/>
      <c r="C14" s="74"/>
      <c r="D14" s="74"/>
      <c r="E14" s="74"/>
      <c r="F14" s="74"/>
      <c r="G14" s="74"/>
      <c r="H14" s="74"/>
      <c r="I14" s="74"/>
      <c r="J14" s="74"/>
      <c r="K14" s="74"/>
      <c r="L14" s="74"/>
      <c r="M14" s="74"/>
      <c r="N14" s="74"/>
      <c r="O14" s="74"/>
      <c r="P14" s="74"/>
      <c r="Q14" s="74"/>
      <c r="R14" s="74"/>
      <c r="S14" s="74"/>
      <c r="T14" s="74"/>
      <c r="U14" s="74"/>
      <c r="V14" s="74"/>
      <c r="W14" s="74"/>
      <c r="X14" s="74"/>
      <c r="Y14" s="74"/>
      <c r="Z14" s="74"/>
      <c r="AA14" s="74"/>
      <c r="AB14" s="74"/>
      <c r="AC14" s="74"/>
      <c r="AD14" s="74"/>
      <c r="AE14" s="74"/>
      <c r="AF14" s="74"/>
      <c r="AG14" s="74"/>
      <c r="AH14" s="74"/>
    </row>
    <row r="15" customFormat="false" ht="15" hidden="false" customHeight="false" outlineLevel="0" collapsed="false">
      <c r="A15" s="74"/>
      <c r="B15" s="74"/>
      <c r="C15" s="74"/>
      <c r="D15" s="74"/>
      <c r="E15" s="74"/>
      <c r="F15" s="74"/>
      <c r="G15" s="74"/>
      <c r="H15" s="74"/>
      <c r="I15" s="74"/>
      <c r="J15" s="74"/>
      <c r="K15" s="74"/>
      <c r="L15" s="74"/>
      <c r="M15" s="74"/>
      <c r="N15" s="74"/>
      <c r="O15" s="74"/>
      <c r="P15" s="74"/>
      <c r="Q15" s="74"/>
      <c r="R15" s="74"/>
      <c r="S15" s="74"/>
      <c r="T15" s="74"/>
      <c r="U15" s="74"/>
      <c r="V15" s="74"/>
      <c r="W15" s="74"/>
      <c r="X15" s="74"/>
      <c r="Y15" s="74"/>
      <c r="Z15" s="74"/>
      <c r="AA15" s="74"/>
      <c r="AB15" s="74"/>
      <c r="AC15" s="74"/>
      <c r="AD15" s="74"/>
      <c r="AE15" s="74"/>
      <c r="AF15" s="74"/>
      <c r="AG15" s="74"/>
      <c r="AH15" s="74"/>
    </row>
    <row r="16" customFormat="false" ht="15" hidden="false" customHeight="false" outlineLevel="0" collapsed="false">
      <c r="A16" s="74"/>
      <c r="B16" s="74"/>
      <c r="C16" s="74"/>
      <c r="D16" s="74"/>
      <c r="E16" s="74"/>
      <c r="F16" s="74"/>
      <c r="G16" s="74"/>
      <c r="H16" s="74"/>
      <c r="I16" s="74"/>
      <c r="J16" s="74"/>
      <c r="K16" s="74"/>
      <c r="L16" s="74"/>
      <c r="M16" s="74"/>
      <c r="N16" s="74"/>
      <c r="O16" s="74"/>
      <c r="P16" s="74"/>
      <c r="Q16" s="74"/>
      <c r="R16" s="74"/>
      <c r="S16" s="74"/>
      <c r="T16" s="74"/>
      <c r="U16" s="74"/>
      <c r="V16" s="74"/>
      <c r="W16" s="74"/>
      <c r="X16" s="74"/>
      <c r="Y16" s="74"/>
      <c r="Z16" s="74"/>
      <c r="AA16" s="74"/>
      <c r="AB16" s="74"/>
      <c r="AC16" s="74"/>
      <c r="AD16" s="74"/>
      <c r="AE16" s="74"/>
      <c r="AF16" s="74"/>
      <c r="AG16" s="74"/>
      <c r="AH16" s="74"/>
    </row>
    <row r="17" customFormat="false" ht="15" hidden="false" customHeight="false" outlineLevel="0" collapsed="false">
      <c r="A17" s="74"/>
      <c r="B17" s="74"/>
      <c r="C17" s="74"/>
      <c r="D17" s="74"/>
      <c r="E17" s="74"/>
      <c r="F17" s="74"/>
      <c r="G17" s="74"/>
      <c r="H17" s="74"/>
      <c r="I17" s="74"/>
      <c r="J17" s="74"/>
      <c r="K17" s="74"/>
      <c r="L17" s="74"/>
      <c r="M17" s="74"/>
      <c r="N17" s="74"/>
      <c r="O17" s="74"/>
      <c r="P17" s="74"/>
      <c r="Q17" s="74"/>
      <c r="R17" s="74"/>
      <c r="S17" s="74"/>
      <c r="T17" s="74"/>
      <c r="U17" s="74"/>
      <c r="V17" s="74"/>
      <c r="W17" s="74"/>
      <c r="X17" s="74"/>
      <c r="Y17" s="74"/>
      <c r="Z17" s="74"/>
      <c r="AA17" s="74"/>
      <c r="AB17" s="74"/>
      <c r="AC17" s="74"/>
      <c r="AD17" s="74"/>
      <c r="AE17" s="74"/>
      <c r="AF17" s="74"/>
      <c r="AG17" s="74"/>
      <c r="AH17" s="74"/>
    </row>
    <row r="18" customFormat="false" ht="15" hidden="false" customHeight="false" outlineLevel="0" collapsed="false">
      <c r="A18" s="74"/>
      <c r="B18" s="74"/>
      <c r="C18" s="74"/>
      <c r="D18" s="74"/>
      <c r="E18" s="74"/>
      <c r="F18" s="74"/>
      <c r="G18" s="74"/>
      <c r="H18" s="74"/>
      <c r="I18" s="74"/>
      <c r="J18" s="74"/>
      <c r="K18" s="74"/>
      <c r="L18" s="74"/>
      <c r="M18" s="74"/>
      <c r="N18" s="74"/>
      <c r="O18" s="74"/>
      <c r="P18" s="74"/>
      <c r="Q18" s="74"/>
      <c r="R18" s="74"/>
      <c r="S18" s="74"/>
      <c r="T18" s="74"/>
      <c r="U18" s="74"/>
      <c r="V18" s="74"/>
      <c r="W18" s="74"/>
      <c r="X18" s="74"/>
      <c r="Y18" s="74"/>
      <c r="Z18" s="74"/>
      <c r="AA18" s="74"/>
      <c r="AB18" s="74"/>
      <c r="AC18" s="74"/>
      <c r="AD18" s="74"/>
      <c r="AE18" s="74"/>
      <c r="AF18" s="74"/>
      <c r="AG18" s="74"/>
      <c r="AH18" s="74"/>
    </row>
    <row r="19" customFormat="false" ht="15" hidden="false" customHeight="false" outlineLevel="0" collapsed="false">
      <c r="A19" s="74"/>
      <c r="B19" s="74"/>
      <c r="C19" s="74"/>
      <c r="D19" s="74"/>
      <c r="E19" s="74"/>
      <c r="F19" s="74"/>
      <c r="G19" s="74"/>
      <c r="H19" s="74"/>
      <c r="I19" s="74"/>
      <c r="J19" s="74"/>
      <c r="K19" s="74"/>
      <c r="L19" s="74"/>
      <c r="M19" s="74"/>
      <c r="N19" s="74"/>
      <c r="O19" s="74"/>
      <c r="P19" s="74"/>
      <c r="Q19" s="74"/>
      <c r="R19" s="74"/>
      <c r="S19" s="74"/>
      <c r="T19" s="74"/>
      <c r="U19" s="74"/>
      <c r="V19" s="74"/>
      <c r="W19" s="74"/>
      <c r="X19" s="74"/>
      <c r="Y19" s="74"/>
      <c r="Z19" s="74"/>
      <c r="AA19" s="74"/>
      <c r="AB19" s="74"/>
      <c r="AC19" s="74"/>
      <c r="AD19" s="74"/>
      <c r="AE19" s="74"/>
      <c r="AF19" s="74"/>
      <c r="AG19" s="74"/>
      <c r="AH19" s="74"/>
    </row>
    <row r="20" customFormat="false" ht="15" hidden="false" customHeight="false" outlineLevel="0" collapsed="false">
      <c r="A20" s="74"/>
      <c r="B20" s="74"/>
      <c r="C20" s="74"/>
      <c r="D20" s="74"/>
      <c r="E20" s="74"/>
      <c r="F20" s="74"/>
      <c r="G20" s="74"/>
      <c r="H20" s="74"/>
      <c r="I20" s="74"/>
      <c r="J20" s="74"/>
      <c r="K20" s="74"/>
      <c r="L20" s="74"/>
      <c r="M20" s="74"/>
      <c r="N20" s="74"/>
      <c r="O20" s="74"/>
      <c r="P20" s="74"/>
      <c r="Q20" s="74"/>
      <c r="R20" s="74"/>
      <c r="S20" s="74"/>
      <c r="T20" s="74"/>
      <c r="U20" s="74"/>
      <c r="V20" s="74"/>
      <c r="W20" s="74"/>
      <c r="X20" s="74"/>
      <c r="Y20" s="74"/>
      <c r="Z20" s="74"/>
      <c r="AA20" s="74"/>
      <c r="AB20" s="74"/>
      <c r="AC20" s="74"/>
      <c r="AD20" s="74"/>
      <c r="AE20" s="74"/>
      <c r="AF20" s="74"/>
      <c r="AG20" s="74"/>
      <c r="AH20" s="74"/>
    </row>
    <row r="21" customFormat="false" ht="15" hidden="false" customHeight="false" outlineLevel="0" collapsed="false">
      <c r="A21" s="74"/>
      <c r="B21" s="74"/>
      <c r="C21" s="74"/>
      <c r="D21" s="74"/>
      <c r="E21" s="74"/>
      <c r="F21" s="74"/>
      <c r="G21" s="74"/>
      <c r="H21" s="74"/>
      <c r="I21" s="74"/>
      <c r="J21" s="74"/>
      <c r="K21" s="74"/>
      <c r="L21" s="74"/>
      <c r="M21" s="74"/>
      <c r="N21" s="74"/>
      <c r="O21" s="74"/>
      <c r="P21" s="74"/>
      <c r="Q21" s="74"/>
      <c r="R21" s="74"/>
      <c r="S21" s="74"/>
      <c r="T21" s="74"/>
      <c r="U21" s="74"/>
      <c r="V21" s="74"/>
      <c r="W21" s="74"/>
      <c r="X21" s="74"/>
      <c r="Y21" s="74"/>
      <c r="Z21" s="74"/>
      <c r="AA21" s="74"/>
      <c r="AB21" s="74"/>
      <c r="AC21" s="74"/>
      <c r="AD21" s="74"/>
      <c r="AE21" s="74"/>
      <c r="AF21" s="74"/>
      <c r="AG21" s="74"/>
      <c r="AH21" s="74"/>
    </row>
    <row r="22" customFormat="false" ht="15" hidden="false" customHeight="false" outlineLevel="0" collapsed="false">
      <c r="A22" s="74"/>
      <c r="B22" s="74"/>
      <c r="C22" s="74"/>
      <c r="D22" s="74"/>
      <c r="E22" s="74"/>
      <c r="F22" s="74"/>
      <c r="G22" s="74"/>
      <c r="H22" s="74"/>
      <c r="I22" s="74"/>
      <c r="J22" s="74"/>
      <c r="K22" s="74"/>
      <c r="L22" s="74"/>
      <c r="M22" s="74"/>
      <c r="N22" s="74"/>
      <c r="O22" s="74"/>
      <c r="P22" s="74"/>
      <c r="Q22" s="74"/>
      <c r="R22" s="74"/>
      <c r="S22" s="74"/>
      <c r="T22" s="74"/>
      <c r="U22" s="74"/>
      <c r="V22" s="74"/>
      <c r="W22" s="74"/>
      <c r="X22" s="74"/>
      <c r="Y22" s="74"/>
      <c r="Z22" s="74"/>
      <c r="AA22" s="74"/>
      <c r="AB22" s="74"/>
      <c r="AC22" s="74"/>
      <c r="AD22" s="74"/>
      <c r="AE22" s="74"/>
      <c r="AF22" s="74"/>
      <c r="AG22" s="74"/>
      <c r="AH22" s="74"/>
    </row>
    <row r="23" customFormat="false" ht="15" hidden="false" customHeight="false" outlineLevel="0" collapsed="false">
      <c r="A23" s="74"/>
      <c r="B23" s="74"/>
      <c r="C23" s="74"/>
      <c r="D23" s="74"/>
      <c r="E23" s="74"/>
      <c r="F23" s="74"/>
      <c r="G23" s="74"/>
      <c r="H23" s="74"/>
      <c r="I23" s="74"/>
      <c r="J23" s="74"/>
      <c r="K23" s="74"/>
      <c r="L23" s="74"/>
      <c r="M23" s="74"/>
      <c r="N23" s="74"/>
      <c r="O23" s="74"/>
      <c r="P23" s="74"/>
      <c r="Q23" s="74"/>
      <c r="R23" s="74"/>
      <c r="S23" s="74"/>
      <c r="T23" s="74"/>
      <c r="U23" s="74"/>
      <c r="V23" s="74"/>
      <c r="W23" s="74"/>
      <c r="X23" s="74"/>
      <c r="Y23" s="74"/>
      <c r="Z23" s="74"/>
      <c r="AA23" s="74"/>
      <c r="AB23" s="74"/>
      <c r="AC23" s="74"/>
      <c r="AD23" s="74"/>
      <c r="AE23" s="74"/>
      <c r="AF23" s="74"/>
      <c r="AG23" s="74"/>
      <c r="AH23" s="74"/>
    </row>
    <row r="24" customFormat="false" ht="15" hidden="false" customHeight="false" outlineLevel="0" collapsed="false">
      <c r="A24" s="74"/>
      <c r="B24" s="74"/>
      <c r="C24" s="74"/>
      <c r="D24" s="74"/>
      <c r="E24" s="74"/>
      <c r="F24" s="74"/>
      <c r="G24" s="74"/>
      <c r="H24" s="74"/>
      <c r="I24" s="74"/>
      <c r="J24" s="74"/>
      <c r="K24" s="74"/>
      <c r="L24" s="74"/>
      <c r="M24" s="74"/>
      <c r="N24" s="74"/>
      <c r="O24" s="74"/>
      <c r="P24" s="74"/>
      <c r="Q24" s="74"/>
      <c r="R24" s="74"/>
      <c r="S24" s="74"/>
      <c r="T24" s="74"/>
      <c r="U24" s="74"/>
      <c r="V24" s="74"/>
      <c r="W24" s="74"/>
      <c r="X24" s="74"/>
      <c r="Y24" s="74"/>
      <c r="Z24" s="74"/>
      <c r="AA24" s="74"/>
      <c r="AB24" s="74"/>
      <c r="AC24" s="74"/>
      <c r="AD24" s="74"/>
      <c r="AE24" s="74"/>
      <c r="AF24" s="74"/>
      <c r="AG24" s="74"/>
      <c r="AH24" s="74"/>
    </row>
    <row r="25" customFormat="false" ht="15" hidden="false" customHeight="false" outlineLevel="0" collapsed="false">
      <c r="A25" s="74"/>
      <c r="B25" s="74"/>
      <c r="C25" s="74"/>
      <c r="D25" s="74"/>
      <c r="E25" s="74"/>
      <c r="F25" s="74"/>
      <c r="G25" s="74"/>
      <c r="H25" s="74"/>
      <c r="I25" s="74"/>
      <c r="J25" s="74"/>
      <c r="K25" s="74"/>
      <c r="L25" s="74"/>
      <c r="M25" s="74"/>
      <c r="N25" s="74"/>
      <c r="O25" s="74"/>
      <c r="P25" s="74"/>
      <c r="Q25" s="74"/>
      <c r="R25" s="74"/>
      <c r="S25" s="74"/>
      <c r="T25" s="74"/>
      <c r="U25" s="74"/>
      <c r="V25" s="74"/>
      <c r="W25" s="74"/>
      <c r="X25" s="74"/>
      <c r="Y25" s="74"/>
      <c r="Z25" s="74"/>
      <c r="AA25" s="74"/>
      <c r="AB25" s="74"/>
      <c r="AC25" s="74"/>
      <c r="AD25" s="74"/>
      <c r="AE25" s="74"/>
      <c r="AF25" s="74"/>
      <c r="AG25" s="74"/>
      <c r="AH25" s="74"/>
    </row>
    <row r="26" customFormat="false" ht="15" hidden="false" customHeight="false" outlineLevel="0" collapsed="false">
      <c r="A26" s="74"/>
      <c r="B26" s="74"/>
      <c r="C26" s="74"/>
      <c r="D26" s="74"/>
      <c r="E26" s="74"/>
      <c r="F26" s="74"/>
      <c r="G26" s="74"/>
      <c r="H26" s="74"/>
      <c r="I26" s="74"/>
      <c r="J26" s="74"/>
      <c r="K26" s="74"/>
      <c r="L26" s="74"/>
      <c r="M26" s="74"/>
      <c r="N26" s="74"/>
      <c r="O26" s="74"/>
      <c r="P26" s="74"/>
      <c r="Q26" s="74"/>
      <c r="R26" s="74"/>
      <c r="S26" s="74"/>
      <c r="T26" s="74"/>
      <c r="U26" s="74"/>
      <c r="V26" s="74"/>
      <c r="W26" s="74"/>
      <c r="X26" s="74"/>
      <c r="Y26" s="74"/>
      <c r="Z26" s="74"/>
      <c r="AA26" s="74"/>
      <c r="AB26" s="74"/>
      <c r="AC26" s="74"/>
      <c r="AD26" s="74"/>
      <c r="AE26" s="74"/>
      <c r="AF26" s="74"/>
      <c r="AG26" s="74"/>
      <c r="AH26" s="74"/>
    </row>
    <row r="27" customFormat="false" ht="15" hidden="false" customHeight="false" outlineLevel="0" collapsed="false">
      <c r="A27" s="74"/>
      <c r="B27" s="74"/>
      <c r="C27" s="74"/>
      <c r="D27" s="74"/>
      <c r="E27" s="74"/>
      <c r="F27" s="74"/>
      <c r="G27" s="74"/>
      <c r="H27" s="74"/>
      <c r="I27" s="74"/>
      <c r="J27" s="74"/>
      <c r="K27" s="74"/>
      <c r="L27" s="74"/>
      <c r="M27" s="74"/>
      <c r="N27" s="74"/>
      <c r="O27" s="74"/>
      <c r="P27" s="74"/>
      <c r="Q27" s="74"/>
      <c r="R27" s="74"/>
      <c r="S27" s="74"/>
      <c r="T27" s="74"/>
      <c r="U27" s="74"/>
      <c r="V27" s="74"/>
      <c r="W27" s="74"/>
      <c r="X27" s="74"/>
      <c r="Y27" s="74"/>
      <c r="Z27" s="74"/>
      <c r="AA27" s="74"/>
      <c r="AB27" s="74"/>
      <c r="AC27" s="74"/>
      <c r="AD27" s="74"/>
      <c r="AE27" s="74"/>
      <c r="AF27" s="74"/>
      <c r="AG27" s="74"/>
      <c r="AH27" s="74"/>
    </row>
    <row r="28" customFormat="false" ht="15" hidden="false" customHeight="false" outlineLevel="0" collapsed="false">
      <c r="A28" s="74"/>
      <c r="B28" s="74"/>
      <c r="C28" s="74"/>
      <c r="D28" s="74"/>
      <c r="E28" s="74"/>
      <c r="F28" s="74"/>
      <c r="G28" s="74"/>
      <c r="H28" s="74"/>
      <c r="I28" s="74"/>
      <c r="J28" s="74"/>
      <c r="K28" s="74"/>
      <c r="L28" s="74"/>
      <c r="M28" s="74"/>
      <c r="N28" s="74"/>
      <c r="O28" s="74"/>
      <c r="P28" s="74"/>
      <c r="Q28" s="74"/>
      <c r="R28" s="74"/>
      <c r="S28" s="74"/>
      <c r="T28" s="74"/>
      <c r="U28" s="74"/>
      <c r="V28" s="74"/>
      <c r="W28" s="74"/>
      <c r="X28" s="74"/>
      <c r="Y28" s="74"/>
      <c r="Z28" s="74"/>
      <c r="AA28" s="74"/>
      <c r="AB28" s="74"/>
      <c r="AC28" s="74"/>
      <c r="AD28" s="74"/>
      <c r="AE28" s="74"/>
      <c r="AF28" s="74"/>
      <c r="AG28" s="74"/>
      <c r="AH28" s="74"/>
    </row>
    <row r="29" customFormat="false" ht="15" hidden="false" customHeight="false" outlineLevel="0" collapsed="false">
      <c r="A29" s="74"/>
      <c r="B29" s="74"/>
      <c r="C29" s="74"/>
      <c r="D29" s="74"/>
      <c r="E29" s="74"/>
      <c r="F29" s="74"/>
      <c r="G29" s="74"/>
      <c r="H29" s="74"/>
      <c r="I29" s="74"/>
      <c r="J29" s="74"/>
      <c r="K29" s="74"/>
      <c r="L29" s="74"/>
      <c r="M29" s="74"/>
      <c r="N29" s="74"/>
      <c r="O29" s="74"/>
      <c r="P29" s="74"/>
      <c r="Q29" s="74"/>
      <c r="R29" s="74"/>
      <c r="S29" s="74"/>
      <c r="T29" s="74"/>
      <c r="U29" s="74"/>
      <c r="V29" s="74"/>
      <c r="W29" s="74"/>
      <c r="X29" s="74"/>
      <c r="Y29" s="74"/>
      <c r="Z29" s="74"/>
      <c r="AA29" s="74"/>
      <c r="AB29" s="74"/>
      <c r="AC29" s="74"/>
      <c r="AD29" s="74"/>
      <c r="AE29" s="74"/>
      <c r="AF29" s="74"/>
      <c r="AG29" s="74"/>
      <c r="AH29" s="74"/>
    </row>
    <row r="30" customFormat="false" ht="15" hidden="false" customHeight="false" outlineLevel="0" collapsed="false">
      <c r="A30" s="74"/>
      <c r="B30" s="74"/>
      <c r="C30" s="74"/>
      <c r="D30" s="74"/>
      <c r="E30" s="74"/>
      <c r="F30" s="74"/>
      <c r="G30" s="74"/>
      <c r="H30" s="74"/>
      <c r="I30" s="74"/>
      <c r="J30" s="74"/>
      <c r="K30" s="74"/>
      <c r="L30" s="74"/>
      <c r="M30" s="74"/>
      <c r="N30" s="74"/>
      <c r="O30" s="74"/>
      <c r="P30" s="74"/>
      <c r="Q30" s="74"/>
      <c r="R30" s="74"/>
      <c r="S30" s="74"/>
      <c r="T30" s="74"/>
      <c r="U30" s="74"/>
      <c r="V30" s="74"/>
      <c r="W30" s="74"/>
      <c r="X30" s="74"/>
      <c r="Y30" s="74"/>
      <c r="Z30" s="74"/>
      <c r="AA30" s="74"/>
      <c r="AB30" s="74"/>
      <c r="AC30" s="74"/>
      <c r="AD30" s="74"/>
      <c r="AE30" s="74"/>
      <c r="AF30" s="74"/>
      <c r="AG30" s="74"/>
      <c r="AH30" s="74"/>
    </row>
    <row r="31" customFormat="false" ht="15" hidden="false" customHeight="false" outlineLevel="0" collapsed="false">
      <c r="A31" s="74"/>
      <c r="B31" s="74"/>
      <c r="C31" s="74"/>
      <c r="D31" s="74"/>
      <c r="E31" s="74"/>
      <c r="F31" s="74"/>
      <c r="G31" s="74"/>
      <c r="H31" s="74"/>
      <c r="I31" s="74"/>
      <c r="J31" s="74"/>
      <c r="K31" s="74"/>
      <c r="L31" s="74"/>
      <c r="M31" s="74"/>
      <c r="N31" s="74"/>
      <c r="O31" s="74"/>
      <c r="P31" s="74"/>
      <c r="Q31" s="74"/>
      <c r="R31" s="74"/>
      <c r="S31" s="74"/>
      <c r="T31" s="74"/>
      <c r="U31" s="74"/>
      <c r="V31" s="74"/>
      <c r="W31" s="74"/>
      <c r="X31" s="74"/>
      <c r="Y31" s="74"/>
      <c r="Z31" s="74"/>
      <c r="AA31" s="74"/>
      <c r="AB31" s="74"/>
      <c r="AC31" s="74"/>
      <c r="AD31" s="74"/>
      <c r="AE31" s="74"/>
      <c r="AF31" s="74"/>
      <c r="AG31" s="74"/>
      <c r="AH31" s="74"/>
    </row>
    <row r="32" customFormat="false" ht="15" hidden="false" customHeight="false" outlineLevel="0" collapsed="false">
      <c r="A32" s="74"/>
      <c r="B32" s="74"/>
      <c r="C32" s="74"/>
      <c r="D32" s="74"/>
      <c r="E32" s="74"/>
      <c r="F32" s="74"/>
      <c r="G32" s="74"/>
      <c r="H32" s="74"/>
      <c r="I32" s="74"/>
      <c r="J32" s="74"/>
      <c r="K32" s="74"/>
      <c r="L32" s="74"/>
      <c r="M32" s="74"/>
      <c r="N32" s="74"/>
      <c r="O32" s="74"/>
      <c r="P32" s="74"/>
      <c r="Q32" s="74"/>
      <c r="R32" s="74"/>
      <c r="S32" s="74"/>
      <c r="T32" s="74"/>
      <c r="U32" s="74"/>
      <c r="V32" s="74"/>
      <c r="W32" s="74"/>
      <c r="X32" s="74"/>
      <c r="Y32" s="74"/>
      <c r="Z32" s="74"/>
      <c r="AA32" s="74"/>
      <c r="AB32" s="74"/>
      <c r="AC32" s="74"/>
      <c r="AD32" s="74"/>
      <c r="AE32" s="74"/>
      <c r="AF32" s="74"/>
      <c r="AG32" s="74"/>
      <c r="AH32" s="74"/>
    </row>
    <row r="33" customFormat="false" ht="15" hidden="false" customHeight="false" outlineLevel="0" collapsed="false">
      <c r="A33" s="74"/>
      <c r="B33" s="74"/>
      <c r="C33" s="74"/>
      <c r="D33" s="74"/>
      <c r="E33" s="74"/>
      <c r="F33" s="74"/>
      <c r="G33" s="74"/>
      <c r="H33" s="74"/>
      <c r="I33" s="74"/>
      <c r="J33" s="74"/>
      <c r="K33" s="74"/>
      <c r="L33" s="74"/>
      <c r="M33" s="74"/>
      <c r="N33" s="74"/>
      <c r="O33" s="74"/>
      <c r="P33" s="74"/>
      <c r="Q33" s="74"/>
      <c r="R33" s="74"/>
      <c r="S33" s="74"/>
      <c r="T33" s="74"/>
      <c r="U33" s="74"/>
      <c r="V33" s="74"/>
      <c r="W33" s="74"/>
      <c r="X33" s="74"/>
      <c r="Y33" s="74"/>
      <c r="Z33" s="74"/>
      <c r="AA33" s="74"/>
      <c r="AB33" s="74"/>
      <c r="AC33" s="74"/>
      <c r="AD33" s="74"/>
      <c r="AE33" s="74"/>
      <c r="AF33" s="74"/>
      <c r="AG33" s="74"/>
      <c r="AH33" s="74"/>
    </row>
    <row r="34" customFormat="false" ht="15" hidden="false" customHeight="false" outlineLevel="0" collapsed="false">
      <c r="A34" s="74"/>
      <c r="B34" s="74"/>
      <c r="C34" s="74"/>
      <c r="D34" s="74"/>
      <c r="E34" s="74"/>
      <c r="F34" s="74"/>
      <c r="G34" s="74"/>
      <c r="H34" s="74"/>
      <c r="I34" s="74"/>
      <c r="J34" s="74"/>
      <c r="K34" s="74"/>
      <c r="L34" s="74"/>
      <c r="M34" s="74"/>
      <c r="N34" s="74"/>
      <c r="O34" s="74"/>
      <c r="P34" s="74"/>
      <c r="Q34" s="74"/>
      <c r="R34" s="74"/>
      <c r="S34" s="74"/>
      <c r="T34" s="74"/>
      <c r="U34" s="74"/>
      <c r="V34" s="74"/>
      <c r="W34" s="74"/>
      <c r="X34" s="74"/>
      <c r="Y34" s="74"/>
      <c r="Z34" s="74"/>
      <c r="AA34" s="74"/>
      <c r="AB34" s="74"/>
      <c r="AC34" s="74"/>
      <c r="AD34" s="74"/>
      <c r="AE34" s="74"/>
      <c r="AF34" s="74"/>
      <c r="AG34" s="74"/>
      <c r="AH34" s="74"/>
    </row>
    <row r="35" customFormat="false" ht="15" hidden="false" customHeight="false" outlineLevel="0" collapsed="false">
      <c r="A35" s="74"/>
      <c r="B35" s="74"/>
      <c r="C35" s="74"/>
      <c r="D35" s="74"/>
      <c r="E35" s="74"/>
      <c r="F35" s="74"/>
      <c r="G35" s="74"/>
      <c r="H35" s="74"/>
      <c r="I35" s="74"/>
      <c r="J35" s="74"/>
      <c r="K35" s="74"/>
      <c r="L35" s="74"/>
      <c r="M35" s="74"/>
      <c r="N35" s="74"/>
      <c r="O35" s="74"/>
      <c r="P35" s="74"/>
      <c r="Q35" s="74"/>
      <c r="R35" s="74"/>
      <c r="S35" s="74"/>
      <c r="T35" s="74"/>
      <c r="U35" s="74"/>
      <c r="V35" s="74"/>
      <c r="W35" s="74"/>
      <c r="X35" s="74"/>
      <c r="Y35" s="74"/>
      <c r="Z35" s="74"/>
      <c r="AA35" s="74"/>
      <c r="AB35" s="74"/>
      <c r="AC35" s="74"/>
      <c r="AD35" s="74"/>
      <c r="AE35" s="74"/>
      <c r="AF35" s="74"/>
      <c r="AG35" s="74"/>
      <c r="AH35" s="74"/>
    </row>
    <row r="36" customFormat="false" ht="15" hidden="false" customHeight="false" outlineLevel="0" collapsed="false">
      <c r="A36" s="74"/>
      <c r="B36" s="74"/>
      <c r="C36" s="74"/>
      <c r="D36" s="74"/>
      <c r="E36" s="74"/>
      <c r="F36" s="74"/>
      <c r="G36" s="74"/>
      <c r="H36" s="74"/>
      <c r="I36" s="74"/>
      <c r="J36" s="74"/>
      <c r="K36" s="74"/>
      <c r="L36" s="74"/>
      <c r="M36" s="74"/>
      <c r="N36" s="74"/>
      <c r="O36" s="74"/>
      <c r="P36" s="74"/>
      <c r="Q36" s="74"/>
      <c r="R36" s="74"/>
      <c r="S36" s="74"/>
      <c r="T36" s="74"/>
      <c r="U36" s="74"/>
      <c r="V36" s="74"/>
      <c r="W36" s="74"/>
      <c r="X36" s="74"/>
      <c r="Y36" s="74"/>
      <c r="Z36" s="74"/>
      <c r="AA36" s="74"/>
      <c r="AB36" s="74"/>
      <c r="AC36" s="74"/>
      <c r="AD36" s="74"/>
      <c r="AE36" s="74"/>
      <c r="AF36" s="74"/>
      <c r="AG36" s="74"/>
      <c r="AH36" s="74"/>
    </row>
    <row r="37" customFormat="false" ht="15" hidden="false" customHeight="false" outlineLevel="0" collapsed="false">
      <c r="A37" s="74"/>
      <c r="B37" s="74"/>
      <c r="C37" s="74"/>
      <c r="D37" s="74"/>
      <c r="E37" s="74"/>
      <c r="F37" s="74"/>
      <c r="G37" s="74"/>
      <c r="H37" s="74"/>
      <c r="I37" s="74"/>
      <c r="J37" s="74"/>
      <c r="K37" s="74"/>
      <c r="L37" s="74"/>
      <c r="M37" s="74"/>
      <c r="N37" s="74"/>
      <c r="O37" s="74"/>
      <c r="P37" s="74"/>
      <c r="Q37" s="74"/>
      <c r="R37" s="74"/>
      <c r="S37" s="74"/>
      <c r="T37" s="74"/>
      <c r="U37" s="74"/>
      <c r="V37" s="74"/>
      <c r="W37" s="74"/>
      <c r="X37" s="74"/>
      <c r="Y37" s="74"/>
      <c r="Z37" s="74"/>
      <c r="AA37" s="74"/>
      <c r="AB37" s="74"/>
      <c r="AC37" s="74"/>
      <c r="AD37" s="74"/>
      <c r="AE37" s="74"/>
      <c r="AF37" s="74"/>
      <c r="AG37" s="74"/>
      <c r="AH37" s="74"/>
    </row>
    <row r="38" customFormat="false" ht="15" hidden="false" customHeight="false" outlineLevel="0" collapsed="false">
      <c r="A38" s="74"/>
      <c r="B38" s="74"/>
      <c r="C38" s="74"/>
      <c r="D38" s="74"/>
      <c r="E38" s="74"/>
      <c r="F38" s="74"/>
      <c r="G38" s="74"/>
      <c r="H38" s="74"/>
      <c r="I38" s="74"/>
      <c r="J38" s="74"/>
      <c r="K38" s="74"/>
      <c r="L38" s="74"/>
      <c r="M38" s="74"/>
      <c r="N38" s="74"/>
      <c r="O38" s="74"/>
      <c r="P38" s="74"/>
      <c r="Q38" s="74"/>
      <c r="R38" s="74"/>
      <c r="S38" s="74"/>
      <c r="T38" s="74"/>
      <c r="U38" s="74"/>
      <c r="V38" s="74"/>
      <c r="W38" s="74"/>
      <c r="X38" s="74"/>
      <c r="Y38" s="74"/>
      <c r="Z38" s="74"/>
      <c r="AA38" s="74"/>
      <c r="AB38" s="74"/>
      <c r="AC38" s="74"/>
      <c r="AD38" s="74"/>
      <c r="AE38" s="74"/>
      <c r="AF38" s="74"/>
      <c r="AG38" s="74"/>
      <c r="AH38" s="74"/>
    </row>
    <row r="39" customFormat="false" ht="15" hidden="false" customHeight="false" outlineLevel="0" collapsed="false">
      <c r="A39" s="74"/>
      <c r="B39" s="74"/>
      <c r="C39" s="74"/>
      <c r="D39" s="74"/>
      <c r="E39" s="74"/>
      <c r="F39" s="74"/>
      <c r="G39" s="74"/>
      <c r="H39" s="74"/>
      <c r="I39" s="74"/>
      <c r="J39" s="74"/>
      <c r="K39" s="74"/>
      <c r="L39" s="74"/>
      <c r="M39" s="74"/>
      <c r="N39" s="74"/>
      <c r="O39" s="74"/>
      <c r="P39" s="74"/>
      <c r="Q39" s="74"/>
      <c r="R39" s="74"/>
      <c r="S39" s="74"/>
      <c r="T39" s="74"/>
      <c r="U39" s="74"/>
      <c r="V39" s="74"/>
      <c r="W39" s="74"/>
      <c r="X39" s="74"/>
      <c r="Y39" s="74"/>
      <c r="Z39" s="74"/>
      <c r="AA39" s="74"/>
      <c r="AB39" s="74"/>
      <c r="AC39" s="74"/>
      <c r="AD39" s="74"/>
      <c r="AE39" s="74"/>
      <c r="AF39" s="74"/>
      <c r="AG39" s="74"/>
      <c r="AH39" s="74"/>
    </row>
    <row r="40" customFormat="false" ht="15" hidden="false" customHeight="false" outlineLevel="0" collapsed="false">
      <c r="A40" s="74"/>
      <c r="B40" s="74"/>
      <c r="C40" s="74"/>
      <c r="D40" s="74"/>
      <c r="E40" s="74"/>
      <c r="F40" s="74"/>
      <c r="G40" s="74"/>
      <c r="H40" s="74"/>
      <c r="I40" s="74"/>
      <c r="J40" s="74"/>
      <c r="K40" s="74"/>
      <c r="L40" s="74"/>
      <c r="M40" s="74"/>
      <c r="N40" s="74"/>
      <c r="O40" s="74"/>
      <c r="P40" s="74"/>
      <c r="Q40" s="74"/>
      <c r="R40" s="74"/>
      <c r="S40" s="74"/>
      <c r="T40" s="74"/>
      <c r="U40" s="74"/>
      <c r="V40" s="74"/>
      <c r="W40" s="74"/>
      <c r="X40" s="74"/>
      <c r="Y40" s="74"/>
      <c r="Z40" s="74"/>
      <c r="AA40" s="74"/>
      <c r="AB40" s="74"/>
      <c r="AC40" s="74"/>
      <c r="AD40" s="74"/>
      <c r="AE40" s="74"/>
      <c r="AF40" s="74"/>
      <c r="AG40" s="74"/>
      <c r="AH40" s="74"/>
    </row>
    <row r="41" customFormat="false" ht="15" hidden="false" customHeight="false" outlineLevel="0" collapsed="false">
      <c r="A41" s="74"/>
      <c r="B41" s="74"/>
      <c r="C41" s="74"/>
      <c r="D41" s="74"/>
      <c r="E41" s="74"/>
      <c r="F41" s="74"/>
      <c r="G41" s="74"/>
      <c r="H41" s="74"/>
      <c r="I41" s="74"/>
      <c r="J41" s="74"/>
      <c r="K41" s="74"/>
      <c r="L41" s="74"/>
      <c r="M41" s="74"/>
      <c r="N41" s="74"/>
      <c r="O41" s="74"/>
      <c r="P41" s="74"/>
      <c r="Q41" s="74"/>
      <c r="R41" s="74"/>
      <c r="S41" s="74"/>
      <c r="T41" s="74"/>
      <c r="U41" s="74"/>
      <c r="V41" s="74"/>
      <c r="W41" s="74"/>
      <c r="X41" s="74"/>
      <c r="Y41" s="74"/>
      <c r="Z41" s="74"/>
      <c r="AA41" s="74"/>
      <c r="AB41" s="74"/>
      <c r="AC41" s="74"/>
      <c r="AD41" s="74"/>
      <c r="AE41" s="74"/>
      <c r="AF41" s="74"/>
      <c r="AG41" s="74"/>
      <c r="AH41" s="74"/>
    </row>
    <row r="42" customFormat="false" ht="15" hidden="false" customHeight="false" outlineLevel="0" collapsed="false">
      <c r="A42" s="74"/>
      <c r="B42" s="74"/>
      <c r="C42" s="74"/>
      <c r="D42" s="74"/>
      <c r="E42" s="74"/>
      <c r="F42" s="74"/>
      <c r="G42" s="74"/>
      <c r="H42" s="74"/>
      <c r="I42" s="74"/>
      <c r="J42" s="74"/>
      <c r="K42" s="74"/>
      <c r="L42" s="74"/>
      <c r="M42" s="74"/>
      <c r="N42" s="74"/>
      <c r="O42" s="74"/>
      <c r="P42" s="74"/>
      <c r="Q42" s="74"/>
      <c r="R42" s="74"/>
      <c r="S42" s="74"/>
      <c r="T42" s="74"/>
      <c r="U42" s="74"/>
      <c r="V42" s="74"/>
      <c r="W42" s="74"/>
      <c r="X42" s="74"/>
      <c r="Y42" s="74"/>
      <c r="Z42" s="74"/>
      <c r="AA42" s="74"/>
      <c r="AB42" s="74"/>
      <c r="AC42" s="74"/>
      <c r="AD42" s="74"/>
      <c r="AE42" s="74"/>
      <c r="AF42" s="74"/>
      <c r="AG42" s="74"/>
      <c r="AH42" s="74"/>
    </row>
    <row r="43" customFormat="false" ht="15" hidden="false" customHeight="false" outlineLevel="0" collapsed="false">
      <c r="A43" s="74"/>
      <c r="B43" s="74"/>
      <c r="C43" s="74"/>
      <c r="D43" s="74"/>
      <c r="E43" s="74"/>
      <c r="F43" s="74"/>
      <c r="G43" s="74"/>
      <c r="H43" s="74"/>
      <c r="I43" s="74"/>
      <c r="J43" s="74"/>
      <c r="K43" s="74"/>
      <c r="L43" s="74"/>
      <c r="M43" s="74"/>
      <c r="N43" s="74"/>
      <c r="O43" s="74"/>
      <c r="P43" s="74"/>
      <c r="Q43" s="74"/>
      <c r="R43" s="74"/>
      <c r="S43" s="74"/>
      <c r="T43" s="74"/>
      <c r="U43" s="74"/>
      <c r="V43" s="74"/>
      <c r="W43" s="74"/>
      <c r="X43" s="74"/>
      <c r="Y43" s="74"/>
      <c r="Z43" s="74"/>
      <c r="AA43" s="74"/>
      <c r="AB43" s="74"/>
      <c r="AC43" s="74"/>
      <c r="AD43" s="74"/>
      <c r="AE43" s="74"/>
      <c r="AF43" s="74"/>
      <c r="AG43" s="74"/>
      <c r="AH43" s="74"/>
    </row>
    <row r="44" customFormat="false" ht="15" hidden="false" customHeight="false" outlineLevel="0" collapsed="false">
      <c r="A44" s="74"/>
      <c r="B44" s="74"/>
      <c r="C44" s="74"/>
      <c r="D44" s="74"/>
      <c r="E44" s="74"/>
      <c r="F44" s="74"/>
      <c r="G44" s="74"/>
      <c r="H44" s="74"/>
      <c r="I44" s="74"/>
      <c r="J44" s="74"/>
      <c r="K44" s="74"/>
      <c r="L44" s="74"/>
      <c r="M44" s="74"/>
      <c r="N44" s="74"/>
      <c r="O44" s="74"/>
      <c r="P44" s="74"/>
      <c r="Q44" s="74"/>
      <c r="R44" s="74"/>
      <c r="S44" s="74"/>
      <c r="T44" s="74"/>
      <c r="U44" s="74"/>
      <c r="V44" s="74"/>
      <c r="W44" s="74"/>
      <c r="X44" s="74"/>
      <c r="Y44" s="74"/>
      <c r="Z44" s="74"/>
      <c r="AA44" s="74"/>
      <c r="AB44" s="74"/>
      <c r="AC44" s="74"/>
      <c r="AD44" s="74"/>
      <c r="AE44" s="74"/>
      <c r="AF44" s="74"/>
      <c r="AG44" s="74"/>
      <c r="AH44" s="74"/>
    </row>
    <row r="45" customFormat="false" ht="15" hidden="false" customHeight="false" outlineLevel="0" collapsed="false">
      <c r="A45" s="74"/>
      <c r="B45" s="74"/>
      <c r="C45" s="74"/>
      <c r="D45" s="74"/>
      <c r="E45" s="74"/>
      <c r="F45" s="74"/>
      <c r="G45" s="74"/>
      <c r="H45" s="74"/>
      <c r="I45" s="74"/>
      <c r="J45" s="74"/>
      <c r="K45" s="74"/>
      <c r="L45" s="74"/>
      <c r="M45" s="74"/>
      <c r="N45" s="74"/>
      <c r="O45" s="74"/>
      <c r="P45" s="74"/>
      <c r="Q45" s="74"/>
      <c r="R45" s="74"/>
      <c r="S45" s="74"/>
      <c r="T45" s="74"/>
      <c r="U45" s="74"/>
      <c r="V45" s="74"/>
      <c r="W45" s="74"/>
      <c r="X45" s="74"/>
      <c r="Y45" s="74"/>
      <c r="Z45" s="74"/>
      <c r="AA45" s="74"/>
      <c r="AB45" s="74"/>
      <c r="AC45" s="74"/>
      <c r="AD45" s="74"/>
      <c r="AE45" s="74"/>
      <c r="AF45" s="74"/>
      <c r="AG45" s="74"/>
      <c r="AH45" s="74"/>
    </row>
    <row r="46" customFormat="false" ht="15" hidden="false" customHeight="false" outlineLevel="0" collapsed="false">
      <c r="A46" s="74"/>
      <c r="B46" s="74"/>
      <c r="C46" s="74"/>
      <c r="D46" s="74"/>
      <c r="E46" s="74"/>
      <c r="F46" s="74"/>
      <c r="G46" s="74"/>
      <c r="H46" s="74"/>
      <c r="I46" s="74"/>
      <c r="J46" s="74"/>
      <c r="K46" s="74"/>
      <c r="L46" s="74"/>
      <c r="M46" s="74"/>
      <c r="N46" s="74"/>
      <c r="O46" s="74"/>
      <c r="P46" s="74"/>
      <c r="Q46" s="74"/>
      <c r="R46" s="74"/>
      <c r="S46" s="74"/>
      <c r="T46" s="74"/>
      <c r="U46" s="74"/>
      <c r="V46" s="74"/>
      <c r="W46" s="74"/>
      <c r="X46" s="74"/>
      <c r="Y46" s="74"/>
      <c r="Z46" s="74"/>
      <c r="AA46" s="74"/>
      <c r="AB46" s="74"/>
      <c r="AC46" s="74"/>
      <c r="AD46" s="74"/>
      <c r="AE46" s="74"/>
      <c r="AF46" s="74"/>
      <c r="AG46" s="74"/>
      <c r="AH46" s="74"/>
    </row>
    <row r="47" customFormat="false" ht="15" hidden="false" customHeight="false" outlineLevel="0" collapsed="false">
      <c r="A47" s="74"/>
      <c r="B47" s="74"/>
      <c r="C47" s="74"/>
      <c r="D47" s="74"/>
      <c r="E47" s="74"/>
      <c r="F47" s="74"/>
      <c r="G47" s="74"/>
      <c r="H47" s="74"/>
      <c r="I47" s="74"/>
      <c r="J47" s="74"/>
      <c r="K47" s="74"/>
      <c r="L47" s="74"/>
      <c r="M47" s="74"/>
      <c r="N47" s="74"/>
      <c r="O47" s="74"/>
      <c r="P47" s="74"/>
      <c r="Q47" s="74"/>
      <c r="R47" s="74"/>
      <c r="S47" s="74"/>
      <c r="T47" s="74"/>
      <c r="U47" s="74"/>
      <c r="V47" s="74"/>
      <c r="W47" s="74"/>
      <c r="X47" s="74"/>
      <c r="Y47" s="74"/>
      <c r="Z47" s="74"/>
      <c r="AA47" s="74"/>
      <c r="AB47" s="74"/>
      <c r="AC47" s="74"/>
      <c r="AD47" s="74"/>
      <c r="AE47" s="74"/>
      <c r="AF47" s="74"/>
      <c r="AG47" s="74"/>
      <c r="AH47" s="74"/>
    </row>
    <row r="48" customFormat="false" ht="15" hidden="false" customHeight="false" outlineLevel="0" collapsed="false">
      <c r="A48" s="74"/>
      <c r="B48" s="74"/>
      <c r="C48" s="74"/>
      <c r="D48" s="74"/>
      <c r="E48" s="74"/>
      <c r="F48" s="74"/>
      <c r="G48" s="74"/>
      <c r="H48" s="74"/>
      <c r="I48" s="74"/>
      <c r="J48" s="74"/>
      <c r="K48" s="74"/>
      <c r="L48" s="74"/>
      <c r="M48" s="74"/>
      <c r="N48" s="74"/>
      <c r="O48" s="74"/>
      <c r="P48" s="74"/>
      <c r="Q48" s="74"/>
      <c r="R48" s="74"/>
      <c r="S48" s="74"/>
      <c r="T48" s="74"/>
      <c r="U48" s="74"/>
      <c r="V48" s="74"/>
      <c r="W48" s="74"/>
      <c r="X48" s="74"/>
      <c r="Y48" s="74"/>
      <c r="Z48" s="74"/>
      <c r="AA48" s="74"/>
      <c r="AB48" s="74"/>
      <c r="AC48" s="74"/>
      <c r="AD48" s="74"/>
      <c r="AE48" s="74"/>
      <c r="AF48" s="74"/>
      <c r="AG48" s="74"/>
      <c r="AH48" s="74"/>
    </row>
    <row r="49" customFormat="false" ht="15" hidden="false" customHeight="false" outlineLevel="0" collapsed="false">
      <c r="A49" s="74"/>
      <c r="B49" s="74"/>
      <c r="C49" s="74"/>
      <c r="D49" s="74"/>
      <c r="E49" s="74"/>
      <c r="F49" s="74"/>
      <c r="G49" s="74"/>
      <c r="H49" s="74"/>
      <c r="I49" s="74"/>
      <c r="J49" s="74"/>
      <c r="K49" s="74"/>
      <c r="L49" s="74"/>
      <c r="M49" s="74"/>
      <c r="N49" s="74"/>
      <c r="O49" s="74"/>
      <c r="P49" s="74"/>
      <c r="Q49" s="74"/>
      <c r="R49" s="74"/>
      <c r="S49" s="74"/>
      <c r="T49" s="74"/>
      <c r="U49" s="74"/>
      <c r="V49" s="74"/>
      <c r="W49" s="74"/>
      <c r="X49" s="74"/>
      <c r="Y49" s="74"/>
      <c r="Z49" s="74"/>
      <c r="AA49" s="74"/>
      <c r="AB49" s="74"/>
      <c r="AC49" s="74"/>
      <c r="AD49" s="74"/>
      <c r="AE49" s="74"/>
      <c r="AF49" s="74"/>
      <c r="AG49" s="74"/>
      <c r="AH49" s="74"/>
    </row>
    <row r="50" customFormat="false" ht="15" hidden="false" customHeight="false" outlineLevel="0" collapsed="false">
      <c r="A50" s="74"/>
      <c r="B50" s="74"/>
      <c r="C50" s="74"/>
      <c r="D50" s="74"/>
      <c r="E50" s="74"/>
      <c r="F50" s="74"/>
      <c r="G50" s="74"/>
      <c r="H50" s="74"/>
      <c r="I50" s="74"/>
      <c r="J50" s="74"/>
      <c r="K50" s="74"/>
      <c r="L50" s="74"/>
      <c r="M50" s="74"/>
      <c r="N50" s="74"/>
      <c r="O50" s="74"/>
      <c r="P50" s="74"/>
      <c r="Q50" s="74"/>
      <c r="R50" s="74"/>
      <c r="S50" s="74"/>
      <c r="T50" s="74"/>
      <c r="U50" s="74"/>
      <c r="V50" s="74"/>
      <c r="W50" s="74"/>
      <c r="X50" s="74"/>
      <c r="Y50" s="74"/>
      <c r="Z50" s="74"/>
      <c r="AA50" s="74"/>
      <c r="AB50" s="74"/>
      <c r="AC50" s="74"/>
      <c r="AD50" s="74"/>
      <c r="AE50" s="74"/>
      <c r="AF50" s="74"/>
      <c r="AG50" s="74"/>
      <c r="AH50" s="74"/>
    </row>
    <row r="51" customFormat="false" ht="15" hidden="false" customHeight="false" outlineLevel="0" collapsed="false">
      <c r="A51" s="74"/>
      <c r="B51" s="74"/>
      <c r="C51" s="74"/>
      <c r="D51" s="74"/>
      <c r="E51" s="74"/>
      <c r="F51" s="74"/>
      <c r="G51" s="74"/>
      <c r="H51" s="74"/>
      <c r="I51" s="74"/>
      <c r="J51" s="74"/>
      <c r="K51" s="74"/>
      <c r="L51" s="74"/>
      <c r="M51" s="74"/>
      <c r="N51" s="74"/>
      <c r="O51" s="74"/>
      <c r="P51" s="74"/>
      <c r="Q51" s="74"/>
      <c r="R51" s="74"/>
      <c r="S51" s="74"/>
      <c r="T51" s="74"/>
      <c r="U51" s="74"/>
      <c r="V51" s="74"/>
      <c r="W51" s="74"/>
      <c r="X51" s="74"/>
      <c r="Y51" s="74"/>
      <c r="Z51" s="74"/>
      <c r="AA51" s="74"/>
      <c r="AB51" s="74"/>
      <c r="AC51" s="74"/>
      <c r="AD51" s="74"/>
      <c r="AE51" s="74"/>
      <c r="AF51" s="74"/>
      <c r="AG51" s="74"/>
      <c r="AH51" s="74"/>
    </row>
    <row r="52" customFormat="false" ht="15" hidden="false" customHeight="false" outlineLevel="0" collapsed="false">
      <c r="A52" s="74"/>
      <c r="B52" s="74"/>
      <c r="C52" s="74"/>
      <c r="D52" s="74"/>
      <c r="E52" s="74"/>
      <c r="F52" s="74"/>
      <c r="G52" s="74"/>
      <c r="H52" s="74"/>
      <c r="I52" s="74"/>
      <c r="J52" s="74"/>
      <c r="K52" s="74"/>
      <c r="L52" s="74"/>
      <c r="M52" s="74"/>
      <c r="N52" s="74"/>
      <c r="O52" s="74"/>
      <c r="P52" s="74"/>
      <c r="Q52" s="74"/>
      <c r="R52" s="74"/>
      <c r="S52" s="74"/>
      <c r="T52" s="74"/>
      <c r="U52" s="74"/>
      <c r="V52" s="74"/>
      <c r="W52" s="74"/>
      <c r="X52" s="74"/>
      <c r="Y52" s="74"/>
      <c r="Z52" s="74"/>
      <c r="AA52" s="74"/>
      <c r="AB52" s="74"/>
      <c r="AC52" s="74"/>
      <c r="AD52" s="74"/>
      <c r="AE52" s="74"/>
      <c r="AF52" s="74"/>
      <c r="AG52" s="74"/>
      <c r="AH52" s="74"/>
    </row>
    <row r="53" customFormat="false" ht="15" hidden="false" customHeight="false" outlineLevel="0" collapsed="false">
      <c r="A53" s="74"/>
      <c r="B53" s="74"/>
      <c r="C53" s="74"/>
      <c r="D53" s="74"/>
      <c r="E53" s="74"/>
      <c r="F53" s="74"/>
      <c r="G53" s="74"/>
      <c r="H53" s="74"/>
      <c r="I53" s="74"/>
      <c r="J53" s="74"/>
      <c r="K53" s="74"/>
      <c r="L53" s="74"/>
      <c r="M53" s="74"/>
      <c r="N53" s="74"/>
      <c r="O53" s="74"/>
      <c r="P53" s="74"/>
      <c r="Q53" s="74"/>
      <c r="R53" s="74"/>
      <c r="S53" s="74"/>
      <c r="T53" s="74"/>
      <c r="U53" s="74"/>
      <c r="V53" s="74"/>
      <c r="W53" s="74"/>
      <c r="X53" s="74"/>
      <c r="Y53" s="74"/>
      <c r="Z53" s="74"/>
      <c r="AA53" s="74"/>
      <c r="AB53" s="74"/>
      <c r="AC53" s="74"/>
      <c r="AD53" s="74"/>
      <c r="AE53" s="74"/>
      <c r="AF53" s="74"/>
      <c r="AG53" s="74"/>
      <c r="AH53" s="74"/>
    </row>
    <row r="54" customFormat="false" ht="15" hidden="false" customHeight="false" outlineLevel="0" collapsed="false">
      <c r="A54" s="74"/>
      <c r="B54" s="74"/>
      <c r="C54" s="74"/>
      <c r="D54" s="74"/>
      <c r="E54" s="74"/>
      <c r="F54" s="74"/>
      <c r="G54" s="74"/>
      <c r="H54" s="74"/>
      <c r="I54" s="74"/>
      <c r="J54" s="74"/>
      <c r="K54" s="74"/>
      <c r="L54" s="74"/>
      <c r="M54" s="74"/>
      <c r="N54" s="74"/>
      <c r="O54" s="74"/>
      <c r="P54" s="74"/>
      <c r="Q54" s="74"/>
      <c r="R54" s="74"/>
      <c r="S54" s="74"/>
      <c r="T54" s="74"/>
      <c r="U54" s="74"/>
      <c r="V54" s="74"/>
      <c r="W54" s="74"/>
      <c r="X54" s="74"/>
      <c r="Y54" s="74"/>
      <c r="Z54" s="74"/>
      <c r="AA54" s="74"/>
      <c r="AB54" s="74"/>
      <c r="AC54" s="74"/>
      <c r="AD54" s="74"/>
      <c r="AE54" s="74"/>
      <c r="AF54" s="74"/>
      <c r="AG54" s="74"/>
      <c r="AH54" s="74"/>
    </row>
    <row r="55" customFormat="false" ht="15" hidden="false" customHeight="false" outlineLevel="0" collapsed="false">
      <c r="A55" s="74"/>
      <c r="B55" s="74"/>
      <c r="C55" s="74"/>
      <c r="D55" s="74"/>
      <c r="E55" s="74"/>
      <c r="F55" s="74"/>
      <c r="G55" s="74"/>
      <c r="H55" s="74"/>
      <c r="I55" s="74"/>
      <c r="J55" s="74"/>
      <c r="K55" s="74"/>
      <c r="L55" s="74"/>
      <c r="M55" s="74"/>
      <c r="N55" s="74"/>
      <c r="O55" s="74"/>
      <c r="P55" s="74"/>
      <c r="Q55" s="74"/>
      <c r="R55" s="74"/>
      <c r="S55" s="74"/>
      <c r="T55" s="74"/>
      <c r="U55" s="74"/>
      <c r="V55" s="74"/>
      <c r="W55" s="74"/>
      <c r="X55" s="74"/>
      <c r="Y55" s="74"/>
      <c r="Z55" s="74"/>
      <c r="AA55" s="74"/>
      <c r="AB55" s="74"/>
      <c r="AC55" s="74"/>
      <c r="AD55" s="74"/>
      <c r="AE55" s="74"/>
      <c r="AF55" s="74"/>
      <c r="AG55" s="74"/>
      <c r="AH55" s="74"/>
    </row>
    <row r="56" customFormat="false" ht="15" hidden="false" customHeight="false" outlineLevel="0" collapsed="false">
      <c r="A56" s="74"/>
      <c r="B56" s="74"/>
      <c r="C56" s="74"/>
      <c r="D56" s="74"/>
      <c r="E56" s="74"/>
      <c r="F56" s="74"/>
      <c r="G56" s="74"/>
      <c r="H56" s="74"/>
      <c r="I56" s="74"/>
      <c r="J56" s="74"/>
      <c r="K56" s="74"/>
      <c r="L56" s="74"/>
      <c r="M56" s="74"/>
      <c r="N56" s="74"/>
      <c r="O56" s="74"/>
      <c r="P56" s="74"/>
      <c r="Q56" s="74"/>
      <c r="R56" s="74"/>
      <c r="S56" s="74"/>
      <c r="T56" s="74"/>
      <c r="U56" s="74"/>
      <c r="V56" s="74"/>
      <c r="W56" s="74"/>
      <c r="X56" s="74"/>
      <c r="Y56" s="74"/>
      <c r="Z56" s="74"/>
      <c r="AA56" s="74"/>
      <c r="AB56" s="74"/>
      <c r="AC56" s="74"/>
      <c r="AD56" s="74"/>
      <c r="AE56" s="74"/>
      <c r="AF56" s="74"/>
      <c r="AG56" s="74"/>
      <c r="AH56" s="74"/>
    </row>
    <row r="57" customFormat="false" ht="15" hidden="false" customHeight="false" outlineLevel="0" collapsed="false">
      <c r="A57" s="74"/>
      <c r="B57" s="74"/>
      <c r="C57" s="74"/>
      <c r="D57" s="74"/>
      <c r="E57" s="74"/>
      <c r="F57" s="74"/>
      <c r="G57" s="74"/>
      <c r="H57" s="74"/>
      <c r="I57" s="74"/>
      <c r="J57" s="74"/>
      <c r="K57" s="74"/>
      <c r="L57" s="74"/>
      <c r="M57" s="74"/>
      <c r="N57" s="74"/>
      <c r="O57" s="74"/>
      <c r="P57" s="74"/>
      <c r="Q57" s="74"/>
      <c r="R57" s="74"/>
      <c r="S57" s="74"/>
      <c r="T57" s="74"/>
      <c r="U57" s="74"/>
      <c r="V57" s="74"/>
      <c r="W57" s="74"/>
      <c r="X57" s="74"/>
      <c r="Y57" s="74"/>
      <c r="Z57" s="74"/>
      <c r="AA57" s="74"/>
      <c r="AB57" s="74"/>
      <c r="AC57" s="74"/>
      <c r="AD57" s="74"/>
      <c r="AE57" s="74"/>
      <c r="AF57" s="74"/>
      <c r="AG57" s="74"/>
      <c r="AH57" s="74"/>
    </row>
    <row r="58" customFormat="false" ht="15" hidden="false" customHeight="false" outlineLevel="0" collapsed="false">
      <c r="A58" s="74"/>
      <c r="B58" s="74"/>
      <c r="C58" s="74"/>
      <c r="D58" s="74"/>
      <c r="E58" s="74"/>
      <c r="F58" s="74"/>
      <c r="G58" s="74"/>
      <c r="H58" s="74"/>
      <c r="I58" s="74"/>
      <c r="J58" s="74"/>
      <c r="K58" s="74"/>
      <c r="L58" s="74"/>
      <c r="M58" s="74"/>
      <c r="N58" s="74"/>
      <c r="O58" s="74"/>
      <c r="P58" s="74"/>
      <c r="Q58" s="74"/>
      <c r="R58" s="74"/>
      <c r="S58" s="74"/>
      <c r="T58" s="74"/>
      <c r="U58" s="74"/>
      <c r="V58" s="74"/>
      <c r="W58" s="74"/>
      <c r="X58" s="74"/>
      <c r="Y58" s="74"/>
      <c r="Z58" s="74"/>
      <c r="AA58" s="74"/>
      <c r="AB58" s="74"/>
      <c r="AC58" s="74"/>
      <c r="AD58" s="74"/>
      <c r="AE58" s="74"/>
      <c r="AF58" s="74"/>
      <c r="AG58" s="74"/>
      <c r="AH58" s="74"/>
    </row>
    <row r="59" customFormat="false" ht="15" hidden="false" customHeight="false" outlineLevel="0" collapsed="false">
      <c r="A59" s="74"/>
      <c r="B59" s="74"/>
      <c r="C59" s="74"/>
      <c r="D59" s="74"/>
      <c r="E59" s="74"/>
      <c r="F59" s="74"/>
      <c r="G59" s="74"/>
      <c r="H59" s="74"/>
      <c r="I59" s="74"/>
      <c r="J59" s="74"/>
      <c r="K59" s="74"/>
      <c r="L59" s="74"/>
      <c r="M59" s="74"/>
      <c r="N59" s="74"/>
      <c r="O59" s="74"/>
      <c r="P59" s="74"/>
      <c r="Q59" s="74"/>
      <c r="R59" s="74"/>
      <c r="S59" s="74"/>
      <c r="T59" s="74"/>
      <c r="U59" s="74"/>
      <c r="V59" s="74"/>
      <c r="W59" s="74"/>
      <c r="X59" s="74"/>
      <c r="Y59" s="74"/>
      <c r="Z59" s="74"/>
      <c r="AA59" s="74"/>
      <c r="AB59" s="74"/>
      <c r="AC59" s="74"/>
      <c r="AD59" s="74"/>
      <c r="AE59" s="74"/>
      <c r="AF59" s="74"/>
      <c r="AG59" s="74"/>
      <c r="AH59" s="74"/>
    </row>
    <row r="60" customFormat="false" ht="15" hidden="false" customHeight="false" outlineLevel="0" collapsed="false">
      <c r="A60" s="74"/>
      <c r="B60" s="74"/>
      <c r="C60" s="74"/>
      <c r="D60" s="74"/>
      <c r="E60" s="74"/>
      <c r="F60" s="74"/>
      <c r="G60" s="74"/>
      <c r="H60" s="74"/>
      <c r="I60" s="74"/>
      <c r="J60" s="74"/>
      <c r="K60" s="74"/>
      <c r="L60" s="74"/>
      <c r="M60" s="74"/>
      <c r="N60" s="74"/>
      <c r="O60" s="74"/>
      <c r="P60" s="74"/>
      <c r="Q60" s="74"/>
      <c r="R60" s="74"/>
      <c r="S60" s="74"/>
      <c r="T60" s="74"/>
      <c r="U60" s="74"/>
      <c r="V60" s="74"/>
      <c r="W60" s="74"/>
      <c r="X60" s="74"/>
      <c r="Y60" s="74"/>
      <c r="Z60" s="74"/>
      <c r="AA60" s="74"/>
      <c r="AB60" s="74"/>
      <c r="AC60" s="74"/>
      <c r="AD60" s="74"/>
      <c r="AE60" s="74"/>
      <c r="AF60" s="74"/>
      <c r="AG60" s="74"/>
      <c r="AH60" s="74"/>
    </row>
    <row r="61" customFormat="false" ht="15" hidden="false" customHeight="false" outlineLevel="0" collapsed="false">
      <c r="A61" s="74"/>
      <c r="B61" s="74"/>
      <c r="C61" s="74"/>
      <c r="D61" s="74"/>
      <c r="E61" s="74"/>
      <c r="F61" s="74"/>
      <c r="G61" s="74"/>
      <c r="H61" s="74"/>
      <c r="I61" s="74"/>
      <c r="J61" s="74"/>
      <c r="K61" s="74"/>
      <c r="L61" s="74"/>
      <c r="M61" s="74"/>
      <c r="N61" s="74"/>
      <c r="O61" s="74"/>
      <c r="P61" s="74"/>
      <c r="Q61" s="74"/>
      <c r="R61" s="74"/>
      <c r="S61" s="74"/>
      <c r="T61" s="74"/>
      <c r="U61" s="74"/>
      <c r="V61" s="74"/>
      <c r="W61" s="74"/>
      <c r="X61" s="74"/>
      <c r="Y61" s="74"/>
      <c r="Z61" s="74"/>
      <c r="AA61" s="74"/>
      <c r="AB61" s="74"/>
      <c r="AC61" s="74"/>
      <c r="AD61" s="74"/>
      <c r="AE61" s="74"/>
      <c r="AF61" s="74"/>
      <c r="AG61" s="74"/>
      <c r="AH61" s="74"/>
    </row>
    <row r="62" customFormat="false" ht="15" hidden="false" customHeight="false" outlineLevel="0" collapsed="false">
      <c r="A62" s="74"/>
      <c r="B62" s="74"/>
      <c r="C62" s="74"/>
      <c r="D62" s="74"/>
      <c r="E62" s="74"/>
      <c r="F62" s="74"/>
      <c r="G62" s="74"/>
      <c r="H62" s="74"/>
      <c r="I62" s="74"/>
      <c r="J62" s="74"/>
      <c r="K62" s="74"/>
      <c r="L62" s="74"/>
      <c r="M62" s="74"/>
      <c r="N62" s="74"/>
      <c r="O62" s="74"/>
      <c r="P62" s="74"/>
      <c r="Q62" s="74"/>
      <c r="R62" s="74"/>
      <c r="S62" s="74"/>
      <c r="T62" s="74"/>
      <c r="U62" s="74"/>
      <c r="V62" s="74"/>
      <c r="W62" s="74"/>
      <c r="X62" s="74"/>
      <c r="Y62" s="74"/>
      <c r="Z62" s="74"/>
      <c r="AA62" s="74"/>
      <c r="AB62" s="74"/>
      <c r="AC62" s="74"/>
      <c r="AD62" s="74"/>
      <c r="AE62" s="74"/>
      <c r="AF62" s="74"/>
      <c r="AG62" s="74"/>
      <c r="AH62" s="74"/>
    </row>
    <row r="63" customFormat="false" ht="15" hidden="false" customHeight="false" outlineLevel="0" collapsed="false">
      <c r="A63" s="74"/>
      <c r="B63" s="74"/>
      <c r="C63" s="74"/>
      <c r="D63" s="74"/>
      <c r="E63" s="74"/>
      <c r="F63" s="74"/>
      <c r="G63" s="74"/>
      <c r="H63" s="74"/>
      <c r="I63" s="74"/>
      <c r="J63" s="74"/>
      <c r="K63" s="74"/>
      <c r="L63" s="74"/>
      <c r="M63" s="74"/>
      <c r="N63" s="74"/>
      <c r="O63" s="74"/>
      <c r="P63" s="74"/>
      <c r="Q63" s="74"/>
      <c r="R63" s="74"/>
      <c r="S63" s="74"/>
      <c r="T63" s="74"/>
      <c r="U63" s="74"/>
      <c r="V63" s="74"/>
      <c r="W63" s="74"/>
      <c r="X63" s="74"/>
      <c r="Y63" s="74"/>
      <c r="Z63" s="74"/>
      <c r="AA63" s="74"/>
      <c r="AB63" s="74"/>
      <c r="AC63" s="74"/>
      <c r="AD63" s="74"/>
      <c r="AE63" s="74"/>
      <c r="AF63" s="74"/>
      <c r="AG63" s="74"/>
      <c r="AH63" s="74"/>
    </row>
    <row r="64" customFormat="false" ht="15" hidden="false" customHeight="false" outlineLevel="0" collapsed="false">
      <c r="A64" s="74"/>
      <c r="B64" s="74"/>
      <c r="C64" s="74"/>
      <c r="D64" s="74"/>
      <c r="E64" s="74"/>
      <c r="F64" s="74"/>
      <c r="G64" s="74"/>
      <c r="H64" s="74"/>
      <c r="I64" s="74"/>
      <c r="J64" s="74"/>
      <c r="K64" s="74"/>
      <c r="L64" s="74"/>
      <c r="M64" s="74"/>
      <c r="N64" s="74"/>
      <c r="O64" s="74"/>
      <c r="P64" s="74"/>
      <c r="Q64" s="74"/>
      <c r="R64" s="74"/>
      <c r="S64" s="74"/>
      <c r="T64" s="74"/>
      <c r="U64" s="74"/>
      <c r="V64" s="74"/>
      <c r="W64" s="74"/>
      <c r="X64" s="74"/>
      <c r="Y64" s="74"/>
      <c r="Z64" s="74"/>
      <c r="AA64" s="74"/>
      <c r="AB64" s="74"/>
      <c r="AC64" s="74"/>
      <c r="AD64" s="74"/>
      <c r="AE64" s="74"/>
      <c r="AF64" s="74"/>
      <c r="AG64" s="74"/>
      <c r="AH64" s="74"/>
    </row>
    <row r="65" customFormat="false" ht="15" hidden="false" customHeight="false" outlineLevel="0" collapsed="false">
      <c r="A65" s="74"/>
      <c r="B65" s="74"/>
      <c r="C65" s="74"/>
      <c r="D65" s="74"/>
      <c r="E65" s="74"/>
      <c r="F65" s="74"/>
      <c r="G65" s="74"/>
      <c r="H65" s="74"/>
      <c r="I65" s="74"/>
      <c r="J65" s="74"/>
      <c r="K65" s="74"/>
      <c r="L65" s="74"/>
      <c r="M65" s="74"/>
      <c r="N65" s="74"/>
      <c r="O65" s="74"/>
      <c r="P65" s="74"/>
      <c r="Q65" s="74"/>
      <c r="R65" s="74"/>
      <c r="S65" s="74"/>
      <c r="T65" s="74"/>
      <c r="U65" s="74"/>
      <c r="V65" s="74"/>
      <c r="W65" s="74"/>
      <c r="X65" s="74"/>
      <c r="Y65" s="74"/>
      <c r="Z65" s="74"/>
      <c r="AA65" s="74"/>
      <c r="AB65" s="74"/>
      <c r="AC65" s="74"/>
      <c r="AD65" s="74"/>
      <c r="AE65" s="74"/>
      <c r="AF65" s="74"/>
      <c r="AG65" s="74"/>
      <c r="AH65" s="74"/>
    </row>
    <row r="66" customFormat="false" ht="15" hidden="false" customHeight="false" outlineLevel="0" collapsed="false">
      <c r="A66" s="74"/>
      <c r="B66" s="74"/>
      <c r="C66" s="74"/>
      <c r="D66" s="74"/>
      <c r="E66" s="74"/>
      <c r="F66" s="74"/>
      <c r="G66" s="74"/>
      <c r="H66" s="74"/>
      <c r="I66" s="74"/>
      <c r="J66" s="74"/>
      <c r="K66" s="74"/>
      <c r="L66" s="74"/>
      <c r="M66" s="74"/>
      <c r="N66" s="74"/>
      <c r="O66" s="74"/>
      <c r="P66" s="74"/>
      <c r="Q66" s="74"/>
      <c r="R66" s="74"/>
      <c r="S66" s="74"/>
      <c r="T66" s="74"/>
      <c r="U66" s="74"/>
      <c r="V66" s="74"/>
      <c r="W66" s="74"/>
      <c r="X66" s="74"/>
      <c r="Y66" s="74"/>
      <c r="Z66" s="74"/>
      <c r="AA66" s="74"/>
      <c r="AB66" s="74"/>
      <c r="AC66" s="74"/>
      <c r="AD66" s="74"/>
      <c r="AE66" s="74"/>
      <c r="AF66" s="74"/>
      <c r="AG66" s="74"/>
      <c r="AH66" s="74"/>
    </row>
    <row r="67" customFormat="false" ht="15" hidden="false" customHeight="false" outlineLevel="0" collapsed="false">
      <c r="A67" s="74"/>
      <c r="B67" s="74"/>
      <c r="C67" s="74"/>
      <c r="D67" s="74"/>
      <c r="E67" s="74"/>
      <c r="F67" s="74"/>
      <c r="G67" s="74"/>
      <c r="H67" s="74"/>
      <c r="I67" s="74"/>
      <c r="J67" s="74"/>
      <c r="K67" s="74"/>
      <c r="L67" s="74"/>
      <c r="M67" s="74"/>
      <c r="N67" s="74"/>
      <c r="O67" s="74"/>
      <c r="P67" s="74"/>
      <c r="Q67" s="74"/>
      <c r="R67" s="74"/>
      <c r="S67" s="74"/>
      <c r="T67" s="74"/>
      <c r="U67" s="74"/>
      <c r="V67" s="74"/>
      <c r="W67" s="74"/>
      <c r="X67" s="74"/>
      <c r="Y67" s="74"/>
      <c r="Z67" s="74"/>
      <c r="AA67" s="74"/>
      <c r="AB67" s="74"/>
      <c r="AC67" s="74"/>
      <c r="AD67" s="74"/>
      <c r="AE67" s="74"/>
      <c r="AF67" s="74"/>
      <c r="AG67" s="74"/>
      <c r="AH67" s="74"/>
    </row>
    <row r="68" customFormat="false" ht="15" hidden="false" customHeight="false" outlineLevel="0" collapsed="false">
      <c r="A68" s="74"/>
      <c r="B68" s="74"/>
      <c r="C68" s="74"/>
      <c r="D68" s="74"/>
      <c r="E68" s="74"/>
      <c r="F68" s="74"/>
      <c r="G68" s="74"/>
      <c r="H68" s="74"/>
      <c r="I68" s="74"/>
      <c r="J68" s="74"/>
      <c r="K68" s="74"/>
      <c r="L68" s="74"/>
      <c r="M68" s="74"/>
      <c r="N68" s="74"/>
      <c r="O68" s="74"/>
      <c r="P68" s="74"/>
      <c r="Q68" s="74"/>
      <c r="R68" s="74"/>
      <c r="S68" s="74"/>
      <c r="T68" s="74"/>
      <c r="U68" s="74"/>
      <c r="V68" s="74"/>
      <c r="W68" s="74"/>
      <c r="X68" s="74"/>
      <c r="Y68" s="74"/>
      <c r="Z68" s="74"/>
      <c r="AA68" s="74"/>
      <c r="AB68" s="74"/>
      <c r="AC68" s="74"/>
      <c r="AD68" s="74"/>
      <c r="AE68" s="74"/>
      <c r="AF68" s="74"/>
      <c r="AG68" s="74"/>
      <c r="AH68" s="74"/>
    </row>
    <row r="69" customFormat="false" ht="15" hidden="false" customHeight="false" outlineLevel="0" collapsed="false">
      <c r="A69" s="74"/>
      <c r="B69" s="74"/>
      <c r="C69" s="74"/>
      <c r="D69" s="74"/>
      <c r="E69" s="74"/>
      <c r="F69" s="74"/>
      <c r="G69" s="74"/>
      <c r="H69" s="74"/>
      <c r="I69" s="74"/>
      <c r="J69" s="74"/>
      <c r="K69" s="74"/>
      <c r="L69" s="74"/>
      <c r="M69" s="74"/>
      <c r="N69" s="74"/>
      <c r="O69" s="74"/>
      <c r="P69" s="74"/>
      <c r="Q69" s="74"/>
      <c r="R69" s="74"/>
      <c r="S69" s="74"/>
      <c r="T69" s="74"/>
      <c r="U69" s="74"/>
      <c r="V69" s="74"/>
      <c r="W69" s="74"/>
      <c r="X69" s="74"/>
      <c r="Y69" s="74"/>
      <c r="Z69" s="74"/>
      <c r="AA69" s="74"/>
      <c r="AB69" s="74"/>
      <c r="AC69" s="74"/>
      <c r="AD69" s="74"/>
      <c r="AE69" s="74"/>
      <c r="AF69" s="74"/>
      <c r="AG69" s="74"/>
      <c r="AH69" s="74"/>
    </row>
    <row r="70" customFormat="false" ht="15" hidden="false" customHeight="false" outlineLevel="0" collapsed="false">
      <c r="A70" s="74"/>
      <c r="B70" s="74"/>
      <c r="C70" s="74"/>
      <c r="D70" s="74"/>
      <c r="E70" s="74"/>
      <c r="F70" s="74"/>
      <c r="G70" s="74"/>
      <c r="H70" s="74"/>
      <c r="I70" s="74"/>
      <c r="J70" s="74"/>
      <c r="K70" s="74"/>
      <c r="L70" s="74"/>
      <c r="M70" s="74"/>
      <c r="N70" s="74"/>
      <c r="O70" s="74"/>
      <c r="P70" s="74"/>
      <c r="Q70" s="74"/>
      <c r="R70" s="74"/>
      <c r="S70" s="74"/>
      <c r="T70" s="74"/>
      <c r="U70" s="74"/>
      <c r="V70" s="74"/>
      <c r="W70" s="74"/>
      <c r="X70" s="74"/>
      <c r="Y70" s="74"/>
      <c r="Z70" s="74"/>
      <c r="AA70" s="74"/>
      <c r="AB70" s="74"/>
      <c r="AC70" s="74"/>
      <c r="AD70" s="74"/>
      <c r="AE70" s="74"/>
      <c r="AF70" s="74"/>
      <c r="AG70" s="74"/>
      <c r="AH70" s="74"/>
    </row>
    <row r="71" customFormat="false" ht="15" hidden="false" customHeight="false" outlineLevel="0" collapsed="false">
      <c r="A71" s="74"/>
      <c r="B71" s="74"/>
      <c r="C71" s="74"/>
      <c r="D71" s="74"/>
      <c r="E71" s="74"/>
      <c r="F71" s="74"/>
      <c r="G71" s="74"/>
      <c r="H71" s="74"/>
      <c r="I71" s="74"/>
      <c r="J71" s="74"/>
      <c r="K71" s="74"/>
      <c r="L71" s="74"/>
      <c r="M71" s="74"/>
      <c r="N71" s="74"/>
      <c r="O71" s="74"/>
      <c r="P71" s="74"/>
      <c r="Q71" s="74"/>
      <c r="R71" s="74"/>
      <c r="S71" s="74"/>
      <c r="T71" s="74"/>
      <c r="U71" s="74"/>
      <c r="V71" s="74"/>
      <c r="W71" s="74"/>
      <c r="X71" s="74"/>
      <c r="Y71" s="74"/>
      <c r="Z71" s="74"/>
      <c r="AA71" s="74"/>
      <c r="AB71" s="74"/>
      <c r="AC71" s="74"/>
      <c r="AD71" s="74"/>
      <c r="AE71" s="74"/>
      <c r="AF71" s="74"/>
      <c r="AG71" s="74"/>
      <c r="AH71" s="74"/>
    </row>
    <row r="72" customFormat="false" ht="15" hidden="false" customHeight="false" outlineLevel="0" collapsed="false">
      <c r="A72" s="74"/>
      <c r="B72" s="74"/>
      <c r="C72" s="74"/>
      <c r="D72" s="74"/>
      <c r="E72" s="74"/>
      <c r="F72" s="74"/>
      <c r="G72" s="74"/>
      <c r="H72" s="74"/>
      <c r="I72" s="74"/>
      <c r="J72" s="74"/>
      <c r="K72" s="74"/>
      <c r="L72" s="74"/>
      <c r="M72" s="74"/>
      <c r="N72" s="74"/>
      <c r="O72" s="74"/>
      <c r="P72" s="74"/>
      <c r="Q72" s="74"/>
      <c r="R72" s="74"/>
      <c r="S72" s="74"/>
      <c r="T72" s="74"/>
      <c r="U72" s="74"/>
      <c r="V72" s="74"/>
      <c r="W72" s="74"/>
      <c r="X72" s="74"/>
      <c r="Y72" s="74"/>
      <c r="Z72" s="74"/>
      <c r="AA72" s="74"/>
      <c r="AB72" s="74"/>
      <c r="AC72" s="74"/>
      <c r="AD72" s="74"/>
      <c r="AE72" s="74"/>
      <c r="AF72" s="74"/>
      <c r="AG72" s="74"/>
      <c r="AH72" s="74"/>
    </row>
    <row r="73" customFormat="false" ht="15" hidden="false" customHeight="false" outlineLevel="0" collapsed="false">
      <c r="A73" s="74"/>
      <c r="B73" s="74"/>
      <c r="C73" s="74"/>
      <c r="D73" s="74"/>
      <c r="E73" s="74"/>
      <c r="F73" s="74"/>
      <c r="G73" s="74"/>
      <c r="H73" s="74"/>
      <c r="I73" s="74"/>
      <c r="J73" s="74"/>
      <c r="K73" s="74"/>
      <c r="L73" s="74"/>
      <c r="M73" s="74"/>
      <c r="N73" s="74"/>
      <c r="O73" s="74"/>
      <c r="P73" s="74"/>
      <c r="Q73" s="74"/>
      <c r="R73" s="74"/>
      <c r="S73" s="74"/>
      <c r="T73" s="74"/>
      <c r="U73" s="74"/>
      <c r="V73" s="74"/>
      <c r="W73" s="74"/>
      <c r="X73" s="74"/>
      <c r="Y73" s="74"/>
      <c r="Z73" s="74"/>
      <c r="AA73" s="74"/>
      <c r="AB73" s="74"/>
      <c r="AC73" s="74"/>
      <c r="AD73" s="74"/>
      <c r="AE73" s="74"/>
      <c r="AF73" s="74"/>
      <c r="AG73" s="74"/>
      <c r="AH73" s="74"/>
    </row>
    <row r="74" customFormat="false" ht="15" hidden="false" customHeight="false" outlineLevel="0" collapsed="false">
      <c r="A74" s="74"/>
      <c r="B74" s="74"/>
      <c r="C74" s="74"/>
      <c r="D74" s="74"/>
      <c r="E74" s="74"/>
      <c r="F74" s="74"/>
      <c r="G74" s="74"/>
      <c r="H74" s="74"/>
      <c r="I74" s="74"/>
      <c r="J74" s="74"/>
      <c r="K74" s="74"/>
      <c r="L74" s="74"/>
      <c r="M74" s="74"/>
      <c r="N74" s="74"/>
      <c r="O74" s="74"/>
      <c r="P74" s="74"/>
      <c r="Q74" s="74"/>
      <c r="R74" s="74"/>
      <c r="S74" s="74"/>
      <c r="T74" s="74"/>
      <c r="U74" s="74"/>
      <c r="V74" s="74"/>
      <c r="W74" s="74"/>
      <c r="X74" s="74"/>
      <c r="Y74" s="74"/>
      <c r="Z74" s="74"/>
      <c r="AA74" s="74"/>
      <c r="AB74" s="74"/>
      <c r="AC74" s="74"/>
      <c r="AD74" s="74"/>
      <c r="AE74" s="74"/>
      <c r="AF74" s="74"/>
      <c r="AG74" s="74"/>
      <c r="AH74" s="74"/>
    </row>
    <row r="75" customFormat="false" ht="15" hidden="false" customHeight="false" outlineLevel="0" collapsed="false">
      <c r="A75" s="74"/>
      <c r="B75" s="74"/>
      <c r="C75" s="74"/>
      <c r="D75" s="74"/>
      <c r="E75" s="74"/>
      <c r="F75" s="74"/>
      <c r="G75" s="74"/>
      <c r="H75" s="74"/>
      <c r="I75" s="74"/>
      <c r="J75" s="74"/>
      <c r="K75" s="74"/>
      <c r="L75" s="74"/>
      <c r="M75" s="74"/>
      <c r="N75" s="74"/>
      <c r="O75" s="74"/>
      <c r="P75" s="74"/>
      <c r="Q75" s="74"/>
      <c r="R75" s="74"/>
      <c r="S75" s="74"/>
      <c r="T75" s="74"/>
      <c r="U75" s="74"/>
      <c r="V75" s="74"/>
      <c r="W75" s="74"/>
      <c r="X75" s="74"/>
      <c r="Y75" s="74"/>
      <c r="Z75" s="74"/>
      <c r="AA75" s="74"/>
      <c r="AB75" s="74"/>
      <c r="AC75" s="74"/>
      <c r="AD75" s="74"/>
      <c r="AE75" s="74"/>
      <c r="AF75" s="74"/>
      <c r="AG75" s="74"/>
      <c r="AH75" s="74"/>
    </row>
    <row r="76" customFormat="false" ht="15" hidden="false" customHeight="false" outlineLevel="0" collapsed="false">
      <c r="A76" s="74"/>
      <c r="B76" s="74"/>
      <c r="C76" s="74"/>
      <c r="D76" s="74"/>
      <c r="E76" s="74"/>
      <c r="F76" s="74"/>
      <c r="G76" s="74"/>
      <c r="H76" s="74"/>
      <c r="I76" s="74"/>
      <c r="J76" s="74"/>
      <c r="K76" s="74"/>
      <c r="L76" s="74"/>
      <c r="M76" s="74"/>
      <c r="N76" s="74"/>
      <c r="O76" s="74"/>
      <c r="P76" s="74"/>
      <c r="Q76" s="74"/>
      <c r="R76" s="74"/>
      <c r="S76" s="74"/>
      <c r="T76" s="74"/>
      <c r="U76" s="74"/>
      <c r="V76" s="74"/>
      <c r="W76" s="74"/>
      <c r="X76" s="74"/>
      <c r="Y76" s="74"/>
      <c r="Z76" s="74"/>
      <c r="AA76" s="74"/>
      <c r="AB76" s="74"/>
      <c r="AC76" s="74"/>
      <c r="AD76" s="74"/>
      <c r="AE76" s="74"/>
      <c r="AF76" s="74"/>
      <c r="AG76" s="74"/>
      <c r="AH76" s="74"/>
    </row>
    <row r="77" customFormat="false" ht="15" hidden="false" customHeight="false" outlineLevel="0" collapsed="false">
      <c r="A77" s="74"/>
      <c r="B77" s="74"/>
      <c r="C77" s="74"/>
      <c r="D77" s="74"/>
      <c r="E77" s="74"/>
      <c r="F77" s="74"/>
      <c r="G77" s="74"/>
      <c r="H77" s="74"/>
      <c r="I77" s="74"/>
      <c r="J77" s="74"/>
      <c r="K77" s="74"/>
      <c r="L77" s="74"/>
      <c r="M77" s="74"/>
      <c r="N77" s="74"/>
      <c r="O77" s="74"/>
      <c r="P77" s="74"/>
      <c r="Q77" s="74"/>
      <c r="R77" s="74"/>
      <c r="S77" s="74"/>
      <c r="T77" s="74"/>
      <c r="U77" s="74"/>
      <c r="V77" s="74"/>
      <c r="W77" s="74"/>
      <c r="X77" s="74"/>
      <c r="Y77" s="74"/>
      <c r="Z77" s="74"/>
      <c r="AA77" s="74"/>
      <c r="AB77" s="74"/>
      <c r="AC77" s="74"/>
      <c r="AD77" s="74"/>
      <c r="AE77" s="74"/>
      <c r="AF77" s="74"/>
      <c r="AG77" s="74"/>
      <c r="AH77" s="74"/>
    </row>
    <row r="78" customFormat="false" ht="15" hidden="false" customHeight="false" outlineLevel="0" collapsed="false">
      <c r="A78" s="74"/>
      <c r="B78" s="74"/>
      <c r="C78" s="74"/>
      <c r="D78" s="74"/>
      <c r="E78" s="74"/>
      <c r="F78" s="74"/>
      <c r="G78" s="74"/>
      <c r="H78" s="74"/>
      <c r="I78" s="74"/>
      <c r="J78" s="74"/>
      <c r="K78" s="74"/>
      <c r="L78" s="74"/>
      <c r="M78" s="74"/>
      <c r="N78" s="74"/>
      <c r="O78" s="74"/>
      <c r="P78" s="74"/>
      <c r="Q78" s="74"/>
      <c r="R78" s="74"/>
      <c r="S78" s="74"/>
      <c r="T78" s="74"/>
      <c r="U78" s="74"/>
      <c r="V78" s="74"/>
      <c r="W78" s="74"/>
      <c r="X78" s="74"/>
      <c r="Y78" s="74"/>
      <c r="Z78" s="74"/>
      <c r="AA78" s="74"/>
      <c r="AB78" s="74"/>
      <c r="AC78" s="74"/>
      <c r="AD78" s="74"/>
      <c r="AE78" s="74"/>
      <c r="AF78" s="74"/>
      <c r="AG78" s="74"/>
      <c r="AH78" s="74"/>
    </row>
    <row r="79" customFormat="false" ht="15" hidden="false" customHeight="false" outlineLevel="0" collapsed="false">
      <c r="A79" s="74"/>
      <c r="B79" s="74"/>
      <c r="C79" s="74"/>
      <c r="D79" s="74"/>
      <c r="E79" s="74"/>
      <c r="F79" s="74"/>
      <c r="G79" s="74"/>
      <c r="H79" s="74"/>
      <c r="I79" s="74"/>
      <c r="J79" s="74"/>
      <c r="K79" s="74"/>
      <c r="L79" s="74"/>
      <c r="M79" s="74"/>
      <c r="N79" s="74"/>
      <c r="O79" s="74"/>
      <c r="P79" s="74"/>
      <c r="Q79" s="74"/>
      <c r="R79" s="74"/>
      <c r="S79" s="74"/>
      <c r="T79" s="74"/>
      <c r="U79" s="74"/>
      <c r="V79" s="74"/>
      <c r="W79" s="74"/>
      <c r="X79" s="74"/>
      <c r="Y79" s="74"/>
      <c r="Z79" s="74"/>
      <c r="AA79" s="74"/>
      <c r="AB79" s="74"/>
      <c r="AC79" s="74"/>
      <c r="AD79" s="74"/>
      <c r="AE79" s="74"/>
      <c r="AF79" s="74"/>
      <c r="AG79" s="74"/>
      <c r="AH79" s="74"/>
    </row>
    <row r="80" customFormat="false" ht="15" hidden="false" customHeight="false" outlineLevel="0" collapsed="false">
      <c r="A80" s="74"/>
      <c r="B80" s="74"/>
      <c r="C80" s="74"/>
      <c r="D80" s="74"/>
      <c r="E80" s="74"/>
      <c r="F80" s="74"/>
      <c r="G80" s="74"/>
      <c r="H80" s="74"/>
      <c r="I80" s="74"/>
      <c r="J80" s="74"/>
      <c r="K80" s="74"/>
      <c r="L80" s="74"/>
      <c r="M80" s="74"/>
      <c r="N80" s="74"/>
      <c r="O80" s="74"/>
      <c r="P80" s="74"/>
      <c r="Q80" s="74"/>
      <c r="R80" s="74"/>
      <c r="S80" s="74"/>
      <c r="T80" s="74"/>
      <c r="U80" s="74"/>
      <c r="V80" s="74"/>
      <c r="W80" s="74"/>
      <c r="X80" s="74"/>
      <c r="Y80" s="74"/>
      <c r="Z80" s="74"/>
      <c r="AA80" s="74"/>
      <c r="AB80" s="74"/>
      <c r="AC80" s="74"/>
      <c r="AD80" s="74"/>
      <c r="AE80" s="74"/>
      <c r="AF80" s="74"/>
      <c r="AG80" s="74"/>
      <c r="AH80" s="74"/>
    </row>
    <row r="81" customFormat="false" ht="15" hidden="false" customHeight="false" outlineLevel="0" collapsed="false">
      <c r="A81" s="74"/>
      <c r="B81" s="74"/>
      <c r="C81" s="74"/>
      <c r="D81" s="74"/>
      <c r="E81" s="74"/>
      <c r="F81" s="74"/>
      <c r="G81" s="74"/>
      <c r="H81" s="74"/>
      <c r="I81" s="74"/>
      <c r="J81" s="74"/>
      <c r="K81" s="74"/>
      <c r="L81" s="74"/>
      <c r="M81" s="74"/>
      <c r="N81" s="74"/>
      <c r="O81" s="74"/>
      <c r="P81" s="74"/>
      <c r="Q81" s="74"/>
      <c r="R81" s="74"/>
      <c r="S81" s="74"/>
      <c r="T81" s="74"/>
      <c r="U81" s="74"/>
      <c r="V81" s="74"/>
      <c r="W81" s="74"/>
      <c r="X81" s="74"/>
      <c r="Y81" s="74"/>
      <c r="Z81" s="74"/>
      <c r="AA81" s="74"/>
      <c r="AB81" s="74"/>
      <c r="AC81" s="74"/>
      <c r="AD81" s="74"/>
      <c r="AE81" s="74"/>
      <c r="AF81" s="74"/>
      <c r="AG81" s="74"/>
      <c r="AH81" s="74"/>
    </row>
    <row r="82" customFormat="false" ht="15" hidden="false" customHeight="false" outlineLevel="0" collapsed="false">
      <c r="A82" s="74"/>
      <c r="B82" s="74"/>
      <c r="C82" s="74"/>
      <c r="D82" s="74"/>
      <c r="E82" s="74"/>
      <c r="F82" s="74"/>
      <c r="G82" s="74"/>
      <c r="H82" s="74"/>
      <c r="I82" s="74"/>
      <c r="J82" s="74"/>
      <c r="K82" s="74"/>
      <c r="L82" s="74"/>
      <c r="M82" s="74"/>
      <c r="N82" s="74"/>
      <c r="O82" s="74"/>
      <c r="P82" s="74"/>
      <c r="Q82" s="74"/>
      <c r="R82" s="74"/>
      <c r="S82" s="74"/>
      <c r="T82" s="74"/>
      <c r="U82" s="74"/>
      <c r="V82" s="74"/>
      <c r="W82" s="74"/>
      <c r="X82" s="74"/>
      <c r="Y82" s="74"/>
      <c r="Z82" s="74"/>
      <c r="AA82" s="74"/>
      <c r="AB82" s="74"/>
      <c r="AC82" s="74"/>
      <c r="AD82" s="74"/>
      <c r="AE82" s="74"/>
      <c r="AF82" s="74"/>
      <c r="AG82" s="74"/>
      <c r="AH82" s="74"/>
    </row>
    <row r="83" customFormat="false" ht="15" hidden="false" customHeight="false" outlineLevel="0" collapsed="false">
      <c r="A83" s="74"/>
      <c r="B83" s="74"/>
      <c r="C83" s="74"/>
      <c r="D83" s="74"/>
      <c r="E83" s="74"/>
      <c r="F83" s="74"/>
      <c r="G83" s="74"/>
      <c r="H83" s="74"/>
      <c r="I83" s="74"/>
      <c r="J83" s="74"/>
      <c r="K83" s="74"/>
      <c r="L83" s="74"/>
      <c r="M83" s="74"/>
      <c r="N83" s="74"/>
      <c r="O83" s="74"/>
      <c r="P83" s="74"/>
      <c r="Q83" s="74"/>
      <c r="R83" s="74"/>
      <c r="S83" s="74"/>
      <c r="T83" s="74"/>
      <c r="U83" s="74"/>
      <c r="V83" s="74"/>
      <c r="W83" s="74"/>
      <c r="X83" s="74"/>
      <c r="Y83" s="74"/>
      <c r="Z83" s="74"/>
      <c r="AA83" s="74"/>
      <c r="AB83" s="74"/>
      <c r="AC83" s="74"/>
      <c r="AD83" s="74"/>
      <c r="AE83" s="74"/>
      <c r="AF83" s="74"/>
      <c r="AG83" s="74"/>
      <c r="AH83" s="74"/>
    </row>
    <row r="84" customFormat="false" ht="15" hidden="false" customHeight="false" outlineLevel="0" collapsed="false">
      <c r="A84" s="74"/>
      <c r="B84" s="74"/>
      <c r="C84" s="74"/>
      <c r="D84" s="74"/>
      <c r="E84" s="74"/>
      <c r="F84" s="74"/>
      <c r="G84" s="74"/>
      <c r="H84" s="74"/>
      <c r="I84" s="74"/>
      <c r="J84" s="74"/>
      <c r="K84" s="74"/>
      <c r="L84" s="74"/>
      <c r="M84" s="74"/>
      <c r="N84" s="74"/>
      <c r="O84" s="74"/>
      <c r="P84" s="74"/>
      <c r="Q84" s="74"/>
      <c r="R84" s="74"/>
      <c r="S84" s="74"/>
      <c r="T84" s="74"/>
      <c r="U84" s="74"/>
      <c r="V84" s="74"/>
      <c r="W84" s="74"/>
      <c r="X84" s="74"/>
      <c r="Y84" s="74"/>
      <c r="Z84" s="74"/>
      <c r="AA84" s="74"/>
      <c r="AB84" s="74"/>
      <c r="AC84" s="74"/>
      <c r="AD84" s="74"/>
      <c r="AE84" s="74"/>
      <c r="AF84" s="74"/>
      <c r="AG84" s="74"/>
      <c r="AH84" s="74"/>
    </row>
    <row r="85" customFormat="false" ht="15" hidden="false" customHeight="false" outlineLevel="0" collapsed="false">
      <c r="A85" s="74"/>
      <c r="B85" s="74"/>
      <c r="C85" s="74"/>
      <c r="D85" s="74"/>
      <c r="E85" s="74"/>
      <c r="F85" s="74"/>
      <c r="G85" s="74"/>
      <c r="H85" s="74"/>
      <c r="I85" s="74"/>
      <c r="J85" s="74"/>
      <c r="K85" s="74"/>
      <c r="L85" s="74"/>
      <c r="M85" s="74"/>
      <c r="N85" s="74"/>
      <c r="O85" s="74"/>
      <c r="P85" s="74"/>
      <c r="Q85" s="74"/>
      <c r="R85" s="74"/>
      <c r="S85" s="74"/>
      <c r="T85" s="74"/>
      <c r="U85" s="74"/>
      <c r="V85" s="74"/>
      <c r="W85" s="74"/>
      <c r="X85" s="74"/>
      <c r="Y85" s="74"/>
      <c r="Z85" s="74"/>
      <c r="AA85" s="74"/>
      <c r="AB85" s="74"/>
      <c r="AC85" s="74"/>
      <c r="AD85" s="74"/>
      <c r="AE85" s="74"/>
      <c r="AF85" s="74"/>
      <c r="AG85" s="74"/>
      <c r="AH85" s="74"/>
    </row>
    <row r="86" customFormat="false" ht="15" hidden="false" customHeight="false" outlineLevel="0" collapsed="false">
      <c r="A86" s="74"/>
      <c r="B86" s="74"/>
      <c r="C86" s="74"/>
      <c r="D86" s="74"/>
      <c r="E86" s="74"/>
      <c r="F86" s="74"/>
      <c r="G86" s="74"/>
      <c r="H86" s="74"/>
      <c r="I86" s="74"/>
      <c r="J86" s="74"/>
      <c r="K86" s="74"/>
      <c r="L86" s="74"/>
      <c r="M86" s="74"/>
      <c r="N86" s="74"/>
      <c r="O86" s="74"/>
      <c r="P86" s="74"/>
      <c r="Q86" s="74"/>
      <c r="R86" s="74"/>
      <c r="S86" s="74"/>
      <c r="T86" s="74"/>
      <c r="U86" s="74"/>
      <c r="V86" s="74"/>
      <c r="W86" s="74"/>
      <c r="X86" s="74"/>
      <c r="Y86" s="74"/>
      <c r="Z86" s="74"/>
      <c r="AA86" s="74"/>
      <c r="AB86" s="74"/>
      <c r="AC86" s="74"/>
      <c r="AD86" s="74"/>
      <c r="AE86" s="74"/>
      <c r="AF86" s="74"/>
      <c r="AG86" s="74"/>
      <c r="AH86" s="74"/>
    </row>
    <row r="87" customFormat="false" ht="15" hidden="false" customHeight="false" outlineLevel="0" collapsed="false">
      <c r="A87" s="74"/>
      <c r="B87" s="74"/>
      <c r="C87" s="74"/>
      <c r="D87" s="74"/>
      <c r="E87" s="74"/>
      <c r="F87" s="74"/>
      <c r="G87" s="74"/>
      <c r="H87" s="74"/>
      <c r="I87" s="74"/>
      <c r="J87" s="74"/>
      <c r="K87" s="74"/>
      <c r="L87" s="74"/>
      <c r="M87" s="74"/>
      <c r="N87" s="74"/>
      <c r="O87" s="74"/>
      <c r="P87" s="74"/>
      <c r="Q87" s="74"/>
      <c r="R87" s="74"/>
      <c r="S87" s="74"/>
      <c r="T87" s="74"/>
      <c r="U87" s="74"/>
      <c r="V87" s="74"/>
      <c r="W87" s="74"/>
      <c r="X87" s="74"/>
      <c r="Y87" s="74"/>
      <c r="Z87" s="74"/>
      <c r="AA87" s="74"/>
      <c r="AB87" s="74"/>
      <c r="AC87" s="74"/>
      <c r="AD87" s="74"/>
      <c r="AE87" s="74"/>
      <c r="AF87" s="74"/>
      <c r="AG87" s="74"/>
      <c r="AH87" s="74"/>
    </row>
    <row r="88" customFormat="false" ht="15" hidden="false" customHeight="false" outlineLevel="0" collapsed="false">
      <c r="A88" s="74"/>
      <c r="B88" s="74"/>
      <c r="C88" s="74"/>
      <c r="D88" s="74"/>
      <c r="E88" s="74"/>
      <c r="F88" s="74"/>
      <c r="G88" s="74"/>
      <c r="H88" s="74"/>
      <c r="I88" s="74"/>
      <c r="J88" s="74"/>
      <c r="K88" s="74"/>
      <c r="L88" s="74"/>
      <c r="M88" s="74"/>
      <c r="N88" s="74"/>
      <c r="O88" s="74"/>
      <c r="P88" s="74"/>
      <c r="Q88" s="74"/>
      <c r="R88" s="74"/>
      <c r="S88" s="74"/>
      <c r="T88" s="74"/>
      <c r="U88" s="74"/>
      <c r="V88" s="74"/>
      <c r="W88" s="74"/>
      <c r="X88" s="74"/>
      <c r="Y88" s="74"/>
      <c r="Z88" s="74"/>
      <c r="AA88" s="74"/>
      <c r="AB88" s="74"/>
      <c r="AC88" s="74"/>
      <c r="AD88" s="74"/>
      <c r="AE88" s="74"/>
      <c r="AF88" s="74"/>
      <c r="AG88" s="74"/>
      <c r="AH88" s="74"/>
    </row>
    <row r="89" customFormat="false" ht="15" hidden="false" customHeight="false" outlineLevel="0" collapsed="false">
      <c r="A89" s="74"/>
      <c r="B89" s="74"/>
      <c r="C89" s="74"/>
      <c r="D89" s="74"/>
      <c r="E89" s="74"/>
      <c r="F89" s="74"/>
      <c r="G89" s="74"/>
      <c r="H89" s="74"/>
      <c r="I89" s="74"/>
      <c r="J89" s="74"/>
      <c r="K89" s="74"/>
      <c r="L89" s="74"/>
      <c r="M89" s="74"/>
      <c r="N89" s="74"/>
      <c r="O89" s="74"/>
      <c r="P89" s="74"/>
      <c r="Q89" s="74"/>
      <c r="R89" s="74"/>
      <c r="S89" s="74"/>
      <c r="T89" s="74"/>
      <c r="U89" s="74"/>
      <c r="V89" s="74"/>
      <c r="W89" s="74"/>
      <c r="X89" s="74"/>
      <c r="Y89" s="74"/>
      <c r="Z89" s="74"/>
      <c r="AA89" s="74"/>
      <c r="AB89" s="74"/>
      <c r="AC89" s="74"/>
      <c r="AD89" s="74"/>
      <c r="AE89" s="74"/>
      <c r="AF89" s="74"/>
      <c r="AG89" s="74"/>
      <c r="AH89" s="74"/>
    </row>
    <row r="90" customFormat="false" ht="15" hidden="false" customHeight="false" outlineLevel="0" collapsed="false">
      <c r="A90" s="74"/>
      <c r="B90" s="74"/>
      <c r="C90" s="74"/>
      <c r="D90" s="74"/>
      <c r="E90" s="74"/>
      <c r="F90" s="74"/>
      <c r="G90" s="74"/>
      <c r="H90" s="74"/>
      <c r="I90" s="74"/>
      <c r="J90" s="74"/>
      <c r="K90" s="74"/>
      <c r="L90" s="74"/>
      <c r="M90" s="74"/>
      <c r="N90" s="74"/>
      <c r="O90" s="74"/>
      <c r="P90" s="74"/>
      <c r="Q90" s="74"/>
      <c r="R90" s="74"/>
      <c r="S90" s="74"/>
      <c r="T90" s="74"/>
      <c r="U90" s="74"/>
      <c r="V90" s="74"/>
      <c r="W90" s="74"/>
      <c r="X90" s="74"/>
      <c r="Y90" s="74"/>
      <c r="Z90" s="74"/>
      <c r="AA90" s="74"/>
      <c r="AB90" s="74"/>
      <c r="AC90" s="74"/>
      <c r="AD90" s="74"/>
      <c r="AE90" s="74"/>
      <c r="AF90" s="74"/>
      <c r="AG90" s="74"/>
      <c r="AH90" s="74"/>
    </row>
    <row r="91" customFormat="false" ht="15" hidden="false" customHeight="false" outlineLevel="0" collapsed="false">
      <c r="A91" s="74"/>
      <c r="B91" s="74"/>
      <c r="C91" s="74"/>
      <c r="D91" s="74"/>
      <c r="E91" s="74"/>
      <c r="F91" s="74"/>
      <c r="G91" s="74"/>
      <c r="H91" s="74"/>
      <c r="I91" s="74"/>
      <c r="J91" s="74"/>
      <c r="K91" s="74"/>
      <c r="L91" s="74"/>
      <c r="M91" s="74"/>
      <c r="N91" s="74"/>
      <c r="O91" s="74"/>
      <c r="P91" s="74"/>
      <c r="Q91" s="74"/>
      <c r="R91" s="74"/>
      <c r="S91" s="74"/>
      <c r="T91" s="74"/>
      <c r="U91" s="74"/>
      <c r="V91" s="74"/>
      <c r="W91" s="74"/>
      <c r="X91" s="74"/>
      <c r="Y91" s="74"/>
      <c r="Z91" s="74"/>
      <c r="AA91" s="74"/>
      <c r="AB91" s="74"/>
      <c r="AC91" s="74"/>
      <c r="AD91" s="74"/>
      <c r="AE91" s="74"/>
      <c r="AF91" s="74"/>
      <c r="AG91" s="74"/>
      <c r="AH91" s="74"/>
    </row>
    <row r="92" customFormat="false" ht="15" hidden="false" customHeight="false" outlineLevel="0" collapsed="false">
      <c r="A92" s="74"/>
      <c r="B92" s="74"/>
      <c r="C92" s="74"/>
      <c r="D92" s="74"/>
      <c r="E92" s="74"/>
      <c r="F92" s="74"/>
      <c r="G92" s="74"/>
      <c r="H92" s="74"/>
      <c r="I92" s="74"/>
      <c r="J92" s="74"/>
      <c r="K92" s="74"/>
      <c r="L92" s="74"/>
      <c r="M92" s="74"/>
      <c r="N92" s="74"/>
      <c r="O92" s="74"/>
      <c r="P92" s="74"/>
      <c r="Q92" s="74"/>
      <c r="R92" s="74"/>
      <c r="S92" s="74"/>
      <c r="T92" s="74"/>
      <c r="U92" s="74"/>
      <c r="V92" s="74"/>
      <c r="W92" s="74"/>
      <c r="X92" s="74"/>
      <c r="Y92" s="74"/>
      <c r="Z92" s="74"/>
      <c r="AA92" s="74"/>
      <c r="AB92" s="74"/>
      <c r="AC92" s="74"/>
      <c r="AD92" s="74"/>
      <c r="AE92" s="74"/>
      <c r="AF92" s="74"/>
      <c r="AG92" s="74"/>
      <c r="AH92" s="74"/>
    </row>
    <row r="93" customFormat="false" ht="15" hidden="false" customHeight="false" outlineLevel="0" collapsed="false">
      <c r="A93" s="74"/>
      <c r="B93" s="74"/>
      <c r="C93" s="74"/>
      <c r="D93" s="74"/>
      <c r="E93" s="74"/>
      <c r="F93" s="74"/>
      <c r="G93" s="74"/>
      <c r="H93" s="74"/>
      <c r="I93" s="74"/>
      <c r="J93" s="74"/>
      <c r="K93" s="74"/>
      <c r="L93" s="74"/>
      <c r="M93" s="74"/>
      <c r="N93" s="74"/>
      <c r="O93" s="74"/>
      <c r="P93" s="74"/>
      <c r="Q93" s="74"/>
      <c r="R93" s="74"/>
      <c r="S93" s="74"/>
      <c r="T93" s="74"/>
      <c r="U93" s="74"/>
      <c r="V93" s="74"/>
      <c r="W93" s="74"/>
      <c r="X93" s="74"/>
      <c r="Y93" s="74"/>
      <c r="Z93" s="74"/>
      <c r="AA93" s="74"/>
      <c r="AB93" s="74"/>
      <c r="AC93" s="74"/>
      <c r="AD93" s="74"/>
      <c r="AE93" s="74"/>
      <c r="AF93" s="74"/>
      <c r="AG93" s="74"/>
      <c r="AH93" s="74"/>
    </row>
    <row r="94" customFormat="false" ht="15" hidden="false" customHeight="false" outlineLevel="0" collapsed="false">
      <c r="A94" s="74"/>
      <c r="B94" s="74"/>
      <c r="C94" s="74"/>
      <c r="D94" s="74"/>
      <c r="E94" s="74"/>
      <c r="F94" s="74"/>
      <c r="G94" s="74"/>
      <c r="H94" s="74"/>
      <c r="I94" s="74"/>
      <c r="J94" s="74"/>
      <c r="K94" s="74"/>
      <c r="L94" s="74"/>
      <c r="M94" s="74"/>
      <c r="N94" s="74"/>
      <c r="O94" s="74"/>
      <c r="P94" s="74"/>
      <c r="Q94" s="74"/>
      <c r="R94" s="74"/>
      <c r="S94" s="74"/>
      <c r="T94" s="74"/>
      <c r="U94" s="74"/>
      <c r="V94" s="74"/>
      <c r="W94" s="74"/>
      <c r="X94" s="74"/>
      <c r="Y94" s="74"/>
      <c r="Z94" s="74"/>
      <c r="AA94" s="74"/>
      <c r="AB94" s="74"/>
      <c r="AC94" s="74"/>
      <c r="AD94" s="74"/>
      <c r="AE94" s="74"/>
      <c r="AF94" s="74"/>
      <c r="AG94" s="74"/>
      <c r="AH94" s="74"/>
    </row>
    <row r="95" customFormat="false" ht="15" hidden="false" customHeight="false" outlineLevel="0" collapsed="false">
      <c r="A95" s="74"/>
      <c r="B95" s="74"/>
      <c r="C95" s="74"/>
      <c r="D95" s="74"/>
      <c r="E95" s="74"/>
      <c r="F95" s="74"/>
      <c r="G95" s="74"/>
      <c r="H95" s="74"/>
      <c r="I95" s="74"/>
      <c r="J95" s="74"/>
      <c r="K95" s="74"/>
      <c r="L95" s="74"/>
      <c r="M95" s="74"/>
      <c r="N95" s="74"/>
      <c r="O95" s="74"/>
      <c r="P95" s="74"/>
      <c r="Q95" s="74"/>
      <c r="R95" s="74"/>
      <c r="S95" s="74"/>
      <c r="T95" s="74"/>
      <c r="U95" s="74"/>
      <c r="V95" s="74"/>
      <c r="W95" s="74"/>
      <c r="X95" s="74"/>
      <c r="Y95" s="74"/>
      <c r="Z95" s="74"/>
      <c r="AA95" s="74"/>
      <c r="AB95" s="74"/>
      <c r="AC95" s="74"/>
      <c r="AD95" s="74"/>
      <c r="AE95" s="74"/>
      <c r="AF95" s="74"/>
      <c r="AG95" s="74"/>
      <c r="AH95" s="74"/>
    </row>
    <row r="96" customFormat="false" ht="15" hidden="false" customHeight="false" outlineLevel="0" collapsed="false">
      <c r="A96" s="74"/>
      <c r="B96" s="74"/>
      <c r="C96" s="74"/>
      <c r="D96" s="74"/>
      <c r="E96" s="74"/>
      <c r="F96" s="74"/>
      <c r="G96" s="74"/>
      <c r="H96" s="74"/>
      <c r="I96" s="74"/>
      <c r="J96" s="74"/>
      <c r="K96" s="74"/>
      <c r="L96" s="74"/>
      <c r="M96" s="74"/>
      <c r="N96" s="74"/>
      <c r="O96" s="74"/>
      <c r="P96" s="74"/>
      <c r="Q96" s="74"/>
      <c r="R96" s="74"/>
      <c r="S96" s="74"/>
      <c r="T96" s="74"/>
      <c r="U96" s="74"/>
      <c r="V96" s="74"/>
      <c r="W96" s="74"/>
      <c r="X96" s="74"/>
      <c r="Y96" s="74"/>
      <c r="Z96" s="74"/>
      <c r="AA96" s="74"/>
      <c r="AB96" s="74"/>
      <c r="AC96" s="74"/>
      <c r="AD96" s="74"/>
      <c r="AE96" s="74"/>
      <c r="AF96" s="74"/>
      <c r="AG96" s="74"/>
      <c r="AH96" s="74"/>
    </row>
    <row r="97" customFormat="false" ht="15" hidden="false" customHeight="false" outlineLevel="0" collapsed="false">
      <c r="A97" s="74"/>
      <c r="B97" s="74"/>
      <c r="C97" s="74"/>
      <c r="D97" s="74"/>
      <c r="E97" s="74"/>
      <c r="F97" s="74"/>
      <c r="G97" s="74"/>
      <c r="H97" s="74"/>
      <c r="I97" s="74"/>
      <c r="J97" s="74"/>
      <c r="K97" s="74"/>
      <c r="L97" s="74"/>
      <c r="M97" s="74"/>
      <c r="N97" s="74"/>
      <c r="O97" s="74"/>
      <c r="P97" s="74"/>
      <c r="Q97" s="74"/>
      <c r="R97" s="74"/>
      <c r="S97" s="74"/>
      <c r="T97" s="74"/>
      <c r="U97" s="74"/>
      <c r="V97" s="74"/>
      <c r="W97" s="74"/>
      <c r="X97" s="74"/>
      <c r="Y97" s="74"/>
      <c r="Z97" s="74"/>
      <c r="AA97" s="74"/>
      <c r="AB97" s="74"/>
      <c r="AC97" s="74"/>
      <c r="AD97" s="74"/>
      <c r="AE97" s="74"/>
      <c r="AF97" s="74"/>
      <c r="AG97" s="74"/>
      <c r="AH97" s="74"/>
    </row>
    <row r="98" customFormat="false" ht="15" hidden="false" customHeight="false" outlineLevel="0" collapsed="false">
      <c r="A98" s="74"/>
      <c r="B98" s="74"/>
      <c r="C98" s="74"/>
      <c r="D98" s="74"/>
      <c r="E98" s="74"/>
      <c r="F98" s="74"/>
      <c r="G98" s="74"/>
      <c r="H98" s="74"/>
      <c r="I98" s="74"/>
      <c r="J98" s="74"/>
      <c r="K98" s="74"/>
      <c r="L98" s="74"/>
      <c r="M98" s="74"/>
      <c r="N98" s="74"/>
      <c r="O98" s="74"/>
      <c r="P98" s="74"/>
      <c r="Q98" s="74"/>
      <c r="R98" s="74"/>
      <c r="S98" s="74"/>
      <c r="T98" s="74"/>
      <c r="U98" s="74"/>
      <c r="V98" s="74"/>
      <c r="W98" s="74"/>
      <c r="X98" s="74"/>
      <c r="Y98" s="74"/>
      <c r="Z98" s="74"/>
      <c r="AA98" s="74"/>
      <c r="AB98" s="74"/>
      <c r="AC98" s="74"/>
      <c r="AD98" s="74"/>
      <c r="AE98" s="74"/>
      <c r="AF98" s="74"/>
      <c r="AG98" s="74"/>
      <c r="AH98" s="74"/>
    </row>
    <row r="99" customFormat="false" ht="15" hidden="false" customHeight="false" outlineLevel="0" collapsed="false">
      <c r="A99" s="74"/>
      <c r="B99" s="74"/>
      <c r="C99" s="74"/>
      <c r="D99" s="74"/>
      <c r="E99" s="74"/>
      <c r="F99" s="74"/>
      <c r="G99" s="74"/>
      <c r="H99" s="74"/>
      <c r="I99" s="74"/>
      <c r="J99" s="74"/>
      <c r="K99" s="74"/>
      <c r="L99" s="74"/>
      <c r="M99" s="74"/>
      <c r="N99" s="74"/>
      <c r="O99" s="74"/>
      <c r="P99" s="74"/>
      <c r="Q99" s="74"/>
      <c r="R99" s="74"/>
      <c r="S99" s="74"/>
      <c r="T99" s="74"/>
      <c r="U99" s="74"/>
      <c r="V99" s="74"/>
      <c r="W99" s="74"/>
      <c r="X99" s="74"/>
      <c r="Y99" s="74"/>
      <c r="Z99" s="74"/>
      <c r="AA99" s="74"/>
      <c r="AB99" s="74"/>
      <c r="AC99" s="74"/>
      <c r="AD99" s="74"/>
      <c r="AE99" s="74"/>
      <c r="AF99" s="74"/>
      <c r="AG99" s="74"/>
      <c r="AH99" s="74"/>
    </row>
    <row r="100" customFormat="false" ht="15" hidden="false" customHeight="false" outlineLevel="0" collapsed="false">
      <c r="A100" s="74"/>
      <c r="B100" s="74"/>
      <c r="C100" s="74"/>
      <c r="D100" s="74"/>
      <c r="E100" s="74"/>
      <c r="F100" s="74"/>
      <c r="G100" s="74"/>
      <c r="H100" s="74"/>
      <c r="I100" s="74"/>
      <c r="J100" s="74"/>
      <c r="K100" s="74"/>
      <c r="L100" s="74"/>
      <c r="M100" s="74"/>
      <c r="N100" s="74"/>
      <c r="O100" s="74"/>
      <c r="P100" s="74"/>
      <c r="Q100" s="74"/>
      <c r="R100" s="74"/>
      <c r="S100" s="74"/>
      <c r="T100" s="74"/>
      <c r="U100" s="74"/>
      <c r="V100" s="74"/>
      <c r="W100" s="74"/>
      <c r="X100" s="74"/>
      <c r="Y100" s="74"/>
      <c r="Z100" s="74"/>
      <c r="AA100" s="74"/>
      <c r="AB100" s="74"/>
      <c r="AC100" s="74"/>
      <c r="AD100" s="74"/>
      <c r="AE100" s="74"/>
      <c r="AF100" s="74"/>
      <c r="AG100" s="74"/>
      <c r="AH100" s="74"/>
    </row>
    <row r="101" customFormat="false" ht="15" hidden="false" customHeight="false" outlineLevel="0" collapsed="false">
      <c r="A101" s="74"/>
      <c r="B101" s="74"/>
      <c r="C101" s="74"/>
      <c r="D101" s="74"/>
      <c r="E101" s="74"/>
      <c r="F101" s="74"/>
      <c r="G101" s="74"/>
      <c r="H101" s="74"/>
      <c r="I101" s="74"/>
      <c r="J101" s="74"/>
      <c r="K101" s="74"/>
      <c r="L101" s="74"/>
      <c r="M101" s="74"/>
      <c r="N101" s="74"/>
      <c r="O101" s="74"/>
      <c r="P101" s="74"/>
      <c r="Q101" s="74"/>
      <c r="R101" s="74"/>
      <c r="S101" s="74"/>
      <c r="T101" s="74"/>
      <c r="U101" s="74"/>
      <c r="V101" s="74"/>
      <c r="W101" s="74"/>
      <c r="X101" s="74"/>
      <c r="Y101" s="74"/>
      <c r="Z101" s="74"/>
      <c r="AA101" s="74"/>
      <c r="AB101" s="74"/>
      <c r="AC101" s="74"/>
      <c r="AD101" s="74"/>
      <c r="AE101" s="74"/>
      <c r="AF101" s="74"/>
      <c r="AG101" s="74"/>
      <c r="AH101" s="74"/>
    </row>
    <row r="102" customFormat="false" ht="15" hidden="false" customHeight="false" outlineLevel="0" collapsed="false">
      <c r="A102" s="74"/>
      <c r="B102" s="74"/>
      <c r="C102" s="74"/>
      <c r="D102" s="74"/>
      <c r="E102" s="74"/>
      <c r="F102" s="74"/>
      <c r="G102" s="74"/>
      <c r="H102" s="74"/>
      <c r="I102" s="74"/>
      <c r="J102" s="74"/>
      <c r="K102" s="74"/>
      <c r="L102" s="74"/>
      <c r="M102" s="74"/>
      <c r="N102" s="74"/>
      <c r="O102" s="74"/>
      <c r="P102" s="74"/>
      <c r="Q102" s="74"/>
      <c r="R102" s="74"/>
      <c r="S102" s="74"/>
      <c r="T102" s="74"/>
      <c r="U102" s="74"/>
      <c r="V102" s="74"/>
      <c r="W102" s="74"/>
      <c r="X102" s="74"/>
      <c r="Y102" s="74"/>
      <c r="Z102" s="74"/>
      <c r="AA102" s="74"/>
      <c r="AB102" s="74"/>
      <c r="AC102" s="74"/>
      <c r="AD102" s="74"/>
      <c r="AE102" s="74"/>
      <c r="AF102" s="74"/>
      <c r="AG102" s="74"/>
      <c r="AH102" s="74"/>
    </row>
    <row r="103" customFormat="false" ht="15" hidden="false" customHeight="false" outlineLevel="0" collapsed="false">
      <c r="A103" s="74"/>
      <c r="B103" s="74"/>
      <c r="C103" s="74"/>
      <c r="D103" s="74"/>
      <c r="E103" s="74"/>
      <c r="F103" s="74"/>
      <c r="G103" s="74"/>
      <c r="H103" s="74"/>
      <c r="I103" s="74"/>
      <c r="J103" s="74"/>
      <c r="K103" s="74"/>
      <c r="L103" s="74"/>
      <c r="M103" s="74"/>
      <c r="N103" s="74"/>
      <c r="O103" s="74"/>
      <c r="P103" s="74"/>
      <c r="Q103" s="74"/>
      <c r="R103" s="74"/>
      <c r="S103" s="74"/>
      <c r="T103" s="74"/>
      <c r="U103" s="74"/>
      <c r="V103" s="74"/>
      <c r="W103" s="74"/>
      <c r="X103" s="74"/>
      <c r="Y103" s="74"/>
      <c r="Z103" s="74"/>
      <c r="AA103" s="74"/>
      <c r="AB103" s="74"/>
      <c r="AC103" s="74"/>
      <c r="AD103" s="74"/>
      <c r="AE103" s="74"/>
      <c r="AF103" s="74"/>
      <c r="AG103" s="74"/>
      <c r="AH103" s="74"/>
    </row>
    <row r="104" customFormat="false" ht="15" hidden="false" customHeight="false" outlineLevel="0" collapsed="false">
      <c r="A104" s="74"/>
      <c r="B104" s="74"/>
      <c r="C104" s="74"/>
      <c r="D104" s="74"/>
      <c r="E104" s="74"/>
      <c r="F104" s="74"/>
      <c r="G104" s="74"/>
      <c r="H104" s="74"/>
      <c r="I104" s="74"/>
      <c r="J104" s="74"/>
      <c r="K104" s="74"/>
      <c r="L104" s="74"/>
      <c r="M104" s="74"/>
      <c r="N104" s="74"/>
      <c r="O104" s="74"/>
      <c r="P104" s="74"/>
      <c r="Q104" s="74"/>
      <c r="R104" s="74"/>
      <c r="S104" s="74"/>
      <c r="T104" s="74"/>
      <c r="U104" s="74"/>
      <c r="V104" s="74"/>
      <c r="W104" s="74"/>
      <c r="X104" s="74"/>
      <c r="Y104" s="74"/>
      <c r="Z104" s="74"/>
      <c r="AA104" s="74"/>
      <c r="AB104" s="74"/>
      <c r="AC104" s="74"/>
      <c r="AD104" s="74"/>
      <c r="AE104" s="74"/>
      <c r="AF104" s="74"/>
      <c r="AG104" s="74"/>
      <c r="AH104" s="74"/>
    </row>
    <row r="105" customFormat="false" ht="15" hidden="false" customHeight="false" outlineLevel="0" collapsed="false">
      <c r="A105" s="74"/>
      <c r="B105" s="74"/>
      <c r="C105" s="74"/>
      <c r="D105" s="74"/>
      <c r="E105" s="74"/>
      <c r="F105" s="74"/>
      <c r="G105" s="74"/>
      <c r="H105" s="74"/>
      <c r="I105" s="74"/>
      <c r="J105" s="74"/>
      <c r="K105" s="74"/>
      <c r="L105" s="74"/>
      <c r="M105" s="74"/>
      <c r="N105" s="74"/>
      <c r="O105" s="74"/>
      <c r="P105" s="74"/>
      <c r="Q105" s="74"/>
      <c r="R105" s="74"/>
      <c r="S105" s="74"/>
      <c r="T105" s="74"/>
      <c r="U105" s="74"/>
      <c r="V105" s="74"/>
      <c r="W105" s="74"/>
      <c r="X105" s="74"/>
      <c r="Y105" s="74"/>
      <c r="Z105" s="74"/>
      <c r="AA105" s="74"/>
      <c r="AB105" s="74"/>
      <c r="AC105" s="74"/>
      <c r="AD105" s="74"/>
      <c r="AE105" s="74"/>
      <c r="AF105" s="74"/>
      <c r="AG105" s="74"/>
      <c r="AH105" s="74"/>
    </row>
    <row r="106" customFormat="false" ht="15" hidden="false" customHeight="false" outlineLevel="0" collapsed="false">
      <c r="A106" s="74"/>
      <c r="B106" s="74"/>
      <c r="C106" s="74"/>
      <c r="D106" s="74"/>
      <c r="E106" s="74"/>
      <c r="F106" s="74"/>
      <c r="G106" s="74"/>
      <c r="H106" s="74"/>
      <c r="I106" s="74"/>
      <c r="J106" s="74"/>
      <c r="K106" s="74"/>
      <c r="L106" s="74"/>
      <c r="M106" s="74"/>
      <c r="N106" s="74"/>
      <c r="O106" s="74"/>
      <c r="P106" s="74"/>
      <c r="Q106" s="74"/>
      <c r="R106" s="74"/>
      <c r="S106" s="74"/>
      <c r="T106" s="74"/>
      <c r="U106" s="74"/>
      <c r="V106" s="74"/>
      <c r="W106" s="74"/>
      <c r="X106" s="74"/>
      <c r="Y106" s="74"/>
      <c r="Z106" s="74"/>
      <c r="AA106" s="74"/>
      <c r="AB106" s="74"/>
      <c r="AC106" s="74"/>
      <c r="AD106" s="74"/>
      <c r="AE106" s="74"/>
      <c r="AF106" s="74"/>
      <c r="AG106" s="74"/>
      <c r="AH106" s="74"/>
    </row>
    <row r="107" customFormat="false" ht="15" hidden="false" customHeight="false" outlineLevel="0" collapsed="false">
      <c r="A107" s="74"/>
      <c r="B107" s="74"/>
      <c r="C107" s="74"/>
      <c r="D107" s="74"/>
      <c r="E107" s="74"/>
      <c r="F107" s="74"/>
      <c r="G107" s="74"/>
      <c r="H107" s="74"/>
      <c r="I107" s="74"/>
      <c r="J107" s="74"/>
      <c r="K107" s="74"/>
      <c r="L107" s="74"/>
      <c r="M107" s="74"/>
      <c r="N107" s="74"/>
      <c r="O107" s="74"/>
      <c r="P107" s="74"/>
      <c r="Q107" s="74"/>
      <c r="R107" s="74"/>
      <c r="S107" s="74"/>
      <c r="T107" s="74"/>
      <c r="U107" s="74"/>
      <c r="V107" s="74"/>
      <c r="W107" s="74"/>
      <c r="X107" s="74"/>
      <c r="Y107" s="74"/>
      <c r="Z107" s="74"/>
      <c r="AA107" s="74"/>
      <c r="AB107" s="74"/>
      <c r="AC107" s="74"/>
      <c r="AD107" s="74"/>
      <c r="AE107" s="74"/>
      <c r="AF107" s="74"/>
      <c r="AG107" s="74"/>
      <c r="AH107" s="74"/>
    </row>
    <row r="108" customFormat="false" ht="15" hidden="false" customHeight="false" outlineLevel="0" collapsed="false">
      <c r="A108" s="74"/>
      <c r="B108" s="74"/>
      <c r="C108" s="74"/>
      <c r="D108" s="74"/>
      <c r="E108" s="74"/>
      <c r="F108" s="74"/>
      <c r="G108" s="74"/>
      <c r="H108" s="74"/>
      <c r="I108" s="74"/>
      <c r="J108" s="74"/>
      <c r="K108" s="74"/>
      <c r="L108" s="74"/>
      <c r="M108" s="74"/>
      <c r="N108" s="74"/>
      <c r="O108" s="74"/>
      <c r="P108" s="74"/>
      <c r="Q108" s="74"/>
      <c r="R108" s="74"/>
      <c r="S108" s="74"/>
      <c r="T108" s="74"/>
      <c r="U108" s="74"/>
      <c r="V108" s="74"/>
      <c r="W108" s="74"/>
      <c r="X108" s="74"/>
      <c r="Y108" s="74"/>
      <c r="Z108" s="74"/>
      <c r="AA108" s="74"/>
      <c r="AB108" s="74"/>
      <c r="AC108" s="74"/>
      <c r="AD108" s="74"/>
      <c r="AE108" s="74"/>
      <c r="AF108" s="74"/>
      <c r="AG108" s="74"/>
      <c r="AH108" s="74"/>
    </row>
    <row r="109" customFormat="false" ht="15" hidden="false" customHeight="false" outlineLevel="0" collapsed="false">
      <c r="A109" s="74"/>
      <c r="B109" s="74"/>
      <c r="C109" s="74"/>
      <c r="D109" s="74"/>
      <c r="E109" s="74"/>
      <c r="F109" s="74"/>
      <c r="G109" s="74"/>
      <c r="H109" s="74"/>
      <c r="I109" s="74"/>
      <c r="J109" s="74"/>
      <c r="K109" s="74"/>
      <c r="L109" s="74"/>
      <c r="M109" s="74"/>
      <c r="N109" s="74"/>
      <c r="O109" s="74"/>
      <c r="P109" s="74"/>
      <c r="Q109" s="74"/>
      <c r="R109" s="74"/>
      <c r="S109" s="74"/>
      <c r="T109" s="74"/>
      <c r="U109" s="74"/>
      <c r="V109" s="74"/>
      <c r="W109" s="74"/>
      <c r="X109" s="74"/>
      <c r="Y109" s="74"/>
      <c r="Z109" s="74"/>
      <c r="AA109" s="74"/>
      <c r="AB109" s="74"/>
      <c r="AC109" s="74"/>
      <c r="AD109" s="74"/>
      <c r="AE109" s="74"/>
      <c r="AF109" s="74"/>
      <c r="AG109" s="74"/>
      <c r="AH109" s="74"/>
    </row>
    <row r="110" customFormat="false" ht="15" hidden="false" customHeight="false" outlineLevel="0" collapsed="false">
      <c r="A110" s="74"/>
      <c r="B110" s="74"/>
      <c r="C110" s="74"/>
      <c r="D110" s="74"/>
      <c r="E110" s="74"/>
      <c r="F110" s="74"/>
      <c r="G110" s="74"/>
      <c r="H110" s="74"/>
      <c r="I110" s="74"/>
      <c r="J110" s="74"/>
      <c r="K110" s="74"/>
      <c r="L110" s="74"/>
      <c r="M110" s="74"/>
      <c r="N110" s="74"/>
      <c r="O110" s="74"/>
      <c r="P110" s="74"/>
      <c r="Q110" s="74"/>
      <c r="R110" s="74"/>
      <c r="S110" s="74"/>
      <c r="T110" s="74"/>
      <c r="U110" s="74"/>
      <c r="V110" s="74"/>
      <c r="W110" s="74"/>
      <c r="X110" s="74"/>
      <c r="Y110" s="74"/>
      <c r="Z110" s="74"/>
      <c r="AA110" s="74"/>
      <c r="AB110" s="74"/>
      <c r="AC110" s="74"/>
      <c r="AD110" s="74"/>
      <c r="AE110" s="74"/>
      <c r="AF110" s="74"/>
      <c r="AG110" s="74"/>
      <c r="AH110" s="74"/>
    </row>
    <row r="111" customFormat="false" ht="15" hidden="false" customHeight="false" outlineLevel="0" collapsed="false">
      <c r="A111" s="74"/>
      <c r="B111" s="74"/>
      <c r="C111" s="74"/>
      <c r="D111" s="74"/>
      <c r="E111" s="74"/>
      <c r="F111" s="74"/>
      <c r="G111" s="74"/>
      <c r="H111" s="74"/>
      <c r="I111" s="74"/>
      <c r="J111" s="74"/>
      <c r="K111" s="74"/>
      <c r="L111" s="74"/>
      <c r="M111" s="74"/>
      <c r="N111" s="74"/>
      <c r="O111" s="74"/>
      <c r="P111" s="74"/>
      <c r="Q111" s="74"/>
      <c r="R111" s="74"/>
      <c r="S111" s="74"/>
      <c r="T111" s="74"/>
      <c r="U111" s="74"/>
      <c r="V111" s="74"/>
      <c r="W111" s="74"/>
      <c r="X111" s="74"/>
      <c r="Y111" s="74"/>
      <c r="Z111" s="74"/>
      <c r="AA111" s="74"/>
      <c r="AB111" s="74"/>
      <c r="AC111" s="74"/>
      <c r="AD111" s="74"/>
      <c r="AE111" s="74"/>
      <c r="AF111" s="74"/>
      <c r="AG111" s="74"/>
      <c r="AH111" s="74"/>
    </row>
    <row r="112" customFormat="false" ht="15" hidden="false" customHeight="false" outlineLevel="0" collapsed="false">
      <c r="A112" s="74"/>
      <c r="B112" s="74"/>
      <c r="C112" s="74"/>
      <c r="D112" s="74"/>
      <c r="E112" s="74"/>
      <c r="F112" s="74"/>
      <c r="G112" s="74"/>
      <c r="H112" s="74"/>
      <c r="I112" s="74"/>
      <c r="J112" s="74"/>
      <c r="K112" s="74"/>
      <c r="L112" s="74"/>
      <c r="M112" s="74"/>
      <c r="N112" s="74"/>
      <c r="O112" s="74"/>
      <c r="P112" s="74"/>
      <c r="Q112" s="74"/>
      <c r="R112" s="74"/>
      <c r="S112" s="74"/>
      <c r="T112" s="74"/>
      <c r="U112" s="74"/>
      <c r="V112" s="74"/>
      <c r="W112" s="74"/>
      <c r="X112" s="74"/>
      <c r="Y112" s="74"/>
      <c r="Z112" s="74"/>
      <c r="AA112" s="74"/>
      <c r="AB112" s="74"/>
      <c r="AC112" s="74"/>
      <c r="AD112" s="74"/>
      <c r="AE112" s="74"/>
      <c r="AF112" s="74"/>
      <c r="AG112" s="74"/>
      <c r="AH112" s="74"/>
    </row>
    <row r="113" customFormat="false" ht="15" hidden="false" customHeight="false" outlineLevel="0" collapsed="false">
      <c r="A113" s="74"/>
      <c r="B113" s="74"/>
      <c r="C113" s="74"/>
      <c r="D113" s="74"/>
      <c r="E113" s="74"/>
      <c r="F113" s="74"/>
      <c r="G113" s="74"/>
      <c r="H113" s="74"/>
      <c r="I113" s="74"/>
      <c r="J113" s="74"/>
      <c r="K113" s="74"/>
      <c r="L113" s="74"/>
      <c r="M113" s="74"/>
      <c r="N113" s="74"/>
      <c r="O113" s="74"/>
      <c r="P113" s="74"/>
      <c r="Q113" s="74"/>
      <c r="R113" s="74"/>
      <c r="S113" s="74"/>
      <c r="T113" s="74"/>
      <c r="U113" s="74"/>
      <c r="V113" s="74"/>
      <c r="W113" s="74"/>
      <c r="X113" s="74"/>
      <c r="Y113" s="74"/>
      <c r="Z113" s="74"/>
      <c r="AA113" s="74"/>
      <c r="AB113" s="74"/>
      <c r="AC113" s="74"/>
      <c r="AD113" s="74"/>
      <c r="AE113" s="74"/>
      <c r="AF113" s="74"/>
      <c r="AG113" s="74"/>
      <c r="AH113" s="74"/>
    </row>
    <row r="114" customFormat="false" ht="15" hidden="false" customHeight="false" outlineLevel="0" collapsed="false">
      <c r="A114" s="74"/>
      <c r="B114" s="74"/>
      <c r="C114" s="74"/>
      <c r="D114" s="74"/>
      <c r="E114" s="74"/>
      <c r="F114" s="74"/>
      <c r="G114" s="74"/>
      <c r="H114" s="74"/>
      <c r="I114" s="74"/>
      <c r="J114" s="74"/>
      <c r="K114" s="74"/>
      <c r="L114" s="74"/>
      <c r="M114" s="74"/>
      <c r="N114" s="74"/>
      <c r="O114" s="74"/>
      <c r="P114" s="74"/>
      <c r="Q114" s="74"/>
      <c r="R114" s="74"/>
      <c r="S114" s="74"/>
      <c r="T114" s="74"/>
      <c r="U114" s="74"/>
      <c r="V114" s="74"/>
      <c r="W114" s="74"/>
      <c r="X114" s="74"/>
      <c r="Y114" s="74"/>
      <c r="Z114" s="74"/>
      <c r="AA114" s="74"/>
      <c r="AB114" s="74"/>
      <c r="AC114" s="74"/>
      <c r="AD114" s="74"/>
      <c r="AE114" s="74"/>
      <c r="AF114" s="74"/>
      <c r="AG114" s="74"/>
      <c r="AH114" s="74"/>
    </row>
    <row r="115" customFormat="false" ht="15" hidden="false" customHeight="false" outlineLevel="0" collapsed="false">
      <c r="A115" s="74"/>
      <c r="B115" s="74"/>
      <c r="C115" s="74"/>
      <c r="D115" s="74"/>
      <c r="E115" s="74"/>
      <c r="F115" s="74"/>
      <c r="G115" s="74"/>
      <c r="H115" s="74"/>
      <c r="I115" s="74"/>
      <c r="J115" s="74"/>
      <c r="K115" s="74"/>
      <c r="L115" s="74"/>
      <c r="M115" s="74"/>
      <c r="N115" s="74"/>
      <c r="O115" s="74"/>
      <c r="P115" s="74"/>
      <c r="Q115" s="74"/>
      <c r="R115" s="74"/>
      <c r="S115" s="74"/>
      <c r="T115" s="74"/>
      <c r="U115" s="74"/>
      <c r="V115" s="74"/>
      <c r="W115" s="74"/>
      <c r="X115" s="74"/>
      <c r="Y115" s="74"/>
      <c r="Z115" s="74"/>
      <c r="AA115" s="74"/>
      <c r="AB115" s="74"/>
      <c r="AC115" s="74"/>
      <c r="AD115" s="74"/>
      <c r="AE115" s="74"/>
      <c r="AF115" s="74"/>
      <c r="AG115" s="74"/>
      <c r="AH115" s="74"/>
    </row>
    <row r="116" customFormat="false" ht="15" hidden="false" customHeight="false" outlineLevel="0" collapsed="false">
      <c r="A116" s="74"/>
      <c r="B116" s="74"/>
      <c r="C116" s="74"/>
      <c r="D116" s="74"/>
      <c r="E116" s="74"/>
      <c r="F116" s="74"/>
      <c r="G116" s="74"/>
      <c r="H116" s="74"/>
      <c r="I116" s="74"/>
      <c r="J116" s="74"/>
      <c r="K116" s="74"/>
      <c r="L116" s="74"/>
      <c r="M116" s="74"/>
      <c r="N116" s="74"/>
      <c r="O116" s="74"/>
      <c r="P116" s="74"/>
      <c r="Q116" s="74"/>
      <c r="R116" s="74"/>
      <c r="S116" s="74"/>
      <c r="T116" s="74"/>
      <c r="U116" s="74"/>
      <c r="V116" s="74"/>
      <c r="W116" s="74"/>
      <c r="X116" s="74"/>
      <c r="Y116" s="74"/>
      <c r="Z116" s="74"/>
      <c r="AA116" s="74"/>
      <c r="AB116" s="74"/>
      <c r="AC116" s="74"/>
      <c r="AD116" s="74"/>
      <c r="AE116" s="74"/>
      <c r="AF116" s="74"/>
      <c r="AG116" s="74"/>
      <c r="AH116" s="74"/>
    </row>
    <row r="117" customFormat="false" ht="15" hidden="false" customHeight="false" outlineLevel="0" collapsed="false">
      <c r="A117" s="74"/>
      <c r="B117" s="74"/>
      <c r="C117" s="74"/>
      <c r="D117" s="74"/>
      <c r="E117" s="74"/>
      <c r="F117" s="74"/>
      <c r="G117" s="74"/>
      <c r="H117" s="74"/>
      <c r="I117" s="74"/>
      <c r="J117" s="74"/>
      <c r="K117" s="74"/>
      <c r="L117" s="74"/>
      <c r="M117" s="74"/>
      <c r="N117" s="74"/>
      <c r="O117" s="74"/>
      <c r="P117" s="74"/>
      <c r="Q117" s="74"/>
      <c r="R117" s="74"/>
      <c r="S117" s="74"/>
      <c r="T117" s="74"/>
      <c r="U117" s="74"/>
      <c r="V117" s="74"/>
      <c r="W117" s="74"/>
      <c r="X117" s="74"/>
      <c r="Y117" s="74"/>
      <c r="Z117" s="74"/>
      <c r="AA117" s="74"/>
      <c r="AB117" s="74"/>
      <c r="AC117" s="74"/>
      <c r="AD117" s="74"/>
      <c r="AE117" s="74"/>
      <c r="AF117" s="74"/>
      <c r="AG117" s="74"/>
      <c r="AH117" s="74"/>
    </row>
    <row r="118" customFormat="false" ht="15" hidden="false" customHeight="false" outlineLevel="0" collapsed="false">
      <c r="A118" s="74"/>
      <c r="B118" s="74"/>
      <c r="C118" s="74"/>
      <c r="D118" s="74"/>
      <c r="E118" s="74"/>
      <c r="F118" s="74"/>
      <c r="G118" s="74"/>
      <c r="H118" s="74"/>
      <c r="I118" s="74"/>
      <c r="J118" s="74"/>
      <c r="K118" s="74"/>
      <c r="L118" s="74"/>
      <c r="M118" s="74"/>
      <c r="N118" s="74"/>
      <c r="O118" s="74"/>
      <c r="P118" s="74"/>
      <c r="Q118" s="74"/>
      <c r="R118" s="74"/>
      <c r="S118" s="74"/>
      <c r="T118" s="74"/>
      <c r="U118" s="74"/>
      <c r="V118" s="74"/>
      <c r="W118" s="74"/>
      <c r="X118" s="74"/>
      <c r="Y118" s="74"/>
      <c r="Z118" s="74"/>
      <c r="AA118" s="74"/>
      <c r="AB118" s="74"/>
      <c r="AC118" s="74"/>
      <c r="AD118" s="74"/>
      <c r="AE118" s="74"/>
      <c r="AF118" s="74"/>
      <c r="AG118" s="74"/>
      <c r="AH118" s="74"/>
    </row>
    <row r="119" customFormat="false" ht="15" hidden="false" customHeight="false" outlineLevel="0" collapsed="false">
      <c r="A119" s="74"/>
      <c r="B119" s="74"/>
      <c r="C119" s="74"/>
      <c r="D119" s="74"/>
      <c r="E119" s="74"/>
      <c r="F119" s="74"/>
      <c r="G119" s="74"/>
      <c r="H119" s="74"/>
      <c r="I119" s="74"/>
      <c r="J119" s="74"/>
      <c r="K119" s="74"/>
      <c r="L119" s="74"/>
      <c r="M119" s="74"/>
      <c r="N119" s="74"/>
      <c r="O119" s="74"/>
      <c r="P119" s="74"/>
      <c r="Q119" s="74"/>
      <c r="R119" s="74"/>
      <c r="S119" s="74"/>
      <c r="T119" s="74"/>
      <c r="U119" s="74"/>
      <c r="V119" s="74"/>
      <c r="W119" s="74"/>
      <c r="X119" s="74"/>
      <c r="Y119" s="74"/>
      <c r="Z119" s="74"/>
      <c r="AA119" s="74"/>
      <c r="AB119" s="74"/>
      <c r="AC119" s="74"/>
      <c r="AD119" s="74"/>
      <c r="AE119" s="74"/>
      <c r="AF119" s="74"/>
      <c r="AG119" s="74"/>
      <c r="AH119" s="74"/>
    </row>
    <row r="120" customFormat="false" ht="15" hidden="false" customHeight="false" outlineLevel="0" collapsed="false">
      <c r="A120" s="74"/>
      <c r="B120" s="74"/>
      <c r="C120" s="74"/>
      <c r="D120" s="74"/>
      <c r="E120" s="74"/>
      <c r="F120" s="74"/>
      <c r="G120" s="74"/>
      <c r="H120" s="74"/>
      <c r="I120" s="74"/>
      <c r="J120" s="74"/>
      <c r="K120" s="74"/>
      <c r="L120" s="74"/>
      <c r="M120" s="74"/>
      <c r="N120" s="74"/>
      <c r="O120" s="74"/>
      <c r="P120" s="74"/>
      <c r="Q120" s="74"/>
      <c r="R120" s="74"/>
      <c r="S120" s="74"/>
      <c r="T120" s="74"/>
      <c r="U120" s="74"/>
      <c r="V120" s="74"/>
      <c r="W120" s="74"/>
      <c r="X120" s="74"/>
      <c r="Y120" s="74"/>
      <c r="Z120" s="74"/>
      <c r="AA120" s="74"/>
      <c r="AB120" s="74"/>
      <c r="AC120" s="74"/>
      <c r="AD120" s="74"/>
      <c r="AE120" s="74"/>
      <c r="AF120" s="74"/>
      <c r="AG120" s="74"/>
      <c r="AH120" s="74"/>
    </row>
    <row r="121" customFormat="false" ht="15" hidden="false" customHeight="false" outlineLevel="0" collapsed="false">
      <c r="A121" s="74"/>
      <c r="B121" s="74"/>
      <c r="C121" s="74"/>
      <c r="D121" s="74"/>
      <c r="E121" s="74"/>
      <c r="F121" s="74"/>
      <c r="G121" s="74"/>
      <c r="H121" s="74"/>
      <c r="I121" s="74"/>
      <c r="J121" s="74"/>
      <c r="K121" s="74"/>
      <c r="L121" s="74"/>
      <c r="M121" s="74"/>
      <c r="N121" s="74"/>
      <c r="O121" s="74"/>
      <c r="P121" s="74"/>
      <c r="Q121" s="74"/>
      <c r="R121" s="74"/>
      <c r="S121" s="74"/>
      <c r="T121" s="74"/>
      <c r="U121" s="74"/>
      <c r="V121" s="74"/>
      <c r="W121" s="74"/>
      <c r="X121" s="74"/>
      <c r="Y121" s="74"/>
      <c r="Z121" s="74"/>
      <c r="AA121" s="74"/>
      <c r="AB121" s="74"/>
      <c r="AC121" s="74"/>
      <c r="AD121" s="74"/>
      <c r="AE121" s="74"/>
      <c r="AF121" s="74"/>
      <c r="AG121" s="74"/>
      <c r="AH121" s="74"/>
    </row>
    <row r="122" customFormat="false" ht="15" hidden="false" customHeight="false" outlineLevel="0" collapsed="false">
      <c r="A122" s="74"/>
      <c r="B122" s="74"/>
      <c r="C122" s="74"/>
      <c r="D122" s="74"/>
      <c r="E122" s="74"/>
      <c r="F122" s="74"/>
      <c r="G122" s="74"/>
      <c r="H122" s="74"/>
      <c r="I122" s="74"/>
      <c r="J122" s="74"/>
      <c r="K122" s="74"/>
      <c r="L122" s="74"/>
      <c r="M122" s="74"/>
      <c r="N122" s="74"/>
      <c r="O122" s="74"/>
      <c r="P122" s="74"/>
      <c r="Q122" s="74"/>
      <c r="R122" s="74"/>
      <c r="S122" s="74"/>
      <c r="T122" s="74"/>
      <c r="U122" s="74"/>
      <c r="V122" s="74"/>
      <c r="W122" s="74"/>
      <c r="X122" s="74"/>
      <c r="Y122" s="74"/>
      <c r="Z122" s="74"/>
      <c r="AA122" s="74"/>
      <c r="AB122" s="74"/>
      <c r="AC122" s="74"/>
      <c r="AD122" s="74"/>
      <c r="AE122" s="74"/>
      <c r="AF122" s="74"/>
      <c r="AG122" s="74"/>
      <c r="AH122" s="74"/>
    </row>
    <row r="123" customFormat="false" ht="15" hidden="false" customHeight="false" outlineLevel="0" collapsed="false">
      <c r="A123" s="74"/>
      <c r="B123" s="74"/>
      <c r="C123" s="74"/>
      <c r="D123" s="74"/>
      <c r="E123" s="74"/>
      <c r="F123" s="74"/>
      <c r="G123" s="74"/>
      <c r="H123" s="74"/>
      <c r="I123" s="74"/>
      <c r="J123" s="74"/>
      <c r="K123" s="74"/>
      <c r="L123" s="74"/>
      <c r="M123" s="74"/>
      <c r="N123" s="74"/>
      <c r="O123" s="74"/>
      <c r="P123" s="74"/>
      <c r="Q123" s="74"/>
      <c r="R123" s="74"/>
      <c r="S123" s="74"/>
      <c r="T123" s="74"/>
      <c r="U123" s="74"/>
      <c r="V123" s="74"/>
      <c r="W123" s="74"/>
      <c r="X123" s="74"/>
      <c r="Y123" s="74"/>
      <c r="Z123" s="74"/>
      <c r="AA123" s="74"/>
      <c r="AB123" s="74"/>
      <c r="AC123" s="74"/>
      <c r="AD123" s="74"/>
      <c r="AE123" s="74"/>
      <c r="AF123" s="74"/>
      <c r="AG123" s="74"/>
      <c r="AH123" s="74"/>
    </row>
    <row r="124" customFormat="false" ht="15" hidden="false" customHeight="false" outlineLevel="0" collapsed="false">
      <c r="A124" s="74"/>
      <c r="B124" s="74"/>
      <c r="C124" s="74"/>
      <c r="D124" s="74"/>
      <c r="E124" s="74"/>
      <c r="F124" s="74"/>
      <c r="G124" s="74"/>
      <c r="H124" s="74"/>
      <c r="I124" s="74"/>
      <c r="J124" s="74"/>
      <c r="K124" s="74"/>
      <c r="L124" s="74"/>
      <c r="M124" s="74"/>
      <c r="N124" s="74"/>
      <c r="O124" s="74"/>
      <c r="P124" s="74"/>
      <c r="Q124" s="74"/>
      <c r="R124" s="74"/>
      <c r="S124" s="74"/>
      <c r="T124" s="74"/>
      <c r="U124" s="74"/>
      <c r="V124" s="74"/>
      <c r="W124" s="74"/>
      <c r="X124" s="74"/>
      <c r="Y124" s="74"/>
      <c r="Z124" s="74"/>
      <c r="AA124" s="74"/>
      <c r="AB124" s="74"/>
      <c r="AC124" s="74"/>
      <c r="AD124" s="74"/>
      <c r="AE124" s="74"/>
      <c r="AF124" s="74"/>
      <c r="AG124" s="74"/>
      <c r="AH124" s="74"/>
    </row>
    <row r="125" customFormat="false" ht="15" hidden="false" customHeight="false" outlineLevel="0" collapsed="false">
      <c r="A125" s="74"/>
      <c r="B125" s="74"/>
      <c r="C125" s="74"/>
      <c r="D125" s="74"/>
      <c r="E125" s="74"/>
      <c r="F125" s="74"/>
      <c r="G125" s="74"/>
      <c r="H125" s="74"/>
      <c r="I125" s="74"/>
      <c r="J125" s="74"/>
      <c r="K125" s="74"/>
      <c r="L125" s="74"/>
      <c r="M125" s="74"/>
      <c r="N125" s="74"/>
      <c r="O125" s="74"/>
      <c r="P125" s="74"/>
      <c r="Q125" s="74"/>
      <c r="R125" s="74"/>
      <c r="S125" s="74"/>
      <c r="T125" s="74"/>
      <c r="U125" s="74"/>
      <c r="V125" s="74"/>
      <c r="W125" s="74"/>
      <c r="X125" s="74"/>
      <c r="Y125" s="74"/>
      <c r="Z125" s="74"/>
      <c r="AA125" s="74"/>
      <c r="AB125" s="74"/>
      <c r="AC125" s="74"/>
      <c r="AD125" s="74"/>
      <c r="AE125" s="74"/>
      <c r="AF125" s="74"/>
      <c r="AG125" s="74"/>
      <c r="AH125" s="74"/>
    </row>
    <row r="126" customFormat="false" ht="15" hidden="false" customHeight="false" outlineLevel="0" collapsed="false">
      <c r="A126" s="74"/>
      <c r="B126" s="74"/>
      <c r="C126" s="74"/>
      <c r="D126" s="74"/>
      <c r="E126" s="74"/>
      <c r="F126" s="74"/>
      <c r="G126" s="74"/>
      <c r="H126" s="74"/>
      <c r="I126" s="74"/>
      <c r="J126" s="74"/>
      <c r="K126" s="74"/>
      <c r="L126" s="74"/>
      <c r="M126" s="74"/>
      <c r="N126" s="74"/>
      <c r="O126" s="74"/>
      <c r="P126" s="74"/>
      <c r="Q126" s="74"/>
      <c r="R126" s="74"/>
      <c r="S126" s="74"/>
      <c r="T126" s="74"/>
      <c r="U126" s="74"/>
      <c r="V126" s="74"/>
      <c r="W126" s="74"/>
      <c r="X126" s="74"/>
      <c r="Y126" s="74"/>
      <c r="Z126" s="74"/>
      <c r="AA126" s="74"/>
      <c r="AB126" s="74"/>
      <c r="AC126" s="74"/>
      <c r="AD126" s="74"/>
      <c r="AE126" s="74"/>
      <c r="AF126" s="74"/>
      <c r="AG126" s="74"/>
      <c r="AH126" s="74"/>
    </row>
    <row r="127" customFormat="false" ht="15" hidden="false" customHeight="false" outlineLevel="0" collapsed="false">
      <c r="A127" s="74"/>
      <c r="B127" s="74"/>
      <c r="C127" s="74"/>
      <c r="D127" s="74"/>
      <c r="E127" s="74"/>
      <c r="F127" s="74"/>
      <c r="G127" s="74"/>
      <c r="H127" s="74"/>
      <c r="I127" s="74"/>
      <c r="J127" s="74"/>
      <c r="K127" s="74"/>
      <c r="L127" s="74"/>
      <c r="M127" s="74"/>
      <c r="N127" s="74"/>
      <c r="O127" s="74"/>
      <c r="P127" s="74"/>
      <c r="Q127" s="74"/>
      <c r="R127" s="74"/>
      <c r="S127" s="74"/>
      <c r="T127" s="74"/>
      <c r="U127" s="74"/>
      <c r="V127" s="74"/>
      <c r="W127" s="74"/>
      <c r="X127" s="74"/>
      <c r="Y127" s="74"/>
      <c r="Z127" s="74"/>
      <c r="AA127" s="74"/>
      <c r="AB127" s="74"/>
      <c r="AC127" s="74"/>
      <c r="AD127" s="74"/>
      <c r="AE127" s="74"/>
      <c r="AF127" s="74"/>
      <c r="AG127" s="74"/>
      <c r="AH127" s="74"/>
    </row>
    <row r="128" customFormat="false" ht="15" hidden="false" customHeight="false" outlineLevel="0" collapsed="false">
      <c r="A128" s="74"/>
      <c r="B128" s="74"/>
      <c r="C128" s="74"/>
      <c r="D128" s="74"/>
      <c r="E128" s="74"/>
      <c r="F128" s="74"/>
      <c r="G128" s="74"/>
      <c r="H128" s="74"/>
      <c r="I128" s="74"/>
      <c r="J128" s="74"/>
      <c r="K128" s="74"/>
      <c r="L128" s="74"/>
      <c r="M128" s="74"/>
      <c r="N128" s="74"/>
      <c r="O128" s="74"/>
      <c r="P128" s="74"/>
      <c r="Q128" s="74"/>
      <c r="R128" s="74"/>
      <c r="S128" s="74"/>
      <c r="T128" s="74"/>
      <c r="U128" s="74"/>
      <c r="V128" s="74"/>
      <c r="W128" s="74"/>
      <c r="X128" s="74"/>
      <c r="Y128" s="74"/>
      <c r="Z128" s="74"/>
      <c r="AA128" s="74"/>
      <c r="AB128" s="74"/>
      <c r="AC128" s="74"/>
      <c r="AD128" s="74"/>
      <c r="AE128" s="74"/>
      <c r="AF128" s="74"/>
      <c r="AG128" s="74"/>
      <c r="AH128" s="74"/>
    </row>
    <row r="129" customFormat="false" ht="15" hidden="false" customHeight="false" outlineLevel="0" collapsed="false">
      <c r="A129" s="74"/>
      <c r="B129" s="74"/>
      <c r="C129" s="74"/>
      <c r="D129" s="74"/>
      <c r="E129" s="74"/>
      <c r="F129" s="74"/>
      <c r="G129" s="74"/>
      <c r="H129" s="74"/>
      <c r="I129" s="74"/>
      <c r="J129" s="74"/>
      <c r="K129" s="74"/>
      <c r="L129" s="74"/>
      <c r="M129" s="74"/>
      <c r="N129" s="74"/>
      <c r="O129" s="74"/>
      <c r="P129" s="74"/>
      <c r="Q129" s="74"/>
      <c r="R129" s="74"/>
      <c r="S129" s="74"/>
      <c r="T129" s="74"/>
      <c r="U129" s="74"/>
      <c r="V129" s="74"/>
      <c r="W129" s="74"/>
      <c r="X129" s="74"/>
      <c r="Y129" s="74"/>
      <c r="Z129" s="74"/>
      <c r="AA129" s="74"/>
      <c r="AB129" s="74"/>
      <c r="AC129" s="74"/>
      <c r="AD129" s="74"/>
      <c r="AE129" s="74"/>
      <c r="AF129" s="74"/>
      <c r="AG129" s="74"/>
      <c r="AH129" s="74"/>
    </row>
    <row r="130" customFormat="false" ht="15" hidden="false" customHeight="false" outlineLevel="0" collapsed="false">
      <c r="A130" s="74"/>
      <c r="B130" s="74"/>
      <c r="C130" s="74"/>
      <c r="D130" s="74"/>
      <c r="E130" s="74"/>
      <c r="F130" s="74"/>
      <c r="G130" s="74"/>
      <c r="H130" s="74"/>
      <c r="I130" s="74"/>
      <c r="J130" s="74"/>
      <c r="K130" s="74"/>
      <c r="L130" s="74"/>
      <c r="M130" s="74"/>
      <c r="N130" s="74"/>
      <c r="O130" s="74"/>
      <c r="P130" s="74"/>
      <c r="Q130" s="74"/>
      <c r="R130" s="74"/>
      <c r="S130" s="74"/>
      <c r="T130" s="74"/>
      <c r="U130" s="74"/>
      <c r="V130" s="74"/>
      <c r="W130" s="74"/>
      <c r="X130" s="74"/>
      <c r="Y130" s="74"/>
      <c r="Z130" s="74"/>
      <c r="AA130" s="74"/>
      <c r="AB130" s="74"/>
      <c r="AC130" s="74"/>
      <c r="AD130" s="74"/>
      <c r="AE130" s="74"/>
      <c r="AF130" s="74"/>
      <c r="AG130" s="74"/>
      <c r="AH130" s="74"/>
    </row>
    <row r="131" customFormat="false" ht="15" hidden="false" customHeight="false" outlineLevel="0" collapsed="false">
      <c r="A131" s="74"/>
      <c r="B131" s="74"/>
      <c r="C131" s="74"/>
      <c r="D131" s="74"/>
      <c r="E131" s="74"/>
      <c r="F131" s="74"/>
      <c r="G131" s="74"/>
      <c r="H131" s="74"/>
      <c r="I131" s="74"/>
      <c r="J131" s="74"/>
      <c r="K131" s="74"/>
      <c r="L131" s="74"/>
      <c r="M131" s="74"/>
      <c r="N131" s="74"/>
      <c r="O131" s="74"/>
      <c r="P131" s="74"/>
      <c r="Q131" s="74"/>
      <c r="R131" s="74"/>
      <c r="S131" s="74"/>
      <c r="T131" s="74"/>
      <c r="U131" s="74"/>
      <c r="V131" s="74"/>
      <c r="W131" s="74"/>
      <c r="X131" s="74"/>
      <c r="Y131" s="74"/>
      <c r="Z131" s="74"/>
      <c r="AA131" s="74"/>
      <c r="AB131" s="74"/>
      <c r="AC131" s="74"/>
      <c r="AD131" s="74"/>
      <c r="AE131" s="74"/>
      <c r="AF131" s="74"/>
      <c r="AG131" s="74"/>
      <c r="AH131" s="74"/>
    </row>
    <row r="132" customFormat="false" ht="15" hidden="false" customHeight="false" outlineLevel="0" collapsed="false">
      <c r="A132" s="74"/>
      <c r="B132" s="74"/>
      <c r="C132" s="74"/>
      <c r="D132" s="74"/>
      <c r="E132" s="74"/>
      <c r="F132" s="74"/>
      <c r="G132" s="74"/>
      <c r="H132" s="74"/>
      <c r="I132" s="74"/>
      <c r="J132" s="74"/>
      <c r="K132" s="74"/>
      <c r="L132" s="74"/>
      <c r="M132" s="74"/>
      <c r="N132" s="74"/>
      <c r="O132" s="74"/>
      <c r="P132" s="74"/>
      <c r="Q132" s="74"/>
      <c r="R132" s="74"/>
      <c r="S132" s="74"/>
      <c r="T132" s="74"/>
      <c r="U132" s="74"/>
      <c r="V132" s="74"/>
      <c r="W132" s="74"/>
      <c r="X132" s="74"/>
      <c r="Y132" s="74"/>
      <c r="Z132" s="74"/>
      <c r="AA132" s="74"/>
      <c r="AB132" s="74"/>
      <c r="AC132" s="74"/>
      <c r="AD132" s="74"/>
      <c r="AE132" s="74"/>
      <c r="AF132" s="74"/>
      <c r="AG132" s="74"/>
      <c r="AH132" s="74"/>
    </row>
    <row r="133" customFormat="false" ht="15" hidden="false" customHeight="false" outlineLevel="0" collapsed="false">
      <c r="A133" s="74"/>
      <c r="B133" s="74"/>
      <c r="C133" s="74"/>
      <c r="D133" s="74"/>
      <c r="E133" s="74"/>
      <c r="F133" s="74"/>
      <c r="G133" s="74"/>
      <c r="H133" s="74"/>
      <c r="I133" s="74"/>
      <c r="J133" s="74"/>
      <c r="K133" s="74"/>
      <c r="L133" s="74"/>
      <c r="M133" s="74"/>
      <c r="N133" s="74"/>
      <c r="O133" s="74"/>
      <c r="P133" s="74"/>
      <c r="Q133" s="74"/>
      <c r="R133" s="74"/>
      <c r="S133" s="74"/>
      <c r="T133" s="74"/>
      <c r="U133" s="74"/>
      <c r="V133" s="74"/>
      <c r="W133" s="74"/>
      <c r="X133" s="74"/>
      <c r="Y133" s="74"/>
      <c r="Z133" s="74"/>
      <c r="AA133" s="74"/>
      <c r="AB133" s="74"/>
      <c r="AC133" s="74"/>
      <c r="AD133" s="74"/>
      <c r="AE133" s="74"/>
      <c r="AF133" s="74"/>
      <c r="AG133" s="74"/>
      <c r="AH133" s="74"/>
    </row>
    <row r="134" customFormat="false" ht="15" hidden="false" customHeight="false" outlineLevel="0" collapsed="false">
      <c r="A134" s="74"/>
      <c r="B134" s="74"/>
      <c r="C134" s="74"/>
      <c r="D134" s="74"/>
      <c r="E134" s="74"/>
      <c r="F134" s="74"/>
      <c r="G134" s="74"/>
      <c r="H134" s="74"/>
      <c r="I134" s="74"/>
      <c r="J134" s="74"/>
      <c r="K134" s="74"/>
      <c r="L134" s="74"/>
      <c r="M134" s="74"/>
      <c r="N134" s="74"/>
      <c r="O134" s="74"/>
      <c r="P134" s="74"/>
      <c r="Q134" s="74"/>
      <c r="R134" s="74"/>
      <c r="S134" s="74"/>
      <c r="T134" s="74"/>
      <c r="U134" s="74"/>
      <c r="V134" s="74"/>
      <c r="W134" s="74"/>
      <c r="X134" s="74"/>
      <c r="Y134" s="74"/>
      <c r="Z134" s="74"/>
      <c r="AA134" s="74"/>
      <c r="AB134" s="74"/>
      <c r="AC134" s="74"/>
      <c r="AD134" s="74"/>
      <c r="AE134" s="74"/>
      <c r="AF134" s="74"/>
      <c r="AG134" s="74"/>
      <c r="AH134" s="74"/>
    </row>
    <row r="135" customFormat="false" ht="15" hidden="false" customHeight="false" outlineLevel="0" collapsed="false">
      <c r="A135" s="74"/>
      <c r="B135" s="74"/>
      <c r="C135" s="74"/>
      <c r="D135" s="74"/>
      <c r="E135" s="74"/>
      <c r="F135" s="74"/>
      <c r="G135" s="74"/>
      <c r="H135" s="74"/>
      <c r="I135" s="74"/>
      <c r="J135" s="74"/>
      <c r="K135" s="74"/>
      <c r="L135" s="74"/>
      <c r="M135" s="74"/>
      <c r="N135" s="74"/>
      <c r="O135" s="74"/>
      <c r="P135" s="74"/>
      <c r="Q135" s="74"/>
      <c r="R135" s="74"/>
      <c r="S135" s="74"/>
      <c r="T135" s="74"/>
      <c r="U135" s="74"/>
      <c r="V135" s="74"/>
      <c r="W135" s="74"/>
      <c r="X135" s="74"/>
      <c r="Y135" s="74"/>
      <c r="Z135" s="74"/>
      <c r="AA135" s="74"/>
      <c r="AB135" s="74"/>
      <c r="AC135" s="74"/>
      <c r="AD135" s="74"/>
      <c r="AE135" s="74"/>
      <c r="AF135" s="74"/>
      <c r="AG135" s="74"/>
      <c r="AH135" s="74"/>
    </row>
    <row r="136" customFormat="false" ht="15" hidden="false" customHeight="false" outlineLevel="0" collapsed="false">
      <c r="A136" s="74"/>
      <c r="B136" s="74"/>
      <c r="C136" s="74"/>
      <c r="D136" s="74"/>
      <c r="E136" s="74"/>
      <c r="F136" s="74"/>
      <c r="G136" s="74"/>
      <c r="H136" s="74"/>
      <c r="I136" s="74"/>
      <c r="J136" s="74"/>
      <c r="K136" s="74"/>
      <c r="L136" s="74"/>
      <c r="M136" s="74"/>
      <c r="N136" s="74"/>
      <c r="O136" s="74"/>
      <c r="P136" s="74"/>
      <c r="Q136" s="74"/>
      <c r="R136" s="74"/>
      <c r="S136" s="74"/>
      <c r="T136" s="74"/>
      <c r="U136" s="74"/>
      <c r="V136" s="74"/>
      <c r="W136" s="74"/>
      <c r="X136" s="74"/>
      <c r="Y136" s="74"/>
      <c r="Z136" s="74"/>
      <c r="AA136" s="74"/>
      <c r="AB136" s="74"/>
      <c r="AC136" s="74"/>
      <c r="AD136" s="74"/>
      <c r="AE136" s="74"/>
      <c r="AF136" s="74"/>
      <c r="AG136" s="74"/>
      <c r="AH136" s="74"/>
    </row>
    <row r="137" customFormat="false" ht="15" hidden="false" customHeight="false" outlineLevel="0" collapsed="false">
      <c r="A137" s="74"/>
      <c r="B137" s="74"/>
      <c r="C137" s="74"/>
      <c r="D137" s="74"/>
      <c r="E137" s="74"/>
      <c r="F137" s="74"/>
      <c r="G137" s="74"/>
      <c r="H137" s="74"/>
      <c r="I137" s="74"/>
      <c r="J137" s="74"/>
      <c r="K137" s="74"/>
      <c r="L137" s="74"/>
      <c r="M137" s="74"/>
      <c r="N137" s="74"/>
      <c r="O137" s="74"/>
      <c r="P137" s="74"/>
      <c r="Q137" s="74"/>
      <c r="R137" s="74"/>
      <c r="S137" s="74"/>
      <c r="T137" s="74"/>
      <c r="U137" s="74"/>
      <c r="V137" s="74"/>
      <c r="W137" s="74"/>
      <c r="X137" s="74"/>
      <c r="Y137" s="74"/>
      <c r="Z137" s="74"/>
      <c r="AA137" s="74"/>
      <c r="AB137" s="74"/>
      <c r="AC137" s="74"/>
      <c r="AD137" s="74"/>
      <c r="AE137" s="74"/>
      <c r="AF137" s="74"/>
      <c r="AG137" s="74"/>
      <c r="AH137" s="74"/>
    </row>
    <row r="138" customFormat="false" ht="15" hidden="false" customHeight="false" outlineLevel="0" collapsed="false">
      <c r="A138" s="74"/>
      <c r="B138" s="74"/>
      <c r="C138" s="74"/>
      <c r="D138" s="74"/>
      <c r="E138" s="74"/>
      <c r="F138" s="74"/>
      <c r="G138" s="74"/>
      <c r="H138" s="74"/>
      <c r="I138" s="74"/>
      <c r="J138" s="74"/>
      <c r="K138" s="74"/>
      <c r="L138" s="74"/>
      <c r="M138" s="74"/>
      <c r="N138" s="74"/>
      <c r="O138" s="74"/>
      <c r="P138" s="74"/>
      <c r="Q138" s="74"/>
      <c r="R138" s="74"/>
      <c r="S138" s="74"/>
      <c r="T138" s="74"/>
      <c r="U138" s="74"/>
      <c r="V138" s="74"/>
      <c r="W138" s="74"/>
      <c r="X138" s="74"/>
      <c r="Y138" s="74"/>
      <c r="Z138" s="74"/>
      <c r="AA138" s="74"/>
      <c r="AB138" s="74"/>
      <c r="AC138" s="74"/>
      <c r="AD138" s="74"/>
      <c r="AE138" s="74"/>
      <c r="AF138" s="74"/>
      <c r="AG138" s="74"/>
      <c r="AH138" s="74"/>
    </row>
    <row r="139" customFormat="false" ht="15" hidden="false" customHeight="false" outlineLevel="0" collapsed="false">
      <c r="A139" s="74"/>
      <c r="B139" s="74"/>
      <c r="C139" s="74"/>
      <c r="D139" s="74"/>
      <c r="E139" s="74"/>
      <c r="F139" s="74"/>
      <c r="G139" s="74"/>
      <c r="H139" s="74"/>
      <c r="I139" s="74"/>
      <c r="J139" s="74"/>
      <c r="K139" s="74"/>
      <c r="L139" s="74"/>
      <c r="M139" s="74"/>
      <c r="N139" s="74"/>
      <c r="O139" s="74"/>
      <c r="P139" s="74"/>
      <c r="Q139" s="74"/>
      <c r="R139" s="74"/>
      <c r="S139" s="74"/>
      <c r="T139" s="74"/>
      <c r="U139" s="74"/>
      <c r="V139" s="74"/>
      <c r="W139" s="74"/>
      <c r="X139" s="74"/>
      <c r="Y139" s="74"/>
      <c r="Z139" s="74"/>
      <c r="AA139" s="74"/>
      <c r="AB139" s="74"/>
      <c r="AC139" s="74"/>
      <c r="AD139" s="74"/>
      <c r="AE139" s="74"/>
      <c r="AF139" s="74"/>
      <c r="AG139" s="74"/>
      <c r="AH139" s="74"/>
    </row>
    <row r="140" customFormat="false" ht="15" hidden="false" customHeight="false" outlineLevel="0" collapsed="false">
      <c r="A140" s="74"/>
      <c r="B140" s="74"/>
      <c r="C140" s="74"/>
      <c r="D140" s="74"/>
      <c r="E140" s="74"/>
      <c r="F140" s="74"/>
      <c r="G140" s="74"/>
      <c r="H140" s="74"/>
      <c r="I140" s="74"/>
      <c r="J140" s="74"/>
      <c r="K140" s="74"/>
      <c r="L140" s="74"/>
      <c r="M140" s="74"/>
      <c r="N140" s="74"/>
      <c r="O140" s="74"/>
      <c r="P140" s="74"/>
      <c r="Q140" s="74"/>
      <c r="R140" s="74"/>
      <c r="S140" s="74"/>
      <c r="T140" s="74"/>
      <c r="U140" s="74"/>
      <c r="V140" s="74"/>
      <c r="W140" s="74"/>
      <c r="X140" s="74"/>
      <c r="Y140" s="74"/>
      <c r="Z140" s="74"/>
      <c r="AA140" s="74"/>
      <c r="AB140" s="74"/>
      <c r="AC140" s="74"/>
      <c r="AD140" s="74"/>
      <c r="AE140" s="74"/>
      <c r="AF140" s="74"/>
      <c r="AG140" s="74"/>
      <c r="AH140" s="74"/>
    </row>
    <row r="141" customFormat="false" ht="15" hidden="false" customHeight="false" outlineLevel="0" collapsed="false">
      <c r="A141" s="74"/>
      <c r="B141" s="74"/>
      <c r="C141" s="74"/>
      <c r="D141" s="74"/>
      <c r="E141" s="74"/>
      <c r="F141" s="74"/>
      <c r="G141" s="74"/>
      <c r="H141" s="74"/>
      <c r="I141" s="74"/>
      <c r="J141" s="74"/>
      <c r="K141" s="74"/>
      <c r="L141" s="74"/>
      <c r="M141" s="74"/>
      <c r="N141" s="74"/>
      <c r="O141" s="74"/>
      <c r="P141" s="74"/>
      <c r="Q141" s="74"/>
      <c r="R141" s="74"/>
      <c r="S141" s="74"/>
      <c r="T141" s="74"/>
      <c r="U141" s="74"/>
      <c r="V141" s="74"/>
      <c r="W141" s="74"/>
      <c r="X141" s="74"/>
      <c r="Y141" s="74"/>
      <c r="Z141" s="74"/>
      <c r="AA141" s="74"/>
      <c r="AB141" s="74"/>
      <c r="AC141" s="74"/>
      <c r="AD141" s="74"/>
      <c r="AE141" s="74"/>
      <c r="AF141" s="74"/>
      <c r="AG141" s="74"/>
      <c r="AH141" s="74"/>
    </row>
    <row r="142" customFormat="false" ht="15" hidden="false" customHeight="false" outlineLevel="0" collapsed="false">
      <c r="A142" s="74"/>
      <c r="B142" s="74"/>
      <c r="C142" s="74"/>
      <c r="D142" s="74"/>
      <c r="E142" s="74"/>
      <c r="F142" s="74"/>
      <c r="G142" s="74"/>
      <c r="H142" s="74"/>
      <c r="I142" s="74"/>
      <c r="J142" s="74"/>
      <c r="K142" s="74"/>
      <c r="L142" s="74"/>
      <c r="M142" s="74"/>
      <c r="N142" s="74"/>
      <c r="O142" s="74"/>
      <c r="P142" s="74"/>
      <c r="Q142" s="74"/>
      <c r="R142" s="74"/>
      <c r="S142" s="74"/>
      <c r="T142" s="74"/>
      <c r="U142" s="74"/>
      <c r="V142" s="74"/>
      <c r="W142" s="74"/>
      <c r="X142" s="74"/>
      <c r="Y142" s="74"/>
      <c r="Z142" s="74"/>
      <c r="AA142" s="74"/>
      <c r="AB142" s="74"/>
      <c r="AC142" s="74"/>
      <c r="AD142" s="74"/>
      <c r="AE142" s="74"/>
      <c r="AF142" s="74"/>
      <c r="AG142" s="74"/>
      <c r="AH142" s="74"/>
    </row>
    <row r="143" customFormat="false" ht="15" hidden="false" customHeight="false" outlineLevel="0" collapsed="false">
      <c r="A143" s="74"/>
      <c r="B143" s="74"/>
      <c r="C143" s="74"/>
      <c r="D143" s="74"/>
      <c r="E143" s="74"/>
      <c r="F143" s="74"/>
      <c r="G143" s="74"/>
      <c r="H143" s="74"/>
      <c r="I143" s="74"/>
      <c r="J143" s="74"/>
      <c r="K143" s="74"/>
      <c r="L143" s="74"/>
      <c r="M143" s="74"/>
      <c r="N143" s="74"/>
      <c r="O143" s="74"/>
      <c r="P143" s="74"/>
      <c r="Q143" s="74"/>
      <c r="R143" s="74"/>
      <c r="S143" s="74"/>
      <c r="T143" s="74"/>
      <c r="U143" s="74"/>
      <c r="V143" s="74"/>
      <c r="W143" s="74"/>
      <c r="X143" s="74"/>
      <c r="Y143" s="74"/>
      <c r="Z143" s="74"/>
      <c r="AA143" s="74"/>
      <c r="AB143" s="74"/>
      <c r="AC143" s="74"/>
      <c r="AD143" s="74"/>
      <c r="AE143" s="74"/>
      <c r="AF143" s="74"/>
      <c r="AG143" s="74"/>
      <c r="AH143" s="74"/>
    </row>
    <row r="144" customFormat="false" ht="15" hidden="false" customHeight="false" outlineLevel="0" collapsed="false">
      <c r="A144" s="74"/>
      <c r="B144" s="74"/>
      <c r="C144" s="74"/>
      <c r="D144" s="74"/>
      <c r="E144" s="74"/>
      <c r="F144" s="74"/>
      <c r="G144" s="74"/>
      <c r="H144" s="74"/>
      <c r="I144" s="74"/>
      <c r="J144" s="74"/>
      <c r="K144" s="74"/>
      <c r="L144" s="74"/>
      <c r="M144" s="74"/>
      <c r="N144" s="74"/>
      <c r="O144" s="74"/>
      <c r="P144" s="74"/>
      <c r="Q144" s="74"/>
      <c r="R144" s="74"/>
      <c r="S144" s="74"/>
      <c r="T144" s="74"/>
      <c r="U144" s="74"/>
      <c r="V144" s="74"/>
      <c r="W144" s="74"/>
      <c r="X144" s="74"/>
      <c r="Y144" s="74"/>
      <c r="Z144" s="74"/>
      <c r="AA144" s="74"/>
      <c r="AB144" s="74"/>
      <c r="AC144" s="74"/>
      <c r="AD144" s="74"/>
      <c r="AE144" s="74"/>
      <c r="AF144" s="74"/>
      <c r="AG144" s="74"/>
      <c r="AH144" s="74"/>
    </row>
    <row r="145" customFormat="false" ht="15" hidden="false" customHeight="false" outlineLevel="0" collapsed="false">
      <c r="A145" s="74"/>
      <c r="B145" s="74"/>
      <c r="C145" s="74"/>
      <c r="D145" s="74"/>
      <c r="E145" s="74"/>
      <c r="F145" s="74"/>
      <c r="G145" s="74"/>
      <c r="H145" s="74"/>
      <c r="I145" s="74"/>
      <c r="J145" s="74"/>
      <c r="K145" s="74"/>
      <c r="L145" s="74"/>
      <c r="M145" s="74"/>
      <c r="N145" s="74"/>
      <c r="O145" s="74"/>
      <c r="P145" s="74"/>
      <c r="Q145" s="74"/>
      <c r="R145" s="74"/>
      <c r="S145" s="74"/>
      <c r="T145" s="74"/>
      <c r="U145" s="74"/>
      <c r="V145" s="74"/>
      <c r="W145" s="74"/>
      <c r="X145" s="74"/>
      <c r="Y145" s="74"/>
      <c r="Z145" s="74"/>
      <c r="AA145" s="74"/>
      <c r="AB145" s="74"/>
      <c r="AC145" s="74"/>
      <c r="AD145" s="74"/>
      <c r="AE145" s="74"/>
      <c r="AF145" s="74"/>
      <c r="AG145" s="74"/>
      <c r="AH145" s="74"/>
    </row>
    <row r="146" customFormat="false" ht="15" hidden="false" customHeight="false" outlineLevel="0" collapsed="false">
      <c r="A146" s="74"/>
      <c r="B146" s="74"/>
      <c r="C146" s="74"/>
      <c r="D146" s="74"/>
      <c r="E146" s="74"/>
      <c r="F146" s="74"/>
      <c r="G146" s="74"/>
      <c r="H146" s="74"/>
      <c r="I146" s="74"/>
      <c r="J146" s="74"/>
      <c r="K146" s="74"/>
      <c r="L146" s="74"/>
      <c r="M146" s="74"/>
      <c r="N146" s="74"/>
      <c r="O146" s="74"/>
      <c r="P146" s="74"/>
      <c r="Q146" s="74"/>
      <c r="R146" s="74"/>
      <c r="S146" s="74"/>
      <c r="T146" s="74"/>
      <c r="U146" s="74"/>
      <c r="V146" s="74"/>
      <c r="W146" s="74"/>
      <c r="X146" s="74"/>
      <c r="Y146" s="74"/>
      <c r="Z146" s="74"/>
      <c r="AA146" s="74"/>
      <c r="AB146" s="74"/>
      <c r="AC146" s="74"/>
      <c r="AD146" s="74"/>
      <c r="AE146" s="74"/>
      <c r="AF146" s="74"/>
      <c r="AG146" s="74"/>
      <c r="AH146" s="74"/>
    </row>
    <row r="147" customFormat="false" ht="15" hidden="false" customHeight="false" outlineLevel="0" collapsed="false">
      <c r="A147" s="74"/>
      <c r="B147" s="74"/>
      <c r="C147" s="74"/>
      <c r="D147" s="74"/>
      <c r="E147" s="74"/>
      <c r="F147" s="74"/>
      <c r="G147" s="74"/>
      <c r="H147" s="74"/>
      <c r="I147" s="74"/>
      <c r="J147" s="74"/>
      <c r="K147" s="74"/>
      <c r="L147" s="74"/>
      <c r="M147" s="74"/>
      <c r="N147" s="74"/>
      <c r="O147" s="74"/>
      <c r="P147" s="74"/>
      <c r="Q147" s="74"/>
      <c r="R147" s="74"/>
      <c r="S147" s="74"/>
      <c r="T147" s="74"/>
      <c r="U147" s="74"/>
      <c r="V147" s="74"/>
      <c r="W147" s="74"/>
      <c r="X147" s="74"/>
      <c r="Y147" s="74"/>
      <c r="Z147" s="74"/>
      <c r="AA147" s="74"/>
      <c r="AB147" s="74"/>
      <c r="AC147" s="74"/>
      <c r="AD147" s="74"/>
      <c r="AE147" s="74"/>
      <c r="AF147" s="74"/>
      <c r="AG147" s="74"/>
      <c r="AH147" s="74"/>
    </row>
    <row r="148" customFormat="false" ht="15" hidden="false" customHeight="false" outlineLevel="0" collapsed="false">
      <c r="A148" s="74"/>
      <c r="B148" s="74"/>
      <c r="C148" s="74"/>
      <c r="D148" s="74"/>
      <c r="E148" s="74"/>
      <c r="F148" s="74"/>
      <c r="G148" s="74"/>
      <c r="H148" s="74"/>
      <c r="I148" s="74"/>
      <c r="J148" s="74"/>
      <c r="K148" s="74"/>
      <c r="L148" s="74"/>
      <c r="M148" s="74"/>
      <c r="N148" s="74"/>
      <c r="O148" s="74"/>
      <c r="P148" s="74"/>
      <c r="Q148" s="74"/>
      <c r="R148" s="74"/>
      <c r="S148" s="74"/>
      <c r="T148" s="74"/>
      <c r="U148" s="74"/>
      <c r="V148" s="74"/>
      <c r="W148" s="74"/>
      <c r="X148" s="74"/>
      <c r="Y148" s="74"/>
      <c r="Z148" s="74"/>
      <c r="AA148" s="74"/>
      <c r="AB148" s="74"/>
      <c r="AC148" s="74"/>
      <c r="AD148" s="74"/>
      <c r="AE148" s="74"/>
      <c r="AF148" s="74"/>
      <c r="AG148" s="74"/>
      <c r="AH148" s="74"/>
    </row>
    <row r="149" customFormat="false" ht="15" hidden="false" customHeight="false" outlineLevel="0" collapsed="false">
      <c r="A149" s="74"/>
      <c r="B149" s="74"/>
      <c r="C149" s="74"/>
      <c r="D149" s="74"/>
      <c r="E149" s="74"/>
      <c r="F149" s="74"/>
      <c r="G149" s="74"/>
      <c r="H149" s="74"/>
      <c r="I149" s="74"/>
      <c r="J149" s="74"/>
      <c r="K149" s="74"/>
      <c r="L149" s="74"/>
      <c r="M149" s="74"/>
      <c r="N149" s="74"/>
      <c r="O149" s="74"/>
      <c r="P149" s="74"/>
      <c r="Q149" s="74"/>
      <c r="R149" s="74"/>
      <c r="S149" s="74"/>
      <c r="T149" s="74"/>
      <c r="U149" s="74"/>
      <c r="V149" s="74"/>
      <c r="W149" s="74"/>
      <c r="X149" s="74"/>
      <c r="Y149" s="74"/>
      <c r="Z149" s="74"/>
      <c r="AA149" s="74"/>
      <c r="AB149" s="74"/>
      <c r="AC149" s="74"/>
      <c r="AD149" s="74"/>
      <c r="AE149" s="74"/>
      <c r="AF149" s="74"/>
      <c r="AG149" s="74"/>
      <c r="AH149" s="74"/>
    </row>
    <row r="150" customFormat="false" ht="15" hidden="false" customHeight="false" outlineLevel="0" collapsed="false">
      <c r="A150" s="74"/>
      <c r="B150" s="74"/>
      <c r="C150" s="74"/>
      <c r="D150" s="74"/>
      <c r="E150" s="74"/>
      <c r="F150" s="74"/>
      <c r="G150" s="74"/>
      <c r="H150" s="74"/>
      <c r="I150" s="74"/>
      <c r="J150" s="74"/>
      <c r="K150" s="74"/>
      <c r="L150" s="74"/>
      <c r="M150" s="74"/>
      <c r="N150" s="74"/>
      <c r="O150" s="74"/>
      <c r="P150" s="74"/>
      <c r="Q150" s="74"/>
      <c r="R150" s="74"/>
      <c r="S150" s="74"/>
      <c r="T150" s="74"/>
      <c r="U150" s="74"/>
      <c r="V150" s="74"/>
      <c r="W150" s="74"/>
      <c r="X150" s="74"/>
      <c r="Y150" s="74"/>
      <c r="Z150" s="74"/>
      <c r="AA150" s="74"/>
      <c r="AB150" s="74"/>
      <c r="AC150" s="74"/>
      <c r="AD150" s="74"/>
      <c r="AE150" s="74"/>
      <c r="AF150" s="74"/>
      <c r="AG150" s="74"/>
      <c r="AH150" s="74"/>
    </row>
    <row r="151" customFormat="false" ht="15" hidden="false" customHeight="false" outlineLevel="0" collapsed="false">
      <c r="A151" s="74"/>
      <c r="B151" s="74"/>
      <c r="C151" s="74"/>
      <c r="D151" s="74"/>
      <c r="E151" s="74"/>
      <c r="F151" s="74"/>
      <c r="G151" s="74"/>
      <c r="H151" s="74"/>
      <c r="I151" s="74"/>
      <c r="J151" s="74"/>
      <c r="K151" s="74"/>
      <c r="L151" s="74"/>
      <c r="M151" s="74"/>
      <c r="N151" s="74"/>
      <c r="O151" s="74"/>
      <c r="P151" s="74"/>
      <c r="Q151" s="74"/>
      <c r="R151" s="74"/>
      <c r="S151" s="74"/>
      <c r="T151" s="74"/>
      <c r="U151" s="74"/>
      <c r="V151" s="74"/>
      <c r="W151" s="74"/>
      <c r="X151" s="74"/>
      <c r="Y151" s="74"/>
      <c r="Z151" s="74"/>
      <c r="AA151" s="74"/>
      <c r="AB151" s="74"/>
      <c r="AC151" s="74"/>
      <c r="AD151" s="74"/>
      <c r="AE151" s="74"/>
      <c r="AF151" s="74"/>
      <c r="AG151" s="74"/>
      <c r="AH151" s="74"/>
    </row>
    <row r="152" customFormat="false" ht="15" hidden="false" customHeight="false" outlineLevel="0" collapsed="false">
      <c r="A152" s="74"/>
      <c r="B152" s="74"/>
      <c r="C152" s="74"/>
      <c r="D152" s="74"/>
      <c r="E152" s="74"/>
      <c r="F152" s="74"/>
      <c r="G152" s="74"/>
      <c r="H152" s="74"/>
      <c r="I152" s="74"/>
      <c r="J152" s="74"/>
      <c r="K152" s="74"/>
      <c r="L152" s="74"/>
      <c r="M152" s="74"/>
      <c r="N152" s="74"/>
      <c r="O152" s="74"/>
      <c r="P152" s="74"/>
      <c r="Q152" s="74"/>
      <c r="R152" s="74"/>
      <c r="S152" s="74"/>
      <c r="T152" s="74"/>
      <c r="U152" s="74"/>
      <c r="V152" s="74"/>
      <c r="W152" s="74"/>
      <c r="X152" s="74"/>
      <c r="Y152" s="74"/>
      <c r="Z152" s="74"/>
      <c r="AA152" s="74"/>
      <c r="AB152" s="74"/>
      <c r="AC152" s="74"/>
      <c r="AD152" s="74"/>
      <c r="AE152" s="74"/>
      <c r="AF152" s="74"/>
      <c r="AG152" s="74"/>
      <c r="AH152" s="74"/>
    </row>
    <row r="153" customFormat="false" ht="15" hidden="false" customHeight="false" outlineLevel="0" collapsed="false">
      <c r="A153" s="74"/>
      <c r="B153" s="74"/>
      <c r="C153" s="74"/>
      <c r="D153" s="74"/>
      <c r="E153" s="74"/>
      <c r="F153" s="74"/>
      <c r="G153" s="74"/>
      <c r="H153" s="74"/>
      <c r="I153" s="74"/>
      <c r="J153" s="74"/>
      <c r="K153" s="74"/>
      <c r="L153" s="74"/>
      <c r="M153" s="74"/>
      <c r="N153" s="74"/>
      <c r="O153" s="74"/>
      <c r="P153" s="74"/>
      <c r="Q153" s="74"/>
      <c r="R153" s="74"/>
      <c r="S153" s="74"/>
      <c r="T153" s="74"/>
      <c r="U153" s="74"/>
      <c r="V153" s="74"/>
      <c r="W153" s="74"/>
      <c r="X153" s="74"/>
      <c r="Y153" s="74"/>
      <c r="Z153" s="74"/>
      <c r="AA153" s="74"/>
      <c r="AB153" s="74"/>
      <c r="AC153" s="74"/>
      <c r="AD153" s="74"/>
      <c r="AE153" s="74"/>
      <c r="AF153" s="74"/>
      <c r="AG153" s="74"/>
      <c r="AH153" s="74"/>
    </row>
    <row r="154" customFormat="false" ht="15" hidden="false" customHeight="false" outlineLevel="0" collapsed="false">
      <c r="A154" s="74"/>
      <c r="B154" s="74"/>
      <c r="C154" s="74"/>
      <c r="D154" s="74"/>
      <c r="E154" s="74"/>
      <c r="F154" s="74"/>
      <c r="G154" s="74"/>
      <c r="H154" s="74"/>
      <c r="I154" s="74"/>
      <c r="J154" s="74"/>
      <c r="K154" s="74"/>
      <c r="L154" s="74"/>
      <c r="M154" s="74"/>
      <c r="N154" s="74"/>
      <c r="O154" s="74"/>
      <c r="P154" s="74"/>
      <c r="Q154" s="74"/>
      <c r="R154" s="74"/>
      <c r="S154" s="74"/>
      <c r="T154" s="74"/>
      <c r="U154" s="74"/>
      <c r="V154" s="74"/>
      <c r="W154" s="74"/>
      <c r="X154" s="74"/>
      <c r="Y154" s="74"/>
      <c r="Z154" s="74"/>
      <c r="AA154" s="74"/>
      <c r="AB154" s="74"/>
      <c r="AC154" s="74"/>
      <c r="AD154" s="74"/>
      <c r="AE154" s="74"/>
      <c r="AF154" s="74"/>
      <c r="AG154" s="74"/>
      <c r="AH154" s="74"/>
    </row>
    <row r="155" customFormat="false" ht="15" hidden="false" customHeight="false" outlineLevel="0" collapsed="false">
      <c r="A155" s="74"/>
      <c r="B155" s="74"/>
      <c r="C155" s="74"/>
      <c r="D155" s="74"/>
      <c r="E155" s="74"/>
      <c r="F155" s="74"/>
      <c r="G155" s="74"/>
      <c r="H155" s="74"/>
      <c r="I155" s="74"/>
      <c r="J155" s="74"/>
      <c r="K155" s="74"/>
      <c r="L155" s="74"/>
      <c r="M155" s="74"/>
      <c r="N155" s="74"/>
      <c r="O155" s="74"/>
      <c r="P155" s="74"/>
      <c r="Q155" s="74"/>
      <c r="R155" s="74"/>
      <c r="S155" s="74"/>
      <c r="T155" s="74"/>
      <c r="U155" s="74"/>
      <c r="V155" s="74"/>
      <c r="W155" s="74"/>
      <c r="X155" s="74"/>
      <c r="Y155" s="74"/>
      <c r="Z155" s="74"/>
      <c r="AA155" s="74"/>
      <c r="AB155" s="74"/>
      <c r="AC155" s="74"/>
      <c r="AD155" s="74"/>
      <c r="AE155" s="74"/>
      <c r="AF155" s="74"/>
      <c r="AG155" s="74"/>
      <c r="AH155" s="74"/>
    </row>
    <row r="156" customFormat="false" ht="15" hidden="false" customHeight="false" outlineLevel="0" collapsed="false">
      <c r="A156" s="74"/>
      <c r="B156" s="74"/>
      <c r="C156" s="74"/>
      <c r="D156" s="74"/>
      <c r="E156" s="74"/>
      <c r="F156" s="74"/>
      <c r="G156" s="74"/>
      <c r="H156" s="74"/>
      <c r="I156" s="74"/>
      <c r="J156" s="74"/>
      <c r="K156" s="74"/>
      <c r="L156" s="74"/>
      <c r="M156" s="74"/>
      <c r="N156" s="74"/>
      <c r="O156" s="74"/>
      <c r="P156" s="74"/>
      <c r="Q156" s="74"/>
      <c r="R156" s="74"/>
      <c r="S156" s="74"/>
      <c r="T156" s="74"/>
      <c r="U156" s="74"/>
      <c r="V156" s="74"/>
      <c r="W156" s="74"/>
      <c r="X156" s="74"/>
      <c r="Y156" s="74"/>
      <c r="Z156" s="74"/>
      <c r="AA156" s="74"/>
      <c r="AB156" s="74"/>
      <c r="AC156" s="74"/>
      <c r="AD156" s="74"/>
      <c r="AE156" s="74"/>
      <c r="AF156" s="74"/>
      <c r="AG156" s="74"/>
      <c r="AH156" s="74"/>
    </row>
    <row r="157" customFormat="false" ht="15" hidden="false" customHeight="false" outlineLevel="0" collapsed="false">
      <c r="A157" s="74"/>
      <c r="B157" s="74"/>
      <c r="C157" s="74"/>
      <c r="D157" s="74"/>
      <c r="E157" s="74"/>
      <c r="F157" s="74"/>
      <c r="G157" s="74"/>
      <c r="H157" s="74"/>
      <c r="I157" s="74"/>
      <c r="J157" s="74"/>
      <c r="K157" s="74"/>
      <c r="L157" s="74"/>
      <c r="M157" s="74"/>
      <c r="N157" s="74"/>
      <c r="O157" s="74"/>
      <c r="P157" s="74"/>
      <c r="Q157" s="74"/>
      <c r="R157" s="74"/>
      <c r="S157" s="74"/>
      <c r="T157" s="74"/>
      <c r="U157" s="74"/>
      <c r="V157" s="74"/>
      <c r="W157" s="74"/>
      <c r="X157" s="74"/>
      <c r="Y157" s="74"/>
      <c r="Z157" s="74"/>
      <c r="AA157" s="74"/>
      <c r="AB157" s="74"/>
      <c r="AC157" s="74"/>
      <c r="AD157" s="74"/>
      <c r="AE157" s="74"/>
      <c r="AF157" s="74"/>
      <c r="AG157" s="74"/>
      <c r="AH157" s="74"/>
    </row>
    <row r="158" customFormat="false" ht="15" hidden="false" customHeight="false" outlineLevel="0" collapsed="false">
      <c r="A158" s="74"/>
      <c r="B158" s="74"/>
      <c r="C158" s="74"/>
      <c r="D158" s="74"/>
      <c r="E158" s="74"/>
      <c r="F158" s="74"/>
      <c r="G158" s="74"/>
      <c r="H158" s="74"/>
      <c r="I158" s="74"/>
      <c r="J158" s="74"/>
      <c r="K158" s="74"/>
      <c r="L158" s="74"/>
      <c r="M158" s="74"/>
      <c r="N158" s="74"/>
      <c r="O158" s="74"/>
      <c r="P158" s="74"/>
      <c r="Q158" s="74"/>
      <c r="R158" s="74"/>
      <c r="S158" s="74"/>
      <c r="T158" s="74"/>
      <c r="U158" s="74"/>
      <c r="V158" s="74"/>
      <c r="W158" s="74"/>
      <c r="X158" s="74"/>
      <c r="Y158" s="74"/>
      <c r="Z158" s="74"/>
      <c r="AA158" s="74"/>
      <c r="AB158" s="74"/>
      <c r="AC158" s="74"/>
      <c r="AD158" s="74"/>
      <c r="AE158" s="74"/>
      <c r="AF158" s="74"/>
      <c r="AG158" s="74"/>
      <c r="AH158" s="74"/>
    </row>
    <row r="159" customFormat="false" ht="15" hidden="false" customHeight="false" outlineLevel="0" collapsed="false">
      <c r="A159" s="74"/>
      <c r="B159" s="74"/>
      <c r="C159" s="74"/>
      <c r="D159" s="74"/>
      <c r="E159" s="74"/>
      <c r="F159" s="74"/>
      <c r="G159" s="74"/>
      <c r="H159" s="74"/>
      <c r="I159" s="74"/>
      <c r="J159" s="74"/>
      <c r="K159" s="74"/>
      <c r="L159" s="74"/>
      <c r="M159" s="74"/>
      <c r="N159" s="74"/>
      <c r="O159" s="74"/>
      <c r="P159" s="74"/>
      <c r="Q159" s="74"/>
      <c r="R159" s="74"/>
      <c r="S159" s="74"/>
      <c r="T159" s="74"/>
      <c r="U159" s="74"/>
      <c r="V159" s="74"/>
      <c r="W159" s="74"/>
      <c r="X159" s="74"/>
      <c r="Y159" s="74"/>
      <c r="Z159" s="74"/>
      <c r="AA159" s="74"/>
      <c r="AB159" s="74"/>
      <c r="AC159" s="74"/>
      <c r="AD159" s="74"/>
      <c r="AE159" s="74"/>
      <c r="AF159" s="74"/>
      <c r="AG159" s="74"/>
      <c r="AH159" s="74"/>
    </row>
    <row r="160" customFormat="false" ht="15" hidden="false" customHeight="false" outlineLevel="0" collapsed="false">
      <c r="A160" s="74"/>
      <c r="B160" s="74"/>
      <c r="C160" s="74"/>
      <c r="D160" s="74"/>
      <c r="E160" s="74"/>
      <c r="F160" s="74"/>
      <c r="G160" s="74"/>
      <c r="H160" s="74"/>
      <c r="I160" s="74"/>
      <c r="J160" s="74"/>
      <c r="K160" s="74"/>
      <c r="L160" s="74"/>
      <c r="M160" s="74"/>
      <c r="N160" s="74"/>
      <c r="O160" s="74"/>
      <c r="P160" s="74"/>
      <c r="Q160" s="74"/>
      <c r="R160" s="74"/>
      <c r="S160" s="74"/>
      <c r="T160" s="74"/>
      <c r="U160" s="74"/>
      <c r="V160" s="74"/>
      <c r="W160" s="74"/>
      <c r="X160" s="74"/>
      <c r="Y160" s="74"/>
      <c r="Z160" s="74"/>
      <c r="AA160" s="74"/>
      <c r="AB160" s="74"/>
      <c r="AC160" s="74"/>
      <c r="AD160" s="74"/>
      <c r="AE160" s="74"/>
      <c r="AF160" s="74"/>
      <c r="AG160" s="74"/>
      <c r="AH160" s="74"/>
    </row>
    <row r="161" customFormat="false" ht="15" hidden="false" customHeight="false" outlineLevel="0" collapsed="false">
      <c r="A161" s="74"/>
      <c r="B161" s="74"/>
      <c r="C161" s="74"/>
      <c r="D161" s="74"/>
      <c r="E161" s="74"/>
      <c r="F161" s="74"/>
      <c r="G161" s="74"/>
      <c r="H161" s="74"/>
      <c r="I161" s="74"/>
      <c r="J161" s="74"/>
      <c r="K161" s="74"/>
      <c r="L161" s="74"/>
      <c r="M161" s="74"/>
      <c r="N161" s="74"/>
      <c r="O161" s="74"/>
      <c r="P161" s="74"/>
      <c r="Q161" s="74"/>
      <c r="R161" s="74"/>
      <c r="S161" s="74"/>
      <c r="T161" s="74"/>
      <c r="U161" s="74"/>
      <c r="V161" s="74"/>
      <c r="W161" s="74"/>
      <c r="X161" s="74"/>
      <c r="Y161" s="74"/>
      <c r="Z161" s="74"/>
      <c r="AA161" s="74"/>
      <c r="AB161" s="74"/>
      <c r="AC161" s="74"/>
      <c r="AD161" s="74"/>
      <c r="AE161" s="74"/>
      <c r="AF161" s="74"/>
      <c r="AG161" s="74"/>
      <c r="AH161" s="74"/>
    </row>
    <row r="162" customFormat="false" ht="15" hidden="false" customHeight="false" outlineLevel="0" collapsed="false">
      <c r="A162" s="74"/>
      <c r="B162" s="74"/>
      <c r="C162" s="74"/>
      <c r="D162" s="74"/>
      <c r="E162" s="74"/>
      <c r="F162" s="74"/>
      <c r="G162" s="74"/>
      <c r="H162" s="74"/>
      <c r="I162" s="74"/>
      <c r="J162" s="74"/>
      <c r="K162" s="74"/>
      <c r="L162" s="74"/>
      <c r="M162" s="74"/>
      <c r="N162" s="74"/>
      <c r="O162" s="74"/>
      <c r="P162" s="74"/>
      <c r="Q162" s="74"/>
      <c r="R162" s="74"/>
      <c r="S162" s="74"/>
      <c r="T162" s="74"/>
      <c r="U162" s="74"/>
      <c r="V162" s="74"/>
      <c r="W162" s="74"/>
      <c r="X162" s="74"/>
      <c r="Y162" s="74"/>
      <c r="Z162" s="74"/>
      <c r="AA162" s="74"/>
      <c r="AB162" s="74"/>
      <c r="AC162" s="74"/>
      <c r="AD162" s="74"/>
      <c r="AE162" s="74"/>
      <c r="AF162" s="74"/>
      <c r="AG162" s="74"/>
      <c r="AH162" s="74"/>
    </row>
    <row r="163" customFormat="false" ht="15" hidden="false" customHeight="false" outlineLevel="0" collapsed="false">
      <c r="A163" s="74"/>
      <c r="B163" s="74"/>
      <c r="C163" s="74"/>
      <c r="D163" s="74"/>
      <c r="E163" s="74"/>
      <c r="F163" s="74"/>
      <c r="G163" s="74"/>
      <c r="H163" s="74"/>
      <c r="I163" s="74"/>
      <c r="J163" s="74"/>
      <c r="K163" s="74"/>
      <c r="L163" s="74"/>
      <c r="M163" s="74"/>
      <c r="N163" s="74"/>
      <c r="O163" s="74"/>
      <c r="P163" s="74"/>
      <c r="Q163" s="74"/>
      <c r="R163" s="74"/>
      <c r="S163" s="74"/>
      <c r="T163" s="74"/>
      <c r="U163" s="74"/>
      <c r="V163" s="74"/>
      <c r="W163" s="74"/>
      <c r="X163" s="74"/>
      <c r="Y163" s="74"/>
      <c r="Z163" s="74"/>
      <c r="AA163" s="74"/>
      <c r="AB163" s="74"/>
      <c r="AC163" s="74"/>
      <c r="AD163" s="74"/>
      <c r="AE163" s="74"/>
      <c r="AF163" s="74"/>
      <c r="AG163" s="74"/>
      <c r="AH163" s="74"/>
    </row>
    <row r="164" customFormat="false" ht="15" hidden="false" customHeight="false" outlineLevel="0" collapsed="false">
      <c r="A164" s="74"/>
      <c r="B164" s="74"/>
      <c r="C164" s="74"/>
      <c r="D164" s="74"/>
      <c r="E164" s="74"/>
      <c r="F164" s="74"/>
      <c r="G164" s="74"/>
      <c r="H164" s="74"/>
      <c r="I164" s="74"/>
      <c r="J164" s="74"/>
      <c r="K164" s="74"/>
      <c r="L164" s="74"/>
      <c r="M164" s="74"/>
      <c r="N164" s="74"/>
      <c r="O164" s="74"/>
      <c r="P164" s="74"/>
      <c r="Q164" s="74"/>
      <c r="R164" s="74"/>
      <c r="S164" s="74"/>
      <c r="T164" s="74"/>
      <c r="U164" s="74"/>
      <c r="V164" s="74"/>
      <c r="W164" s="74"/>
      <c r="X164" s="74"/>
      <c r="Y164" s="74"/>
      <c r="Z164" s="74"/>
      <c r="AA164" s="74"/>
      <c r="AB164" s="74"/>
      <c r="AC164" s="74"/>
      <c r="AD164" s="74"/>
      <c r="AE164" s="74"/>
      <c r="AF164" s="74"/>
      <c r="AG164" s="74"/>
      <c r="AH164" s="74"/>
    </row>
    <row r="165" customFormat="false" ht="15" hidden="false" customHeight="false" outlineLevel="0" collapsed="false">
      <c r="A165" s="74"/>
      <c r="B165" s="74"/>
      <c r="C165" s="74"/>
      <c r="D165" s="74"/>
      <c r="E165" s="74"/>
      <c r="F165" s="74"/>
      <c r="G165" s="74"/>
      <c r="H165" s="74"/>
      <c r="I165" s="74"/>
      <c r="J165" s="74"/>
      <c r="K165" s="74"/>
      <c r="L165" s="74"/>
      <c r="M165" s="74"/>
      <c r="N165" s="74"/>
      <c r="O165" s="74"/>
      <c r="P165" s="74"/>
      <c r="Q165" s="74"/>
      <c r="R165" s="74"/>
      <c r="S165" s="74"/>
      <c r="T165" s="74"/>
      <c r="U165" s="74"/>
      <c r="V165" s="74"/>
      <c r="W165" s="74"/>
      <c r="X165" s="74"/>
      <c r="Y165" s="74"/>
      <c r="Z165" s="74"/>
      <c r="AA165" s="74"/>
      <c r="AB165" s="74"/>
      <c r="AC165" s="74"/>
      <c r="AD165" s="74"/>
      <c r="AE165" s="74"/>
      <c r="AF165" s="74"/>
      <c r="AG165" s="74"/>
      <c r="AH165" s="74"/>
    </row>
    <row r="166" customFormat="false" ht="15" hidden="false" customHeight="false" outlineLevel="0" collapsed="false">
      <c r="A166" s="74"/>
      <c r="B166" s="74"/>
      <c r="C166" s="74"/>
      <c r="D166" s="74"/>
      <c r="E166" s="74"/>
      <c r="F166" s="74"/>
      <c r="G166" s="74"/>
      <c r="H166" s="74"/>
      <c r="I166" s="74"/>
      <c r="J166" s="74"/>
      <c r="K166" s="74"/>
      <c r="L166" s="74"/>
      <c r="M166" s="74"/>
      <c r="N166" s="74"/>
      <c r="O166" s="74"/>
      <c r="P166" s="74"/>
      <c r="Q166" s="74"/>
      <c r="R166" s="74"/>
      <c r="S166" s="74"/>
      <c r="T166" s="74"/>
      <c r="U166" s="74"/>
      <c r="V166" s="74"/>
      <c r="W166" s="74"/>
      <c r="X166" s="74"/>
      <c r="Y166" s="74"/>
      <c r="Z166" s="74"/>
      <c r="AA166" s="74"/>
      <c r="AB166" s="74"/>
      <c r="AC166" s="74"/>
      <c r="AD166" s="74"/>
      <c r="AE166" s="74"/>
      <c r="AF166" s="74"/>
      <c r="AG166" s="74"/>
      <c r="AH166" s="74"/>
    </row>
    <row r="167" customFormat="false" ht="15" hidden="false" customHeight="false" outlineLevel="0" collapsed="false">
      <c r="A167" s="74"/>
      <c r="B167" s="74"/>
      <c r="C167" s="74"/>
      <c r="D167" s="74"/>
      <c r="E167" s="74"/>
      <c r="F167" s="74"/>
      <c r="G167" s="74"/>
      <c r="H167" s="74"/>
      <c r="I167" s="74"/>
      <c r="J167" s="74"/>
      <c r="K167" s="74"/>
      <c r="L167" s="74"/>
      <c r="M167" s="74"/>
      <c r="N167" s="74"/>
      <c r="O167" s="74"/>
      <c r="P167" s="74"/>
      <c r="Q167" s="74"/>
      <c r="R167" s="74"/>
      <c r="S167" s="74"/>
      <c r="T167" s="74"/>
      <c r="U167" s="74"/>
      <c r="V167" s="74"/>
      <c r="W167" s="74"/>
      <c r="X167" s="74"/>
      <c r="Y167" s="74"/>
      <c r="Z167" s="74"/>
      <c r="AA167" s="74"/>
      <c r="AB167" s="74"/>
      <c r="AC167" s="74"/>
      <c r="AD167" s="74"/>
      <c r="AE167" s="74"/>
      <c r="AF167" s="74"/>
      <c r="AG167" s="74"/>
      <c r="AH167" s="74"/>
    </row>
    <row r="168" customFormat="false" ht="15" hidden="false" customHeight="false" outlineLevel="0" collapsed="false">
      <c r="A168" s="74"/>
      <c r="B168" s="74"/>
      <c r="C168" s="74"/>
      <c r="D168" s="74"/>
      <c r="E168" s="74"/>
      <c r="F168" s="74"/>
      <c r="G168" s="74"/>
      <c r="H168" s="74"/>
      <c r="I168" s="74"/>
      <c r="J168" s="74"/>
      <c r="K168" s="74"/>
      <c r="L168" s="74"/>
      <c r="M168" s="74"/>
      <c r="N168" s="74"/>
      <c r="O168" s="74"/>
      <c r="P168" s="74"/>
      <c r="Q168" s="74"/>
      <c r="R168" s="74"/>
      <c r="S168" s="74"/>
      <c r="T168" s="74"/>
      <c r="U168" s="74"/>
      <c r="V168" s="74"/>
      <c r="W168" s="74"/>
      <c r="X168" s="74"/>
      <c r="Y168" s="74"/>
      <c r="Z168" s="74"/>
      <c r="AA168" s="74"/>
      <c r="AB168" s="74"/>
      <c r="AC168" s="74"/>
      <c r="AD168" s="74"/>
      <c r="AE168" s="74"/>
      <c r="AF168" s="74"/>
      <c r="AG168" s="74"/>
      <c r="AH168" s="74"/>
    </row>
    <row r="169" customFormat="false" ht="15" hidden="false" customHeight="false" outlineLevel="0" collapsed="false">
      <c r="A169" s="74"/>
      <c r="B169" s="74"/>
      <c r="C169" s="74"/>
      <c r="D169" s="74"/>
      <c r="E169" s="74"/>
      <c r="F169" s="74"/>
      <c r="G169" s="74"/>
      <c r="H169" s="74"/>
      <c r="I169" s="74"/>
      <c r="J169" s="74"/>
      <c r="K169" s="74"/>
      <c r="L169" s="74"/>
      <c r="M169" s="74"/>
      <c r="N169" s="74"/>
      <c r="O169" s="74"/>
      <c r="P169" s="74"/>
      <c r="Q169" s="74"/>
      <c r="R169" s="74"/>
      <c r="S169" s="74"/>
      <c r="T169" s="74"/>
      <c r="U169" s="74"/>
      <c r="V169" s="74"/>
      <c r="W169" s="74"/>
      <c r="X169" s="74"/>
      <c r="Y169" s="74"/>
      <c r="Z169" s="74"/>
      <c r="AA169" s="74"/>
      <c r="AB169" s="74"/>
      <c r="AC169" s="74"/>
      <c r="AD169" s="74"/>
      <c r="AE169" s="74"/>
      <c r="AF169" s="74"/>
      <c r="AG169" s="74"/>
      <c r="AH169" s="74"/>
    </row>
    <row r="170" customFormat="false" ht="15" hidden="false" customHeight="false" outlineLevel="0" collapsed="false">
      <c r="A170" s="74"/>
      <c r="B170" s="74"/>
      <c r="C170" s="74"/>
      <c r="D170" s="74"/>
      <c r="E170" s="74"/>
      <c r="F170" s="74"/>
      <c r="G170" s="74"/>
      <c r="H170" s="74"/>
      <c r="I170" s="74"/>
      <c r="J170" s="74"/>
      <c r="K170" s="74"/>
      <c r="L170" s="74"/>
      <c r="M170" s="74"/>
      <c r="N170" s="74"/>
      <c r="O170" s="74"/>
      <c r="P170" s="74"/>
      <c r="Q170" s="74"/>
      <c r="R170" s="74"/>
      <c r="S170" s="74"/>
      <c r="T170" s="74"/>
      <c r="U170" s="74"/>
      <c r="V170" s="74"/>
      <c r="W170" s="74"/>
      <c r="X170" s="74"/>
      <c r="Y170" s="74"/>
      <c r="Z170" s="74"/>
      <c r="AA170" s="74"/>
      <c r="AB170" s="74"/>
      <c r="AC170" s="74"/>
      <c r="AD170" s="74"/>
      <c r="AE170" s="74"/>
      <c r="AF170" s="74"/>
      <c r="AG170" s="74"/>
      <c r="AH170" s="74"/>
    </row>
    <row r="171" customFormat="false" ht="15" hidden="false" customHeight="false" outlineLevel="0" collapsed="false">
      <c r="A171" s="74"/>
      <c r="B171" s="74"/>
      <c r="C171" s="74"/>
      <c r="D171" s="74"/>
      <c r="E171" s="74"/>
      <c r="F171" s="74"/>
      <c r="G171" s="74"/>
      <c r="H171" s="74"/>
      <c r="I171" s="74"/>
      <c r="J171" s="74"/>
      <c r="K171" s="74"/>
      <c r="L171" s="74"/>
      <c r="M171" s="74"/>
      <c r="N171" s="74"/>
      <c r="O171" s="74"/>
      <c r="P171" s="74"/>
      <c r="Q171" s="74"/>
      <c r="R171" s="74"/>
      <c r="S171" s="74"/>
      <c r="T171" s="74"/>
      <c r="U171" s="74"/>
      <c r="V171" s="74"/>
      <c r="W171" s="74"/>
      <c r="X171" s="74"/>
      <c r="Y171" s="74"/>
      <c r="Z171" s="74"/>
      <c r="AA171" s="74"/>
      <c r="AB171" s="74"/>
      <c r="AC171" s="74"/>
      <c r="AD171" s="74"/>
      <c r="AE171" s="74"/>
      <c r="AF171" s="74"/>
      <c r="AG171" s="74"/>
      <c r="AH171" s="74"/>
    </row>
    <row r="172" customFormat="false" ht="15" hidden="false" customHeight="false" outlineLevel="0" collapsed="false">
      <c r="A172" s="74"/>
      <c r="B172" s="74"/>
      <c r="C172" s="74"/>
      <c r="D172" s="74"/>
      <c r="E172" s="74"/>
      <c r="F172" s="74"/>
      <c r="G172" s="74"/>
      <c r="H172" s="74"/>
      <c r="I172" s="74"/>
      <c r="J172" s="74"/>
      <c r="K172" s="74"/>
      <c r="L172" s="74"/>
      <c r="M172" s="74"/>
      <c r="N172" s="74"/>
      <c r="O172" s="74"/>
      <c r="P172" s="74"/>
      <c r="Q172" s="74"/>
      <c r="R172" s="74"/>
      <c r="S172" s="74"/>
      <c r="T172" s="74"/>
      <c r="U172" s="74"/>
      <c r="V172" s="74"/>
      <c r="W172" s="74"/>
      <c r="X172" s="74"/>
      <c r="Y172" s="74"/>
      <c r="Z172" s="74"/>
      <c r="AA172" s="74"/>
      <c r="AB172" s="74"/>
      <c r="AC172" s="74"/>
      <c r="AD172" s="74"/>
      <c r="AE172" s="74"/>
      <c r="AF172" s="74"/>
      <c r="AG172" s="74"/>
      <c r="AH172" s="74"/>
    </row>
    <row r="173" customFormat="false" ht="15" hidden="false" customHeight="false" outlineLevel="0" collapsed="false">
      <c r="A173" s="74"/>
      <c r="B173" s="74"/>
      <c r="C173" s="74"/>
      <c r="D173" s="74"/>
      <c r="E173" s="74"/>
      <c r="F173" s="74"/>
      <c r="G173" s="74"/>
      <c r="H173" s="74"/>
      <c r="I173" s="74"/>
      <c r="J173" s="74"/>
      <c r="K173" s="74"/>
      <c r="L173" s="74"/>
      <c r="M173" s="74"/>
      <c r="N173" s="74"/>
      <c r="O173" s="74"/>
      <c r="P173" s="74"/>
      <c r="Q173" s="74"/>
      <c r="R173" s="74"/>
      <c r="S173" s="74"/>
      <c r="T173" s="74"/>
      <c r="U173" s="74"/>
      <c r="V173" s="74"/>
      <c r="W173" s="74"/>
      <c r="X173" s="74"/>
      <c r="Y173" s="74"/>
      <c r="Z173" s="74"/>
      <c r="AA173" s="74"/>
      <c r="AB173" s="74"/>
      <c r="AC173" s="74"/>
      <c r="AD173" s="74"/>
      <c r="AE173" s="74"/>
      <c r="AF173" s="74"/>
      <c r="AG173" s="74"/>
      <c r="AH173" s="74"/>
    </row>
    <row r="174" customFormat="false" ht="15" hidden="false" customHeight="false" outlineLevel="0" collapsed="false">
      <c r="A174" s="74"/>
      <c r="B174" s="74"/>
      <c r="C174" s="74"/>
      <c r="D174" s="74"/>
      <c r="E174" s="74"/>
      <c r="F174" s="74"/>
      <c r="G174" s="74"/>
      <c r="H174" s="74"/>
      <c r="I174" s="74"/>
      <c r="J174" s="74"/>
      <c r="K174" s="74"/>
      <c r="L174" s="74"/>
      <c r="M174" s="74"/>
      <c r="N174" s="74"/>
      <c r="O174" s="74"/>
      <c r="P174" s="74"/>
      <c r="Q174" s="74"/>
      <c r="R174" s="74"/>
      <c r="S174" s="74"/>
      <c r="T174" s="74"/>
      <c r="U174" s="74"/>
      <c r="V174" s="74"/>
      <c r="W174" s="74"/>
      <c r="X174" s="74"/>
      <c r="Y174" s="74"/>
      <c r="Z174" s="74"/>
      <c r="AA174" s="74"/>
      <c r="AB174" s="74"/>
      <c r="AC174" s="74"/>
      <c r="AD174" s="74"/>
      <c r="AE174" s="74"/>
      <c r="AF174" s="74"/>
      <c r="AG174" s="74"/>
      <c r="AH174" s="74"/>
    </row>
    <row r="175" customFormat="false" ht="15" hidden="false" customHeight="false" outlineLevel="0" collapsed="false">
      <c r="A175" s="74"/>
      <c r="B175" s="74"/>
      <c r="C175" s="74"/>
      <c r="D175" s="74"/>
      <c r="E175" s="74"/>
      <c r="F175" s="74"/>
      <c r="G175" s="74"/>
      <c r="H175" s="74"/>
      <c r="I175" s="74"/>
      <c r="J175" s="74"/>
      <c r="K175" s="74"/>
      <c r="L175" s="74"/>
      <c r="M175" s="74"/>
      <c r="N175" s="74"/>
      <c r="O175" s="74"/>
      <c r="P175" s="74"/>
      <c r="Q175" s="74"/>
      <c r="R175" s="74"/>
      <c r="S175" s="74"/>
      <c r="T175" s="74"/>
      <c r="U175" s="74"/>
      <c r="V175" s="74"/>
      <c r="W175" s="74"/>
      <c r="X175" s="74"/>
      <c r="Y175" s="74"/>
      <c r="Z175" s="74"/>
      <c r="AA175" s="74"/>
      <c r="AB175" s="74"/>
      <c r="AC175" s="74"/>
      <c r="AD175" s="74"/>
      <c r="AE175" s="74"/>
      <c r="AF175" s="74"/>
      <c r="AG175" s="74"/>
      <c r="AH175" s="74"/>
    </row>
    <row r="176" customFormat="false" ht="15" hidden="false" customHeight="false" outlineLevel="0" collapsed="false">
      <c r="A176" s="74"/>
      <c r="B176" s="74"/>
      <c r="C176" s="74"/>
      <c r="D176" s="74"/>
      <c r="E176" s="74"/>
      <c r="F176" s="74"/>
      <c r="G176" s="74"/>
      <c r="H176" s="74"/>
      <c r="I176" s="74"/>
      <c r="J176" s="74"/>
      <c r="K176" s="74"/>
      <c r="L176" s="74"/>
      <c r="M176" s="74"/>
      <c r="N176" s="74"/>
      <c r="O176" s="74"/>
      <c r="P176" s="74"/>
      <c r="Q176" s="74"/>
      <c r="R176" s="74"/>
      <c r="S176" s="74"/>
      <c r="T176" s="74"/>
      <c r="U176" s="74"/>
      <c r="V176" s="74"/>
      <c r="W176" s="74"/>
      <c r="X176" s="74"/>
      <c r="Y176" s="74"/>
      <c r="Z176" s="74"/>
      <c r="AA176" s="74"/>
      <c r="AB176" s="74"/>
      <c r="AC176" s="74"/>
      <c r="AD176" s="74"/>
      <c r="AE176" s="74"/>
      <c r="AF176" s="74"/>
      <c r="AG176" s="74"/>
      <c r="AH176" s="74"/>
    </row>
    <row r="177" customFormat="false" ht="15" hidden="false" customHeight="false" outlineLevel="0" collapsed="false">
      <c r="A177" s="74"/>
      <c r="B177" s="74"/>
      <c r="C177" s="74"/>
      <c r="D177" s="74"/>
      <c r="E177" s="74"/>
      <c r="F177" s="74"/>
      <c r="G177" s="74"/>
      <c r="H177" s="74"/>
      <c r="I177" s="74"/>
      <c r="J177" s="74"/>
      <c r="K177" s="74"/>
      <c r="L177" s="74"/>
      <c r="M177" s="74"/>
      <c r="N177" s="74"/>
      <c r="O177" s="74"/>
      <c r="P177" s="74"/>
      <c r="Q177" s="74"/>
      <c r="R177" s="74"/>
      <c r="S177" s="74"/>
      <c r="T177" s="74"/>
      <c r="U177" s="74"/>
      <c r="V177" s="74"/>
      <c r="W177" s="74"/>
      <c r="X177" s="74"/>
      <c r="Y177" s="74"/>
      <c r="Z177" s="74"/>
      <c r="AA177" s="74"/>
      <c r="AB177" s="74"/>
      <c r="AC177" s="74"/>
      <c r="AD177" s="74"/>
      <c r="AE177" s="74"/>
      <c r="AF177" s="74"/>
      <c r="AG177" s="74"/>
      <c r="AH177" s="74"/>
    </row>
    <row r="178" customFormat="false" ht="15" hidden="false" customHeight="false" outlineLevel="0" collapsed="false">
      <c r="A178" s="74"/>
      <c r="B178" s="74"/>
      <c r="C178" s="74"/>
      <c r="D178" s="74"/>
      <c r="E178" s="74"/>
      <c r="F178" s="74"/>
      <c r="G178" s="74"/>
      <c r="H178" s="74"/>
      <c r="I178" s="74"/>
      <c r="J178" s="74"/>
      <c r="K178" s="74"/>
      <c r="L178" s="74"/>
      <c r="M178" s="74"/>
      <c r="N178" s="74"/>
      <c r="O178" s="74"/>
      <c r="P178" s="74"/>
      <c r="Q178" s="74"/>
      <c r="R178" s="74"/>
      <c r="S178" s="74"/>
      <c r="T178" s="74"/>
      <c r="U178" s="74"/>
      <c r="V178" s="74"/>
      <c r="W178" s="74"/>
      <c r="X178" s="74"/>
      <c r="Y178" s="74"/>
      <c r="Z178" s="74"/>
      <c r="AA178" s="74"/>
      <c r="AB178" s="74"/>
      <c r="AC178" s="74"/>
      <c r="AD178" s="74"/>
      <c r="AE178" s="74"/>
      <c r="AF178" s="74"/>
      <c r="AG178" s="74"/>
      <c r="AH178" s="74"/>
    </row>
    <row r="179" customFormat="false" ht="15" hidden="false" customHeight="false" outlineLevel="0" collapsed="false">
      <c r="A179" s="74"/>
      <c r="B179" s="74"/>
      <c r="C179" s="74"/>
      <c r="D179" s="74"/>
      <c r="E179" s="74"/>
      <c r="F179" s="74"/>
      <c r="G179" s="74"/>
      <c r="H179" s="74"/>
      <c r="I179" s="74"/>
      <c r="J179" s="74"/>
      <c r="K179" s="74"/>
      <c r="L179" s="74"/>
      <c r="M179" s="74"/>
      <c r="N179" s="74"/>
      <c r="O179" s="74"/>
      <c r="P179" s="74"/>
      <c r="Q179" s="74"/>
      <c r="R179" s="74"/>
      <c r="S179" s="74"/>
      <c r="T179" s="74"/>
      <c r="U179" s="74"/>
      <c r="V179" s="74"/>
      <c r="W179" s="74"/>
      <c r="X179" s="74"/>
      <c r="Y179" s="74"/>
      <c r="Z179" s="74"/>
      <c r="AA179" s="74"/>
      <c r="AB179" s="74"/>
      <c r="AC179" s="74"/>
      <c r="AD179" s="74"/>
      <c r="AE179" s="74"/>
      <c r="AF179" s="74"/>
      <c r="AG179" s="74"/>
      <c r="AH179" s="74"/>
    </row>
    <row r="180" customFormat="false" ht="15" hidden="false" customHeight="false" outlineLevel="0" collapsed="false">
      <c r="A180" s="74"/>
      <c r="B180" s="74"/>
      <c r="C180" s="74"/>
      <c r="D180" s="74"/>
      <c r="E180" s="74"/>
      <c r="F180" s="74"/>
      <c r="G180" s="74"/>
      <c r="H180" s="74"/>
      <c r="I180" s="74"/>
      <c r="J180" s="74"/>
      <c r="K180" s="74"/>
      <c r="L180" s="74"/>
      <c r="M180" s="74"/>
      <c r="N180" s="74"/>
      <c r="O180" s="74"/>
      <c r="P180" s="74"/>
      <c r="Q180" s="74"/>
      <c r="R180" s="74"/>
      <c r="S180" s="74"/>
      <c r="T180" s="74"/>
      <c r="U180" s="74"/>
      <c r="V180" s="74"/>
      <c r="W180" s="74"/>
      <c r="X180" s="74"/>
      <c r="Y180" s="74"/>
      <c r="Z180" s="74"/>
      <c r="AA180" s="74"/>
      <c r="AB180" s="74"/>
      <c r="AC180" s="74"/>
      <c r="AD180" s="74"/>
      <c r="AE180" s="74"/>
      <c r="AF180" s="74"/>
      <c r="AG180" s="74"/>
      <c r="AH180" s="74"/>
    </row>
    <row r="181" customFormat="false" ht="15" hidden="false" customHeight="false" outlineLevel="0" collapsed="false">
      <c r="A181" s="74"/>
      <c r="B181" s="74"/>
      <c r="C181" s="74"/>
      <c r="D181" s="74"/>
      <c r="E181" s="74"/>
      <c r="F181" s="74"/>
      <c r="G181" s="74"/>
      <c r="H181" s="74"/>
      <c r="I181" s="74"/>
      <c r="J181" s="74"/>
      <c r="K181" s="74"/>
      <c r="L181" s="74"/>
      <c r="M181" s="74"/>
      <c r="N181" s="74"/>
      <c r="O181" s="74"/>
      <c r="P181" s="74"/>
      <c r="Q181" s="74"/>
      <c r="R181" s="74"/>
      <c r="S181" s="74"/>
      <c r="T181" s="74"/>
      <c r="U181" s="74"/>
      <c r="V181" s="74"/>
      <c r="W181" s="74"/>
      <c r="X181" s="74"/>
      <c r="Y181" s="74"/>
      <c r="Z181" s="74"/>
      <c r="AA181" s="74"/>
      <c r="AB181" s="74"/>
      <c r="AC181" s="74"/>
      <c r="AD181" s="74"/>
      <c r="AE181" s="74"/>
      <c r="AF181" s="74"/>
      <c r="AG181" s="74"/>
      <c r="AH181" s="74"/>
    </row>
    <row r="182" customFormat="false" ht="15" hidden="false" customHeight="false" outlineLevel="0" collapsed="false">
      <c r="A182" s="74"/>
      <c r="B182" s="74"/>
      <c r="C182" s="74"/>
      <c r="D182" s="74"/>
      <c r="E182" s="74"/>
      <c r="F182" s="74"/>
      <c r="G182" s="74"/>
      <c r="H182" s="74"/>
      <c r="I182" s="74"/>
      <c r="J182" s="74"/>
      <c r="K182" s="74"/>
      <c r="L182" s="74"/>
      <c r="M182" s="74"/>
      <c r="N182" s="74"/>
      <c r="O182" s="74"/>
      <c r="P182" s="74"/>
      <c r="Q182" s="74"/>
      <c r="R182" s="74"/>
      <c r="S182" s="74"/>
      <c r="T182" s="74"/>
      <c r="U182" s="74"/>
      <c r="V182" s="74"/>
      <c r="W182" s="74"/>
      <c r="X182" s="74"/>
      <c r="Y182" s="74"/>
      <c r="Z182" s="74"/>
      <c r="AA182" s="74"/>
      <c r="AB182" s="74"/>
      <c r="AC182" s="74"/>
      <c r="AD182" s="74"/>
      <c r="AE182" s="74"/>
      <c r="AF182" s="74"/>
      <c r="AG182" s="74"/>
      <c r="AH182" s="74"/>
    </row>
    <row r="183" customFormat="false" ht="15" hidden="false" customHeight="false" outlineLevel="0" collapsed="false">
      <c r="A183" s="74"/>
      <c r="B183" s="74"/>
      <c r="C183" s="74"/>
      <c r="D183" s="74"/>
      <c r="E183" s="74"/>
      <c r="F183" s="74"/>
      <c r="G183" s="74"/>
      <c r="H183" s="74"/>
      <c r="I183" s="74"/>
      <c r="J183" s="74"/>
      <c r="K183" s="74"/>
      <c r="L183" s="74"/>
      <c r="M183" s="74"/>
      <c r="N183" s="74"/>
      <c r="O183" s="74"/>
      <c r="P183" s="74"/>
      <c r="Q183" s="74"/>
      <c r="R183" s="74"/>
      <c r="S183" s="74"/>
      <c r="T183" s="74"/>
      <c r="U183" s="74"/>
      <c r="V183" s="74"/>
      <c r="W183" s="74"/>
      <c r="X183" s="74"/>
      <c r="Y183" s="74"/>
      <c r="Z183" s="74"/>
      <c r="AA183" s="74"/>
      <c r="AB183" s="74"/>
      <c r="AC183" s="74"/>
      <c r="AD183" s="74"/>
      <c r="AE183" s="74"/>
      <c r="AF183" s="74"/>
      <c r="AG183" s="74"/>
      <c r="AH183" s="74"/>
    </row>
    <row r="184" customFormat="false" ht="15" hidden="false" customHeight="false" outlineLevel="0" collapsed="false">
      <c r="A184" s="74"/>
      <c r="B184" s="74"/>
      <c r="C184" s="74"/>
      <c r="D184" s="74"/>
      <c r="E184" s="74"/>
      <c r="F184" s="74"/>
      <c r="G184" s="74"/>
      <c r="H184" s="74"/>
      <c r="I184" s="74"/>
      <c r="J184" s="74"/>
      <c r="K184" s="74"/>
      <c r="L184" s="74"/>
      <c r="M184" s="74"/>
      <c r="N184" s="74"/>
      <c r="O184" s="74"/>
      <c r="P184" s="74"/>
      <c r="Q184" s="74"/>
      <c r="R184" s="74"/>
      <c r="S184" s="74"/>
      <c r="T184" s="74"/>
      <c r="U184" s="74"/>
      <c r="V184" s="74"/>
      <c r="W184" s="74"/>
      <c r="X184" s="74"/>
      <c r="Y184" s="74"/>
      <c r="Z184" s="74"/>
      <c r="AA184" s="74"/>
      <c r="AB184" s="74"/>
      <c r="AC184" s="74"/>
      <c r="AD184" s="74"/>
      <c r="AE184" s="74"/>
      <c r="AF184" s="74"/>
      <c r="AG184" s="74"/>
      <c r="AH184" s="74"/>
    </row>
    <row r="185" customFormat="false" ht="15" hidden="false" customHeight="false" outlineLevel="0" collapsed="false">
      <c r="A185" s="74"/>
      <c r="B185" s="74"/>
      <c r="C185" s="74"/>
      <c r="D185" s="74"/>
      <c r="E185" s="74"/>
      <c r="F185" s="74"/>
      <c r="G185" s="74"/>
      <c r="H185" s="74"/>
      <c r="I185" s="74"/>
      <c r="J185" s="74"/>
      <c r="K185" s="74"/>
      <c r="L185" s="74"/>
      <c r="M185" s="74"/>
      <c r="N185" s="74"/>
      <c r="O185" s="74"/>
      <c r="P185" s="74"/>
      <c r="Q185" s="74"/>
      <c r="R185" s="74"/>
      <c r="S185" s="74"/>
      <c r="T185" s="74"/>
      <c r="U185" s="74"/>
      <c r="V185" s="74"/>
      <c r="W185" s="74"/>
      <c r="X185" s="74"/>
      <c r="Y185" s="74"/>
      <c r="Z185" s="74"/>
      <c r="AA185" s="74"/>
      <c r="AB185" s="74"/>
      <c r="AC185" s="74"/>
      <c r="AD185" s="74"/>
      <c r="AE185" s="74"/>
      <c r="AF185" s="74"/>
      <c r="AG185" s="74"/>
      <c r="AH185" s="74"/>
    </row>
    <row r="186" customFormat="false" ht="15" hidden="false" customHeight="false" outlineLevel="0" collapsed="false">
      <c r="A186" s="74"/>
      <c r="B186" s="74"/>
      <c r="C186" s="74"/>
      <c r="D186" s="74"/>
      <c r="E186" s="74"/>
      <c r="F186" s="74"/>
      <c r="G186" s="74"/>
      <c r="H186" s="74"/>
      <c r="I186" s="74"/>
      <c r="J186" s="74"/>
      <c r="K186" s="74"/>
      <c r="L186" s="74"/>
      <c r="M186" s="74"/>
      <c r="N186" s="74"/>
      <c r="O186" s="74"/>
      <c r="P186" s="74"/>
      <c r="Q186" s="74"/>
      <c r="R186" s="74"/>
      <c r="S186" s="74"/>
      <c r="T186" s="74"/>
      <c r="U186" s="74"/>
      <c r="V186" s="74"/>
      <c r="W186" s="74"/>
      <c r="X186" s="74"/>
      <c r="Y186" s="74"/>
      <c r="Z186" s="74"/>
      <c r="AA186" s="74"/>
      <c r="AB186" s="74"/>
      <c r="AC186" s="74"/>
      <c r="AD186" s="74"/>
      <c r="AE186" s="74"/>
      <c r="AF186" s="74"/>
      <c r="AG186" s="74"/>
      <c r="AH186" s="74"/>
    </row>
    <row r="187" customFormat="false" ht="15" hidden="false" customHeight="false" outlineLevel="0" collapsed="false">
      <c r="A187" s="74"/>
      <c r="B187" s="74"/>
      <c r="C187" s="74"/>
      <c r="D187" s="74"/>
      <c r="E187" s="74"/>
      <c r="F187" s="74"/>
      <c r="G187" s="74"/>
      <c r="H187" s="74"/>
      <c r="I187" s="74"/>
      <c r="J187" s="74"/>
      <c r="K187" s="74"/>
      <c r="L187" s="74"/>
      <c r="M187" s="74"/>
      <c r="N187" s="74"/>
      <c r="O187" s="74"/>
      <c r="P187" s="74"/>
      <c r="Q187" s="74"/>
      <c r="R187" s="74"/>
      <c r="S187" s="74"/>
      <c r="T187" s="74"/>
      <c r="U187" s="74"/>
      <c r="V187" s="74"/>
      <c r="W187" s="74"/>
      <c r="X187" s="74"/>
      <c r="Y187" s="74"/>
      <c r="Z187" s="74"/>
      <c r="AA187" s="74"/>
      <c r="AB187" s="74"/>
      <c r="AC187" s="74"/>
      <c r="AD187" s="74"/>
      <c r="AE187" s="74"/>
      <c r="AF187" s="74"/>
      <c r="AG187" s="74"/>
      <c r="AH187" s="74"/>
    </row>
    <row r="188" customFormat="false" ht="15" hidden="false" customHeight="false" outlineLevel="0" collapsed="false">
      <c r="A188" s="74"/>
      <c r="B188" s="74"/>
      <c r="C188" s="74"/>
      <c r="D188" s="74"/>
      <c r="E188" s="74"/>
      <c r="F188" s="74"/>
      <c r="G188" s="74"/>
      <c r="H188" s="74"/>
      <c r="I188" s="74"/>
      <c r="J188" s="74"/>
      <c r="K188" s="74"/>
      <c r="L188" s="74"/>
      <c r="M188" s="74"/>
      <c r="N188" s="74"/>
      <c r="O188" s="74"/>
      <c r="P188" s="74"/>
      <c r="Q188" s="74"/>
      <c r="R188" s="74"/>
      <c r="S188" s="74"/>
      <c r="T188" s="74"/>
      <c r="U188" s="74"/>
      <c r="V188" s="74"/>
      <c r="W188" s="74"/>
      <c r="X188" s="74"/>
      <c r="Y188" s="74"/>
      <c r="Z188" s="74"/>
      <c r="AA188" s="74"/>
      <c r="AB188" s="74"/>
      <c r="AC188" s="74"/>
      <c r="AD188" s="74"/>
      <c r="AE188" s="74"/>
      <c r="AF188" s="74"/>
      <c r="AG188" s="74"/>
      <c r="AH188" s="74"/>
    </row>
    <row r="189" customFormat="false" ht="15" hidden="false" customHeight="false" outlineLevel="0" collapsed="false">
      <c r="A189" s="74"/>
      <c r="B189" s="74"/>
      <c r="C189" s="74"/>
      <c r="D189" s="74"/>
      <c r="E189" s="74"/>
      <c r="F189" s="74"/>
      <c r="G189" s="74"/>
      <c r="H189" s="74"/>
      <c r="I189" s="74"/>
      <c r="J189" s="74"/>
      <c r="K189" s="74"/>
      <c r="L189" s="74"/>
      <c r="M189" s="74"/>
      <c r="N189" s="74"/>
      <c r="O189" s="74"/>
      <c r="P189" s="74"/>
      <c r="Q189" s="74"/>
      <c r="R189" s="74"/>
      <c r="S189" s="74"/>
      <c r="T189" s="74"/>
      <c r="U189" s="74"/>
      <c r="V189" s="74"/>
      <c r="W189" s="74"/>
      <c r="X189" s="74"/>
      <c r="Y189" s="74"/>
      <c r="Z189" s="74"/>
      <c r="AA189" s="74"/>
      <c r="AB189" s="74"/>
      <c r="AC189" s="74"/>
      <c r="AD189" s="74"/>
      <c r="AE189" s="74"/>
      <c r="AF189" s="74"/>
      <c r="AG189" s="74"/>
      <c r="AH189" s="74"/>
    </row>
    <row r="190" customFormat="false" ht="15" hidden="false" customHeight="false" outlineLevel="0" collapsed="false">
      <c r="A190" s="74"/>
      <c r="B190" s="74"/>
      <c r="C190" s="74"/>
      <c r="D190" s="74"/>
      <c r="E190" s="74"/>
      <c r="F190" s="74"/>
      <c r="G190" s="74"/>
      <c r="H190" s="74"/>
      <c r="I190" s="74"/>
      <c r="J190" s="74"/>
      <c r="K190" s="74"/>
      <c r="L190" s="74"/>
      <c r="M190" s="74"/>
      <c r="N190" s="74"/>
      <c r="O190" s="74"/>
      <c r="P190" s="74"/>
      <c r="Q190" s="74"/>
      <c r="R190" s="74"/>
      <c r="S190" s="74"/>
      <c r="T190" s="74"/>
      <c r="U190" s="74"/>
      <c r="V190" s="74"/>
      <c r="W190" s="74"/>
      <c r="X190" s="74"/>
      <c r="Y190" s="74"/>
      <c r="Z190" s="74"/>
      <c r="AA190" s="74"/>
      <c r="AB190" s="74"/>
      <c r="AC190" s="74"/>
      <c r="AD190" s="74"/>
      <c r="AE190" s="74"/>
      <c r="AF190" s="74"/>
      <c r="AG190" s="74"/>
      <c r="AH190" s="74"/>
    </row>
    <row r="191" customFormat="false" ht="15" hidden="false" customHeight="false" outlineLevel="0" collapsed="false">
      <c r="A191" s="74"/>
      <c r="B191" s="74"/>
      <c r="C191" s="74"/>
      <c r="D191" s="74"/>
      <c r="E191" s="74"/>
      <c r="F191" s="74"/>
      <c r="G191" s="74"/>
      <c r="H191" s="74"/>
      <c r="I191" s="74"/>
      <c r="J191" s="74"/>
      <c r="K191" s="74"/>
      <c r="L191" s="74"/>
      <c r="M191" s="74"/>
      <c r="N191" s="74"/>
      <c r="O191" s="74"/>
      <c r="P191" s="74"/>
      <c r="Q191" s="74"/>
      <c r="R191" s="74"/>
      <c r="S191" s="74"/>
      <c r="T191" s="74"/>
      <c r="U191" s="74"/>
      <c r="V191" s="74"/>
      <c r="W191" s="74"/>
      <c r="X191" s="74"/>
      <c r="Y191" s="74"/>
      <c r="Z191" s="74"/>
      <c r="AA191" s="74"/>
      <c r="AB191" s="74"/>
      <c r="AC191" s="74"/>
      <c r="AD191" s="74"/>
      <c r="AE191" s="74"/>
      <c r="AF191" s="74"/>
      <c r="AG191" s="74"/>
      <c r="AH191" s="74"/>
    </row>
    <row r="192" customFormat="false" ht="15" hidden="false" customHeight="false" outlineLevel="0" collapsed="false">
      <c r="A192" s="74"/>
      <c r="B192" s="74"/>
      <c r="C192" s="74"/>
      <c r="D192" s="74"/>
      <c r="E192" s="74"/>
      <c r="F192" s="74"/>
      <c r="G192" s="74"/>
      <c r="H192" s="74"/>
      <c r="I192" s="74"/>
      <c r="J192" s="74"/>
      <c r="K192" s="74"/>
      <c r="L192" s="74"/>
      <c r="M192" s="74"/>
      <c r="N192" s="74"/>
      <c r="O192" s="74"/>
      <c r="P192" s="74"/>
      <c r="Q192" s="74"/>
      <c r="R192" s="74"/>
      <c r="S192" s="74"/>
      <c r="T192" s="74"/>
      <c r="U192" s="74"/>
      <c r="V192" s="74"/>
      <c r="W192" s="74"/>
      <c r="X192" s="74"/>
      <c r="Y192" s="74"/>
      <c r="Z192" s="74"/>
      <c r="AA192" s="74"/>
      <c r="AB192" s="74"/>
      <c r="AC192" s="74"/>
      <c r="AD192" s="74"/>
      <c r="AE192" s="74"/>
      <c r="AF192" s="74"/>
      <c r="AG192" s="74"/>
      <c r="AH192" s="74"/>
    </row>
    <row r="193" customFormat="false" ht="15" hidden="false" customHeight="false" outlineLevel="0" collapsed="false">
      <c r="A193" s="74"/>
      <c r="B193" s="74"/>
      <c r="C193" s="74"/>
      <c r="D193" s="74"/>
      <c r="E193" s="74"/>
      <c r="F193" s="74"/>
      <c r="G193" s="74"/>
      <c r="H193" s="74"/>
      <c r="I193" s="74"/>
      <c r="J193" s="74"/>
      <c r="K193" s="74"/>
      <c r="L193" s="74"/>
      <c r="M193" s="74"/>
      <c r="N193" s="74"/>
      <c r="O193" s="74"/>
      <c r="P193" s="74"/>
      <c r="Q193" s="74"/>
      <c r="R193" s="74"/>
      <c r="S193" s="74"/>
      <c r="T193" s="74"/>
      <c r="U193" s="74"/>
      <c r="V193" s="74"/>
      <c r="W193" s="74"/>
      <c r="X193" s="74"/>
      <c r="Y193" s="74"/>
      <c r="Z193" s="74"/>
      <c r="AA193" s="74"/>
      <c r="AB193" s="74"/>
      <c r="AC193" s="74"/>
      <c r="AD193" s="74"/>
      <c r="AE193" s="74"/>
      <c r="AF193" s="74"/>
      <c r="AG193" s="74"/>
      <c r="AH193" s="74"/>
    </row>
    <row r="194" customFormat="false" ht="15" hidden="false" customHeight="false" outlineLevel="0" collapsed="false">
      <c r="A194" s="74"/>
      <c r="B194" s="74"/>
      <c r="C194" s="74"/>
      <c r="D194" s="74"/>
      <c r="E194" s="74"/>
      <c r="F194" s="74"/>
      <c r="G194" s="74"/>
      <c r="H194" s="74"/>
      <c r="I194" s="74"/>
      <c r="J194" s="74"/>
      <c r="K194" s="74"/>
      <c r="L194" s="74"/>
      <c r="M194" s="74"/>
      <c r="N194" s="74"/>
      <c r="O194" s="74"/>
      <c r="P194" s="74"/>
      <c r="Q194" s="74"/>
      <c r="R194" s="74"/>
      <c r="S194" s="74"/>
      <c r="T194" s="74"/>
      <c r="U194" s="74"/>
      <c r="V194" s="74"/>
      <c r="W194" s="74"/>
      <c r="X194" s="74"/>
      <c r="Y194" s="74"/>
      <c r="Z194" s="74"/>
      <c r="AA194" s="74"/>
      <c r="AB194" s="74"/>
      <c r="AC194" s="74"/>
      <c r="AD194" s="74"/>
      <c r="AE194" s="74"/>
      <c r="AF194" s="74"/>
      <c r="AG194" s="74"/>
      <c r="AH194" s="74"/>
    </row>
    <row r="195" customFormat="false" ht="15" hidden="false" customHeight="false" outlineLevel="0" collapsed="false">
      <c r="A195" s="74"/>
      <c r="B195" s="74"/>
      <c r="C195" s="74"/>
      <c r="D195" s="74"/>
      <c r="E195" s="74"/>
      <c r="F195" s="74"/>
      <c r="G195" s="74"/>
      <c r="H195" s="74"/>
      <c r="I195" s="74"/>
      <c r="J195" s="74"/>
      <c r="K195" s="74"/>
      <c r="L195" s="74"/>
      <c r="M195" s="74"/>
      <c r="N195" s="74"/>
      <c r="O195" s="74"/>
      <c r="P195" s="74"/>
      <c r="Q195" s="74"/>
      <c r="R195" s="74"/>
      <c r="S195" s="74"/>
      <c r="T195" s="74"/>
      <c r="U195" s="74"/>
      <c r="V195" s="74"/>
      <c r="W195" s="74"/>
      <c r="X195" s="74"/>
      <c r="Y195" s="74"/>
      <c r="Z195" s="74"/>
      <c r="AA195" s="74"/>
      <c r="AB195" s="74"/>
      <c r="AC195" s="74"/>
      <c r="AD195" s="74"/>
      <c r="AE195" s="74"/>
      <c r="AF195" s="74"/>
      <c r="AG195" s="74"/>
      <c r="AH195" s="74"/>
    </row>
    <row r="196" customFormat="false" ht="15" hidden="false" customHeight="false" outlineLevel="0" collapsed="false">
      <c r="A196" s="74"/>
      <c r="B196" s="74"/>
      <c r="C196" s="74"/>
      <c r="D196" s="74"/>
      <c r="E196" s="74"/>
      <c r="F196" s="74"/>
      <c r="G196" s="74"/>
      <c r="H196" s="74"/>
      <c r="I196" s="74"/>
      <c r="J196" s="74"/>
      <c r="K196" s="74"/>
      <c r="L196" s="74"/>
      <c r="M196" s="74"/>
      <c r="N196" s="74"/>
      <c r="O196" s="74"/>
      <c r="P196" s="74"/>
      <c r="Q196" s="74"/>
      <c r="R196" s="74"/>
      <c r="S196" s="74"/>
      <c r="T196" s="74"/>
      <c r="U196" s="74"/>
      <c r="V196" s="74"/>
      <c r="W196" s="74"/>
      <c r="X196" s="74"/>
      <c r="Y196" s="74"/>
      <c r="Z196" s="74"/>
      <c r="AA196" s="74"/>
      <c r="AB196" s="74"/>
      <c r="AC196" s="74"/>
      <c r="AD196" s="74"/>
      <c r="AE196" s="74"/>
      <c r="AF196" s="74"/>
      <c r="AG196" s="74"/>
      <c r="AH196" s="74"/>
    </row>
    <row r="197" customFormat="false" ht="15" hidden="false" customHeight="false" outlineLevel="0" collapsed="false">
      <c r="A197" s="74"/>
      <c r="B197" s="74"/>
      <c r="C197" s="74"/>
      <c r="D197" s="74"/>
      <c r="E197" s="74"/>
      <c r="F197" s="74"/>
      <c r="G197" s="74"/>
      <c r="H197" s="74"/>
      <c r="I197" s="74"/>
      <c r="J197" s="74"/>
      <c r="K197" s="74"/>
      <c r="L197" s="74"/>
      <c r="M197" s="74"/>
      <c r="N197" s="74"/>
      <c r="O197" s="74"/>
      <c r="P197" s="74"/>
      <c r="Q197" s="74"/>
      <c r="R197" s="74"/>
      <c r="S197" s="74"/>
      <c r="T197" s="74"/>
      <c r="U197" s="74"/>
      <c r="V197" s="74"/>
      <c r="W197" s="74"/>
      <c r="X197" s="74"/>
      <c r="Y197" s="74"/>
      <c r="Z197" s="74"/>
      <c r="AA197" s="74"/>
      <c r="AB197" s="74"/>
      <c r="AC197" s="74"/>
      <c r="AD197" s="74"/>
      <c r="AE197" s="74"/>
      <c r="AF197" s="74"/>
      <c r="AG197" s="74"/>
      <c r="AH197" s="74"/>
    </row>
    <row r="198" customFormat="false" ht="15" hidden="false" customHeight="false" outlineLevel="0" collapsed="false">
      <c r="A198" s="74"/>
      <c r="B198" s="74"/>
      <c r="C198" s="74"/>
      <c r="D198" s="74"/>
      <c r="E198" s="74"/>
      <c r="F198" s="74"/>
      <c r="G198" s="74"/>
      <c r="H198" s="74"/>
      <c r="I198" s="74"/>
      <c r="J198" s="74"/>
      <c r="K198" s="74"/>
      <c r="L198" s="74"/>
      <c r="M198" s="74"/>
      <c r="N198" s="74"/>
      <c r="O198" s="74"/>
      <c r="P198" s="74"/>
      <c r="Q198" s="74"/>
      <c r="R198" s="74"/>
      <c r="S198" s="74"/>
      <c r="T198" s="74"/>
      <c r="U198" s="74"/>
      <c r="V198" s="74"/>
      <c r="W198" s="74"/>
      <c r="X198" s="74"/>
      <c r="Y198" s="74"/>
      <c r="Z198" s="74"/>
      <c r="AA198" s="74"/>
      <c r="AB198" s="74"/>
      <c r="AC198" s="74"/>
      <c r="AD198" s="74"/>
      <c r="AE198" s="74"/>
      <c r="AF198" s="74"/>
      <c r="AG198" s="74"/>
      <c r="AH198" s="74"/>
    </row>
    <row r="199" customFormat="false" ht="15" hidden="false" customHeight="false" outlineLevel="0" collapsed="false">
      <c r="A199" s="74"/>
      <c r="B199" s="74"/>
      <c r="C199" s="74"/>
      <c r="D199" s="74"/>
      <c r="E199" s="74"/>
      <c r="F199" s="74"/>
      <c r="G199" s="74"/>
      <c r="H199" s="74"/>
      <c r="I199" s="74"/>
      <c r="J199" s="74"/>
      <c r="K199" s="74"/>
      <c r="L199" s="74"/>
      <c r="M199" s="74"/>
      <c r="N199" s="74"/>
      <c r="O199" s="74"/>
      <c r="P199" s="74"/>
      <c r="Q199" s="74"/>
      <c r="R199" s="74"/>
      <c r="S199" s="74"/>
      <c r="T199" s="74"/>
      <c r="U199" s="74"/>
      <c r="V199" s="74"/>
      <c r="W199" s="74"/>
      <c r="X199" s="74"/>
      <c r="Y199" s="74"/>
      <c r="Z199" s="74"/>
      <c r="AA199" s="74"/>
      <c r="AB199" s="74"/>
      <c r="AC199" s="74"/>
      <c r="AD199" s="74"/>
      <c r="AE199" s="74"/>
      <c r="AF199" s="74"/>
      <c r="AG199" s="74"/>
      <c r="AH199" s="74"/>
    </row>
    <row r="200" customFormat="false" ht="15" hidden="false" customHeight="false" outlineLevel="0" collapsed="false">
      <c r="A200" s="74"/>
      <c r="B200" s="74"/>
      <c r="C200" s="74"/>
      <c r="D200" s="74"/>
      <c r="E200" s="74"/>
      <c r="F200" s="74"/>
      <c r="G200" s="74"/>
      <c r="H200" s="74"/>
      <c r="I200" s="74"/>
      <c r="J200" s="74"/>
      <c r="K200" s="74"/>
      <c r="L200" s="74"/>
      <c r="M200" s="74"/>
      <c r="N200" s="74"/>
      <c r="O200" s="74"/>
      <c r="P200" s="74"/>
      <c r="Q200" s="74"/>
      <c r="R200" s="74"/>
      <c r="S200" s="74"/>
      <c r="T200" s="74"/>
      <c r="U200" s="74"/>
      <c r="V200" s="74"/>
      <c r="W200" s="74"/>
      <c r="X200" s="74"/>
      <c r="Y200" s="74"/>
      <c r="Z200" s="74"/>
      <c r="AA200" s="74"/>
      <c r="AB200" s="74"/>
      <c r="AC200" s="74"/>
      <c r="AD200" s="74"/>
      <c r="AE200" s="74"/>
      <c r="AF200" s="74"/>
      <c r="AG200" s="74"/>
      <c r="AH200" s="74"/>
    </row>
    <row r="201" customFormat="false" ht="15" hidden="false" customHeight="false" outlineLevel="0" collapsed="false">
      <c r="A201" s="74"/>
      <c r="B201" s="74"/>
      <c r="C201" s="74"/>
      <c r="D201" s="74"/>
      <c r="E201" s="74"/>
      <c r="F201" s="74"/>
      <c r="G201" s="74"/>
      <c r="H201" s="74"/>
      <c r="I201" s="74"/>
      <c r="J201" s="74"/>
      <c r="K201" s="74"/>
      <c r="L201" s="74"/>
      <c r="M201" s="74"/>
      <c r="N201" s="74"/>
      <c r="O201" s="74"/>
      <c r="P201" s="74"/>
      <c r="Q201" s="74"/>
      <c r="R201" s="74"/>
      <c r="S201" s="74"/>
      <c r="T201" s="74"/>
      <c r="U201" s="74"/>
      <c r="V201" s="74"/>
      <c r="W201" s="74"/>
      <c r="X201" s="74"/>
      <c r="Y201" s="74"/>
      <c r="Z201" s="74"/>
      <c r="AA201" s="74"/>
      <c r="AB201" s="74"/>
      <c r="AC201" s="74"/>
      <c r="AD201" s="74"/>
      <c r="AE201" s="74"/>
      <c r="AF201" s="74"/>
      <c r="AG201" s="74"/>
      <c r="AH201" s="74"/>
    </row>
    <row r="202" customFormat="false" ht="15" hidden="false" customHeight="false" outlineLevel="0" collapsed="false">
      <c r="A202" s="74"/>
      <c r="B202" s="74"/>
      <c r="C202" s="74"/>
      <c r="D202" s="74"/>
      <c r="E202" s="74"/>
      <c r="F202" s="74"/>
      <c r="G202" s="74"/>
      <c r="H202" s="74"/>
      <c r="I202" s="74"/>
      <c r="J202" s="74"/>
      <c r="K202" s="74"/>
      <c r="L202" s="74"/>
      <c r="M202" s="74"/>
      <c r="N202" s="74"/>
      <c r="O202" s="74"/>
      <c r="P202" s="74"/>
      <c r="Q202" s="74"/>
      <c r="R202" s="74"/>
      <c r="S202" s="74"/>
      <c r="T202" s="74"/>
      <c r="U202" s="74"/>
      <c r="V202" s="74"/>
      <c r="W202" s="74"/>
      <c r="X202" s="74"/>
      <c r="Y202" s="74"/>
      <c r="Z202" s="74"/>
      <c r="AA202" s="74"/>
      <c r="AB202" s="74"/>
      <c r="AC202" s="74"/>
      <c r="AD202" s="74"/>
      <c r="AE202" s="74"/>
      <c r="AF202" s="74"/>
      <c r="AG202" s="74"/>
      <c r="AH202" s="74"/>
    </row>
    <row r="203" customFormat="false" ht="15" hidden="false" customHeight="false" outlineLevel="0" collapsed="false">
      <c r="A203" s="74"/>
      <c r="B203" s="74"/>
      <c r="C203" s="74"/>
      <c r="D203" s="74"/>
      <c r="E203" s="74"/>
      <c r="F203" s="74"/>
      <c r="G203" s="74"/>
      <c r="H203" s="74"/>
      <c r="I203" s="74"/>
      <c r="J203" s="74"/>
      <c r="K203" s="74"/>
      <c r="L203" s="74"/>
      <c r="M203" s="74"/>
      <c r="N203" s="74"/>
      <c r="O203" s="74"/>
      <c r="P203" s="74"/>
      <c r="Q203" s="74"/>
      <c r="R203" s="74"/>
      <c r="S203" s="74"/>
      <c r="T203" s="74"/>
      <c r="U203" s="74"/>
      <c r="V203" s="74"/>
      <c r="W203" s="74"/>
      <c r="X203" s="74"/>
      <c r="Y203" s="74"/>
      <c r="Z203" s="74"/>
      <c r="AA203" s="74"/>
      <c r="AB203" s="74"/>
      <c r="AC203" s="74"/>
      <c r="AD203" s="74"/>
      <c r="AE203" s="74"/>
      <c r="AF203" s="74"/>
      <c r="AG203" s="74"/>
      <c r="AH203" s="74"/>
    </row>
    <row r="204" customFormat="false" ht="15" hidden="false" customHeight="false" outlineLevel="0" collapsed="false">
      <c r="A204" s="74"/>
      <c r="B204" s="74"/>
      <c r="C204" s="74"/>
      <c r="D204" s="74"/>
      <c r="E204" s="74"/>
      <c r="F204" s="74"/>
      <c r="G204" s="74"/>
      <c r="H204" s="74"/>
      <c r="I204" s="74"/>
      <c r="J204" s="74"/>
      <c r="K204" s="74"/>
      <c r="L204" s="74"/>
      <c r="M204" s="74"/>
      <c r="N204" s="74"/>
      <c r="O204" s="74"/>
      <c r="P204" s="74"/>
      <c r="Q204" s="74"/>
      <c r="R204" s="74"/>
      <c r="S204" s="74"/>
      <c r="T204" s="74"/>
      <c r="U204" s="74"/>
      <c r="V204" s="74"/>
      <c r="W204" s="74"/>
      <c r="X204" s="74"/>
      <c r="Y204" s="74"/>
      <c r="Z204" s="74"/>
      <c r="AA204" s="74"/>
      <c r="AB204" s="74"/>
      <c r="AC204" s="74"/>
      <c r="AD204" s="74"/>
      <c r="AE204" s="74"/>
      <c r="AF204" s="74"/>
      <c r="AG204" s="74"/>
      <c r="AH204" s="74"/>
    </row>
    <row r="205" customFormat="false" ht="15" hidden="false" customHeight="false" outlineLevel="0" collapsed="false">
      <c r="A205" s="74"/>
      <c r="B205" s="74"/>
      <c r="C205" s="74"/>
      <c r="D205" s="74"/>
      <c r="E205" s="74"/>
      <c r="F205" s="74"/>
      <c r="G205" s="74"/>
      <c r="H205" s="74"/>
      <c r="I205" s="74"/>
      <c r="J205" s="74"/>
      <c r="K205" s="74"/>
      <c r="L205" s="74"/>
      <c r="M205" s="74"/>
      <c r="N205" s="74"/>
      <c r="O205" s="74"/>
      <c r="P205" s="74"/>
      <c r="Q205" s="74"/>
      <c r="R205" s="74"/>
      <c r="S205" s="74"/>
      <c r="T205" s="74"/>
      <c r="U205" s="74"/>
      <c r="V205" s="74"/>
      <c r="W205" s="74"/>
      <c r="X205" s="74"/>
      <c r="Y205" s="74"/>
      <c r="Z205" s="74"/>
      <c r="AA205" s="74"/>
      <c r="AB205" s="74"/>
      <c r="AC205" s="74"/>
      <c r="AD205" s="74"/>
      <c r="AE205" s="74"/>
      <c r="AF205" s="74"/>
      <c r="AG205" s="74"/>
      <c r="AH205" s="74"/>
    </row>
    <row r="206" customFormat="false" ht="15" hidden="false" customHeight="false" outlineLevel="0" collapsed="false">
      <c r="A206" s="74"/>
      <c r="B206" s="74"/>
      <c r="C206" s="74"/>
      <c r="D206" s="74"/>
      <c r="E206" s="74"/>
      <c r="F206" s="74"/>
      <c r="G206" s="74"/>
      <c r="H206" s="74"/>
      <c r="I206" s="74"/>
      <c r="J206" s="74"/>
      <c r="K206" s="74"/>
      <c r="L206" s="74"/>
      <c r="M206" s="74"/>
      <c r="N206" s="74"/>
      <c r="O206" s="74"/>
      <c r="P206" s="74"/>
      <c r="Q206" s="74"/>
      <c r="R206" s="74"/>
      <c r="S206" s="74"/>
      <c r="T206" s="74"/>
      <c r="U206" s="74"/>
      <c r="V206" s="74"/>
      <c r="W206" s="74"/>
      <c r="X206" s="74"/>
      <c r="Y206" s="74"/>
      <c r="Z206" s="74"/>
      <c r="AA206" s="74"/>
      <c r="AB206" s="74"/>
      <c r="AC206" s="74"/>
      <c r="AD206" s="74"/>
      <c r="AE206" s="74"/>
      <c r="AF206" s="74"/>
      <c r="AG206" s="74"/>
      <c r="AH206" s="74"/>
    </row>
    <row r="207" customFormat="false" ht="15" hidden="false" customHeight="false" outlineLevel="0" collapsed="false">
      <c r="A207" s="74"/>
      <c r="B207" s="74"/>
      <c r="C207" s="74"/>
      <c r="D207" s="74"/>
      <c r="E207" s="74"/>
      <c r="F207" s="74"/>
      <c r="G207" s="74"/>
      <c r="H207" s="74"/>
      <c r="I207" s="74"/>
      <c r="J207" s="74"/>
      <c r="K207" s="74"/>
      <c r="L207" s="74"/>
      <c r="M207" s="74"/>
      <c r="N207" s="74"/>
      <c r="O207" s="74"/>
      <c r="P207" s="74"/>
      <c r="Q207" s="74"/>
      <c r="R207" s="74"/>
      <c r="S207" s="74"/>
      <c r="T207" s="74"/>
      <c r="U207" s="74"/>
      <c r="V207" s="74"/>
      <c r="W207" s="74"/>
      <c r="X207" s="74"/>
      <c r="Y207" s="74"/>
      <c r="Z207" s="74"/>
      <c r="AA207" s="74"/>
      <c r="AB207" s="74"/>
      <c r="AC207" s="74"/>
      <c r="AD207" s="74"/>
      <c r="AE207" s="74"/>
      <c r="AF207" s="74"/>
      <c r="AG207" s="74"/>
      <c r="AH207" s="74"/>
    </row>
    <row r="208" customFormat="false" ht="15" hidden="false" customHeight="false" outlineLevel="0" collapsed="false">
      <c r="A208" s="74"/>
      <c r="B208" s="74"/>
      <c r="C208" s="74"/>
      <c r="D208" s="74"/>
      <c r="E208" s="74"/>
      <c r="F208" s="74"/>
      <c r="G208" s="74"/>
      <c r="H208" s="74"/>
      <c r="I208" s="74"/>
      <c r="J208" s="74"/>
      <c r="K208" s="74"/>
      <c r="L208" s="74"/>
      <c r="M208" s="74"/>
      <c r="N208" s="74"/>
      <c r="O208" s="74"/>
      <c r="P208" s="74"/>
      <c r="Q208" s="74"/>
      <c r="R208" s="74"/>
      <c r="S208" s="74"/>
      <c r="T208" s="74"/>
      <c r="U208" s="74"/>
      <c r="V208" s="74"/>
      <c r="W208" s="74"/>
      <c r="X208" s="74"/>
      <c r="Y208" s="74"/>
      <c r="Z208" s="74"/>
      <c r="AA208" s="74"/>
      <c r="AB208" s="74"/>
      <c r="AC208" s="74"/>
      <c r="AD208" s="74"/>
      <c r="AE208" s="74"/>
      <c r="AF208" s="74"/>
      <c r="AG208" s="74"/>
      <c r="AH208" s="74"/>
    </row>
    <row r="209" customFormat="false" ht="15" hidden="false" customHeight="false" outlineLevel="0" collapsed="false">
      <c r="A209" s="74"/>
      <c r="B209" s="74"/>
      <c r="C209" s="74"/>
      <c r="D209" s="74"/>
      <c r="E209" s="74"/>
      <c r="F209" s="74"/>
      <c r="G209" s="74"/>
      <c r="H209" s="74"/>
      <c r="I209" s="74"/>
      <c r="J209" s="74"/>
      <c r="K209" s="74"/>
      <c r="L209" s="74"/>
      <c r="M209" s="74"/>
      <c r="N209" s="74"/>
      <c r="O209" s="74"/>
      <c r="P209" s="74"/>
      <c r="Q209" s="74"/>
      <c r="R209" s="74"/>
      <c r="S209" s="74"/>
      <c r="T209" s="74"/>
      <c r="U209" s="74"/>
      <c r="V209" s="74"/>
      <c r="W209" s="74"/>
      <c r="X209" s="74"/>
      <c r="Y209" s="74"/>
      <c r="Z209" s="74"/>
      <c r="AA209" s="74"/>
      <c r="AB209" s="74"/>
      <c r="AC209" s="74"/>
      <c r="AD209" s="74"/>
      <c r="AE209" s="74"/>
      <c r="AF209" s="74"/>
      <c r="AG209" s="74"/>
      <c r="AH209" s="74"/>
    </row>
    <row r="210" customFormat="false" ht="15" hidden="false" customHeight="false" outlineLevel="0" collapsed="false">
      <c r="A210" s="74"/>
      <c r="B210" s="74"/>
      <c r="C210" s="74"/>
      <c r="D210" s="74"/>
      <c r="E210" s="74"/>
      <c r="F210" s="74"/>
      <c r="G210" s="74"/>
      <c r="H210" s="74"/>
      <c r="I210" s="74"/>
      <c r="J210" s="74"/>
      <c r="K210" s="74"/>
      <c r="L210" s="74"/>
      <c r="M210" s="74"/>
      <c r="N210" s="74"/>
      <c r="O210" s="74"/>
      <c r="P210" s="74"/>
      <c r="Q210" s="74"/>
      <c r="R210" s="74"/>
      <c r="S210" s="74"/>
      <c r="T210" s="74"/>
      <c r="U210" s="74"/>
      <c r="V210" s="74"/>
      <c r="W210" s="74"/>
      <c r="X210" s="74"/>
      <c r="Y210" s="74"/>
      <c r="Z210" s="74"/>
      <c r="AA210" s="74"/>
      <c r="AB210" s="74"/>
      <c r="AC210" s="74"/>
      <c r="AD210" s="74"/>
      <c r="AE210" s="74"/>
      <c r="AF210" s="74"/>
      <c r="AG210" s="74"/>
      <c r="AH210" s="74"/>
    </row>
    <row r="211" customFormat="false" ht="15" hidden="false" customHeight="false" outlineLevel="0" collapsed="false">
      <c r="A211" s="74"/>
      <c r="B211" s="74"/>
      <c r="C211" s="74"/>
      <c r="D211" s="74"/>
      <c r="E211" s="74"/>
      <c r="F211" s="74"/>
      <c r="G211" s="74"/>
      <c r="H211" s="74"/>
      <c r="I211" s="74"/>
      <c r="J211" s="74"/>
      <c r="K211" s="74"/>
      <c r="L211" s="74"/>
      <c r="M211" s="74"/>
      <c r="N211" s="74"/>
      <c r="O211" s="74"/>
      <c r="P211" s="74"/>
      <c r="Q211" s="74"/>
      <c r="R211" s="74"/>
      <c r="S211" s="74"/>
      <c r="T211" s="74"/>
      <c r="U211" s="74"/>
      <c r="V211" s="74"/>
      <c r="W211" s="74"/>
      <c r="X211" s="74"/>
      <c r="Y211" s="74"/>
      <c r="Z211" s="74"/>
      <c r="AA211" s="74"/>
      <c r="AB211" s="74"/>
      <c r="AC211" s="74"/>
      <c r="AD211" s="74"/>
      <c r="AE211" s="74"/>
      <c r="AF211" s="74"/>
      <c r="AG211" s="74"/>
      <c r="AH211" s="74"/>
    </row>
    <row r="212" customFormat="false" ht="15" hidden="false" customHeight="false" outlineLevel="0" collapsed="false">
      <c r="A212" s="74"/>
      <c r="B212" s="74"/>
      <c r="C212" s="74"/>
      <c r="D212" s="74"/>
      <c r="E212" s="74"/>
      <c r="F212" s="74"/>
      <c r="G212" s="74"/>
      <c r="H212" s="74"/>
      <c r="I212" s="74"/>
      <c r="J212" s="74"/>
      <c r="K212" s="74"/>
      <c r="L212" s="74"/>
      <c r="M212" s="74"/>
      <c r="N212" s="74"/>
      <c r="O212" s="74"/>
      <c r="P212" s="74"/>
      <c r="Q212" s="74"/>
      <c r="R212" s="74"/>
      <c r="S212" s="74"/>
      <c r="T212" s="74"/>
      <c r="U212" s="74"/>
      <c r="V212" s="74"/>
      <c r="W212" s="74"/>
      <c r="X212" s="74"/>
      <c r="Y212" s="74"/>
      <c r="Z212" s="74"/>
      <c r="AA212" s="74"/>
      <c r="AB212" s="74"/>
      <c r="AC212" s="74"/>
      <c r="AD212" s="74"/>
      <c r="AE212" s="74"/>
      <c r="AF212" s="74"/>
      <c r="AG212" s="74"/>
      <c r="AH212" s="74"/>
    </row>
    <row r="213" customFormat="false" ht="15" hidden="false" customHeight="false" outlineLevel="0" collapsed="false">
      <c r="A213" s="74"/>
      <c r="B213" s="74"/>
      <c r="C213" s="74"/>
      <c r="D213" s="74"/>
      <c r="E213" s="74"/>
      <c r="F213" s="74"/>
      <c r="G213" s="74"/>
      <c r="H213" s="74"/>
      <c r="I213" s="74"/>
      <c r="J213" s="74"/>
      <c r="K213" s="74"/>
      <c r="L213" s="74"/>
      <c r="M213" s="74"/>
      <c r="N213" s="74"/>
      <c r="O213" s="74"/>
      <c r="P213" s="74"/>
      <c r="Q213" s="74"/>
      <c r="R213" s="74"/>
      <c r="S213" s="74"/>
      <c r="T213" s="74"/>
      <c r="U213" s="74"/>
      <c r="V213" s="74"/>
      <c r="W213" s="74"/>
      <c r="X213" s="74"/>
      <c r="Y213" s="74"/>
      <c r="Z213" s="74"/>
      <c r="AA213" s="74"/>
      <c r="AB213" s="74"/>
      <c r="AC213" s="74"/>
      <c r="AD213" s="74"/>
      <c r="AE213" s="74"/>
      <c r="AF213" s="74"/>
      <c r="AG213" s="74"/>
      <c r="AH213" s="74"/>
    </row>
    <row r="214" customFormat="false" ht="15" hidden="false" customHeight="false" outlineLevel="0" collapsed="false">
      <c r="A214" s="74"/>
      <c r="B214" s="74"/>
      <c r="C214" s="74"/>
      <c r="D214" s="74"/>
      <c r="E214" s="74"/>
      <c r="F214" s="74"/>
      <c r="G214" s="74"/>
      <c r="H214" s="74"/>
      <c r="I214" s="74"/>
      <c r="J214" s="74"/>
      <c r="K214" s="74"/>
      <c r="L214" s="74"/>
      <c r="M214" s="74"/>
      <c r="N214" s="74"/>
      <c r="O214" s="74"/>
      <c r="P214" s="74"/>
      <c r="Q214" s="74"/>
      <c r="R214" s="74"/>
      <c r="S214" s="74"/>
      <c r="T214" s="74"/>
      <c r="U214" s="74"/>
      <c r="V214" s="74"/>
      <c r="W214" s="74"/>
      <c r="X214" s="74"/>
      <c r="Y214" s="74"/>
      <c r="Z214" s="74"/>
      <c r="AA214" s="74"/>
      <c r="AB214" s="74"/>
      <c r="AC214" s="74"/>
      <c r="AD214" s="74"/>
      <c r="AE214" s="74"/>
      <c r="AF214" s="74"/>
      <c r="AG214" s="74"/>
      <c r="AH214" s="74"/>
    </row>
    <row r="215" customFormat="false" ht="15" hidden="false" customHeight="false" outlineLevel="0" collapsed="false">
      <c r="A215" s="74"/>
      <c r="B215" s="74"/>
      <c r="C215" s="74"/>
      <c r="D215" s="74"/>
      <c r="E215" s="74"/>
      <c r="F215" s="74"/>
      <c r="G215" s="74"/>
      <c r="H215" s="74"/>
      <c r="I215" s="74"/>
      <c r="J215" s="74"/>
      <c r="K215" s="74"/>
      <c r="L215" s="74"/>
      <c r="M215" s="74"/>
      <c r="N215" s="74"/>
      <c r="O215" s="74"/>
      <c r="P215" s="74"/>
      <c r="Q215" s="74"/>
      <c r="R215" s="74"/>
      <c r="S215" s="74"/>
      <c r="T215" s="74"/>
      <c r="U215" s="74"/>
      <c r="V215" s="74"/>
      <c r="W215" s="74"/>
      <c r="X215" s="74"/>
      <c r="Y215" s="74"/>
      <c r="Z215" s="74"/>
      <c r="AA215" s="74"/>
      <c r="AB215" s="74"/>
      <c r="AC215" s="74"/>
      <c r="AD215" s="74"/>
      <c r="AE215" s="74"/>
      <c r="AF215" s="74"/>
      <c r="AG215" s="74"/>
      <c r="AH215" s="74"/>
    </row>
    <row r="216" customFormat="false" ht="15" hidden="false" customHeight="false" outlineLevel="0" collapsed="false">
      <c r="A216" s="74"/>
      <c r="B216" s="74"/>
      <c r="C216" s="74"/>
      <c r="D216" s="74"/>
      <c r="E216" s="74"/>
      <c r="F216" s="74"/>
      <c r="G216" s="74"/>
      <c r="H216" s="74"/>
      <c r="I216" s="74"/>
      <c r="J216" s="74"/>
      <c r="K216" s="74"/>
      <c r="L216" s="74"/>
      <c r="M216" s="74"/>
      <c r="N216" s="74"/>
      <c r="O216" s="74"/>
      <c r="P216" s="74"/>
      <c r="Q216" s="74"/>
      <c r="R216" s="74"/>
      <c r="S216" s="74"/>
      <c r="T216" s="74"/>
      <c r="U216" s="74"/>
      <c r="V216" s="74"/>
      <c r="W216" s="74"/>
      <c r="X216" s="74"/>
      <c r="Y216" s="74"/>
      <c r="Z216" s="74"/>
      <c r="AA216" s="74"/>
      <c r="AB216" s="74"/>
      <c r="AC216" s="74"/>
      <c r="AD216" s="74"/>
      <c r="AE216" s="74"/>
      <c r="AF216" s="74"/>
      <c r="AG216" s="74"/>
      <c r="AH216" s="74"/>
    </row>
    <row r="217" customFormat="false" ht="15" hidden="false" customHeight="false" outlineLevel="0" collapsed="false">
      <c r="A217" s="74"/>
      <c r="B217" s="74"/>
      <c r="C217" s="74"/>
      <c r="D217" s="74"/>
      <c r="E217" s="74"/>
      <c r="F217" s="74"/>
      <c r="G217" s="74"/>
      <c r="H217" s="74"/>
      <c r="I217" s="74"/>
      <c r="J217" s="74"/>
      <c r="K217" s="74"/>
      <c r="L217" s="74"/>
      <c r="M217" s="74"/>
      <c r="N217" s="74"/>
      <c r="O217" s="74"/>
      <c r="P217" s="74"/>
      <c r="Q217" s="74"/>
      <c r="R217" s="74"/>
      <c r="S217" s="74"/>
      <c r="T217" s="74"/>
      <c r="U217" s="74"/>
      <c r="V217" s="74"/>
      <c r="W217" s="74"/>
      <c r="X217" s="74"/>
      <c r="Y217" s="74"/>
      <c r="Z217" s="74"/>
      <c r="AA217" s="74"/>
      <c r="AB217" s="74"/>
      <c r="AC217" s="74"/>
      <c r="AD217" s="74"/>
      <c r="AE217" s="74"/>
      <c r="AF217" s="74"/>
      <c r="AG217" s="74"/>
      <c r="AH217" s="74"/>
    </row>
    <row r="218" customFormat="false" ht="15" hidden="false" customHeight="false" outlineLevel="0" collapsed="false">
      <c r="A218" s="74"/>
      <c r="B218" s="74"/>
      <c r="C218" s="74"/>
      <c r="D218" s="74"/>
      <c r="E218" s="74"/>
      <c r="F218" s="74"/>
      <c r="G218" s="74"/>
      <c r="H218" s="74"/>
      <c r="I218" s="74"/>
      <c r="J218" s="74"/>
      <c r="K218" s="74"/>
      <c r="L218" s="74"/>
      <c r="M218" s="74"/>
      <c r="N218" s="74"/>
      <c r="O218" s="74"/>
      <c r="P218" s="74"/>
      <c r="Q218" s="74"/>
      <c r="R218" s="74"/>
      <c r="S218" s="74"/>
      <c r="T218" s="74"/>
      <c r="U218" s="74"/>
      <c r="V218" s="74"/>
      <c r="W218" s="74"/>
      <c r="X218" s="74"/>
      <c r="Y218" s="74"/>
      <c r="Z218" s="74"/>
      <c r="AA218" s="74"/>
      <c r="AB218" s="74"/>
      <c r="AC218" s="74"/>
      <c r="AD218" s="74"/>
      <c r="AE218" s="74"/>
      <c r="AF218" s="74"/>
      <c r="AG218" s="74"/>
      <c r="AH218" s="74"/>
    </row>
    <row r="219" customFormat="false" ht="15" hidden="false" customHeight="false" outlineLevel="0" collapsed="false">
      <c r="A219" s="74"/>
      <c r="B219" s="74"/>
      <c r="C219" s="74"/>
      <c r="D219" s="74"/>
      <c r="E219" s="74"/>
      <c r="F219" s="74"/>
      <c r="G219" s="74"/>
      <c r="H219" s="74"/>
      <c r="I219" s="74"/>
      <c r="J219" s="74"/>
      <c r="K219" s="74"/>
      <c r="L219" s="74"/>
      <c r="M219" s="74"/>
      <c r="N219" s="74"/>
      <c r="O219" s="74"/>
      <c r="P219" s="74"/>
      <c r="Q219" s="74"/>
      <c r="R219" s="74"/>
      <c r="S219" s="74"/>
      <c r="T219" s="74"/>
      <c r="U219" s="74"/>
      <c r="V219" s="74"/>
      <c r="W219" s="74"/>
      <c r="X219" s="74"/>
      <c r="Y219" s="74"/>
      <c r="Z219" s="74"/>
      <c r="AA219" s="74"/>
      <c r="AB219" s="74"/>
      <c r="AC219" s="74"/>
      <c r="AD219" s="74"/>
      <c r="AE219" s="74"/>
      <c r="AF219" s="74"/>
      <c r="AG219" s="74"/>
      <c r="AH219" s="74"/>
    </row>
    <row r="220" customFormat="false" ht="15" hidden="false" customHeight="false" outlineLevel="0" collapsed="false">
      <c r="A220" s="74"/>
      <c r="B220" s="74"/>
      <c r="C220" s="74"/>
      <c r="D220" s="74"/>
      <c r="E220" s="74"/>
      <c r="F220" s="74"/>
      <c r="G220" s="74"/>
      <c r="H220" s="74"/>
      <c r="I220" s="74"/>
      <c r="J220" s="74"/>
      <c r="K220" s="74"/>
      <c r="L220" s="74"/>
      <c r="M220" s="74"/>
      <c r="N220" s="74"/>
      <c r="O220" s="74"/>
      <c r="P220" s="74"/>
      <c r="Q220" s="74"/>
      <c r="R220" s="74"/>
      <c r="S220" s="74"/>
      <c r="T220" s="74"/>
      <c r="U220" s="74"/>
      <c r="V220" s="74"/>
      <c r="W220" s="74"/>
      <c r="X220" s="74"/>
      <c r="Y220" s="74"/>
      <c r="Z220" s="74"/>
      <c r="AA220" s="74"/>
      <c r="AB220" s="74"/>
      <c r="AC220" s="74"/>
      <c r="AD220" s="74"/>
      <c r="AE220" s="74"/>
      <c r="AF220" s="74"/>
      <c r="AG220" s="74"/>
      <c r="AH220" s="74"/>
    </row>
    <row r="221" customFormat="false" ht="15" hidden="false" customHeight="false" outlineLevel="0" collapsed="false">
      <c r="A221" s="74"/>
      <c r="B221" s="74"/>
      <c r="C221" s="74"/>
      <c r="D221" s="74"/>
      <c r="E221" s="74"/>
      <c r="F221" s="74"/>
      <c r="G221" s="74"/>
      <c r="H221" s="74"/>
      <c r="I221" s="74"/>
      <c r="J221" s="74"/>
      <c r="K221" s="74"/>
      <c r="L221" s="74"/>
      <c r="M221" s="74"/>
      <c r="N221" s="74"/>
      <c r="O221" s="74"/>
      <c r="P221" s="74"/>
      <c r="Q221" s="74"/>
      <c r="R221" s="74"/>
      <c r="S221" s="74"/>
      <c r="T221" s="74"/>
      <c r="U221" s="74"/>
      <c r="V221" s="74"/>
      <c r="W221" s="74"/>
      <c r="X221" s="74"/>
      <c r="Y221" s="74"/>
      <c r="Z221" s="74"/>
      <c r="AA221" s="74"/>
      <c r="AB221" s="74"/>
      <c r="AC221" s="74"/>
      <c r="AD221" s="74"/>
      <c r="AE221" s="74"/>
      <c r="AF221" s="74"/>
      <c r="AG221" s="74"/>
      <c r="AH221" s="74"/>
    </row>
    <row r="222" customFormat="false" ht="15" hidden="false" customHeight="false" outlineLevel="0" collapsed="false">
      <c r="A222" s="74"/>
      <c r="B222" s="74"/>
      <c r="C222" s="74"/>
      <c r="D222" s="74"/>
      <c r="E222" s="74"/>
      <c r="F222" s="74"/>
      <c r="G222" s="74"/>
      <c r="H222" s="74"/>
      <c r="I222" s="74"/>
      <c r="J222" s="74"/>
      <c r="K222" s="74"/>
      <c r="L222" s="74"/>
      <c r="M222" s="74"/>
      <c r="N222" s="74"/>
      <c r="O222" s="74"/>
      <c r="P222" s="74"/>
      <c r="Q222" s="74"/>
      <c r="R222" s="74"/>
      <c r="S222" s="74"/>
      <c r="T222" s="74"/>
      <c r="U222" s="74"/>
      <c r="V222" s="74"/>
      <c r="W222" s="74"/>
      <c r="X222" s="74"/>
      <c r="Y222" s="74"/>
      <c r="Z222" s="74"/>
      <c r="AA222" s="74"/>
      <c r="AB222" s="74"/>
      <c r="AC222" s="74"/>
      <c r="AD222" s="74"/>
      <c r="AE222" s="74"/>
      <c r="AF222" s="74"/>
      <c r="AG222" s="74"/>
      <c r="AH222" s="74"/>
    </row>
    <row r="223" customFormat="false" ht="15" hidden="false" customHeight="false" outlineLevel="0" collapsed="false">
      <c r="A223" s="74"/>
      <c r="B223" s="74"/>
      <c r="C223" s="74"/>
      <c r="D223" s="74"/>
      <c r="E223" s="74"/>
      <c r="F223" s="74"/>
      <c r="G223" s="74"/>
      <c r="H223" s="74"/>
      <c r="I223" s="74"/>
      <c r="J223" s="74"/>
      <c r="K223" s="74"/>
      <c r="L223" s="74"/>
      <c r="M223" s="74"/>
      <c r="N223" s="74"/>
      <c r="O223" s="74"/>
      <c r="P223" s="74"/>
      <c r="Q223" s="74"/>
      <c r="R223" s="74"/>
      <c r="S223" s="74"/>
      <c r="T223" s="74"/>
      <c r="U223" s="74"/>
      <c r="V223" s="74"/>
      <c r="W223" s="74"/>
      <c r="X223" s="74"/>
      <c r="Y223" s="74"/>
      <c r="Z223" s="74"/>
      <c r="AA223" s="74"/>
      <c r="AB223" s="74"/>
      <c r="AC223" s="74"/>
      <c r="AD223" s="74"/>
      <c r="AE223" s="74"/>
      <c r="AF223" s="74"/>
      <c r="AG223" s="74"/>
      <c r="AH223" s="74"/>
    </row>
    <row r="224" customFormat="false" ht="15" hidden="false" customHeight="false" outlineLevel="0" collapsed="false">
      <c r="A224" s="74"/>
      <c r="B224" s="74"/>
      <c r="C224" s="74"/>
      <c r="D224" s="74"/>
      <c r="E224" s="74"/>
      <c r="F224" s="74"/>
      <c r="G224" s="74"/>
      <c r="H224" s="74"/>
      <c r="I224" s="74"/>
      <c r="J224" s="74"/>
      <c r="K224" s="74"/>
      <c r="L224" s="74"/>
      <c r="M224" s="74"/>
      <c r="N224" s="74"/>
      <c r="O224" s="74"/>
      <c r="P224" s="74"/>
      <c r="Q224" s="74"/>
      <c r="R224" s="74"/>
      <c r="S224" s="74"/>
      <c r="T224" s="74"/>
      <c r="U224" s="74"/>
      <c r="V224" s="74"/>
      <c r="W224" s="74"/>
      <c r="X224" s="74"/>
      <c r="Y224" s="74"/>
      <c r="Z224" s="74"/>
      <c r="AA224" s="74"/>
      <c r="AB224" s="74"/>
      <c r="AC224" s="74"/>
      <c r="AD224" s="74"/>
      <c r="AE224" s="74"/>
      <c r="AF224" s="74"/>
      <c r="AG224" s="74"/>
      <c r="AH224" s="74"/>
    </row>
    <row r="225" customFormat="false" ht="15" hidden="false" customHeight="false" outlineLevel="0" collapsed="false">
      <c r="A225" s="74"/>
      <c r="B225" s="74"/>
      <c r="C225" s="74"/>
      <c r="D225" s="74"/>
      <c r="E225" s="74"/>
      <c r="F225" s="74"/>
      <c r="G225" s="74"/>
      <c r="H225" s="74"/>
      <c r="I225" s="74"/>
      <c r="J225" s="74"/>
      <c r="K225" s="74"/>
      <c r="L225" s="74"/>
      <c r="M225" s="74"/>
      <c r="N225" s="74"/>
      <c r="O225" s="74"/>
      <c r="P225" s="74"/>
      <c r="Q225" s="74"/>
      <c r="R225" s="74"/>
      <c r="S225" s="74"/>
      <c r="T225" s="74"/>
      <c r="U225" s="74"/>
      <c r="V225" s="74"/>
      <c r="W225" s="74"/>
      <c r="X225" s="74"/>
      <c r="Y225" s="74"/>
      <c r="Z225" s="74"/>
      <c r="AA225" s="74"/>
      <c r="AB225" s="74"/>
      <c r="AC225" s="74"/>
      <c r="AD225" s="74"/>
      <c r="AE225" s="74"/>
      <c r="AF225" s="74"/>
      <c r="AG225" s="74"/>
      <c r="AH225" s="74"/>
    </row>
    <row r="226" customFormat="false" ht="15" hidden="false" customHeight="false" outlineLevel="0" collapsed="false">
      <c r="A226" s="74"/>
      <c r="B226" s="74"/>
      <c r="C226" s="74"/>
      <c r="D226" s="74"/>
      <c r="E226" s="74"/>
      <c r="F226" s="74"/>
      <c r="G226" s="74"/>
      <c r="H226" s="74"/>
      <c r="I226" s="74"/>
      <c r="J226" s="74"/>
      <c r="K226" s="74"/>
      <c r="L226" s="74"/>
      <c r="M226" s="74"/>
      <c r="N226" s="74"/>
      <c r="O226" s="74"/>
      <c r="P226" s="74"/>
      <c r="Q226" s="74"/>
      <c r="R226" s="74"/>
      <c r="S226" s="74"/>
      <c r="T226" s="74"/>
      <c r="U226" s="74"/>
      <c r="V226" s="74"/>
      <c r="W226" s="74"/>
      <c r="X226" s="74"/>
      <c r="Y226" s="74"/>
      <c r="Z226" s="74"/>
      <c r="AA226" s="74"/>
      <c r="AB226" s="74"/>
      <c r="AC226" s="74"/>
      <c r="AD226" s="74"/>
      <c r="AE226" s="74"/>
      <c r="AF226" s="74"/>
      <c r="AG226" s="74"/>
      <c r="AH226" s="74"/>
    </row>
    <row r="227" customFormat="false" ht="15" hidden="false" customHeight="false" outlineLevel="0" collapsed="false">
      <c r="A227" s="74"/>
      <c r="B227" s="74"/>
      <c r="C227" s="74"/>
      <c r="D227" s="74"/>
      <c r="E227" s="74"/>
      <c r="F227" s="74"/>
      <c r="G227" s="74"/>
      <c r="H227" s="74"/>
      <c r="I227" s="74"/>
      <c r="J227" s="74"/>
      <c r="K227" s="74"/>
      <c r="L227" s="74"/>
      <c r="M227" s="74"/>
      <c r="N227" s="74"/>
      <c r="O227" s="74"/>
      <c r="P227" s="74"/>
      <c r="Q227" s="74"/>
      <c r="R227" s="74"/>
      <c r="S227" s="74"/>
      <c r="T227" s="74"/>
      <c r="U227" s="74"/>
      <c r="V227" s="74"/>
      <c r="W227" s="74"/>
      <c r="X227" s="74"/>
      <c r="Y227" s="74"/>
      <c r="Z227" s="74"/>
      <c r="AA227" s="74"/>
      <c r="AB227" s="74"/>
      <c r="AC227" s="74"/>
      <c r="AD227" s="74"/>
      <c r="AE227" s="74"/>
      <c r="AF227" s="74"/>
      <c r="AG227" s="74"/>
      <c r="AH227" s="74"/>
    </row>
    <row r="228" customFormat="false" ht="15" hidden="false" customHeight="false" outlineLevel="0" collapsed="false">
      <c r="A228" s="74"/>
      <c r="B228" s="74"/>
      <c r="C228" s="74"/>
      <c r="D228" s="74"/>
      <c r="E228" s="74"/>
      <c r="F228" s="74"/>
      <c r="G228" s="74"/>
      <c r="H228" s="74"/>
      <c r="I228" s="74"/>
      <c r="J228" s="74"/>
      <c r="K228" s="74"/>
      <c r="L228" s="74"/>
      <c r="M228" s="74"/>
      <c r="N228" s="74"/>
      <c r="O228" s="74"/>
      <c r="P228" s="74"/>
      <c r="Q228" s="74"/>
      <c r="R228" s="74"/>
      <c r="S228" s="74"/>
      <c r="T228" s="74"/>
      <c r="U228" s="74"/>
      <c r="V228" s="74"/>
      <c r="W228" s="74"/>
      <c r="X228" s="74"/>
      <c r="Y228" s="74"/>
      <c r="Z228" s="74"/>
      <c r="AA228" s="74"/>
      <c r="AB228" s="74"/>
      <c r="AC228" s="74"/>
      <c r="AD228" s="74"/>
      <c r="AE228" s="74"/>
      <c r="AF228" s="74"/>
      <c r="AG228" s="74"/>
      <c r="AH228" s="74"/>
    </row>
    <row r="229" customFormat="false" ht="15" hidden="false" customHeight="false" outlineLevel="0" collapsed="false">
      <c r="A229" s="74"/>
      <c r="B229" s="74"/>
      <c r="C229" s="74"/>
      <c r="D229" s="74"/>
      <c r="E229" s="74"/>
      <c r="F229" s="74"/>
      <c r="G229" s="74"/>
      <c r="H229" s="74"/>
      <c r="I229" s="74"/>
      <c r="J229" s="74"/>
      <c r="K229" s="74"/>
      <c r="L229" s="74"/>
      <c r="M229" s="74"/>
      <c r="N229" s="74"/>
      <c r="O229" s="74"/>
      <c r="P229" s="74"/>
      <c r="Q229" s="74"/>
      <c r="R229" s="74"/>
      <c r="S229" s="74"/>
      <c r="T229" s="74"/>
      <c r="U229" s="74"/>
      <c r="V229" s="74"/>
      <c r="W229" s="74"/>
      <c r="X229" s="74"/>
      <c r="Y229" s="74"/>
      <c r="Z229" s="74"/>
      <c r="AA229" s="74"/>
      <c r="AB229" s="74"/>
      <c r="AC229" s="74"/>
      <c r="AD229" s="74"/>
      <c r="AE229" s="74"/>
      <c r="AF229" s="74"/>
      <c r="AG229" s="74"/>
      <c r="AH229" s="74"/>
    </row>
    <row r="230" customFormat="false" ht="15" hidden="false" customHeight="false" outlineLevel="0" collapsed="false">
      <c r="A230" s="74"/>
      <c r="B230" s="74"/>
      <c r="C230" s="74"/>
      <c r="D230" s="74"/>
      <c r="E230" s="74"/>
      <c r="F230" s="74"/>
      <c r="G230" s="74"/>
      <c r="H230" s="74"/>
      <c r="I230" s="74"/>
      <c r="J230" s="74"/>
      <c r="K230" s="74"/>
      <c r="L230" s="74"/>
      <c r="M230" s="74"/>
      <c r="N230" s="74"/>
      <c r="O230" s="74"/>
      <c r="P230" s="74"/>
      <c r="Q230" s="74"/>
      <c r="R230" s="74"/>
      <c r="S230" s="74"/>
      <c r="T230" s="74"/>
      <c r="U230" s="74"/>
      <c r="V230" s="74"/>
      <c r="W230" s="74"/>
      <c r="X230" s="74"/>
      <c r="Y230" s="74"/>
      <c r="Z230" s="74"/>
      <c r="AA230" s="74"/>
      <c r="AB230" s="74"/>
      <c r="AC230" s="74"/>
      <c r="AD230" s="74"/>
      <c r="AE230" s="74"/>
      <c r="AF230" s="74"/>
      <c r="AG230" s="74"/>
      <c r="AH230" s="74"/>
    </row>
    <row r="231" customFormat="false" ht="15" hidden="false" customHeight="false" outlineLevel="0" collapsed="false">
      <c r="A231" s="74"/>
      <c r="B231" s="74"/>
      <c r="C231" s="74"/>
      <c r="D231" s="74"/>
      <c r="E231" s="74"/>
      <c r="F231" s="74"/>
      <c r="G231" s="74"/>
      <c r="H231" s="74"/>
      <c r="I231" s="74"/>
      <c r="J231" s="74"/>
      <c r="K231" s="74"/>
      <c r="L231" s="74"/>
      <c r="M231" s="74"/>
      <c r="N231" s="74"/>
      <c r="O231" s="74"/>
      <c r="P231" s="74"/>
      <c r="Q231" s="74"/>
      <c r="R231" s="74"/>
      <c r="S231" s="74"/>
      <c r="T231" s="74"/>
      <c r="U231" s="74"/>
      <c r="V231" s="74"/>
      <c r="W231" s="74"/>
      <c r="X231" s="74"/>
      <c r="Y231" s="74"/>
      <c r="Z231" s="74"/>
      <c r="AA231" s="74"/>
      <c r="AB231" s="74"/>
      <c r="AC231" s="74"/>
      <c r="AD231" s="74"/>
      <c r="AE231" s="74"/>
      <c r="AF231" s="74"/>
      <c r="AG231" s="74"/>
      <c r="AH231" s="74"/>
    </row>
    <row r="232" customFormat="false" ht="15" hidden="false" customHeight="false" outlineLevel="0" collapsed="false">
      <c r="A232" s="74"/>
      <c r="B232" s="74"/>
      <c r="C232" s="74"/>
      <c r="D232" s="74"/>
      <c r="E232" s="74"/>
      <c r="F232" s="74"/>
      <c r="G232" s="74"/>
      <c r="H232" s="74"/>
      <c r="I232" s="74"/>
      <c r="J232" s="74"/>
      <c r="K232" s="74"/>
      <c r="L232" s="74"/>
      <c r="M232" s="74"/>
      <c r="N232" s="74"/>
      <c r="O232" s="74"/>
      <c r="P232" s="74"/>
      <c r="Q232" s="74"/>
      <c r="R232" s="74"/>
      <c r="S232" s="74"/>
      <c r="T232" s="74"/>
      <c r="U232" s="74"/>
      <c r="V232" s="74"/>
      <c r="W232" s="74"/>
      <c r="X232" s="74"/>
      <c r="Y232" s="74"/>
      <c r="Z232" s="74"/>
      <c r="AA232" s="74"/>
      <c r="AB232" s="74"/>
      <c r="AC232" s="74"/>
      <c r="AD232" s="74"/>
      <c r="AE232" s="74"/>
      <c r="AF232" s="74"/>
      <c r="AG232" s="74"/>
      <c r="AH232" s="74"/>
    </row>
    <row r="233" customFormat="false" ht="15" hidden="false" customHeight="false" outlineLevel="0" collapsed="false">
      <c r="A233" s="74"/>
      <c r="B233" s="74"/>
      <c r="C233" s="74"/>
      <c r="D233" s="74"/>
      <c r="E233" s="74"/>
      <c r="F233" s="74"/>
      <c r="G233" s="74"/>
      <c r="H233" s="74"/>
      <c r="I233" s="74"/>
      <c r="J233" s="74"/>
      <c r="K233" s="74"/>
      <c r="L233" s="74"/>
      <c r="M233" s="74"/>
      <c r="N233" s="74"/>
      <c r="O233" s="74"/>
      <c r="P233" s="74"/>
      <c r="Q233" s="74"/>
      <c r="R233" s="74"/>
      <c r="S233" s="74"/>
      <c r="T233" s="74"/>
      <c r="U233" s="74"/>
      <c r="V233" s="74"/>
      <c r="W233" s="74"/>
      <c r="X233" s="74"/>
      <c r="Y233" s="74"/>
      <c r="Z233" s="74"/>
      <c r="AA233" s="74"/>
      <c r="AB233" s="74"/>
      <c r="AC233" s="74"/>
      <c r="AD233" s="74"/>
      <c r="AE233" s="74"/>
      <c r="AF233" s="74"/>
      <c r="AG233" s="74"/>
      <c r="AH233" s="74"/>
    </row>
    <row r="234" customFormat="false" ht="15" hidden="false" customHeight="false" outlineLevel="0" collapsed="false">
      <c r="A234" s="74"/>
      <c r="B234" s="74"/>
      <c r="C234" s="74"/>
      <c r="D234" s="74"/>
      <c r="E234" s="74"/>
      <c r="F234" s="74"/>
      <c r="G234" s="74"/>
      <c r="H234" s="74"/>
      <c r="I234" s="74"/>
      <c r="J234" s="74"/>
      <c r="K234" s="74"/>
      <c r="L234" s="74"/>
      <c r="M234" s="74"/>
      <c r="N234" s="74"/>
      <c r="O234" s="74"/>
      <c r="P234" s="74"/>
      <c r="Q234" s="74"/>
      <c r="R234" s="74"/>
      <c r="S234" s="74"/>
      <c r="T234" s="74"/>
      <c r="U234" s="74"/>
      <c r="V234" s="74"/>
      <c r="W234" s="74"/>
      <c r="X234" s="74"/>
      <c r="Y234" s="74"/>
      <c r="Z234" s="74"/>
      <c r="AA234" s="74"/>
      <c r="AB234" s="74"/>
      <c r="AC234" s="74"/>
      <c r="AD234" s="74"/>
      <c r="AE234" s="74"/>
      <c r="AF234" s="74"/>
      <c r="AG234" s="74"/>
      <c r="AH234" s="74"/>
    </row>
    <row r="235" customFormat="false" ht="15" hidden="false" customHeight="false" outlineLevel="0" collapsed="false">
      <c r="A235" s="74"/>
      <c r="B235" s="74"/>
      <c r="C235" s="74"/>
      <c r="D235" s="74"/>
      <c r="E235" s="74"/>
      <c r="F235" s="74"/>
      <c r="G235" s="74"/>
      <c r="H235" s="74"/>
      <c r="I235" s="74"/>
      <c r="J235" s="74"/>
      <c r="K235" s="74"/>
      <c r="L235" s="74"/>
      <c r="M235" s="74"/>
      <c r="N235" s="74"/>
      <c r="O235" s="74"/>
      <c r="P235" s="74"/>
      <c r="Q235" s="74"/>
      <c r="R235" s="74"/>
      <c r="S235" s="74"/>
      <c r="T235" s="74"/>
      <c r="U235" s="74"/>
      <c r="V235" s="74"/>
      <c r="W235" s="74"/>
      <c r="X235" s="74"/>
      <c r="Y235" s="74"/>
      <c r="Z235" s="74"/>
      <c r="AA235" s="74"/>
      <c r="AB235" s="74"/>
      <c r="AC235" s="74"/>
      <c r="AD235" s="74"/>
      <c r="AE235" s="74"/>
      <c r="AF235" s="74"/>
      <c r="AG235" s="74"/>
      <c r="AH235" s="74"/>
    </row>
    <row r="236" customFormat="false" ht="15" hidden="false" customHeight="false" outlineLevel="0" collapsed="false">
      <c r="A236" s="74"/>
      <c r="B236" s="74"/>
      <c r="C236" s="74"/>
      <c r="D236" s="74"/>
      <c r="E236" s="74"/>
      <c r="F236" s="74"/>
      <c r="G236" s="74"/>
      <c r="H236" s="74"/>
      <c r="I236" s="74"/>
      <c r="J236" s="74"/>
      <c r="K236" s="74"/>
      <c r="L236" s="74"/>
      <c r="M236" s="74"/>
      <c r="N236" s="74"/>
      <c r="O236" s="74"/>
      <c r="P236" s="74"/>
      <c r="Q236" s="74"/>
      <c r="R236" s="74"/>
      <c r="S236" s="74"/>
      <c r="T236" s="74"/>
      <c r="U236" s="74"/>
      <c r="V236" s="74"/>
      <c r="W236" s="74"/>
      <c r="X236" s="74"/>
      <c r="Y236" s="74"/>
      <c r="Z236" s="74"/>
      <c r="AA236" s="74"/>
      <c r="AB236" s="74"/>
      <c r="AC236" s="74"/>
      <c r="AD236" s="74"/>
      <c r="AE236" s="74"/>
      <c r="AF236" s="74"/>
      <c r="AG236" s="74"/>
      <c r="AH236" s="74"/>
    </row>
    <row r="237" customFormat="false" ht="15" hidden="false" customHeight="false" outlineLevel="0" collapsed="false">
      <c r="A237" s="74"/>
      <c r="B237" s="74"/>
      <c r="C237" s="74"/>
      <c r="D237" s="74"/>
      <c r="E237" s="74"/>
      <c r="F237" s="74"/>
      <c r="G237" s="74"/>
      <c r="H237" s="74"/>
      <c r="I237" s="74"/>
      <c r="J237" s="74"/>
      <c r="K237" s="74"/>
      <c r="L237" s="74"/>
      <c r="M237" s="74"/>
      <c r="N237" s="74"/>
      <c r="O237" s="74"/>
      <c r="P237" s="74"/>
      <c r="Q237" s="74"/>
      <c r="R237" s="74"/>
      <c r="S237" s="74"/>
      <c r="T237" s="74"/>
      <c r="U237" s="74"/>
      <c r="V237" s="74"/>
      <c r="W237" s="74"/>
      <c r="X237" s="74"/>
      <c r="Y237" s="74"/>
      <c r="Z237" s="74"/>
      <c r="AA237" s="74"/>
      <c r="AB237" s="74"/>
      <c r="AC237" s="74"/>
      <c r="AD237" s="74"/>
      <c r="AE237" s="74"/>
      <c r="AF237" s="74"/>
      <c r="AG237" s="74"/>
      <c r="AH237" s="74"/>
    </row>
    <row r="238" customFormat="false" ht="15" hidden="false" customHeight="false" outlineLevel="0" collapsed="false">
      <c r="A238" s="74"/>
      <c r="B238" s="74"/>
      <c r="C238" s="74"/>
      <c r="D238" s="74"/>
      <c r="E238" s="74"/>
      <c r="F238" s="74"/>
      <c r="G238" s="74"/>
      <c r="H238" s="74"/>
      <c r="I238" s="74"/>
      <c r="J238" s="74"/>
      <c r="K238" s="74"/>
      <c r="L238" s="74"/>
      <c r="M238" s="74"/>
      <c r="N238" s="74"/>
      <c r="O238" s="74"/>
      <c r="P238" s="74"/>
      <c r="Q238" s="74"/>
      <c r="R238" s="74"/>
      <c r="S238" s="74"/>
      <c r="T238" s="74"/>
      <c r="U238" s="74"/>
      <c r="V238" s="74"/>
      <c r="W238" s="74"/>
      <c r="X238" s="74"/>
      <c r="Y238" s="74"/>
      <c r="Z238" s="74"/>
      <c r="AA238" s="74"/>
      <c r="AB238" s="74"/>
      <c r="AC238" s="74"/>
      <c r="AD238" s="74"/>
      <c r="AE238" s="74"/>
      <c r="AF238" s="74"/>
      <c r="AG238" s="74"/>
      <c r="AH238" s="74"/>
    </row>
    <row r="239" customFormat="false" ht="15" hidden="false" customHeight="false" outlineLevel="0" collapsed="false">
      <c r="A239" s="74"/>
      <c r="B239" s="74"/>
      <c r="C239" s="74"/>
      <c r="D239" s="74"/>
      <c r="E239" s="74"/>
      <c r="F239" s="74"/>
      <c r="G239" s="74"/>
      <c r="H239" s="74"/>
      <c r="I239" s="74"/>
      <c r="J239" s="74"/>
      <c r="K239" s="74"/>
      <c r="L239" s="74"/>
      <c r="M239" s="74"/>
      <c r="N239" s="74"/>
      <c r="O239" s="74"/>
      <c r="P239" s="74"/>
      <c r="Q239" s="74"/>
      <c r="R239" s="74"/>
      <c r="S239" s="74"/>
      <c r="T239" s="74"/>
      <c r="U239" s="74"/>
      <c r="V239" s="74"/>
      <c r="W239" s="74"/>
      <c r="X239" s="74"/>
      <c r="Y239" s="74"/>
      <c r="Z239" s="74"/>
      <c r="AA239" s="74"/>
      <c r="AB239" s="74"/>
      <c r="AC239" s="74"/>
      <c r="AD239" s="74"/>
      <c r="AE239" s="74"/>
      <c r="AF239" s="74"/>
      <c r="AG239" s="74"/>
      <c r="AH239" s="74"/>
    </row>
    <row r="240" customFormat="false" ht="15" hidden="false" customHeight="false" outlineLevel="0" collapsed="false">
      <c r="A240" s="74"/>
      <c r="B240" s="74"/>
      <c r="C240" s="74"/>
      <c r="D240" s="74"/>
      <c r="E240" s="74"/>
      <c r="F240" s="74"/>
      <c r="G240" s="74"/>
      <c r="H240" s="74"/>
      <c r="I240" s="74"/>
      <c r="J240" s="74"/>
      <c r="K240" s="74"/>
      <c r="L240" s="74"/>
      <c r="M240" s="74"/>
      <c r="N240" s="74"/>
      <c r="O240" s="74"/>
      <c r="P240" s="74"/>
      <c r="Q240" s="74"/>
      <c r="R240" s="74"/>
      <c r="S240" s="74"/>
      <c r="T240" s="74"/>
      <c r="U240" s="74"/>
      <c r="V240" s="74"/>
      <c r="W240" s="74"/>
      <c r="X240" s="74"/>
      <c r="Y240" s="74"/>
      <c r="Z240" s="74"/>
      <c r="AA240" s="74"/>
      <c r="AB240" s="74"/>
      <c r="AC240" s="74"/>
      <c r="AD240" s="74"/>
      <c r="AE240" s="74"/>
      <c r="AF240" s="74"/>
      <c r="AG240" s="74"/>
      <c r="AH240" s="74"/>
    </row>
    <row r="241" customFormat="false" ht="15" hidden="false" customHeight="false" outlineLevel="0" collapsed="false">
      <c r="A241" s="74"/>
      <c r="B241" s="74"/>
      <c r="C241" s="74"/>
      <c r="D241" s="74"/>
      <c r="E241" s="74"/>
      <c r="F241" s="74"/>
      <c r="G241" s="74"/>
      <c r="H241" s="74"/>
      <c r="I241" s="74"/>
      <c r="J241" s="74"/>
      <c r="K241" s="74"/>
      <c r="L241" s="74"/>
      <c r="M241" s="74"/>
      <c r="N241" s="74"/>
      <c r="O241" s="74"/>
      <c r="P241" s="74"/>
      <c r="Q241" s="74"/>
      <c r="R241" s="74"/>
      <c r="S241" s="74"/>
      <c r="T241" s="74"/>
      <c r="U241" s="74"/>
      <c r="V241" s="74"/>
      <c r="W241" s="74"/>
      <c r="X241" s="74"/>
      <c r="Y241" s="74"/>
      <c r="Z241" s="74"/>
      <c r="AA241" s="74"/>
      <c r="AB241" s="74"/>
      <c r="AC241" s="74"/>
      <c r="AD241" s="74"/>
      <c r="AE241" s="74"/>
      <c r="AF241" s="74"/>
      <c r="AG241" s="74"/>
      <c r="AH241" s="74"/>
    </row>
    <row r="242" customFormat="false" ht="15" hidden="false" customHeight="false" outlineLevel="0" collapsed="false">
      <c r="A242" s="74"/>
      <c r="B242" s="74"/>
      <c r="C242" s="74"/>
      <c r="D242" s="74"/>
      <c r="E242" s="74"/>
      <c r="F242" s="74"/>
      <c r="G242" s="74"/>
      <c r="H242" s="74"/>
      <c r="I242" s="74"/>
      <c r="J242" s="74"/>
      <c r="K242" s="74"/>
      <c r="L242" s="74"/>
      <c r="M242" s="74"/>
      <c r="N242" s="74"/>
      <c r="O242" s="74"/>
      <c r="P242" s="74"/>
      <c r="Q242" s="74"/>
      <c r="R242" s="74"/>
      <c r="S242" s="74"/>
      <c r="T242" s="74"/>
      <c r="U242" s="74"/>
      <c r="V242" s="74"/>
      <c r="W242" s="74"/>
      <c r="X242" s="74"/>
      <c r="Y242" s="74"/>
      <c r="Z242" s="74"/>
      <c r="AA242" s="74"/>
      <c r="AB242" s="74"/>
      <c r="AC242" s="74"/>
      <c r="AD242" s="74"/>
      <c r="AE242" s="74"/>
      <c r="AF242" s="74"/>
      <c r="AG242" s="74"/>
      <c r="AH242" s="74"/>
    </row>
    <row r="243" customFormat="false" ht="15" hidden="false" customHeight="false" outlineLevel="0" collapsed="false">
      <c r="A243" s="74"/>
      <c r="B243" s="74"/>
      <c r="C243" s="74"/>
      <c r="D243" s="74"/>
      <c r="E243" s="74"/>
      <c r="F243" s="74"/>
      <c r="G243" s="74"/>
      <c r="H243" s="74"/>
      <c r="I243" s="74"/>
      <c r="J243" s="74"/>
      <c r="K243" s="74"/>
      <c r="L243" s="74"/>
      <c r="M243" s="74"/>
      <c r="N243" s="74"/>
      <c r="O243" s="74"/>
      <c r="P243" s="74"/>
      <c r="Q243" s="74"/>
      <c r="R243" s="74"/>
      <c r="S243" s="74"/>
      <c r="T243" s="74"/>
      <c r="U243" s="74"/>
      <c r="V243" s="74"/>
      <c r="W243" s="74"/>
      <c r="X243" s="74"/>
      <c r="Y243" s="74"/>
      <c r="Z243" s="74"/>
      <c r="AA243" s="74"/>
      <c r="AB243" s="74"/>
      <c r="AC243" s="74"/>
      <c r="AD243" s="74"/>
      <c r="AE243" s="74"/>
      <c r="AF243" s="74"/>
      <c r="AG243" s="74"/>
      <c r="AH243" s="74"/>
    </row>
    <row r="244" customFormat="false" ht="15" hidden="false" customHeight="false" outlineLevel="0" collapsed="false">
      <c r="A244" s="74"/>
      <c r="B244" s="74"/>
      <c r="C244" s="74"/>
      <c r="D244" s="74"/>
      <c r="E244" s="74"/>
      <c r="F244" s="74"/>
      <c r="G244" s="74"/>
      <c r="H244" s="74"/>
      <c r="I244" s="74"/>
      <c r="J244" s="74"/>
      <c r="K244" s="74"/>
      <c r="L244" s="74"/>
      <c r="M244" s="74"/>
      <c r="N244" s="74"/>
      <c r="O244" s="74"/>
      <c r="P244" s="74"/>
      <c r="Q244" s="74"/>
      <c r="R244" s="74"/>
      <c r="S244" s="74"/>
      <c r="T244" s="74"/>
      <c r="U244" s="74"/>
      <c r="V244" s="74"/>
      <c r="W244" s="74"/>
      <c r="X244" s="74"/>
      <c r="Y244" s="74"/>
      <c r="Z244" s="74"/>
      <c r="AA244" s="74"/>
      <c r="AB244" s="74"/>
      <c r="AC244" s="74"/>
      <c r="AD244" s="74"/>
      <c r="AE244" s="74"/>
      <c r="AF244" s="74"/>
      <c r="AG244" s="74"/>
      <c r="AH244" s="74"/>
    </row>
    <row r="245" customFormat="false" ht="15" hidden="false" customHeight="false" outlineLevel="0" collapsed="false">
      <c r="A245" s="74"/>
      <c r="B245" s="74"/>
      <c r="C245" s="74"/>
      <c r="D245" s="74"/>
      <c r="E245" s="74"/>
      <c r="F245" s="74"/>
      <c r="G245" s="74"/>
      <c r="H245" s="74"/>
      <c r="I245" s="74"/>
      <c r="J245" s="74"/>
      <c r="K245" s="74"/>
      <c r="L245" s="74"/>
      <c r="M245" s="74"/>
      <c r="N245" s="74"/>
      <c r="O245" s="74"/>
      <c r="P245" s="74"/>
      <c r="Q245" s="74"/>
      <c r="R245" s="74"/>
      <c r="S245" s="74"/>
      <c r="T245" s="74"/>
      <c r="U245" s="74"/>
      <c r="V245" s="74"/>
      <c r="W245" s="74"/>
      <c r="X245" s="74"/>
      <c r="Y245" s="74"/>
      <c r="Z245" s="74"/>
      <c r="AA245" s="74"/>
      <c r="AB245" s="74"/>
      <c r="AC245" s="74"/>
      <c r="AD245" s="74"/>
      <c r="AE245" s="74"/>
      <c r="AF245" s="74"/>
      <c r="AG245" s="74"/>
      <c r="AH245" s="74"/>
    </row>
    <row r="246" customFormat="false" ht="15" hidden="false" customHeight="false" outlineLevel="0" collapsed="false">
      <c r="A246" s="74"/>
      <c r="B246" s="74"/>
      <c r="C246" s="74"/>
      <c r="D246" s="74"/>
      <c r="E246" s="74"/>
      <c r="F246" s="74"/>
      <c r="G246" s="74"/>
      <c r="H246" s="74"/>
      <c r="I246" s="74"/>
      <c r="J246" s="74"/>
      <c r="K246" s="74"/>
      <c r="L246" s="74"/>
      <c r="M246" s="74"/>
      <c r="N246" s="74"/>
      <c r="O246" s="74"/>
      <c r="P246" s="74"/>
      <c r="Q246" s="74"/>
      <c r="R246" s="74"/>
      <c r="S246" s="74"/>
      <c r="T246" s="74"/>
      <c r="U246" s="74"/>
      <c r="V246" s="74"/>
      <c r="W246" s="74"/>
      <c r="X246" s="74"/>
      <c r="Y246" s="74"/>
      <c r="Z246" s="74"/>
      <c r="AA246" s="74"/>
      <c r="AB246" s="74"/>
      <c r="AC246" s="74"/>
      <c r="AD246" s="74"/>
      <c r="AE246" s="74"/>
      <c r="AF246" s="74"/>
      <c r="AG246" s="74"/>
      <c r="AH246" s="74"/>
    </row>
    <row r="247" customFormat="false" ht="15" hidden="false" customHeight="false" outlineLevel="0" collapsed="false">
      <c r="A247" s="74"/>
      <c r="B247" s="74"/>
      <c r="C247" s="74"/>
      <c r="D247" s="74"/>
      <c r="E247" s="74"/>
      <c r="F247" s="74"/>
      <c r="G247" s="74"/>
      <c r="H247" s="74"/>
      <c r="I247" s="74"/>
      <c r="J247" s="74"/>
      <c r="K247" s="74"/>
      <c r="L247" s="74"/>
      <c r="M247" s="74"/>
      <c r="N247" s="74"/>
      <c r="O247" s="74"/>
      <c r="P247" s="74"/>
      <c r="Q247" s="74"/>
      <c r="R247" s="74"/>
      <c r="S247" s="74"/>
      <c r="T247" s="74"/>
      <c r="U247" s="74"/>
      <c r="V247" s="74"/>
      <c r="W247" s="74"/>
      <c r="X247" s="74"/>
      <c r="Y247" s="74"/>
      <c r="Z247" s="74"/>
      <c r="AA247" s="74"/>
      <c r="AB247" s="74"/>
      <c r="AC247" s="74"/>
      <c r="AD247" s="74"/>
      <c r="AE247" s="74"/>
      <c r="AF247" s="74"/>
      <c r="AG247" s="74"/>
      <c r="AH247" s="74"/>
    </row>
    <row r="248" customFormat="false" ht="15" hidden="false" customHeight="false" outlineLevel="0" collapsed="false">
      <c r="A248" s="74"/>
      <c r="B248" s="74"/>
      <c r="C248" s="74"/>
      <c r="D248" s="74"/>
      <c r="E248" s="74"/>
      <c r="F248" s="74"/>
      <c r="G248" s="74"/>
      <c r="H248" s="74"/>
      <c r="I248" s="74"/>
      <c r="J248" s="74"/>
      <c r="K248" s="74"/>
      <c r="L248" s="74"/>
      <c r="M248" s="74"/>
      <c r="N248" s="74"/>
      <c r="O248" s="74"/>
      <c r="P248" s="74"/>
      <c r="Q248" s="74"/>
      <c r="R248" s="74"/>
      <c r="S248" s="74"/>
      <c r="T248" s="74"/>
      <c r="U248" s="74"/>
      <c r="V248" s="74"/>
      <c r="W248" s="74"/>
      <c r="X248" s="74"/>
      <c r="Y248" s="74"/>
      <c r="Z248" s="74"/>
      <c r="AA248" s="74"/>
      <c r="AB248" s="74"/>
      <c r="AC248" s="74"/>
      <c r="AD248" s="74"/>
      <c r="AE248" s="74"/>
      <c r="AF248" s="74"/>
      <c r="AG248" s="74"/>
      <c r="AH248" s="74"/>
    </row>
    <row r="249" customFormat="false" ht="15" hidden="false" customHeight="false" outlineLevel="0" collapsed="false">
      <c r="A249" s="74"/>
      <c r="B249" s="74"/>
      <c r="C249" s="74"/>
      <c r="D249" s="74"/>
      <c r="E249" s="74"/>
      <c r="F249" s="74"/>
      <c r="G249" s="74"/>
      <c r="H249" s="74"/>
      <c r="I249" s="74"/>
      <c r="J249" s="74"/>
      <c r="K249" s="74"/>
      <c r="L249" s="74"/>
      <c r="M249" s="74"/>
      <c r="N249" s="74"/>
      <c r="O249" s="74"/>
      <c r="P249" s="74"/>
      <c r="Q249" s="74"/>
      <c r="R249" s="74"/>
      <c r="S249" s="74"/>
      <c r="T249" s="74"/>
      <c r="U249" s="74"/>
      <c r="V249" s="74"/>
      <c r="W249" s="74"/>
      <c r="X249" s="74"/>
      <c r="Y249" s="74"/>
      <c r="Z249" s="74"/>
      <c r="AA249" s="74"/>
      <c r="AB249" s="74"/>
      <c r="AC249" s="74"/>
      <c r="AD249" s="74"/>
      <c r="AE249" s="74"/>
      <c r="AF249" s="74"/>
      <c r="AG249" s="74"/>
      <c r="AH249" s="74"/>
    </row>
    <row r="250" customFormat="false" ht="15" hidden="false" customHeight="false" outlineLevel="0" collapsed="false">
      <c r="A250" s="74"/>
      <c r="B250" s="74"/>
      <c r="C250" s="74"/>
      <c r="D250" s="74"/>
      <c r="E250" s="74"/>
      <c r="F250" s="74"/>
      <c r="G250" s="74"/>
      <c r="H250" s="74"/>
      <c r="I250" s="74"/>
      <c r="J250" s="74"/>
      <c r="K250" s="74"/>
      <c r="L250" s="74"/>
      <c r="M250" s="74"/>
      <c r="N250" s="74"/>
      <c r="O250" s="74"/>
      <c r="P250" s="74"/>
      <c r="Q250" s="74"/>
      <c r="R250" s="74"/>
      <c r="S250" s="74"/>
      <c r="T250" s="74"/>
      <c r="U250" s="74"/>
      <c r="V250" s="74"/>
      <c r="W250" s="74"/>
      <c r="X250" s="74"/>
      <c r="Y250" s="74"/>
      <c r="Z250" s="74"/>
      <c r="AA250" s="74"/>
      <c r="AB250" s="74"/>
      <c r="AC250" s="74"/>
      <c r="AD250" s="74"/>
      <c r="AE250" s="74"/>
      <c r="AF250" s="74"/>
      <c r="AG250" s="74"/>
      <c r="AH250" s="74"/>
    </row>
    <row r="251" customFormat="false" ht="15" hidden="false" customHeight="false" outlineLevel="0" collapsed="false">
      <c r="A251" s="74"/>
      <c r="B251" s="74"/>
      <c r="C251" s="74"/>
      <c r="D251" s="74"/>
      <c r="E251" s="74"/>
      <c r="F251" s="74"/>
      <c r="G251" s="74"/>
      <c r="H251" s="74"/>
      <c r="I251" s="74"/>
      <c r="J251" s="74"/>
      <c r="K251" s="74"/>
      <c r="L251" s="74"/>
      <c r="M251" s="74"/>
      <c r="N251" s="74"/>
      <c r="O251" s="74"/>
      <c r="P251" s="74"/>
      <c r="Q251" s="74"/>
      <c r="R251" s="74"/>
      <c r="S251" s="74"/>
      <c r="T251" s="74"/>
      <c r="U251" s="74"/>
      <c r="V251" s="74"/>
      <c r="W251" s="74"/>
      <c r="X251" s="74"/>
      <c r="Y251" s="74"/>
      <c r="Z251" s="74"/>
      <c r="AA251" s="74"/>
      <c r="AB251" s="74"/>
      <c r="AC251" s="74"/>
      <c r="AD251" s="74"/>
      <c r="AE251" s="74"/>
      <c r="AF251" s="74"/>
      <c r="AG251" s="74"/>
      <c r="AH251" s="74"/>
    </row>
    <row r="252" customFormat="false" ht="15" hidden="false" customHeight="false" outlineLevel="0" collapsed="false">
      <c r="A252" s="74"/>
      <c r="B252" s="74"/>
      <c r="C252" s="74"/>
      <c r="D252" s="74"/>
      <c r="E252" s="74"/>
      <c r="F252" s="74"/>
      <c r="G252" s="74"/>
      <c r="H252" s="74"/>
      <c r="I252" s="74"/>
      <c r="J252" s="74"/>
      <c r="K252" s="74"/>
      <c r="L252" s="74"/>
      <c r="M252" s="74"/>
      <c r="N252" s="74"/>
      <c r="O252" s="74"/>
      <c r="P252" s="74"/>
      <c r="Q252" s="74"/>
      <c r="R252" s="74"/>
      <c r="S252" s="74"/>
      <c r="T252" s="74"/>
      <c r="U252" s="74"/>
      <c r="V252" s="74"/>
      <c r="W252" s="74"/>
      <c r="X252" s="74"/>
      <c r="Y252" s="74"/>
      <c r="Z252" s="74"/>
      <c r="AA252" s="74"/>
      <c r="AB252" s="74"/>
      <c r="AC252" s="74"/>
      <c r="AD252" s="74"/>
      <c r="AE252" s="74"/>
      <c r="AF252" s="74"/>
      <c r="AG252" s="74"/>
      <c r="AH252" s="74"/>
    </row>
    <row r="253" customFormat="false" ht="15" hidden="false" customHeight="false" outlineLevel="0" collapsed="false">
      <c r="A253" s="74"/>
      <c r="B253" s="74"/>
      <c r="C253" s="74"/>
      <c r="D253" s="74"/>
      <c r="E253" s="74"/>
      <c r="F253" s="74"/>
      <c r="G253" s="74"/>
      <c r="H253" s="74"/>
      <c r="I253" s="74"/>
      <c r="J253" s="74"/>
      <c r="K253" s="74"/>
      <c r="L253" s="74"/>
      <c r="M253" s="74"/>
      <c r="N253" s="74"/>
      <c r="O253" s="74"/>
      <c r="P253" s="74"/>
      <c r="Q253" s="74"/>
      <c r="R253" s="74"/>
      <c r="S253" s="74"/>
      <c r="T253" s="74"/>
      <c r="U253" s="74"/>
      <c r="V253" s="74"/>
      <c r="W253" s="74"/>
      <c r="X253" s="74"/>
      <c r="Y253" s="74"/>
      <c r="Z253" s="74"/>
      <c r="AA253" s="74"/>
      <c r="AB253" s="74"/>
      <c r="AC253" s="74"/>
      <c r="AD253" s="74"/>
      <c r="AE253" s="74"/>
      <c r="AF253" s="74"/>
      <c r="AG253" s="74"/>
      <c r="AH253" s="74"/>
    </row>
    <row r="254" customFormat="false" ht="15" hidden="false" customHeight="false" outlineLevel="0" collapsed="false">
      <c r="A254" s="74"/>
      <c r="B254" s="74"/>
      <c r="C254" s="74"/>
      <c r="D254" s="74"/>
      <c r="E254" s="74"/>
      <c r="F254" s="74"/>
      <c r="G254" s="74"/>
      <c r="H254" s="74"/>
      <c r="I254" s="74"/>
      <c r="J254" s="74"/>
      <c r="K254" s="74"/>
      <c r="L254" s="74"/>
      <c r="M254" s="74"/>
      <c r="N254" s="74"/>
      <c r="O254" s="74"/>
      <c r="P254" s="74"/>
      <c r="Q254" s="74"/>
      <c r="R254" s="74"/>
      <c r="S254" s="74"/>
      <c r="T254" s="74"/>
      <c r="U254" s="74"/>
      <c r="V254" s="74"/>
      <c r="W254" s="74"/>
      <c r="X254" s="74"/>
      <c r="Y254" s="74"/>
      <c r="Z254" s="74"/>
      <c r="AA254" s="74"/>
      <c r="AB254" s="74"/>
      <c r="AC254" s="74"/>
      <c r="AD254" s="74"/>
      <c r="AE254" s="74"/>
      <c r="AF254" s="74"/>
      <c r="AG254" s="74"/>
      <c r="AH254" s="74"/>
    </row>
    <row r="255" customFormat="false" ht="15" hidden="false" customHeight="false" outlineLevel="0" collapsed="false">
      <c r="A255" s="74"/>
      <c r="B255" s="74"/>
      <c r="C255" s="74"/>
      <c r="D255" s="74"/>
      <c r="E255" s="74"/>
      <c r="F255" s="74"/>
      <c r="G255" s="74"/>
      <c r="H255" s="74"/>
      <c r="I255" s="74"/>
      <c r="J255" s="74"/>
      <c r="K255" s="74"/>
      <c r="L255" s="74"/>
      <c r="M255" s="74"/>
      <c r="N255" s="74"/>
      <c r="O255" s="74"/>
      <c r="P255" s="74"/>
      <c r="Q255" s="74"/>
      <c r="R255" s="74"/>
      <c r="S255" s="74"/>
      <c r="T255" s="74"/>
      <c r="U255" s="74"/>
      <c r="V255" s="74"/>
      <c r="W255" s="74"/>
      <c r="X255" s="74"/>
      <c r="Y255" s="74"/>
      <c r="Z255" s="74"/>
      <c r="AA255" s="74"/>
      <c r="AB255" s="74"/>
      <c r="AC255" s="74"/>
      <c r="AD255" s="74"/>
      <c r="AE255" s="74"/>
      <c r="AF255" s="74"/>
      <c r="AG255" s="74"/>
      <c r="AH255" s="74"/>
    </row>
    <row r="256" customFormat="false" ht="15" hidden="false" customHeight="false" outlineLevel="0" collapsed="false">
      <c r="A256" s="74"/>
      <c r="B256" s="74"/>
      <c r="C256" s="74"/>
      <c r="D256" s="74"/>
      <c r="E256" s="74"/>
      <c r="F256" s="74"/>
      <c r="G256" s="74"/>
      <c r="H256" s="74"/>
      <c r="I256" s="74"/>
      <c r="J256" s="74"/>
      <c r="K256" s="74"/>
      <c r="L256" s="74"/>
      <c r="M256" s="74"/>
      <c r="N256" s="74"/>
      <c r="O256" s="74"/>
      <c r="P256" s="74"/>
      <c r="Q256" s="74"/>
      <c r="R256" s="74"/>
      <c r="S256" s="74"/>
      <c r="T256" s="74"/>
      <c r="U256" s="74"/>
      <c r="V256" s="74"/>
      <c r="W256" s="74"/>
      <c r="X256" s="74"/>
      <c r="Y256" s="74"/>
      <c r="Z256" s="74"/>
      <c r="AA256" s="74"/>
      <c r="AB256" s="74"/>
      <c r="AC256" s="74"/>
      <c r="AD256" s="74"/>
      <c r="AE256" s="74"/>
      <c r="AF256" s="74"/>
      <c r="AG256" s="74"/>
      <c r="AH256" s="74"/>
    </row>
    <row r="257" customFormat="false" ht="15" hidden="false" customHeight="false" outlineLevel="0" collapsed="false">
      <c r="A257" s="74"/>
      <c r="B257" s="74"/>
      <c r="C257" s="74"/>
      <c r="D257" s="74"/>
      <c r="E257" s="74"/>
      <c r="F257" s="74"/>
      <c r="G257" s="74"/>
      <c r="H257" s="74"/>
      <c r="I257" s="74"/>
      <c r="J257" s="74"/>
      <c r="K257" s="74"/>
      <c r="L257" s="74"/>
      <c r="M257" s="74"/>
      <c r="N257" s="74"/>
      <c r="O257" s="74"/>
      <c r="P257" s="74"/>
      <c r="Q257" s="74"/>
      <c r="R257" s="74"/>
      <c r="S257" s="74"/>
      <c r="T257" s="74"/>
      <c r="U257" s="74"/>
      <c r="V257" s="74"/>
      <c r="W257" s="74"/>
      <c r="X257" s="74"/>
      <c r="Y257" s="74"/>
      <c r="Z257" s="74"/>
      <c r="AA257" s="74"/>
      <c r="AB257" s="74"/>
      <c r="AC257" s="74"/>
      <c r="AD257" s="74"/>
      <c r="AE257" s="74"/>
      <c r="AF257" s="74"/>
      <c r="AG257" s="74"/>
      <c r="AH257" s="74"/>
    </row>
    <row r="258" customFormat="false" ht="15" hidden="false" customHeight="false" outlineLevel="0" collapsed="false">
      <c r="A258" s="74"/>
      <c r="B258" s="74"/>
      <c r="C258" s="74"/>
      <c r="D258" s="74"/>
      <c r="E258" s="74"/>
      <c r="F258" s="74"/>
      <c r="G258" s="74"/>
      <c r="H258" s="74"/>
      <c r="I258" s="74"/>
      <c r="J258" s="74"/>
      <c r="K258" s="74"/>
      <c r="L258" s="74"/>
      <c r="M258" s="74"/>
      <c r="N258" s="74"/>
      <c r="O258" s="74"/>
      <c r="P258" s="74"/>
      <c r="Q258" s="74"/>
      <c r="R258" s="74"/>
      <c r="S258" s="74"/>
      <c r="T258" s="74"/>
      <c r="U258" s="74"/>
      <c r="V258" s="74"/>
      <c r="W258" s="74"/>
      <c r="X258" s="74"/>
      <c r="Y258" s="74"/>
      <c r="Z258" s="74"/>
      <c r="AA258" s="74"/>
      <c r="AB258" s="74"/>
      <c r="AC258" s="74"/>
      <c r="AD258" s="74"/>
      <c r="AE258" s="74"/>
      <c r="AF258" s="74"/>
      <c r="AG258" s="74"/>
      <c r="AH258" s="74"/>
    </row>
    <row r="259" customFormat="false" ht="15" hidden="false" customHeight="false" outlineLevel="0" collapsed="false">
      <c r="A259" s="74"/>
      <c r="B259" s="74"/>
      <c r="C259" s="74"/>
      <c r="D259" s="74"/>
      <c r="E259" s="74"/>
      <c r="F259" s="74"/>
      <c r="G259" s="74"/>
      <c r="H259" s="74"/>
      <c r="I259" s="74"/>
      <c r="J259" s="74"/>
      <c r="K259" s="74"/>
      <c r="L259" s="74"/>
      <c r="M259" s="74"/>
      <c r="N259" s="74"/>
      <c r="O259" s="74"/>
      <c r="P259" s="74"/>
      <c r="Q259" s="74"/>
      <c r="R259" s="74"/>
      <c r="S259" s="74"/>
      <c r="T259" s="74"/>
      <c r="U259" s="74"/>
      <c r="V259" s="74"/>
      <c r="W259" s="74"/>
      <c r="X259" s="74"/>
      <c r="Y259" s="74"/>
      <c r="Z259" s="74"/>
      <c r="AA259" s="74"/>
      <c r="AB259" s="74"/>
      <c r="AC259" s="74"/>
      <c r="AD259" s="74"/>
      <c r="AE259" s="74"/>
      <c r="AF259" s="74"/>
      <c r="AG259" s="74"/>
      <c r="AH259" s="74"/>
    </row>
    <row r="260" customFormat="false" ht="15" hidden="false" customHeight="false" outlineLevel="0" collapsed="false">
      <c r="A260" s="74"/>
      <c r="B260" s="74"/>
      <c r="C260" s="74"/>
      <c r="D260" s="74"/>
      <c r="E260" s="74"/>
      <c r="F260" s="74"/>
      <c r="G260" s="74"/>
      <c r="H260" s="74"/>
      <c r="I260" s="74"/>
      <c r="J260" s="74"/>
      <c r="K260" s="74"/>
      <c r="L260" s="74"/>
      <c r="M260" s="74"/>
      <c r="N260" s="74"/>
      <c r="O260" s="74"/>
      <c r="P260" s="74"/>
      <c r="Q260" s="74"/>
      <c r="R260" s="74"/>
      <c r="S260" s="74"/>
      <c r="T260" s="74"/>
      <c r="U260" s="74"/>
      <c r="V260" s="74"/>
      <c r="W260" s="74"/>
      <c r="X260" s="74"/>
      <c r="Y260" s="74"/>
      <c r="Z260" s="74"/>
      <c r="AA260" s="74"/>
      <c r="AB260" s="74"/>
      <c r="AC260" s="74"/>
      <c r="AD260" s="74"/>
      <c r="AE260" s="74"/>
      <c r="AF260" s="74"/>
      <c r="AG260" s="74"/>
      <c r="AH260" s="74"/>
    </row>
    <row r="261" customFormat="false" ht="15" hidden="false" customHeight="false" outlineLevel="0" collapsed="false">
      <c r="A261" s="74"/>
      <c r="B261" s="74"/>
      <c r="C261" s="74"/>
      <c r="D261" s="74"/>
      <c r="E261" s="74"/>
      <c r="F261" s="74"/>
      <c r="G261" s="74"/>
      <c r="H261" s="74"/>
      <c r="I261" s="74"/>
      <c r="J261" s="74"/>
      <c r="K261" s="74"/>
      <c r="L261" s="74"/>
      <c r="M261" s="74"/>
      <c r="N261" s="74"/>
      <c r="O261" s="74"/>
      <c r="P261" s="74"/>
      <c r="Q261" s="74"/>
      <c r="R261" s="74"/>
      <c r="S261" s="74"/>
      <c r="T261" s="74"/>
      <c r="U261" s="74"/>
      <c r="V261" s="74"/>
      <c r="W261" s="74"/>
      <c r="X261" s="74"/>
      <c r="Y261" s="74"/>
      <c r="Z261" s="74"/>
      <c r="AA261" s="74"/>
      <c r="AB261" s="74"/>
      <c r="AC261" s="74"/>
      <c r="AD261" s="74"/>
      <c r="AE261" s="74"/>
      <c r="AF261" s="74"/>
      <c r="AG261" s="74"/>
      <c r="AH261" s="74"/>
    </row>
    <row r="262" customFormat="false" ht="15" hidden="false" customHeight="false" outlineLevel="0" collapsed="false">
      <c r="A262" s="74"/>
      <c r="B262" s="74"/>
      <c r="C262" s="74"/>
      <c r="D262" s="74"/>
      <c r="E262" s="74"/>
      <c r="F262" s="74"/>
      <c r="G262" s="74"/>
      <c r="H262" s="74"/>
      <c r="I262" s="74"/>
      <c r="J262" s="74"/>
      <c r="K262" s="74"/>
      <c r="L262" s="74"/>
      <c r="M262" s="74"/>
      <c r="N262" s="74"/>
      <c r="O262" s="74"/>
      <c r="P262" s="74"/>
      <c r="Q262" s="74"/>
      <c r="R262" s="74"/>
      <c r="S262" s="74"/>
      <c r="T262" s="74"/>
      <c r="U262" s="74"/>
      <c r="V262" s="74"/>
      <c r="W262" s="74"/>
      <c r="X262" s="74"/>
      <c r="Y262" s="74"/>
      <c r="Z262" s="74"/>
      <c r="AA262" s="74"/>
      <c r="AB262" s="74"/>
      <c r="AC262" s="74"/>
      <c r="AD262" s="74"/>
      <c r="AE262" s="74"/>
      <c r="AF262" s="74"/>
      <c r="AG262" s="74"/>
      <c r="AH262" s="74"/>
    </row>
    <row r="263" customFormat="false" ht="15" hidden="false" customHeight="false" outlineLevel="0" collapsed="false">
      <c r="A263" s="74"/>
      <c r="B263" s="74"/>
      <c r="C263" s="74"/>
      <c r="D263" s="74"/>
      <c r="E263" s="74"/>
      <c r="F263" s="74"/>
      <c r="G263" s="74"/>
      <c r="H263" s="74"/>
      <c r="I263" s="74"/>
      <c r="J263" s="74"/>
      <c r="K263" s="74"/>
      <c r="L263" s="74"/>
      <c r="M263" s="74"/>
      <c r="N263" s="74"/>
      <c r="O263" s="74"/>
      <c r="P263" s="74"/>
      <c r="Q263" s="74"/>
      <c r="R263" s="74"/>
      <c r="S263" s="74"/>
      <c r="T263" s="74"/>
      <c r="U263" s="74"/>
      <c r="V263" s="74"/>
      <c r="W263" s="74"/>
      <c r="X263" s="74"/>
      <c r="Y263" s="74"/>
      <c r="Z263" s="74"/>
      <c r="AA263" s="74"/>
      <c r="AB263" s="74"/>
      <c r="AC263" s="74"/>
      <c r="AD263" s="74"/>
      <c r="AE263" s="74"/>
      <c r="AF263" s="74"/>
      <c r="AG263" s="74"/>
      <c r="AH263" s="74"/>
    </row>
    <row r="264" customFormat="false" ht="15" hidden="false" customHeight="false" outlineLevel="0" collapsed="false">
      <c r="A264" s="74"/>
      <c r="B264" s="74"/>
      <c r="C264" s="74"/>
      <c r="D264" s="74"/>
      <c r="E264" s="74"/>
      <c r="F264" s="74"/>
      <c r="G264" s="74"/>
      <c r="H264" s="74"/>
      <c r="I264" s="74"/>
      <c r="J264" s="74"/>
      <c r="K264" s="74"/>
      <c r="L264" s="74"/>
      <c r="M264" s="74"/>
      <c r="N264" s="74"/>
      <c r="O264" s="74"/>
      <c r="P264" s="74"/>
      <c r="Q264" s="74"/>
      <c r="R264" s="74"/>
      <c r="S264" s="74"/>
      <c r="T264" s="74"/>
      <c r="U264" s="74"/>
      <c r="V264" s="74"/>
      <c r="W264" s="74"/>
      <c r="X264" s="74"/>
      <c r="Y264" s="74"/>
      <c r="Z264" s="74"/>
      <c r="AA264" s="74"/>
      <c r="AB264" s="74"/>
      <c r="AC264" s="74"/>
      <c r="AD264" s="74"/>
      <c r="AE264" s="74"/>
      <c r="AF264" s="74"/>
      <c r="AG264" s="74"/>
      <c r="AH264" s="74"/>
    </row>
    <row r="265" customFormat="false" ht="15" hidden="false" customHeight="false" outlineLevel="0" collapsed="false">
      <c r="A265" s="74"/>
      <c r="B265" s="74"/>
      <c r="C265" s="74"/>
      <c r="D265" s="74"/>
      <c r="E265" s="74"/>
      <c r="F265" s="74"/>
      <c r="G265" s="74"/>
      <c r="H265" s="74"/>
      <c r="I265" s="74"/>
      <c r="J265" s="74"/>
      <c r="K265" s="74"/>
      <c r="L265" s="74"/>
      <c r="M265" s="74"/>
      <c r="N265" s="74"/>
      <c r="O265" s="74"/>
      <c r="P265" s="74"/>
      <c r="Q265" s="74"/>
      <c r="R265" s="74"/>
      <c r="S265" s="74"/>
      <c r="T265" s="74"/>
      <c r="U265" s="74"/>
      <c r="V265" s="74"/>
      <c r="W265" s="74"/>
      <c r="X265" s="74"/>
      <c r="Y265" s="74"/>
      <c r="Z265" s="74"/>
      <c r="AA265" s="74"/>
      <c r="AB265" s="74"/>
      <c r="AC265" s="74"/>
      <c r="AD265" s="74"/>
      <c r="AE265" s="74"/>
      <c r="AF265" s="74"/>
      <c r="AG265" s="74"/>
      <c r="AH265" s="74"/>
    </row>
    <row r="266" customFormat="false" ht="15" hidden="false" customHeight="false" outlineLevel="0" collapsed="false">
      <c r="A266" s="74"/>
      <c r="B266" s="74"/>
      <c r="C266" s="74"/>
      <c r="D266" s="74"/>
      <c r="E266" s="74"/>
      <c r="F266" s="74"/>
      <c r="G266" s="74"/>
      <c r="H266" s="74"/>
      <c r="I266" s="74"/>
      <c r="J266" s="74"/>
      <c r="K266" s="74"/>
      <c r="L266" s="74"/>
      <c r="M266" s="74"/>
      <c r="N266" s="74"/>
      <c r="O266" s="74"/>
      <c r="P266" s="74"/>
      <c r="Q266" s="74"/>
      <c r="R266" s="74"/>
      <c r="S266" s="74"/>
      <c r="T266" s="74"/>
      <c r="U266" s="74"/>
      <c r="V266" s="74"/>
      <c r="W266" s="74"/>
      <c r="X266" s="74"/>
      <c r="Y266" s="74"/>
      <c r="Z266" s="74"/>
      <c r="AA266" s="74"/>
      <c r="AB266" s="74"/>
      <c r="AC266" s="74"/>
      <c r="AD266" s="74"/>
      <c r="AE266" s="74"/>
      <c r="AF266" s="74"/>
      <c r="AG266" s="74"/>
      <c r="AH266" s="74"/>
    </row>
    <row r="267" customFormat="false" ht="15" hidden="false" customHeight="false" outlineLevel="0" collapsed="false">
      <c r="A267" s="74"/>
      <c r="B267" s="74"/>
      <c r="C267" s="74"/>
      <c r="D267" s="74"/>
      <c r="E267" s="74"/>
      <c r="F267" s="74"/>
      <c r="G267" s="74"/>
      <c r="H267" s="74"/>
      <c r="I267" s="74"/>
      <c r="J267" s="74"/>
      <c r="K267" s="74"/>
      <c r="L267" s="74"/>
      <c r="M267" s="74"/>
      <c r="N267" s="74"/>
      <c r="O267" s="74"/>
      <c r="P267" s="74"/>
      <c r="Q267" s="74"/>
      <c r="R267" s="74"/>
      <c r="S267" s="74"/>
      <c r="T267" s="74"/>
      <c r="U267" s="74"/>
      <c r="V267" s="74"/>
      <c r="W267" s="74"/>
      <c r="X267" s="74"/>
      <c r="Y267" s="74"/>
      <c r="Z267" s="74"/>
      <c r="AA267" s="74"/>
      <c r="AB267" s="74"/>
      <c r="AC267" s="74"/>
      <c r="AD267" s="74"/>
      <c r="AE267" s="74"/>
      <c r="AF267" s="74"/>
      <c r="AG267" s="74"/>
      <c r="AH267" s="74"/>
    </row>
    <row r="268" customFormat="false" ht="15" hidden="false" customHeight="false" outlineLevel="0" collapsed="false">
      <c r="A268" s="74"/>
      <c r="B268" s="74"/>
      <c r="C268" s="74"/>
      <c r="D268" s="74"/>
      <c r="E268" s="74"/>
      <c r="F268" s="74"/>
      <c r="G268" s="74"/>
      <c r="H268" s="74"/>
      <c r="I268" s="74"/>
      <c r="J268" s="74"/>
      <c r="K268" s="74"/>
      <c r="L268" s="74"/>
      <c r="M268" s="74"/>
      <c r="N268" s="74"/>
      <c r="O268" s="74"/>
      <c r="P268" s="74"/>
      <c r="Q268" s="74"/>
      <c r="R268" s="74"/>
      <c r="S268" s="74"/>
      <c r="T268" s="74"/>
      <c r="U268" s="74"/>
      <c r="V268" s="74"/>
      <c r="W268" s="74"/>
      <c r="X268" s="74"/>
      <c r="Y268" s="74"/>
      <c r="Z268" s="74"/>
      <c r="AA268" s="74"/>
      <c r="AB268" s="74"/>
      <c r="AC268" s="74"/>
      <c r="AD268" s="74"/>
      <c r="AE268" s="74"/>
      <c r="AF268" s="74"/>
      <c r="AG268" s="74"/>
      <c r="AH268" s="74"/>
    </row>
    <row r="269" customFormat="false" ht="15" hidden="false" customHeight="false" outlineLevel="0" collapsed="false">
      <c r="A269" s="74"/>
      <c r="B269" s="74"/>
      <c r="C269" s="74"/>
      <c r="D269" s="74"/>
      <c r="E269" s="74"/>
      <c r="F269" s="74"/>
      <c r="G269" s="74"/>
      <c r="H269" s="74"/>
      <c r="I269" s="74"/>
      <c r="J269" s="74"/>
      <c r="K269" s="74"/>
      <c r="L269" s="74"/>
      <c r="M269" s="74"/>
      <c r="N269" s="74"/>
      <c r="O269" s="74"/>
      <c r="P269" s="74"/>
      <c r="Q269" s="74"/>
      <c r="R269" s="74"/>
      <c r="S269" s="74"/>
      <c r="T269" s="74"/>
      <c r="U269" s="74"/>
      <c r="V269" s="74"/>
      <c r="W269" s="74"/>
      <c r="X269" s="74"/>
      <c r="Y269" s="74"/>
      <c r="Z269" s="74"/>
      <c r="AA269" s="74"/>
      <c r="AB269" s="74"/>
      <c r="AC269" s="74"/>
      <c r="AD269" s="74"/>
      <c r="AE269" s="74"/>
      <c r="AF269" s="74"/>
      <c r="AG269" s="74"/>
      <c r="AH269" s="74"/>
    </row>
    <row r="270" customFormat="false" ht="15" hidden="false" customHeight="false" outlineLevel="0" collapsed="false">
      <c r="A270" s="74"/>
      <c r="B270" s="74"/>
      <c r="C270" s="74"/>
      <c r="D270" s="74"/>
      <c r="E270" s="74"/>
      <c r="F270" s="74"/>
      <c r="G270" s="74"/>
      <c r="H270" s="74"/>
      <c r="I270" s="74"/>
      <c r="J270" s="74"/>
      <c r="K270" s="74"/>
      <c r="L270" s="74"/>
      <c r="M270" s="74"/>
      <c r="N270" s="74"/>
      <c r="O270" s="74"/>
      <c r="P270" s="74"/>
      <c r="Q270" s="74"/>
      <c r="R270" s="74"/>
      <c r="S270" s="74"/>
      <c r="T270" s="74"/>
      <c r="U270" s="74"/>
      <c r="V270" s="74"/>
      <c r="W270" s="74"/>
      <c r="X270" s="74"/>
      <c r="Y270" s="74"/>
      <c r="Z270" s="74"/>
      <c r="AA270" s="74"/>
      <c r="AB270" s="74"/>
      <c r="AC270" s="74"/>
      <c r="AD270" s="74"/>
      <c r="AE270" s="74"/>
      <c r="AF270" s="74"/>
      <c r="AG270" s="74"/>
      <c r="AH270" s="74"/>
    </row>
    <row r="271" customFormat="false" ht="15" hidden="false" customHeight="false" outlineLevel="0" collapsed="false">
      <c r="A271" s="74"/>
      <c r="B271" s="74"/>
      <c r="C271" s="74"/>
      <c r="D271" s="74"/>
      <c r="E271" s="74"/>
      <c r="F271" s="74"/>
      <c r="G271" s="74"/>
      <c r="H271" s="74"/>
      <c r="I271" s="74"/>
      <c r="J271" s="74"/>
      <c r="K271" s="74"/>
      <c r="L271" s="74"/>
      <c r="M271" s="74"/>
      <c r="N271" s="74"/>
      <c r="O271" s="74"/>
      <c r="P271" s="74"/>
      <c r="Q271" s="74"/>
      <c r="R271" s="74"/>
      <c r="S271" s="74"/>
      <c r="T271" s="74"/>
      <c r="U271" s="74"/>
      <c r="V271" s="74"/>
      <c r="W271" s="74"/>
      <c r="X271" s="74"/>
      <c r="Y271" s="74"/>
      <c r="Z271" s="74"/>
      <c r="AA271" s="74"/>
      <c r="AB271" s="74"/>
      <c r="AC271" s="74"/>
      <c r="AD271" s="74"/>
      <c r="AE271" s="74"/>
      <c r="AF271" s="74"/>
      <c r="AG271" s="74"/>
      <c r="AH271" s="74"/>
    </row>
    <row r="272" customFormat="false" ht="15" hidden="false" customHeight="false" outlineLevel="0" collapsed="false">
      <c r="A272" s="74"/>
      <c r="B272" s="74"/>
      <c r="C272" s="74"/>
      <c r="D272" s="74"/>
      <c r="E272" s="74"/>
      <c r="F272" s="74"/>
      <c r="G272" s="74"/>
      <c r="H272" s="74"/>
      <c r="I272" s="74"/>
      <c r="J272" s="74"/>
      <c r="K272" s="74"/>
      <c r="L272" s="74"/>
      <c r="M272" s="74"/>
      <c r="N272" s="74"/>
      <c r="O272" s="74"/>
      <c r="P272" s="74"/>
      <c r="Q272" s="74"/>
      <c r="R272" s="74"/>
      <c r="S272" s="74"/>
      <c r="T272" s="74"/>
      <c r="U272" s="74"/>
      <c r="V272" s="74"/>
      <c r="W272" s="74"/>
      <c r="X272" s="74"/>
      <c r="Y272" s="74"/>
      <c r="Z272" s="74"/>
      <c r="AA272" s="74"/>
      <c r="AB272" s="74"/>
      <c r="AC272" s="74"/>
      <c r="AD272" s="74"/>
      <c r="AE272" s="74"/>
      <c r="AF272" s="74"/>
      <c r="AG272" s="74"/>
      <c r="AH272" s="74"/>
    </row>
    <row r="273" customFormat="false" ht="15" hidden="false" customHeight="false" outlineLevel="0" collapsed="false">
      <c r="A273" s="74"/>
      <c r="B273" s="74"/>
      <c r="C273" s="74"/>
      <c r="D273" s="74"/>
      <c r="E273" s="74"/>
      <c r="F273" s="74"/>
      <c r="G273" s="74"/>
      <c r="H273" s="74"/>
      <c r="I273" s="74"/>
      <c r="J273" s="74"/>
      <c r="K273" s="74"/>
      <c r="L273" s="74"/>
      <c r="M273" s="74"/>
      <c r="N273" s="74"/>
      <c r="O273" s="74"/>
      <c r="P273" s="74"/>
      <c r="Q273" s="74"/>
      <c r="R273" s="74"/>
      <c r="S273" s="74"/>
      <c r="T273" s="74"/>
      <c r="U273" s="74"/>
      <c r="V273" s="74"/>
      <c r="W273" s="74"/>
      <c r="X273" s="74"/>
      <c r="Y273" s="74"/>
      <c r="Z273" s="74"/>
      <c r="AA273" s="74"/>
      <c r="AB273" s="74"/>
      <c r="AC273" s="74"/>
      <c r="AD273" s="74"/>
      <c r="AE273" s="74"/>
      <c r="AF273" s="74"/>
      <c r="AG273" s="74"/>
      <c r="AH273" s="74"/>
    </row>
    <row r="274" customFormat="false" ht="15" hidden="false" customHeight="false" outlineLevel="0" collapsed="false">
      <c r="A274" s="74"/>
      <c r="B274" s="74"/>
      <c r="C274" s="74"/>
      <c r="D274" s="74"/>
      <c r="E274" s="74"/>
      <c r="F274" s="74"/>
      <c r="G274" s="74"/>
      <c r="H274" s="74"/>
      <c r="I274" s="74"/>
      <c r="J274" s="74"/>
      <c r="K274" s="74"/>
      <c r="L274" s="74"/>
      <c r="M274" s="74"/>
      <c r="N274" s="74"/>
      <c r="O274" s="74"/>
      <c r="P274" s="74"/>
      <c r="Q274" s="74"/>
      <c r="R274" s="74"/>
      <c r="S274" s="74"/>
      <c r="T274" s="74"/>
      <c r="U274" s="74"/>
      <c r="V274" s="74"/>
      <c r="W274" s="74"/>
      <c r="X274" s="74"/>
      <c r="Y274" s="74"/>
      <c r="Z274" s="74"/>
      <c r="AA274" s="74"/>
      <c r="AB274" s="74"/>
      <c r="AC274" s="74"/>
      <c r="AD274" s="74"/>
      <c r="AE274" s="74"/>
      <c r="AF274" s="74"/>
      <c r="AG274" s="74"/>
      <c r="AH274" s="74"/>
    </row>
    <row r="275" customFormat="false" ht="15" hidden="false" customHeight="false" outlineLevel="0" collapsed="false">
      <c r="A275" s="74"/>
      <c r="B275" s="74"/>
      <c r="C275" s="74"/>
      <c r="D275" s="74"/>
      <c r="E275" s="74"/>
      <c r="F275" s="74"/>
      <c r="G275" s="74"/>
      <c r="H275" s="74"/>
      <c r="I275" s="74"/>
      <c r="J275" s="74"/>
      <c r="K275" s="74"/>
      <c r="L275" s="74"/>
      <c r="M275" s="74"/>
      <c r="N275" s="74"/>
      <c r="O275" s="74"/>
      <c r="P275" s="74"/>
      <c r="Q275" s="74"/>
      <c r="R275" s="74"/>
      <c r="S275" s="74"/>
      <c r="T275" s="74"/>
      <c r="U275" s="74"/>
      <c r="V275" s="74"/>
      <c r="W275" s="74"/>
      <c r="X275" s="74"/>
      <c r="Y275" s="74"/>
      <c r="Z275" s="74"/>
      <c r="AA275" s="74"/>
      <c r="AB275" s="74"/>
      <c r="AC275" s="74"/>
      <c r="AD275" s="74"/>
      <c r="AE275" s="74"/>
      <c r="AF275" s="74"/>
      <c r="AG275" s="74"/>
      <c r="AH275" s="74"/>
    </row>
    <row r="276" customFormat="false" ht="15" hidden="false" customHeight="false" outlineLevel="0" collapsed="false">
      <c r="A276" s="74"/>
      <c r="B276" s="74"/>
      <c r="C276" s="74"/>
      <c r="D276" s="74"/>
      <c r="E276" s="74"/>
      <c r="F276" s="74"/>
      <c r="G276" s="74"/>
      <c r="H276" s="74"/>
      <c r="I276" s="74"/>
      <c r="J276" s="74"/>
      <c r="K276" s="74"/>
      <c r="L276" s="74"/>
      <c r="M276" s="74"/>
      <c r="N276" s="74"/>
      <c r="O276" s="74"/>
      <c r="P276" s="74"/>
      <c r="Q276" s="74"/>
      <c r="R276" s="74"/>
      <c r="S276" s="74"/>
      <c r="T276" s="74"/>
      <c r="U276" s="74"/>
      <c r="V276" s="74"/>
      <c r="W276" s="74"/>
      <c r="X276" s="74"/>
      <c r="Y276" s="74"/>
      <c r="Z276" s="74"/>
      <c r="AA276" s="74"/>
      <c r="AB276" s="74"/>
      <c r="AC276" s="74"/>
      <c r="AD276" s="74"/>
      <c r="AE276" s="74"/>
      <c r="AF276" s="74"/>
      <c r="AG276" s="74"/>
      <c r="AH276" s="74"/>
    </row>
    <row r="277" customFormat="false" ht="15" hidden="false" customHeight="false" outlineLevel="0" collapsed="false">
      <c r="A277" s="74"/>
      <c r="B277" s="74"/>
      <c r="C277" s="74"/>
      <c r="D277" s="74"/>
      <c r="E277" s="74"/>
      <c r="F277" s="74"/>
      <c r="G277" s="74"/>
      <c r="H277" s="74"/>
      <c r="I277" s="74"/>
      <c r="J277" s="74"/>
      <c r="K277" s="74"/>
      <c r="L277" s="74"/>
      <c r="M277" s="74"/>
      <c r="N277" s="74"/>
      <c r="O277" s="74"/>
      <c r="P277" s="74"/>
      <c r="Q277" s="74"/>
      <c r="R277" s="74"/>
      <c r="S277" s="74"/>
      <c r="T277" s="74"/>
      <c r="U277" s="74"/>
      <c r="V277" s="74"/>
      <c r="W277" s="74"/>
      <c r="X277" s="74"/>
      <c r="Y277" s="74"/>
      <c r="Z277" s="74"/>
      <c r="AA277" s="74"/>
      <c r="AB277" s="74"/>
      <c r="AC277" s="74"/>
      <c r="AD277" s="74"/>
      <c r="AE277" s="74"/>
      <c r="AF277" s="74"/>
      <c r="AG277" s="74"/>
      <c r="AH277" s="74"/>
    </row>
    <row r="278" customFormat="false" ht="15" hidden="false" customHeight="false" outlineLevel="0" collapsed="false">
      <c r="A278" s="74"/>
      <c r="B278" s="74"/>
      <c r="C278" s="74"/>
      <c r="D278" s="74"/>
      <c r="E278" s="74"/>
      <c r="F278" s="74"/>
      <c r="G278" s="74"/>
      <c r="H278" s="74"/>
      <c r="I278" s="74"/>
      <c r="J278" s="74"/>
      <c r="K278" s="74"/>
      <c r="L278" s="74"/>
      <c r="M278" s="74"/>
      <c r="N278" s="74"/>
      <c r="O278" s="74"/>
      <c r="P278" s="74"/>
      <c r="Q278" s="74"/>
      <c r="R278" s="74"/>
      <c r="S278" s="74"/>
      <c r="T278" s="74"/>
      <c r="U278" s="74"/>
      <c r="V278" s="74"/>
      <c r="W278" s="74"/>
      <c r="X278" s="74"/>
      <c r="Y278" s="74"/>
      <c r="Z278" s="74"/>
      <c r="AA278" s="74"/>
      <c r="AB278" s="74"/>
      <c r="AC278" s="74"/>
      <c r="AD278" s="74"/>
      <c r="AE278" s="74"/>
      <c r="AF278" s="74"/>
      <c r="AG278" s="74"/>
      <c r="AH278" s="74"/>
    </row>
    <row r="279" customFormat="false" ht="15" hidden="false" customHeight="false" outlineLevel="0" collapsed="false">
      <c r="A279" s="74"/>
      <c r="B279" s="74"/>
      <c r="C279" s="74"/>
      <c r="D279" s="74"/>
      <c r="E279" s="74"/>
      <c r="F279" s="74"/>
      <c r="G279" s="74"/>
      <c r="H279" s="74"/>
      <c r="I279" s="74"/>
      <c r="J279" s="74"/>
      <c r="K279" s="74"/>
      <c r="L279" s="74"/>
      <c r="M279" s="74"/>
      <c r="N279" s="74"/>
      <c r="O279" s="74"/>
      <c r="P279" s="74"/>
      <c r="Q279" s="74"/>
      <c r="R279" s="74"/>
      <c r="S279" s="74"/>
      <c r="T279" s="74"/>
      <c r="U279" s="74"/>
      <c r="V279" s="74"/>
      <c r="W279" s="74"/>
      <c r="X279" s="74"/>
      <c r="Y279" s="74"/>
      <c r="Z279" s="74"/>
      <c r="AA279" s="74"/>
      <c r="AB279" s="74"/>
      <c r="AC279" s="74"/>
      <c r="AD279" s="74"/>
      <c r="AE279" s="74"/>
      <c r="AF279" s="74"/>
      <c r="AG279" s="74"/>
      <c r="AH279" s="74"/>
    </row>
    <row r="280" customFormat="false" ht="15" hidden="false" customHeight="false" outlineLevel="0" collapsed="false">
      <c r="A280" s="74"/>
      <c r="B280" s="74"/>
      <c r="C280" s="74"/>
      <c r="D280" s="74"/>
      <c r="E280" s="74"/>
      <c r="F280" s="74"/>
      <c r="G280" s="74"/>
      <c r="H280" s="74"/>
      <c r="I280" s="74"/>
      <c r="J280" s="74"/>
      <c r="K280" s="74"/>
      <c r="L280" s="74"/>
      <c r="M280" s="74"/>
      <c r="N280" s="74"/>
      <c r="O280" s="74"/>
      <c r="P280" s="74"/>
      <c r="Q280" s="74"/>
      <c r="R280" s="74"/>
      <c r="S280" s="74"/>
      <c r="T280" s="74"/>
      <c r="U280" s="74"/>
      <c r="V280" s="74"/>
      <c r="W280" s="74"/>
      <c r="X280" s="74"/>
      <c r="Y280" s="74"/>
      <c r="Z280" s="74"/>
      <c r="AA280" s="74"/>
      <c r="AB280" s="74"/>
      <c r="AC280" s="74"/>
      <c r="AD280" s="74"/>
      <c r="AE280" s="74"/>
      <c r="AF280" s="74"/>
      <c r="AG280" s="74"/>
      <c r="AH280" s="74"/>
    </row>
    <row r="281" customFormat="false" ht="15" hidden="false" customHeight="false" outlineLevel="0" collapsed="false">
      <c r="A281" s="74"/>
      <c r="B281" s="74"/>
      <c r="C281" s="74"/>
      <c r="D281" s="74"/>
      <c r="E281" s="74"/>
      <c r="F281" s="74"/>
      <c r="G281" s="74"/>
      <c r="H281" s="74"/>
      <c r="I281" s="74"/>
      <c r="J281" s="74"/>
      <c r="K281" s="74"/>
      <c r="L281" s="74"/>
      <c r="M281" s="74"/>
      <c r="N281" s="74"/>
      <c r="O281" s="74"/>
      <c r="P281" s="74"/>
      <c r="Q281" s="74"/>
      <c r="R281" s="74"/>
      <c r="S281" s="74"/>
      <c r="T281" s="74"/>
      <c r="U281" s="74"/>
      <c r="V281" s="74"/>
      <c r="W281" s="74"/>
      <c r="X281" s="74"/>
      <c r="Y281" s="74"/>
      <c r="Z281" s="74"/>
      <c r="AA281" s="74"/>
      <c r="AB281" s="74"/>
      <c r="AC281" s="74"/>
      <c r="AD281" s="74"/>
      <c r="AE281" s="74"/>
      <c r="AF281" s="74"/>
      <c r="AG281" s="74"/>
      <c r="AH281" s="74"/>
    </row>
    <row r="282" customFormat="false" ht="15" hidden="false" customHeight="false" outlineLevel="0" collapsed="false">
      <c r="A282" s="74"/>
      <c r="B282" s="74"/>
      <c r="C282" s="74"/>
      <c r="D282" s="74"/>
      <c r="E282" s="74"/>
      <c r="F282" s="74"/>
      <c r="G282" s="74"/>
      <c r="H282" s="74"/>
      <c r="I282" s="74"/>
      <c r="J282" s="74"/>
      <c r="K282" s="74"/>
      <c r="L282" s="74"/>
      <c r="M282" s="74"/>
      <c r="N282" s="74"/>
      <c r="O282" s="74"/>
      <c r="P282" s="74"/>
      <c r="Q282" s="74"/>
      <c r="R282" s="74"/>
      <c r="S282" s="74"/>
      <c r="T282" s="74"/>
      <c r="U282" s="74"/>
      <c r="V282" s="74"/>
      <c r="W282" s="74"/>
      <c r="X282" s="74"/>
      <c r="Y282" s="74"/>
      <c r="Z282" s="74"/>
      <c r="AA282" s="74"/>
      <c r="AB282" s="74"/>
      <c r="AC282" s="74"/>
      <c r="AD282" s="74"/>
      <c r="AE282" s="74"/>
      <c r="AF282" s="74"/>
      <c r="AG282" s="74"/>
      <c r="AH282" s="74"/>
    </row>
    <row r="283" customFormat="false" ht="15" hidden="false" customHeight="false" outlineLevel="0" collapsed="false">
      <c r="A283" s="74"/>
      <c r="B283" s="74"/>
      <c r="C283" s="74"/>
      <c r="D283" s="74"/>
      <c r="E283" s="74"/>
      <c r="F283" s="74"/>
      <c r="G283" s="74"/>
      <c r="H283" s="74"/>
      <c r="I283" s="74"/>
      <c r="J283" s="74"/>
      <c r="K283" s="74"/>
      <c r="L283" s="74"/>
      <c r="M283" s="74"/>
      <c r="N283" s="74"/>
      <c r="O283" s="74"/>
      <c r="P283" s="74"/>
      <c r="Q283" s="74"/>
      <c r="R283" s="74"/>
      <c r="S283" s="74"/>
      <c r="T283" s="74"/>
      <c r="U283" s="74"/>
      <c r="V283" s="74"/>
      <c r="W283" s="74"/>
      <c r="X283" s="74"/>
      <c r="Y283" s="74"/>
      <c r="Z283" s="74"/>
      <c r="AA283" s="74"/>
      <c r="AB283" s="74"/>
      <c r="AC283" s="74"/>
      <c r="AD283" s="74"/>
      <c r="AE283" s="74"/>
      <c r="AF283" s="74"/>
      <c r="AG283" s="74"/>
      <c r="AH283" s="74"/>
    </row>
    <row r="284" customFormat="false" ht="15" hidden="false" customHeight="false" outlineLevel="0" collapsed="false">
      <c r="A284" s="74"/>
      <c r="B284" s="74"/>
      <c r="C284" s="74"/>
      <c r="D284" s="74"/>
      <c r="E284" s="74"/>
      <c r="F284" s="74"/>
      <c r="G284" s="74"/>
      <c r="H284" s="74"/>
      <c r="I284" s="74"/>
      <c r="J284" s="74"/>
      <c r="K284" s="74"/>
      <c r="L284" s="74"/>
      <c r="M284" s="74"/>
      <c r="N284" s="74"/>
      <c r="O284" s="74"/>
      <c r="P284" s="74"/>
      <c r="Q284" s="74"/>
      <c r="R284" s="74"/>
      <c r="S284" s="74"/>
      <c r="T284" s="74"/>
      <c r="U284" s="74"/>
      <c r="V284" s="74"/>
      <c r="W284" s="74"/>
      <c r="X284" s="74"/>
      <c r="Y284" s="74"/>
      <c r="Z284" s="74"/>
      <c r="AA284" s="74"/>
      <c r="AB284" s="74"/>
      <c r="AC284" s="74"/>
      <c r="AD284" s="74"/>
      <c r="AE284" s="74"/>
      <c r="AF284" s="74"/>
      <c r="AG284" s="74"/>
      <c r="AH284" s="74"/>
    </row>
    <row r="285" customFormat="false" ht="15" hidden="false" customHeight="false" outlineLevel="0" collapsed="false">
      <c r="A285" s="74"/>
      <c r="B285" s="74"/>
      <c r="C285" s="74"/>
      <c r="D285" s="74"/>
      <c r="E285" s="74"/>
      <c r="F285" s="74"/>
      <c r="G285" s="74"/>
      <c r="H285" s="74"/>
      <c r="I285" s="74"/>
      <c r="J285" s="74"/>
      <c r="K285" s="74"/>
      <c r="L285" s="74"/>
      <c r="M285" s="74"/>
      <c r="N285" s="74"/>
      <c r="O285" s="74"/>
      <c r="P285" s="74"/>
      <c r="Q285" s="74"/>
      <c r="R285" s="74"/>
      <c r="S285" s="74"/>
      <c r="T285" s="74"/>
      <c r="U285" s="74"/>
      <c r="V285" s="74"/>
      <c r="W285" s="74"/>
      <c r="X285" s="74"/>
      <c r="Y285" s="74"/>
      <c r="Z285" s="74"/>
      <c r="AA285" s="74"/>
      <c r="AB285" s="74"/>
      <c r="AC285" s="74"/>
      <c r="AD285" s="74"/>
      <c r="AE285" s="74"/>
      <c r="AF285" s="74"/>
      <c r="AG285" s="74"/>
      <c r="AH285" s="74"/>
    </row>
    <row r="286" customFormat="false" ht="15" hidden="false" customHeight="false" outlineLevel="0" collapsed="false">
      <c r="A286" s="74"/>
      <c r="B286" s="74"/>
      <c r="C286" s="74"/>
      <c r="D286" s="74"/>
      <c r="E286" s="74"/>
      <c r="F286" s="74"/>
      <c r="G286" s="74"/>
      <c r="H286" s="74"/>
      <c r="I286" s="74"/>
      <c r="J286" s="74"/>
      <c r="K286" s="74"/>
      <c r="L286" s="74"/>
      <c r="M286" s="74"/>
      <c r="N286" s="74"/>
      <c r="O286" s="74"/>
      <c r="P286" s="74"/>
      <c r="Q286" s="74"/>
      <c r="R286" s="74"/>
      <c r="S286" s="74"/>
      <c r="T286" s="74"/>
      <c r="U286" s="74"/>
      <c r="V286" s="74"/>
      <c r="W286" s="74"/>
      <c r="X286" s="74"/>
      <c r="Y286" s="74"/>
      <c r="Z286" s="74"/>
      <c r="AA286" s="74"/>
      <c r="AB286" s="74"/>
      <c r="AC286" s="74"/>
      <c r="AD286" s="74"/>
      <c r="AE286" s="74"/>
      <c r="AF286" s="74"/>
      <c r="AG286" s="74"/>
      <c r="AH286" s="74"/>
    </row>
    <row r="287" customFormat="false" ht="15" hidden="false" customHeight="false" outlineLevel="0" collapsed="false">
      <c r="A287" s="74"/>
      <c r="B287" s="74"/>
      <c r="C287" s="74"/>
      <c r="D287" s="74"/>
      <c r="E287" s="74"/>
      <c r="F287" s="74"/>
      <c r="G287" s="74"/>
      <c r="H287" s="74"/>
      <c r="I287" s="74"/>
      <c r="J287" s="74"/>
      <c r="K287" s="74"/>
      <c r="L287" s="74"/>
      <c r="M287" s="74"/>
      <c r="N287" s="74"/>
      <c r="O287" s="74"/>
      <c r="P287" s="74"/>
      <c r="Q287" s="74"/>
      <c r="R287" s="74"/>
      <c r="S287" s="74"/>
      <c r="T287" s="74"/>
      <c r="U287" s="74"/>
      <c r="V287" s="74"/>
      <c r="W287" s="74"/>
      <c r="X287" s="74"/>
      <c r="Y287" s="74"/>
      <c r="Z287" s="74"/>
      <c r="AA287" s="74"/>
      <c r="AB287" s="74"/>
      <c r="AC287" s="74"/>
      <c r="AD287" s="74"/>
      <c r="AE287" s="74"/>
      <c r="AF287" s="74"/>
      <c r="AG287" s="74"/>
      <c r="AH287" s="74"/>
    </row>
    <row r="288" customFormat="false" ht="15" hidden="false" customHeight="false" outlineLevel="0" collapsed="false">
      <c r="A288" s="74"/>
      <c r="B288" s="74"/>
      <c r="C288" s="74"/>
      <c r="D288" s="74"/>
      <c r="E288" s="74"/>
      <c r="F288" s="74"/>
      <c r="G288" s="74"/>
      <c r="H288" s="74"/>
      <c r="I288" s="74"/>
      <c r="J288" s="74"/>
      <c r="K288" s="74"/>
      <c r="L288" s="74"/>
      <c r="M288" s="74"/>
      <c r="N288" s="74"/>
      <c r="O288" s="74"/>
      <c r="P288" s="74"/>
      <c r="Q288" s="74"/>
      <c r="R288" s="74"/>
      <c r="S288" s="74"/>
      <c r="T288" s="74"/>
      <c r="U288" s="74"/>
      <c r="V288" s="74"/>
      <c r="W288" s="74"/>
      <c r="X288" s="74"/>
      <c r="Y288" s="74"/>
      <c r="Z288" s="74"/>
      <c r="AA288" s="74"/>
      <c r="AB288" s="74"/>
      <c r="AC288" s="74"/>
      <c r="AD288" s="74"/>
      <c r="AE288" s="74"/>
      <c r="AF288" s="74"/>
      <c r="AG288" s="74"/>
      <c r="AH288" s="74"/>
    </row>
    <row r="289" customFormat="false" ht="15" hidden="false" customHeight="false" outlineLevel="0" collapsed="false">
      <c r="A289" s="74"/>
      <c r="B289" s="74"/>
      <c r="C289" s="74"/>
      <c r="D289" s="74"/>
      <c r="E289" s="74"/>
      <c r="F289" s="74"/>
      <c r="G289" s="74"/>
      <c r="H289" s="74"/>
      <c r="I289" s="74"/>
      <c r="J289" s="74"/>
      <c r="K289" s="74"/>
      <c r="L289" s="74"/>
      <c r="M289" s="74"/>
      <c r="N289" s="74"/>
      <c r="O289" s="74"/>
      <c r="P289" s="74"/>
      <c r="Q289" s="74"/>
      <c r="R289" s="74"/>
      <c r="S289" s="74"/>
      <c r="T289" s="74"/>
      <c r="U289" s="74"/>
      <c r="V289" s="74"/>
      <c r="W289" s="74"/>
      <c r="X289" s="74"/>
      <c r="Y289" s="74"/>
      <c r="Z289" s="74"/>
      <c r="AA289" s="74"/>
      <c r="AB289" s="74"/>
      <c r="AC289" s="74"/>
      <c r="AD289" s="74"/>
      <c r="AE289" s="74"/>
      <c r="AF289" s="74"/>
      <c r="AG289" s="74"/>
      <c r="AH289" s="74"/>
    </row>
    <row r="290" customFormat="false" ht="15" hidden="false" customHeight="false" outlineLevel="0" collapsed="false">
      <c r="A290" s="74"/>
      <c r="B290" s="74"/>
      <c r="C290" s="74"/>
      <c r="D290" s="74"/>
      <c r="E290" s="74"/>
      <c r="F290" s="74"/>
      <c r="G290" s="74"/>
      <c r="H290" s="74"/>
      <c r="I290" s="74"/>
      <c r="J290" s="74"/>
      <c r="K290" s="74"/>
      <c r="L290" s="74"/>
      <c r="M290" s="74"/>
      <c r="N290" s="74"/>
      <c r="O290" s="74"/>
      <c r="P290" s="74"/>
      <c r="Q290" s="74"/>
      <c r="R290" s="74"/>
      <c r="S290" s="74"/>
      <c r="T290" s="74"/>
      <c r="U290" s="74"/>
      <c r="V290" s="74"/>
      <c r="W290" s="74"/>
      <c r="X290" s="74"/>
      <c r="Y290" s="74"/>
      <c r="Z290" s="74"/>
      <c r="AA290" s="74"/>
      <c r="AB290" s="74"/>
      <c r="AC290" s="74"/>
      <c r="AD290" s="74"/>
      <c r="AE290" s="74"/>
      <c r="AF290" s="74"/>
      <c r="AG290" s="74"/>
      <c r="AH290" s="74"/>
    </row>
    <row r="291" customFormat="false" ht="15" hidden="false" customHeight="false" outlineLevel="0" collapsed="false">
      <c r="A291" s="74"/>
      <c r="B291" s="74"/>
      <c r="C291" s="74"/>
      <c r="D291" s="74"/>
      <c r="E291" s="74"/>
      <c r="F291" s="74"/>
      <c r="G291" s="74"/>
      <c r="H291" s="74"/>
      <c r="I291" s="74"/>
      <c r="J291" s="74"/>
      <c r="K291" s="74"/>
      <c r="L291" s="74"/>
      <c r="M291" s="74"/>
      <c r="N291" s="74"/>
      <c r="O291" s="74"/>
      <c r="P291" s="74"/>
      <c r="Q291" s="74"/>
      <c r="R291" s="74"/>
      <c r="S291" s="74"/>
      <c r="T291" s="74"/>
      <c r="U291" s="74"/>
      <c r="V291" s="74"/>
      <c r="W291" s="74"/>
      <c r="X291" s="74"/>
      <c r="Y291" s="74"/>
      <c r="Z291" s="74"/>
      <c r="AA291" s="74"/>
      <c r="AB291" s="74"/>
      <c r="AC291" s="74"/>
      <c r="AD291" s="74"/>
      <c r="AE291" s="74"/>
      <c r="AF291" s="74"/>
      <c r="AG291" s="74"/>
      <c r="AH291" s="74"/>
    </row>
    <row r="292" customFormat="false" ht="15" hidden="false" customHeight="false" outlineLevel="0" collapsed="false">
      <c r="A292" s="74"/>
      <c r="B292" s="74"/>
      <c r="C292" s="74"/>
      <c r="D292" s="74"/>
      <c r="E292" s="74"/>
      <c r="F292" s="74"/>
      <c r="G292" s="74"/>
      <c r="H292" s="74"/>
      <c r="I292" s="74"/>
      <c r="J292" s="74"/>
      <c r="K292" s="74"/>
      <c r="L292" s="74"/>
      <c r="M292" s="74"/>
      <c r="N292" s="74"/>
      <c r="O292" s="74"/>
      <c r="P292" s="74"/>
      <c r="Q292" s="74"/>
      <c r="R292" s="74"/>
      <c r="S292" s="74"/>
      <c r="T292" s="74"/>
      <c r="U292" s="74"/>
      <c r="V292" s="74"/>
      <c r="W292" s="74"/>
      <c r="X292" s="74"/>
      <c r="Y292" s="74"/>
      <c r="Z292" s="74"/>
      <c r="AA292" s="74"/>
      <c r="AB292" s="74"/>
      <c r="AC292" s="74"/>
      <c r="AD292" s="74"/>
      <c r="AE292" s="74"/>
      <c r="AF292" s="74"/>
      <c r="AG292" s="74"/>
      <c r="AH292" s="74"/>
    </row>
    <row r="293" customFormat="false" ht="15" hidden="false" customHeight="false" outlineLevel="0" collapsed="false">
      <c r="A293" s="74"/>
      <c r="B293" s="74"/>
      <c r="C293" s="74"/>
      <c r="D293" s="74"/>
      <c r="E293" s="74"/>
      <c r="F293" s="74"/>
      <c r="G293" s="74"/>
      <c r="H293" s="74"/>
      <c r="I293" s="74"/>
      <c r="J293" s="74"/>
      <c r="K293" s="74"/>
      <c r="L293" s="74"/>
      <c r="M293" s="74"/>
      <c r="N293" s="74"/>
      <c r="O293" s="74"/>
      <c r="P293" s="74"/>
      <c r="Q293" s="74"/>
      <c r="R293" s="74"/>
      <c r="S293" s="74"/>
      <c r="T293" s="74"/>
      <c r="U293" s="74"/>
      <c r="V293" s="74"/>
      <c r="W293" s="74"/>
      <c r="X293" s="74"/>
      <c r="Y293" s="74"/>
      <c r="Z293" s="74"/>
      <c r="AA293" s="74"/>
      <c r="AB293" s="74"/>
      <c r="AC293" s="74"/>
      <c r="AD293" s="74"/>
      <c r="AE293" s="74"/>
      <c r="AF293" s="74"/>
      <c r="AG293" s="74"/>
      <c r="AH293" s="74"/>
    </row>
    <row r="294" customFormat="false" ht="15" hidden="false" customHeight="false" outlineLevel="0" collapsed="false">
      <c r="A294" s="74"/>
      <c r="B294" s="74"/>
      <c r="C294" s="74"/>
      <c r="D294" s="74"/>
      <c r="E294" s="74"/>
      <c r="F294" s="74"/>
      <c r="G294" s="74"/>
      <c r="H294" s="74"/>
      <c r="I294" s="74"/>
      <c r="J294" s="74"/>
      <c r="K294" s="74"/>
      <c r="L294" s="74"/>
      <c r="M294" s="74"/>
      <c r="N294" s="74"/>
      <c r="O294" s="74"/>
      <c r="P294" s="74"/>
      <c r="Q294" s="74"/>
      <c r="R294" s="74"/>
      <c r="S294" s="74"/>
      <c r="T294" s="74"/>
      <c r="U294" s="74"/>
      <c r="V294" s="74"/>
      <c r="W294" s="74"/>
      <c r="X294" s="74"/>
      <c r="Y294" s="74"/>
      <c r="Z294" s="74"/>
      <c r="AA294" s="74"/>
      <c r="AB294" s="74"/>
      <c r="AC294" s="74"/>
      <c r="AD294" s="74"/>
      <c r="AE294" s="74"/>
      <c r="AF294" s="74"/>
      <c r="AG294" s="74"/>
      <c r="AH294" s="74"/>
    </row>
    <row r="295" customFormat="false" ht="15" hidden="false" customHeight="false" outlineLevel="0" collapsed="false">
      <c r="A295" s="74"/>
      <c r="B295" s="74"/>
      <c r="C295" s="74"/>
      <c r="D295" s="74"/>
      <c r="E295" s="74"/>
      <c r="F295" s="74"/>
      <c r="G295" s="74"/>
      <c r="H295" s="74"/>
      <c r="I295" s="74"/>
      <c r="J295" s="74"/>
      <c r="K295" s="74"/>
      <c r="L295" s="74"/>
      <c r="M295" s="74"/>
      <c r="N295" s="74"/>
      <c r="O295" s="74"/>
      <c r="P295" s="74"/>
      <c r="Q295" s="74"/>
      <c r="R295" s="74"/>
      <c r="S295" s="74"/>
      <c r="T295" s="74"/>
      <c r="U295" s="74"/>
      <c r="V295" s="74"/>
      <c r="W295" s="74"/>
      <c r="X295" s="74"/>
      <c r="Y295" s="74"/>
      <c r="Z295" s="74"/>
      <c r="AA295" s="74"/>
      <c r="AB295" s="74"/>
      <c r="AC295" s="74"/>
      <c r="AD295" s="74"/>
      <c r="AE295" s="74"/>
      <c r="AF295" s="74"/>
      <c r="AG295" s="74"/>
      <c r="AH295" s="74"/>
    </row>
    <row r="296" customFormat="false" ht="15" hidden="false" customHeight="false" outlineLevel="0" collapsed="false">
      <c r="A296" s="74"/>
      <c r="B296" s="74"/>
      <c r="C296" s="74"/>
      <c r="D296" s="74"/>
      <c r="E296" s="74"/>
      <c r="F296" s="74"/>
      <c r="G296" s="74"/>
      <c r="H296" s="74"/>
      <c r="I296" s="74"/>
      <c r="J296" s="74"/>
      <c r="K296" s="74"/>
      <c r="L296" s="74"/>
      <c r="M296" s="74"/>
      <c r="N296" s="74"/>
      <c r="O296" s="74"/>
      <c r="P296" s="74"/>
      <c r="Q296" s="74"/>
      <c r="R296" s="74"/>
      <c r="S296" s="74"/>
      <c r="T296" s="74"/>
      <c r="U296" s="74"/>
      <c r="V296" s="74"/>
      <c r="W296" s="74"/>
      <c r="X296" s="74"/>
      <c r="Y296" s="74"/>
      <c r="Z296" s="74"/>
      <c r="AA296" s="74"/>
      <c r="AB296" s="74"/>
      <c r="AC296" s="74"/>
      <c r="AD296" s="74"/>
      <c r="AE296" s="74"/>
      <c r="AF296" s="74"/>
      <c r="AG296" s="74"/>
      <c r="AH296" s="74"/>
    </row>
    <row r="297" customFormat="false" ht="15" hidden="false" customHeight="false" outlineLevel="0" collapsed="false">
      <c r="A297" s="74"/>
      <c r="B297" s="74"/>
      <c r="C297" s="74"/>
      <c r="D297" s="74"/>
      <c r="E297" s="74"/>
      <c r="F297" s="74"/>
      <c r="G297" s="74"/>
      <c r="H297" s="74"/>
      <c r="I297" s="74"/>
      <c r="J297" s="74"/>
      <c r="K297" s="74"/>
      <c r="L297" s="74"/>
      <c r="M297" s="74"/>
      <c r="N297" s="74"/>
      <c r="O297" s="74"/>
      <c r="P297" s="74"/>
      <c r="Q297" s="74"/>
      <c r="R297" s="74"/>
      <c r="S297" s="74"/>
      <c r="T297" s="74"/>
      <c r="U297" s="74"/>
      <c r="V297" s="74"/>
      <c r="W297" s="74"/>
      <c r="X297" s="74"/>
      <c r="Y297" s="74"/>
      <c r="Z297" s="74"/>
      <c r="AA297" s="74"/>
      <c r="AB297" s="74"/>
      <c r="AC297" s="74"/>
      <c r="AD297" s="74"/>
      <c r="AE297" s="74"/>
      <c r="AF297" s="74"/>
      <c r="AG297" s="74"/>
      <c r="AH297" s="74"/>
    </row>
    <row r="298" customFormat="false" ht="15" hidden="false" customHeight="false" outlineLevel="0" collapsed="false">
      <c r="A298" s="74"/>
      <c r="B298" s="74"/>
      <c r="C298" s="74"/>
      <c r="D298" s="74"/>
      <c r="E298" s="74"/>
      <c r="F298" s="74"/>
      <c r="G298" s="74"/>
      <c r="H298" s="74"/>
      <c r="I298" s="74"/>
      <c r="J298" s="74"/>
      <c r="K298" s="74"/>
      <c r="L298" s="74"/>
      <c r="M298" s="74"/>
      <c r="N298" s="74"/>
      <c r="O298" s="74"/>
      <c r="P298" s="74"/>
      <c r="Q298" s="74"/>
      <c r="R298" s="74"/>
      <c r="S298" s="74"/>
      <c r="T298" s="74"/>
      <c r="U298" s="74"/>
      <c r="V298" s="74"/>
      <c r="W298" s="74"/>
      <c r="X298" s="74"/>
      <c r="Y298" s="74"/>
      <c r="Z298" s="74"/>
      <c r="AA298" s="74"/>
      <c r="AB298" s="74"/>
      <c r="AC298" s="74"/>
      <c r="AD298" s="74"/>
      <c r="AE298" s="74"/>
      <c r="AF298" s="74"/>
      <c r="AG298" s="74"/>
      <c r="AH298" s="74"/>
    </row>
    <row r="299" customFormat="false" ht="15" hidden="false" customHeight="false" outlineLevel="0" collapsed="false">
      <c r="A299" s="74"/>
      <c r="B299" s="74"/>
      <c r="C299" s="74"/>
      <c r="D299" s="74"/>
      <c r="E299" s="74"/>
      <c r="F299" s="74"/>
      <c r="G299" s="74"/>
      <c r="H299" s="74"/>
      <c r="I299" s="74"/>
      <c r="J299" s="74"/>
      <c r="K299" s="74"/>
      <c r="L299" s="74"/>
      <c r="M299" s="74"/>
      <c r="N299" s="74"/>
      <c r="O299" s="74"/>
      <c r="P299" s="74"/>
      <c r="Q299" s="74"/>
      <c r="R299" s="74"/>
      <c r="S299" s="74"/>
      <c r="T299" s="74"/>
      <c r="U299" s="74"/>
      <c r="V299" s="74"/>
      <c r="W299" s="74"/>
      <c r="X299" s="74"/>
      <c r="Y299" s="74"/>
      <c r="Z299" s="74"/>
      <c r="AA299" s="74"/>
      <c r="AB299" s="74"/>
      <c r="AC299" s="74"/>
      <c r="AD299" s="74"/>
      <c r="AE299" s="74"/>
      <c r="AF299" s="74"/>
      <c r="AG299" s="74"/>
      <c r="AH299" s="74"/>
    </row>
    <row r="300" customFormat="false" ht="15" hidden="false" customHeight="false" outlineLevel="0" collapsed="false">
      <c r="A300" s="74"/>
      <c r="B300" s="74"/>
      <c r="C300" s="74"/>
      <c r="D300" s="74"/>
      <c r="E300" s="74"/>
      <c r="F300" s="74"/>
      <c r="G300" s="74"/>
      <c r="H300" s="74"/>
      <c r="I300" s="74"/>
      <c r="J300" s="74"/>
      <c r="K300" s="74"/>
      <c r="L300" s="74"/>
      <c r="M300" s="74"/>
      <c r="N300" s="74"/>
      <c r="O300" s="74"/>
      <c r="P300" s="74"/>
      <c r="Q300" s="74"/>
      <c r="R300" s="74"/>
      <c r="S300" s="74"/>
      <c r="T300" s="74"/>
      <c r="U300" s="74"/>
      <c r="V300" s="74"/>
      <c r="W300" s="74"/>
      <c r="X300" s="74"/>
      <c r="Y300" s="74"/>
      <c r="Z300" s="74"/>
      <c r="AA300" s="74"/>
      <c r="AB300" s="74"/>
      <c r="AC300" s="74"/>
      <c r="AD300" s="74"/>
      <c r="AE300" s="74"/>
      <c r="AF300" s="74"/>
      <c r="AG300" s="74"/>
      <c r="AH300" s="74"/>
    </row>
    <row r="301" customFormat="false" ht="15" hidden="false" customHeight="false" outlineLevel="0" collapsed="false">
      <c r="A301" s="74"/>
      <c r="B301" s="74"/>
      <c r="C301" s="74"/>
      <c r="D301" s="74"/>
      <c r="E301" s="74"/>
      <c r="F301" s="74"/>
      <c r="G301" s="74"/>
      <c r="H301" s="74"/>
      <c r="I301" s="74"/>
      <c r="J301" s="74"/>
      <c r="K301" s="74"/>
      <c r="L301" s="74"/>
      <c r="M301" s="74"/>
      <c r="N301" s="74"/>
      <c r="O301" s="74"/>
      <c r="P301" s="74"/>
      <c r="Q301" s="74"/>
      <c r="R301" s="74"/>
      <c r="S301" s="74"/>
      <c r="T301" s="74"/>
      <c r="U301" s="74"/>
      <c r="V301" s="74"/>
      <c r="W301" s="74"/>
      <c r="X301" s="74"/>
      <c r="Y301" s="74"/>
      <c r="Z301" s="74"/>
      <c r="AA301" s="74"/>
      <c r="AB301" s="74"/>
      <c r="AC301" s="74"/>
      <c r="AD301" s="74"/>
      <c r="AE301" s="74"/>
      <c r="AF301" s="74"/>
      <c r="AG301" s="74"/>
      <c r="AH301" s="74"/>
    </row>
    <row r="302" customFormat="false" ht="15" hidden="false" customHeight="false" outlineLevel="0" collapsed="false">
      <c r="A302" s="74"/>
      <c r="B302" s="74"/>
      <c r="C302" s="74"/>
      <c r="D302" s="74"/>
      <c r="E302" s="74"/>
      <c r="F302" s="74"/>
      <c r="G302" s="74"/>
      <c r="H302" s="74"/>
      <c r="I302" s="74"/>
      <c r="J302" s="74"/>
      <c r="K302" s="74"/>
      <c r="L302" s="74"/>
      <c r="M302" s="74"/>
      <c r="N302" s="74"/>
      <c r="O302" s="74"/>
      <c r="P302" s="74"/>
      <c r="Q302" s="74"/>
      <c r="R302" s="74"/>
      <c r="S302" s="74"/>
      <c r="T302" s="74"/>
      <c r="U302" s="74"/>
      <c r="V302" s="74"/>
      <c r="W302" s="74"/>
      <c r="X302" s="74"/>
      <c r="Y302" s="74"/>
      <c r="Z302" s="74"/>
      <c r="AA302" s="74"/>
      <c r="AB302" s="74"/>
      <c r="AC302" s="74"/>
      <c r="AD302" s="74"/>
      <c r="AE302" s="74"/>
      <c r="AF302" s="74"/>
      <c r="AG302" s="74"/>
      <c r="AH302" s="74"/>
    </row>
    <row r="303" customFormat="false" ht="15" hidden="false" customHeight="false" outlineLevel="0" collapsed="false">
      <c r="A303" s="74"/>
      <c r="B303" s="74"/>
      <c r="C303" s="74"/>
      <c r="D303" s="74"/>
      <c r="E303" s="74"/>
      <c r="F303" s="74"/>
      <c r="G303" s="74"/>
      <c r="H303" s="74"/>
      <c r="I303" s="74"/>
      <c r="J303" s="74"/>
      <c r="K303" s="74"/>
      <c r="L303" s="74"/>
      <c r="M303" s="74"/>
      <c r="N303" s="74"/>
      <c r="O303" s="74"/>
      <c r="P303" s="74"/>
      <c r="Q303" s="74"/>
      <c r="R303" s="74"/>
      <c r="S303" s="74"/>
      <c r="T303" s="74"/>
      <c r="U303" s="74"/>
      <c r="V303" s="74"/>
      <c r="W303" s="74"/>
      <c r="X303" s="74"/>
      <c r="Y303" s="74"/>
      <c r="Z303" s="74"/>
      <c r="AA303" s="74"/>
      <c r="AB303" s="74"/>
      <c r="AC303" s="74"/>
      <c r="AD303" s="74"/>
      <c r="AE303" s="74"/>
      <c r="AF303" s="74"/>
      <c r="AG303" s="74"/>
      <c r="AH303" s="74"/>
    </row>
    <row r="304" customFormat="false" ht="15" hidden="false" customHeight="false" outlineLevel="0" collapsed="false">
      <c r="A304" s="74"/>
      <c r="B304" s="74"/>
      <c r="C304" s="74"/>
      <c r="D304" s="74"/>
      <c r="E304" s="74"/>
      <c r="F304" s="74"/>
      <c r="G304" s="74"/>
      <c r="H304" s="74"/>
      <c r="I304" s="74"/>
      <c r="J304" s="74"/>
      <c r="K304" s="74"/>
      <c r="L304" s="74"/>
      <c r="M304" s="74"/>
      <c r="N304" s="74"/>
      <c r="O304" s="74"/>
      <c r="P304" s="74"/>
      <c r="Q304" s="74"/>
      <c r="R304" s="74"/>
      <c r="S304" s="74"/>
      <c r="T304" s="74"/>
      <c r="U304" s="74"/>
      <c r="V304" s="74"/>
      <c r="W304" s="74"/>
      <c r="X304" s="74"/>
      <c r="Y304" s="74"/>
      <c r="Z304" s="74"/>
      <c r="AA304" s="74"/>
      <c r="AB304" s="74"/>
      <c r="AC304" s="74"/>
      <c r="AD304" s="74"/>
      <c r="AE304" s="74"/>
      <c r="AF304" s="74"/>
      <c r="AG304" s="74"/>
      <c r="AH304" s="74"/>
    </row>
    <row r="305" customFormat="false" ht="15" hidden="false" customHeight="false" outlineLevel="0" collapsed="false">
      <c r="A305" s="74"/>
      <c r="B305" s="74"/>
      <c r="C305" s="74"/>
      <c r="D305" s="74"/>
      <c r="E305" s="74"/>
      <c r="F305" s="74"/>
      <c r="G305" s="74"/>
      <c r="H305" s="74"/>
      <c r="I305" s="74"/>
      <c r="J305" s="74"/>
      <c r="K305" s="74"/>
      <c r="L305" s="74"/>
      <c r="M305" s="74"/>
      <c r="N305" s="74"/>
      <c r="O305" s="74"/>
      <c r="P305" s="74"/>
      <c r="Q305" s="74"/>
      <c r="R305" s="74"/>
      <c r="S305" s="74"/>
      <c r="T305" s="74"/>
      <c r="U305" s="74"/>
      <c r="V305" s="74"/>
      <c r="W305" s="74"/>
      <c r="X305" s="74"/>
      <c r="Y305" s="74"/>
      <c r="Z305" s="74"/>
      <c r="AA305" s="74"/>
      <c r="AB305" s="74"/>
      <c r="AC305" s="74"/>
      <c r="AD305" s="74"/>
      <c r="AE305" s="74"/>
      <c r="AF305" s="74"/>
      <c r="AG305" s="74"/>
      <c r="AH305" s="74"/>
    </row>
    <row r="306" customFormat="false" ht="15" hidden="false" customHeight="false" outlineLevel="0" collapsed="false">
      <c r="A306" s="74"/>
      <c r="B306" s="74"/>
      <c r="C306" s="74"/>
      <c r="D306" s="74"/>
      <c r="E306" s="74"/>
      <c r="F306" s="74"/>
      <c r="G306" s="74"/>
      <c r="H306" s="74"/>
      <c r="I306" s="74"/>
      <c r="J306" s="74"/>
      <c r="K306" s="74"/>
      <c r="L306" s="74"/>
      <c r="M306" s="74"/>
      <c r="N306" s="74"/>
      <c r="O306" s="74"/>
      <c r="P306" s="74"/>
      <c r="Q306" s="74"/>
      <c r="R306" s="74"/>
      <c r="S306" s="74"/>
      <c r="T306" s="74"/>
      <c r="U306" s="74"/>
      <c r="V306" s="74"/>
      <c r="W306" s="74"/>
      <c r="X306" s="74"/>
      <c r="Y306" s="74"/>
      <c r="Z306" s="74"/>
      <c r="AA306" s="74"/>
      <c r="AB306" s="74"/>
      <c r="AC306" s="74"/>
      <c r="AD306" s="74"/>
      <c r="AE306" s="74"/>
      <c r="AF306" s="74"/>
      <c r="AG306" s="74"/>
      <c r="AH306" s="74"/>
    </row>
    <row r="307" customFormat="false" ht="15" hidden="false" customHeight="false" outlineLevel="0" collapsed="false">
      <c r="A307" s="74"/>
      <c r="B307" s="74"/>
      <c r="C307" s="74"/>
      <c r="D307" s="74"/>
      <c r="E307" s="74"/>
      <c r="F307" s="74"/>
      <c r="G307" s="74"/>
      <c r="H307" s="74"/>
      <c r="I307" s="74"/>
      <c r="J307" s="74"/>
      <c r="K307" s="74"/>
      <c r="L307" s="74"/>
      <c r="M307" s="74"/>
      <c r="N307" s="74"/>
      <c r="O307" s="74"/>
      <c r="P307" s="74"/>
      <c r="Q307" s="74"/>
      <c r="R307" s="74"/>
      <c r="S307" s="74"/>
      <c r="T307" s="74"/>
      <c r="U307" s="74"/>
      <c r="V307" s="74"/>
      <c r="W307" s="74"/>
      <c r="X307" s="74"/>
      <c r="Y307" s="74"/>
      <c r="Z307" s="74"/>
      <c r="AA307" s="74"/>
      <c r="AB307" s="74"/>
      <c r="AC307" s="74"/>
      <c r="AD307" s="74"/>
      <c r="AE307" s="74"/>
      <c r="AF307" s="74"/>
      <c r="AG307" s="74"/>
      <c r="AH307" s="74"/>
    </row>
    <row r="308" customFormat="false" ht="15" hidden="false" customHeight="false" outlineLevel="0" collapsed="false">
      <c r="A308" s="74"/>
      <c r="B308" s="74"/>
      <c r="C308" s="74"/>
      <c r="D308" s="74"/>
      <c r="E308" s="74"/>
      <c r="F308" s="74"/>
      <c r="G308" s="74"/>
      <c r="H308" s="74"/>
      <c r="I308" s="74"/>
      <c r="J308" s="74"/>
      <c r="K308" s="74"/>
      <c r="L308" s="74"/>
      <c r="M308" s="74"/>
      <c r="N308" s="74"/>
      <c r="O308" s="74"/>
      <c r="P308" s="74"/>
      <c r="Q308" s="74"/>
      <c r="R308" s="74"/>
      <c r="S308" s="74"/>
      <c r="T308" s="74"/>
      <c r="U308" s="74"/>
      <c r="V308" s="74"/>
      <c r="W308" s="74"/>
      <c r="X308" s="74"/>
      <c r="Y308" s="74"/>
      <c r="Z308" s="74"/>
      <c r="AA308" s="74"/>
      <c r="AB308" s="74"/>
      <c r="AC308" s="74"/>
      <c r="AD308" s="74"/>
      <c r="AE308" s="74"/>
      <c r="AF308" s="74"/>
      <c r="AG308" s="74"/>
      <c r="AH308" s="74"/>
    </row>
    <row r="309" customFormat="false" ht="15" hidden="false" customHeight="false" outlineLevel="0" collapsed="false">
      <c r="A309" s="74"/>
      <c r="B309" s="74"/>
      <c r="C309" s="74"/>
      <c r="D309" s="74"/>
      <c r="E309" s="74"/>
      <c r="F309" s="74"/>
      <c r="G309" s="74"/>
      <c r="H309" s="74"/>
      <c r="I309" s="74"/>
      <c r="J309" s="74"/>
      <c r="K309" s="74"/>
      <c r="L309" s="74"/>
      <c r="M309" s="74"/>
      <c r="N309" s="74"/>
      <c r="O309" s="74"/>
      <c r="P309" s="74"/>
      <c r="Q309" s="74"/>
      <c r="R309" s="74"/>
      <c r="S309" s="74"/>
      <c r="T309" s="74"/>
      <c r="U309" s="74"/>
      <c r="V309" s="74"/>
      <c r="W309" s="74"/>
      <c r="X309" s="74"/>
      <c r="Y309" s="74"/>
      <c r="Z309" s="74"/>
      <c r="AA309" s="74"/>
      <c r="AB309" s="74"/>
      <c r="AC309" s="74"/>
      <c r="AD309" s="74"/>
      <c r="AE309" s="74"/>
      <c r="AF309" s="74"/>
      <c r="AG309" s="74"/>
      <c r="AH309" s="74"/>
    </row>
    <row r="310" customFormat="false" ht="15" hidden="false" customHeight="false" outlineLevel="0" collapsed="false">
      <c r="A310" s="74"/>
      <c r="B310" s="74"/>
      <c r="C310" s="74"/>
      <c r="D310" s="74"/>
      <c r="E310" s="74"/>
      <c r="F310" s="74"/>
      <c r="G310" s="74"/>
      <c r="H310" s="74"/>
      <c r="I310" s="74"/>
      <c r="J310" s="74"/>
      <c r="K310" s="74"/>
      <c r="L310" s="74"/>
      <c r="M310" s="74"/>
      <c r="N310" s="74"/>
      <c r="O310" s="74"/>
      <c r="P310" s="74"/>
      <c r="Q310" s="74"/>
      <c r="R310" s="74"/>
      <c r="S310" s="74"/>
      <c r="T310" s="74"/>
      <c r="U310" s="74"/>
      <c r="V310" s="74"/>
      <c r="W310" s="74"/>
      <c r="X310" s="74"/>
      <c r="Y310" s="74"/>
      <c r="Z310" s="74"/>
      <c r="AA310" s="74"/>
      <c r="AB310" s="74"/>
      <c r="AC310" s="74"/>
      <c r="AD310" s="74"/>
      <c r="AE310" s="74"/>
      <c r="AF310" s="74"/>
      <c r="AG310" s="74"/>
      <c r="AH310" s="74"/>
    </row>
    <row r="311" customFormat="false" ht="15" hidden="false" customHeight="false" outlineLevel="0" collapsed="false">
      <c r="A311" s="74"/>
      <c r="B311" s="74"/>
      <c r="C311" s="74"/>
      <c r="D311" s="74"/>
      <c r="E311" s="74"/>
      <c r="F311" s="74"/>
      <c r="G311" s="74"/>
      <c r="H311" s="74"/>
      <c r="I311" s="74"/>
      <c r="J311" s="74"/>
      <c r="K311" s="74"/>
      <c r="L311" s="74"/>
      <c r="M311" s="74"/>
      <c r="N311" s="74"/>
      <c r="O311" s="74"/>
      <c r="P311" s="74"/>
      <c r="Q311" s="74"/>
      <c r="R311" s="74"/>
      <c r="S311" s="74"/>
      <c r="T311" s="74"/>
      <c r="U311" s="74"/>
      <c r="V311" s="74"/>
      <c r="W311" s="74"/>
      <c r="X311" s="74"/>
      <c r="Y311" s="74"/>
      <c r="Z311" s="74"/>
      <c r="AA311" s="74"/>
      <c r="AB311" s="74"/>
      <c r="AC311" s="74"/>
      <c r="AD311" s="74"/>
      <c r="AE311" s="74"/>
      <c r="AF311" s="74"/>
      <c r="AG311" s="74"/>
      <c r="AH311" s="74"/>
    </row>
    <row r="312" customFormat="false" ht="15" hidden="false" customHeight="false" outlineLevel="0" collapsed="false">
      <c r="A312" s="74"/>
      <c r="B312" s="74"/>
      <c r="C312" s="74"/>
      <c r="D312" s="74"/>
      <c r="E312" s="74"/>
      <c r="F312" s="74"/>
      <c r="G312" s="74"/>
      <c r="H312" s="74"/>
      <c r="I312" s="74"/>
      <c r="J312" s="74"/>
      <c r="K312" s="74"/>
      <c r="L312" s="74"/>
      <c r="M312" s="74"/>
      <c r="N312" s="74"/>
      <c r="O312" s="74"/>
      <c r="P312" s="74"/>
      <c r="Q312" s="74"/>
      <c r="R312" s="74"/>
      <c r="S312" s="74"/>
      <c r="T312" s="74"/>
      <c r="U312" s="74"/>
      <c r="V312" s="74"/>
      <c r="W312" s="74"/>
      <c r="X312" s="74"/>
      <c r="Y312" s="74"/>
      <c r="Z312" s="74"/>
      <c r="AA312" s="74"/>
      <c r="AB312" s="74"/>
      <c r="AC312" s="74"/>
      <c r="AD312" s="74"/>
      <c r="AE312" s="74"/>
      <c r="AF312" s="74"/>
      <c r="AG312" s="74"/>
      <c r="AH312" s="74"/>
    </row>
    <row r="313" customFormat="false" ht="15" hidden="false" customHeight="false" outlineLevel="0" collapsed="false">
      <c r="A313" s="74"/>
      <c r="B313" s="74"/>
      <c r="C313" s="74"/>
      <c r="D313" s="74"/>
      <c r="E313" s="74"/>
      <c r="F313" s="74"/>
      <c r="G313" s="74"/>
      <c r="H313" s="74"/>
      <c r="I313" s="74"/>
      <c r="J313" s="74"/>
      <c r="K313" s="74"/>
      <c r="L313" s="74"/>
      <c r="M313" s="74"/>
      <c r="N313" s="74"/>
      <c r="O313" s="74"/>
      <c r="P313" s="74"/>
      <c r="Q313" s="74"/>
      <c r="R313" s="74"/>
      <c r="S313" s="74"/>
      <c r="T313" s="74"/>
      <c r="U313" s="74"/>
      <c r="V313" s="74"/>
      <c r="W313" s="74"/>
      <c r="X313" s="74"/>
      <c r="Y313" s="74"/>
      <c r="Z313" s="74"/>
      <c r="AA313" s="74"/>
      <c r="AB313" s="74"/>
      <c r="AC313" s="74"/>
      <c r="AD313" s="74"/>
      <c r="AE313" s="74"/>
      <c r="AF313" s="74"/>
      <c r="AG313" s="74"/>
      <c r="AH313" s="74"/>
    </row>
    <row r="314" customFormat="false" ht="15" hidden="false" customHeight="false" outlineLevel="0" collapsed="false">
      <c r="A314" s="74"/>
      <c r="B314" s="74"/>
      <c r="C314" s="74"/>
      <c r="D314" s="74"/>
      <c r="E314" s="74"/>
      <c r="F314" s="74"/>
      <c r="G314" s="74"/>
      <c r="H314" s="74"/>
      <c r="I314" s="74"/>
      <c r="J314" s="74"/>
      <c r="K314" s="74"/>
      <c r="L314" s="74"/>
      <c r="M314" s="74"/>
      <c r="N314" s="74"/>
      <c r="O314" s="74"/>
      <c r="P314" s="74"/>
      <c r="Q314" s="74"/>
      <c r="R314" s="74"/>
      <c r="S314" s="74"/>
      <c r="T314" s="74"/>
      <c r="U314" s="74"/>
      <c r="V314" s="74"/>
      <c r="W314" s="74"/>
      <c r="X314" s="74"/>
      <c r="Y314" s="74"/>
      <c r="Z314" s="74"/>
      <c r="AA314" s="74"/>
      <c r="AB314" s="74"/>
      <c r="AC314" s="74"/>
      <c r="AD314" s="74"/>
      <c r="AE314" s="74"/>
      <c r="AF314" s="74"/>
      <c r="AG314" s="74"/>
      <c r="AH314" s="74"/>
    </row>
    <row r="315" customFormat="false" ht="15" hidden="false" customHeight="false" outlineLevel="0" collapsed="false">
      <c r="A315" s="74"/>
      <c r="B315" s="74"/>
      <c r="C315" s="74"/>
      <c r="D315" s="74"/>
      <c r="E315" s="74"/>
      <c r="F315" s="74"/>
      <c r="G315" s="74"/>
      <c r="H315" s="74"/>
      <c r="I315" s="74"/>
      <c r="J315" s="74"/>
      <c r="K315" s="74"/>
      <c r="L315" s="74"/>
      <c r="M315" s="74"/>
      <c r="N315" s="74"/>
      <c r="O315" s="74"/>
      <c r="P315" s="74"/>
      <c r="Q315" s="74"/>
      <c r="R315" s="74"/>
      <c r="S315" s="74"/>
      <c r="T315" s="74"/>
      <c r="U315" s="74"/>
      <c r="V315" s="74"/>
      <c r="W315" s="74"/>
      <c r="X315" s="74"/>
      <c r="Y315" s="74"/>
      <c r="Z315" s="74"/>
      <c r="AA315" s="74"/>
      <c r="AB315" s="74"/>
      <c r="AC315" s="74"/>
      <c r="AD315" s="74"/>
      <c r="AE315" s="74"/>
      <c r="AF315" s="74"/>
      <c r="AG315" s="74"/>
      <c r="AH315" s="74"/>
    </row>
    <row r="316" customFormat="false" ht="15" hidden="false" customHeight="false" outlineLevel="0" collapsed="false">
      <c r="A316" s="74"/>
      <c r="B316" s="74"/>
      <c r="C316" s="74"/>
      <c r="D316" s="74"/>
      <c r="E316" s="74"/>
      <c r="F316" s="74"/>
      <c r="G316" s="74"/>
      <c r="H316" s="74"/>
      <c r="I316" s="74"/>
      <c r="J316" s="74"/>
      <c r="K316" s="74"/>
      <c r="L316" s="74"/>
      <c r="M316" s="74"/>
      <c r="N316" s="74"/>
      <c r="O316" s="74"/>
      <c r="P316" s="74"/>
      <c r="Q316" s="74"/>
      <c r="R316" s="74"/>
      <c r="S316" s="74"/>
      <c r="T316" s="74"/>
      <c r="U316" s="74"/>
      <c r="V316" s="74"/>
      <c r="W316" s="74"/>
      <c r="X316" s="74"/>
      <c r="Y316" s="74"/>
      <c r="Z316" s="74"/>
      <c r="AA316" s="74"/>
      <c r="AB316" s="74"/>
      <c r="AC316" s="74"/>
      <c r="AD316" s="74"/>
      <c r="AE316" s="74"/>
      <c r="AF316" s="74"/>
      <c r="AG316" s="74"/>
      <c r="AH316" s="74"/>
    </row>
    <row r="317" customFormat="false" ht="15" hidden="false" customHeight="false" outlineLevel="0" collapsed="false">
      <c r="A317" s="74"/>
      <c r="B317" s="74"/>
      <c r="C317" s="74"/>
      <c r="D317" s="74"/>
      <c r="E317" s="74"/>
      <c r="F317" s="74"/>
      <c r="G317" s="74"/>
      <c r="H317" s="74"/>
      <c r="I317" s="74"/>
      <c r="J317" s="74"/>
      <c r="K317" s="74"/>
      <c r="L317" s="74"/>
      <c r="M317" s="74"/>
      <c r="N317" s="74"/>
      <c r="O317" s="74"/>
      <c r="P317" s="74"/>
      <c r="Q317" s="74"/>
      <c r="R317" s="74"/>
      <c r="S317" s="74"/>
      <c r="T317" s="74"/>
      <c r="U317" s="74"/>
      <c r="V317" s="74"/>
      <c r="W317" s="74"/>
      <c r="X317" s="74"/>
      <c r="Y317" s="74"/>
      <c r="Z317" s="74"/>
      <c r="AA317" s="74"/>
      <c r="AB317" s="74"/>
      <c r="AC317" s="74"/>
      <c r="AD317" s="74"/>
      <c r="AE317" s="74"/>
      <c r="AF317" s="74"/>
      <c r="AG317" s="74"/>
      <c r="AH317" s="74"/>
    </row>
    <row r="318" customFormat="false" ht="15" hidden="false" customHeight="false" outlineLevel="0" collapsed="false">
      <c r="A318" s="74"/>
      <c r="B318" s="74"/>
      <c r="C318" s="74"/>
      <c r="D318" s="74"/>
      <c r="E318" s="74"/>
      <c r="F318" s="74"/>
      <c r="G318" s="74"/>
      <c r="H318" s="74"/>
      <c r="I318" s="74"/>
      <c r="J318" s="74"/>
      <c r="K318" s="74"/>
      <c r="L318" s="74"/>
      <c r="M318" s="74"/>
      <c r="N318" s="74"/>
      <c r="O318" s="74"/>
      <c r="P318" s="74"/>
      <c r="Q318" s="74"/>
      <c r="R318" s="74"/>
      <c r="S318" s="74"/>
      <c r="T318" s="74"/>
      <c r="U318" s="74"/>
      <c r="V318" s="74"/>
      <c r="W318" s="74"/>
      <c r="X318" s="74"/>
      <c r="Y318" s="74"/>
      <c r="Z318" s="74"/>
      <c r="AA318" s="74"/>
      <c r="AB318" s="74"/>
      <c r="AC318" s="74"/>
      <c r="AD318" s="74"/>
      <c r="AE318" s="74"/>
      <c r="AF318" s="74"/>
      <c r="AG318" s="74"/>
      <c r="AH318" s="74"/>
    </row>
    <row r="319" customFormat="false" ht="15" hidden="false" customHeight="false" outlineLevel="0" collapsed="false">
      <c r="A319" s="74"/>
      <c r="B319" s="74"/>
      <c r="C319" s="74"/>
      <c r="D319" s="74"/>
      <c r="E319" s="74"/>
      <c r="F319" s="74"/>
      <c r="G319" s="74"/>
      <c r="H319" s="74"/>
      <c r="I319" s="74"/>
      <c r="J319" s="74"/>
      <c r="K319" s="74"/>
      <c r="L319" s="74"/>
      <c r="M319" s="74"/>
      <c r="N319" s="74"/>
      <c r="O319" s="74"/>
      <c r="P319" s="74"/>
      <c r="Q319" s="74"/>
      <c r="R319" s="74"/>
      <c r="S319" s="74"/>
      <c r="T319" s="74"/>
      <c r="U319" s="74"/>
      <c r="V319" s="74"/>
      <c r="W319" s="74"/>
      <c r="X319" s="74"/>
      <c r="Y319" s="74"/>
      <c r="Z319" s="74"/>
      <c r="AA319" s="74"/>
      <c r="AB319" s="74"/>
      <c r="AC319" s="74"/>
      <c r="AD319" s="74"/>
      <c r="AE319" s="74"/>
      <c r="AF319" s="74"/>
      <c r="AG319" s="74"/>
      <c r="AH319" s="74"/>
    </row>
    <row r="320" customFormat="false" ht="15" hidden="false" customHeight="false" outlineLevel="0" collapsed="false">
      <c r="A320" s="74"/>
      <c r="B320" s="74"/>
      <c r="C320" s="74"/>
      <c r="D320" s="74"/>
      <c r="E320" s="74"/>
      <c r="F320" s="74"/>
      <c r="G320" s="74"/>
      <c r="H320" s="74"/>
      <c r="I320" s="74"/>
      <c r="J320" s="74"/>
      <c r="K320" s="74"/>
      <c r="L320" s="74"/>
      <c r="M320" s="74"/>
      <c r="N320" s="74"/>
      <c r="O320" s="74"/>
      <c r="P320" s="74"/>
      <c r="Q320" s="74"/>
      <c r="R320" s="74"/>
      <c r="S320" s="74"/>
      <c r="T320" s="74"/>
      <c r="U320" s="74"/>
      <c r="V320" s="74"/>
      <c r="W320" s="74"/>
      <c r="X320" s="74"/>
      <c r="Y320" s="74"/>
      <c r="Z320" s="74"/>
      <c r="AA320" s="74"/>
      <c r="AB320" s="74"/>
      <c r="AC320" s="74"/>
      <c r="AD320" s="74"/>
      <c r="AE320" s="74"/>
      <c r="AF320" s="74"/>
      <c r="AG320" s="74"/>
      <c r="AH320" s="74"/>
    </row>
    <row r="321" customFormat="false" ht="15" hidden="false" customHeight="false" outlineLevel="0" collapsed="false">
      <c r="A321" s="74"/>
      <c r="B321" s="74"/>
      <c r="C321" s="74"/>
      <c r="D321" s="74"/>
      <c r="E321" s="74"/>
      <c r="F321" s="74"/>
      <c r="G321" s="74"/>
      <c r="H321" s="74"/>
      <c r="I321" s="74"/>
      <c r="J321" s="74"/>
      <c r="K321" s="74"/>
      <c r="L321" s="74"/>
      <c r="M321" s="74"/>
      <c r="N321" s="74"/>
      <c r="O321" s="74"/>
      <c r="P321" s="74"/>
      <c r="Q321" s="74"/>
      <c r="R321" s="74"/>
      <c r="S321" s="74"/>
      <c r="T321" s="74"/>
      <c r="U321" s="74"/>
      <c r="V321" s="74"/>
      <c r="W321" s="74"/>
      <c r="X321" s="74"/>
      <c r="Y321" s="74"/>
      <c r="Z321" s="74"/>
      <c r="AA321" s="74"/>
      <c r="AB321" s="74"/>
      <c r="AC321" s="74"/>
      <c r="AD321" s="74"/>
      <c r="AE321" s="74"/>
      <c r="AF321" s="74"/>
      <c r="AG321" s="74"/>
      <c r="AH321" s="74"/>
    </row>
    <row r="322" customFormat="false" ht="15" hidden="false" customHeight="false" outlineLevel="0" collapsed="false">
      <c r="A322" s="74"/>
      <c r="B322" s="74"/>
      <c r="C322" s="74"/>
      <c r="D322" s="74"/>
      <c r="E322" s="74"/>
      <c r="F322" s="74"/>
      <c r="G322" s="74"/>
      <c r="H322" s="74"/>
      <c r="I322" s="74"/>
      <c r="J322" s="74"/>
      <c r="K322" s="74"/>
      <c r="L322" s="74"/>
      <c r="M322" s="74"/>
      <c r="N322" s="74"/>
      <c r="O322" s="74"/>
      <c r="P322" s="74"/>
      <c r="Q322" s="74"/>
      <c r="R322" s="74"/>
      <c r="S322" s="74"/>
      <c r="T322" s="74"/>
      <c r="U322" s="74"/>
      <c r="V322" s="74"/>
      <c r="W322" s="74"/>
      <c r="X322" s="74"/>
      <c r="Y322" s="74"/>
      <c r="Z322" s="74"/>
      <c r="AA322" s="74"/>
      <c r="AB322" s="74"/>
      <c r="AC322" s="74"/>
      <c r="AD322" s="74"/>
      <c r="AE322" s="74"/>
      <c r="AF322" s="74"/>
      <c r="AG322" s="74"/>
      <c r="AH322" s="74"/>
    </row>
    <row r="323" customFormat="false" ht="15" hidden="false" customHeight="false" outlineLevel="0" collapsed="false">
      <c r="A323" s="74"/>
      <c r="B323" s="74"/>
      <c r="C323" s="74"/>
      <c r="D323" s="74"/>
      <c r="E323" s="74"/>
      <c r="F323" s="74"/>
      <c r="G323" s="74"/>
      <c r="H323" s="74"/>
      <c r="I323" s="74"/>
      <c r="J323" s="74"/>
      <c r="K323" s="74"/>
      <c r="L323" s="74"/>
      <c r="M323" s="74"/>
      <c r="N323" s="74"/>
      <c r="O323" s="74"/>
      <c r="P323" s="74"/>
      <c r="Q323" s="74"/>
      <c r="R323" s="74"/>
      <c r="S323" s="74"/>
      <c r="T323" s="74"/>
      <c r="U323" s="74"/>
      <c r="V323" s="74"/>
      <c r="W323" s="74"/>
      <c r="X323" s="74"/>
      <c r="Y323" s="74"/>
      <c r="Z323" s="74"/>
      <c r="AA323" s="74"/>
      <c r="AB323" s="74"/>
      <c r="AC323" s="74"/>
      <c r="AD323" s="74"/>
      <c r="AE323" s="74"/>
      <c r="AF323" s="74"/>
      <c r="AG323" s="74"/>
      <c r="AH323" s="74"/>
    </row>
    <row r="324" customFormat="false" ht="15" hidden="false" customHeight="false" outlineLevel="0" collapsed="false">
      <c r="A324" s="74"/>
      <c r="B324" s="74"/>
      <c r="C324" s="74"/>
      <c r="D324" s="74"/>
      <c r="E324" s="74"/>
      <c r="F324" s="74"/>
      <c r="G324" s="74"/>
      <c r="H324" s="74"/>
      <c r="I324" s="74"/>
      <c r="J324" s="74"/>
      <c r="K324" s="74"/>
      <c r="L324" s="74"/>
      <c r="M324" s="74"/>
      <c r="N324" s="74"/>
      <c r="O324" s="74"/>
      <c r="P324" s="74"/>
      <c r="Q324" s="74"/>
      <c r="R324" s="74"/>
      <c r="S324" s="74"/>
      <c r="T324" s="74"/>
      <c r="U324" s="74"/>
      <c r="V324" s="74"/>
      <c r="W324" s="74"/>
      <c r="X324" s="74"/>
      <c r="Y324" s="74"/>
      <c r="Z324" s="74"/>
      <c r="AA324" s="74"/>
      <c r="AB324" s="74"/>
      <c r="AC324" s="74"/>
      <c r="AD324" s="74"/>
      <c r="AE324" s="74"/>
      <c r="AF324" s="74"/>
      <c r="AG324" s="74"/>
      <c r="AH324" s="74"/>
    </row>
    <row r="325" customFormat="false" ht="15" hidden="false" customHeight="false" outlineLevel="0" collapsed="false">
      <c r="A325" s="74"/>
      <c r="B325" s="74"/>
      <c r="C325" s="74"/>
      <c r="D325" s="74"/>
      <c r="E325" s="74"/>
      <c r="F325" s="74"/>
      <c r="G325" s="74"/>
      <c r="H325" s="74"/>
      <c r="I325" s="74"/>
      <c r="J325" s="74"/>
      <c r="K325" s="74"/>
      <c r="L325" s="74"/>
      <c r="M325" s="74"/>
      <c r="N325" s="74"/>
      <c r="O325" s="74"/>
      <c r="P325" s="74"/>
      <c r="Q325" s="74"/>
      <c r="R325" s="74"/>
      <c r="S325" s="74"/>
      <c r="T325" s="74"/>
      <c r="U325" s="74"/>
      <c r="V325" s="74"/>
      <c r="W325" s="74"/>
      <c r="X325" s="74"/>
      <c r="Y325" s="74"/>
      <c r="Z325" s="74"/>
      <c r="AA325" s="74"/>
      <c r="AB325" s="74"/>
      <c r="AC325" s="74"/>
      <c r="AD325" s="74"/>
      <c r="AE325" s="74"/>
      <c r="AF325" s="74"/>
      <c r="AG325" s="74"/>
      <c r="AH325" s="74"/>
    </row>
    <row r="326" customFormat="false" ht="15" hidden="false" customHeight="false" outlineLevel="0" collapsed="false">
      <c r="A326" s="74"/>
      <c r="B326" s="74"/>
      <c r="C326" s="74"/>
      <c r="D326" s="74"/>
      <c r="E326" s="74"/>
      <c r="F326" s="74"/>
      <c r="G326" s="74"/>
      <c r="H326" s="74"/>
      <c r="I326" s="74"/>
      <c r="J326" s="74"/>
      <c r="K326" s="74"/>
      <c r="L326" s="74"/>
      <c r="M326" s="74"/>
      <c r="N326" s="74"/>
      <c r="O326" s="74"/>
      <c r="P326" s="74"/>
      <c r="Q326" s="74"/>
      <c r="R326" s="74"/>
      <c r="S326" s="74"/>
      <c r="T326" s="74"/>
      <c r="U326" s="74"/>
      <c r="V326" s="74"/>
      <c r="W326" s="74"/>
      <c r="X326" s="74"/>
      <c r="Y326" s="74"/>
      <c r="Z326" s="74"/>
      <c r="AA326" s="74"/>
      <c r="AB326" s="74"/>
      <c r="AC326" s="74"/>
      <c r="AD326" s="74"/>
      <c r="AE326" s="74"/>
      <c r="AF326" s="74"/>
      <c r="AG326" s="74"/>
      <c r="AH326" s="74"/>
    </row>
    <row r="327" customFormat="false" ht="15" hidden="false" customHeight="false" outlineLevel="0" collapsed="false">
      <c r="A327" s="74"/>
      <c r="B327" s="74"/>
      <c r="C327" s="74"/>
      <c r="D327" s="74"/>
      <c r="E327" s="74"/>
      <c r="F327" s="74"/>
      <c r="G327" s="74"/>
      <c r="H327" s="74"/>
      <c r="I327" s="74"/>
      <c r="J327" s="74"/>
      <c r="K327" s="74"/>
      <c r="L327" s="74"/>
      <c r="M327" s="74"/>
      <c r="N327" s="74"/>
      <c r="O327" s="74"/>
      <c r="P327" s="74"/>
      <c r="Q327" s="74"/>
      <c r="R327" s="74"/>
      <c r="S327" s="74"/>
      <c r="T327" s="74"/>
      <c r="U327" s="74"/>
      <c r="V327" s="74"/>
      <c r="W327" s="74"/>
      <c r="X327" s="74"/>
      <c r="Y327" s="74"/>
      <c r="Z327" s="74"/>
      <c r="AA327" s="74"/>
      <c r="AB327" s="74"/>
      <c r="AC327" s="74"/>
      <c r="AD327" s="74"/>
      <c r="AE327" s="74"/>
      <c r="AF327" s="74"/>
      <c r="AG327" s="74"/>
      <c r="AH327" s="74"/>
    </row>
    <row r="328" customFormat="false" ht="15" hidden="false" customHeight="false" outlineLevel="0" collapsed="false">
      <c r="A328" s="74"/>
      <c r="B328" s="74"/>
      <c r="C328" s="74"/>
      <c r="D328" s="74"/>
      <c r="E328" s="74"/>
      <c r="F328" s="74"/>
      <c r="G328" s="74"/>
      <c r="H328" s="74"/>
      <c r="I328" s="74"/>
      <c r="J328" s="74"/>
      <c r="K328" s="74"/>
      <c r="L328" s="74"/>
      <c r="M328" s="74"/>
      <c r="N328" s="74"/>
      <c r="O328" s="74"/>
      <c r="P328" s="74"/>
      <c r="Q328" s="74"/>
      <c r="R328" s="74"/>
      <c r="S328" s="74"/>
      <c r="T328" s="74"/>
      <c r="U328" s="74"/>
      <c r="V328" s="74"/>
      <c r="W328" s="74"/>
      <c r="X328" s="74"/>
      <c r="Y328" s="74"/>
      <c r="Z328" s="74"/>
      <c r="AA328" s="74"/>
      <c r="AB328" s="74"/>
      <c r="AC328" s="74"/>
      <c r="AD328" s="74"/>
      <c r="AE328" s="74"/>
      <c r="AF328" s="74"/>
      <c r="AG328" s="74"/>
      <c r="AH328" s="74"/>
    </row>
    <row r="329" customFormat="false" ht="15" hidden="false" customHeight="false" outlineLevel="0" collapsed="false">
      <c r="A329" s="74"/>
      <c r="B329" s="74"/>
      <c r="C329" s="74"/>
      <c r="D329" s="74"/>
      <c r="E329" s="74"/>
      <c r="F329" s="74"/>
      <c r="G329" s="74"/>
      <c r="H329" s="74"/>
      <c r="I329" s="74"/>
      <c r="J329" s="74"/>
      <c r="K329" s="74"/>
      <c r="L329" s="74"/>
      <c r="M329" s="74"/>
      <c r="N329" s="74"/>
      <c r="O329" s="74"/>
      <c r="P329" s="74"/>
      <c r="Q329" s="74"/>
      <c r="R329" s="74"/>
      <c r="S329" s="74"/>
      <c r="T329" s="74"/>
      <c r="U329" s="74"/>
      <c r="V329" s="74"/>
      <c r="W329" s="74"/>
      <c r="X329" s="74"/>
      <c r="Y329" s="74"/>
      <c r="Z329" s="74"/>
      <c r="AA329" s="74"/>
      <c r="AB329" s="74"/>
      <c r="AC329" s="74"/>
      <c r="AD329" s="74"/>
      <c r="AE329" s="74"/>
      <c r="AF329" s="74"/>
      <c r="AG329" s="74"/>
      <c r="AH329" s="74"/>
    </row>
    <row r="330" customFormat="false" ht="15" hidden="false" customHeight="false" outlineLevel="0" collapsed="false">
      <c r="A330" s="74"/>
      <c r="B330" s="74"/>
      <c r="C330" s="74"/>
      <c r="D330" s="74"/>
      <c r="E330" s="74"/>
      <c r="F330" s="74"/>
      <c r="G330" s="74"/>
      <c r="H330" s="74"/>
      <c r="I330" s="74"/>
      <c r="J330" s="74"/>
      <c r="K330" s="74"/>
      <c r="L330" s="74"/>
      <c r="M330" s="74"/>
      <c r="N330" s="74"/>
      <c r="O330" s="74"/>
      <c r="P330" s="74"/>
      <c r="Q330" s="74"/>
      <c r="R330" s="74"/>
      <c r="S330" s="74"/>
      <c r="T330" s="74"/>
      <c r="U330" s="74"/>
      <c r="V330" s="74"/>
      <c r="W330" s="74"/>
      <c r="X330" s="74"/>
      <c r="Y330" s="74"/>
      <c r="Z330" s="74"/>
      <c r="AA330" s="74"/>
      <c r="AB330" s="74"/>
      <c r="AC330" s="74"/>
      <c r="AD330" s="74"/>
      <c r="AE330" s="74"/>
      <c r="AF330" s="74"/>
      <c r="AG330" s="74"/>
      <c r="AH330" s="74"/>
    </row>
    <row r="331" customFormat="false" ht="15" hidden="false" customHeight="false" outlineLevel="0" collapsed="false">
      <c r="A331" s="74"/>
      <c r="B331" s="74"/>
      <c r="C331" s="74"/>
      <c r="D331" s="74"/>
      <c r="E331" s="74"/>
      <c r="F331" s="74"/>
      <c r="G331" s="74"/>
      <c r="H331" s="74"/>
      <c r="I331" s="74"/>
      <c r="J331" s="74"/>
      <c r="K331" s="74"/>
      <c r="L331" s="74"/>
      <c r="M331" s="74"/>
      <c r="N331" s="74"/>
      <c r="O331" s="74"/>
      <c r="P331" s="74"/>
      <c r="Q331" s="74"/>
      <c r="R331" s="74"/>
      <c r="S331" s="74"/>
      <c r="T331" s="74"/>
      <c r="U331" s="74"/>
      <c r="V331" s="74"/>
      <c r="W331" s="74"/>
      <c r="X331" s="74"/>
      <c r="Y331" s="74"/>
      <c r="Z331" s="74"/>
      <c r="AA331" s="74"/>
      <c r="AB331" s="74"/>
      <c r="AC331" s="74"/>
      <c r="AD331" s="74"/>
      <c r="AE331" s="74"/>
      <c r="AF331" s="74"/>
      <c r="AG331" s="74"/>
      <c r="AH331" s="74"/>
    </row>
    <row r="332" customFormat="false" ht="15" hidden="false" customHeight="false" outlineLevel="0" collapsed="false">
      <c r="A332" s="74"/>
      <c r="B332" s="74"/>
      <c r="C332" s="74"/>
      <c r="D332" s="74"/>
      <c r="E332" s="74"/>
      <c r="F332" s="74"/>
      <c r="G332" s="74"/>
      <c r="H332" s="74"/>
      <c r="I332" s="74"/>
      <c r="J332" s="74"/>
      <c r="K332" s="74"/>
      <c r="L332" s="74"/>
      <c r="M332" s="74"/>
      <c r="N332" s="74"/>
      <c r="O332" s="74"/>
      <c r="P332" s="74"/>
      <c r="Q332" s="74"/>
      <c r="R332" s="74"/>
      <c r="S332" s="74"/>
      <c r="T332" s="74"/>
      <c r="U332" s="74"/>
      <c r="V332" s="74"/>
      <c r="W332" s="74"/>
      <c r="X332" s="74"/>
      <c r="Y332" s="74"/>
      <c r="Z332" s="74"/>
      <c r="AA332" s="74"/>
      <c r="AB332" s="74"/>
      <c r="AC332" s="74"/>
      <c r="AD332" s="74"/>
      <c r="AE332" s="74"/>
      <c r="AF332" s="74"/>
      <c r="AG332" s="74"/>
      <c r="AH332" s="74"/>
    </row>
    <row r="333" customFormat="false" ht="15" hidden="false" customHeight="false" outlineLevel="0" collapsed="false">
      <c r="A333" s="74"/>
      <c r="B333" s="74"/>
      <c r="C333" s="74"/>
      <c r="D333" s="74"/>
      <c r="E333" s="74"/>
      <c r="F333" s="74"/>
      <c r="G333" s="74"/>
      <c r="H333" s="74"/>
      <c r="I333" s="74"/>
      <c r="J333" s="74"/>
      <c r="K333" s="74"/>
      <c r="L333" s="74"/>
      <c r="M333" s="74"/>
      <c r="N333" s="74"/>
      <c r="O333" s="74"/>
      <c r="P333" s="74"/>
      <c r="Q333" s="74"/>
      <c r="R333" s="74"/>
      <c r="S333" s="74"/>
      <c r="T333" s="74"/>
      <c r="U333" s="74"/>
      <c r="V333" s="74"/>
      <c r="W333" s="74"/>
      <c r="X333" s="74"/>
      <c r="Y333" s="74"/>
      <c r="Z333" s="74"/>
      <c r="AA333" s="74"/>
      <c r="AB333" s="74"/>
      <c r="AC333" s="74"/>
      <c r="AD333" s="74"/>
      <c r="AE333" s="74"/>
      <c r="AF333" s="74"/>
      <c r="AG333" s="74"/>
      <c r="AH333" s="74"/>
    </row>
    <row r="334" customFormat="false" ht="15" hidden="false" customHeight="false" outlineLevel="0" collapsed="false">
      <c r="A334" s="74"/>
      <c r="B334" s="74"/>
      <c r="C334" s="74"/>
      <c r="D334" s="74"/>
      <c r="E334" s="74"/>
      <c r="F334" s="74"/>
      <c r="G334" s="74"/>
      <c r="H334" s="74"/>
      <c r="I334" s="74"/>
      <c r="J334" s="74"/>
      <c r="K334" s="74"/>
      <c r="L334" s="74"/>
      <c r="M334" s="74"/>
      <c r="N334" s="74"/>
      <c r="O334" s="74"/>
      <c r="P334" s="74"/>
      <c r="Q334" s="74"/>
      <c r="R334" s="74"/>
      <c r="S334" s="74"/>
      <c r="T334" s="74"/>
      <c r="U334" s="74"/>
      <c r="V334" s="74"/>
      <c r="W334" s="74"/>
      <c r="X334" s="74"/>
      <c r="Y334" s="74"/>
      <c r="Z334" s="74"/>
      <c r="AA334" s="74"/>
      <c r="AB334" s="74"/>
      <c r="AC334" s="74"/>
      <c r="AD334" s="74"/>
      <c r="AE334" s="74"/>
      <c r="AF334" s="74"/>
      <c r="AG334" s="74"/>
      <c r="AH334" s="74"/>
    </row>
    <row r="335" customFormat="false" ht="15" hidden="false" customHeight="false" outlineLevel="0" collapsed="false">
      <c r="A335" s="74"/>
      <c r="B335" s="74"/>
      <c r="C335" s="74"/>
      <c r="D335" s="74"/>
      <c r="E335" s="74"/>
      <c r="F335" s="74"/>
      <c r="G335" s="74"/>
      <c r="H335" s="74"/>
      <c r="I335" s="74"/>
      <c r="J335" s="74"/>
      <c r="K335" s="74"/>
      <c r="L335" s="74"/>
      <c r="M335" s="74"/>
      <c r="N335" s="74"/>
      <c r="O335" s="74"/>
      <c r="P335" s="74"/>
      <c r="Q335" s="74"/>
      <c r="R335" s="74"/>
      <c r="S335" s="74"/>
      <c r="T335" s="74"/>
      <c r="U335" s="74"/>
      <c r="V335" s="74"/>
      <c r="W335" s="74"/>
      <c r="X335" s="74"/>
      <c r="Y335" s="74"/>
      <c r="Z335" s="74"/>
      <c r="AA335" s="74"/>
      <c r="AB335" s="74"/>
      <c r="AC335" s="74"/>
      <c r="AD335" s="74"/>
      <c r="AE335" s="74"/>
      <c r="AF335" s="74"/>
      <c r="AG335" s="74"/>
      <c r="AH335" s="74"/>
    </row>
    <row r="336" customFormat="false" ht="15" hidden="false" customHeight="false" outlineLevel="0" collapsed="false">
      <c r="A336" s="74"/>
      <c r="B336" s="74"/>
      <c r="C336" s="74"/>
      <c r="D336" s="74"/>
      <c r="E336" s="74"/>
      <c r="F336" s="74"/>
      <c r="G336" s="74"/>
      <c r="H336" s="74"/>
      <c r="I336" s="74"/>
      <c r="J336" s="74"/>
      <c r="K336" s="74"/>
      <c r="L336" s="74"/>
      <c r="M336" s="74"/>
      <c r="N336" s="74"/>
      <c r="O336" s="74"/>
      <c r="P336" s="74"/>
      <c r="Q336" s="74"/>
      <c r="R336" s="74"/>
      <c r="S336" s="74"/>
      <c r="T336" s="74"/>
      <c r="U336" s="74"/>
      <c r="V336" s="74"/>
      <c r="W336" s="74"/>
      <c r="X336" s="74"/>
      <c r="Y336" s="74"/>
      <c r="Z336" s="74"/>
      <c r="AA336" s="74"/>
      <c r="AB336" s="74"/>
      <c r="AC336" s="74"/>
      <c r="AD336" s="74"/>
      <c r="AE336" s="74"/>
      <c r="AF336" s="74"/>
      <c r="AG336" s="74"/>
      <c r="AH336" s="74"/>
    </row>
    <row r="337" customFormat="false" ht="15" hidden="false" customHeight="false" outlineLevel="0" collapsed="false">
      <c r="A337" s="74"/>
      <c r="B337" s="74"/>
      <c r="C337" s="74"/>
      <c r="D337" s="74"/>
      <c r="E337" s="74"/>
      <c r="F337" s="74"/>
      <c r="G337" s="74"/>
      <c r="H337" s="74"/>
      <c r="I337" s="74"/>
      <c r="J337" s="74"/>
      <c r="K337" s="74"/>
      <c r="L337" s="74"/>
      <c r="M337" s="74"/>
      <c r="N337" s="74"/>
      <c r="O337" s="74"/>
      <c r="P337" s="74"/>
      <c r="Q337" s="74"/>
      <c r="R337" s="74"/>
      <c r="S337" s="74"/>
      <c r="T337" s="74"/>
      <c r="U337" s="74"/>
      <c r="V337" s="74"/>
      <c r="W337" s="74"/>
      <c r="X337" s="74"/>
      <c r="Y337" s="74"/>
      <c r="Z337" s="74"/>
      <c r="AA337" s="74"/>
      <c r="AB337" s="74"/>
      <c r="AC337" s="74"/>
      <c r="AD337" s="74"/>
      <c r="AE337" s="74"/>
      <c r="AF337" s="74"/>
      <c r="AG337" s="74"/>
      <c r="AH337" s="74"/>
    </row>
    <row r="338" customFormat="false" ht="15" hidden="false" customHeight="false" outlineLevel="0" collapsed="false">
      <c r="A338" s="74"/>
      <c r="B338" s="74"/>
      <c r="C338" s="74"/>
      <c r="D338" s="74"/>
      <c r="E338" s="74"/>
      <c r="F338" s="74"/>
      <c r="G338" s="74"/>
      <c r="H338" s="74"/>
      <c r="I338" s="74"/>
      <c r="J338" s="74"/>
      <c r="K338" s="74"/>
      <c r="L338" s="74"/>
      <c r="M338" s="74"/>
      <c r="N338" s="74"/>
      <c r="O338" s="74"/>
      <c r="P338" s="74"/>
      <c r="Q338" s="74"/>
      <c r="R338" s="74"/>
      <c r="S338" s="74"/>
      <c r="T338" s="74"/>
      <c r="U338" s="74"/>
      <c r="V338" s="74"/>
      <c r="W338" s="74"/>
      <c r="X338" s="74"/>
      <c r="Y338" s="74"/>
      <c r="Z338" s="74"/>
      <c r="AA338" s="74"/>
      <c r="AB338" s="74"/>
      <c r="AC338" s="74"/>
      <c r="AD338" s="74"/>
      <c r="AE338" s="74"/>
      <c r="AF338" s="74"/>
      <c r="AG338" s="74"/>
      <c r="AH338" s="74"/>
    </row>
    <row r="339" customFormat="false" ht="15" hidden="false" customHeight="false" outlineLevel="0" collapsed="false">
      <c r="A339" s="74"/>
      <c r="B339" s="74"/>
      <c r="C339" s="74"/>
      <c r="D339" s="74"/>
      <c r="E339" s="74"/>
      <c r="F339" s="74"/>
      <c r="G339" s="74"/>
      <c r="H339" s="74"/>
      <c r="I339" s="74"/>
      <c r="J339" s="74"/>
      <c r="K339" s="74"/>
      <c r="L339" s="74"/>
      <c r="M339" s="74"/>
      <c r="N339" s="74"/>
      <c r="O339" s="74"/>
      <c r="P339" s="74"/>
      <c r="Q339" s="74"/>
      <c r="R339" s="74"/>
      <c r="S339" s="74"/>
      <c r="T339" s="74"/>
      <c r="U339" s="74"/>
      <c r="V339" s="74"/>
      <c r="W339" s="74"/>
      <c r="X339" s="74"/>
      <c r="Y339" s="74"/>
      <c r="Z339" s="74"/>
      <c r="AA339" s="74"/>
      <c r="AB339" s="74"/>
      <c r="AC339" s="74"/>
      <c r="AD339" s="74"/>
      <c r="AE339" s="74"/>
      <c r="AF339" s="74"/>
      <c r="AG339" s="74"/>
      <c r="AH339" s="74"/>
    </row>
    <row r="340" customFormat="false" ht="15" hidden="false" customHeight="false" outlineLevel="0" collapsed="false">
      <c r="A340" s="74"/>
      <c r="B340" s="74"/>
      <c r="C340" s="74"/>
      <c r="D340" s="74"/>
      <c r="E340" s="74"/>
      <c r="F340" s="74"/>
      <c r="G340" s="74"/>
      <c r="H340" s="74"/>
      <c r="I340" s="74"/>
      <c r="J340" s="74"/>
      <c r="K340" s="74"/>
      <c r="L340" s="74"/>
      <c r="M340" s="74"/>
      <c r="N340" s="74"/>
      <c r="O340" s="74"/>
      <c r="P340" s="74"/>
      <c r="Q340" s="74"/>
      <c r="R340" s="74"/>
      <c r="S340" s="74"/>
      <c r="T340" s="74"/>
      <c r="U340" s="74"/>
      <c r="V340" s="74"/>
      <c r="W340" s="74"/>
      <c r="X340" s="74"/>
      <c r="Y340" s="74"/>
      <c r="Z340" s="74"/>
      <c r="AA340" s="74"/>
      <c r="AB340" s="74"/>
      <c r="AC340" s="74"/>
      <c r="AD340" s="74"/>
      <c r="AE340" s="74"/>
      <c r="AF340" s="74"/>
      <c r="AG340" s="74"/>
      <c r="AH340" s="74"/>
    </row>
    <row r="341" customFormat="false" ht="15" hidden="false" customHeight="false" outlineLevel="0" collapsed="false">
      <c r="A341" s="74"/>
      <c r="B341" s="74"/>
      <c r="C341" s="74"/>
      <c r="D341" s="74"/>
      <c r="E341" s="74"/>
      <c r="F341" s="74"/>
      <c r="G341" s="74"/>
      <c r="H341" s="74"/>
      <c r="I341" s="74"/>
      <c r="J341" s="74"/>
      <c r="K341" s="74"/>
      <c r="L341" s="74"/>
      <c r="M341" s="74"/>
      <c r="N341" s="74"/>
      <c r="O341" s="74"/>
      <c r="P341" s="74"/>
      <c r="Q341" s="74"/>
      <c r="R341" s="74"/>
      <c r="S341" s="74"/>
      <c r="T341" s="74"/>
      <c r="U341" s="74"/>
      <c r="V341" s="74"/>
      <c r="W341" s="74"/>
      <c r="X341" s="74"/>
      <c r="Y341" s="74"/>
      <c r="Z341" s="74"/>
      <c r="AA341" s="74"/>
      <c r="AB341" s="74"/>
      <c r="AC341" s="74"/>
      <c r="AD341" s="74"/>
      <c r="AE341" s="74"/>
      <c r="AF341" s="74"/>
      <c r="AG341" s="74"/>
      <c r="AH341" s="74"/>
    </row>
    <row r="342" customFormat="false" ht="15" hidden="false" customHeight="false" outlineLevel="0" collapsed="false">
      <c r="A342" s="74"/>
      <c r="B342" s="74"/>
      <c r="C342" s="74"/>
      <c r="D342" s="74"/>
      <c r="E342" s="74"/>
      <c r="F342" s="74"/>
      <c r="G342" s="74"/>
      <c r="H342" s="74"/>
      <c r="I342" s="74"/>
      <c r="J342" s="74"/>
      <c r="K342" s="74"/>
      <c r="L342" s="74"/>
      <c r="M342" s="74"/>
      <c r="N342" s="74"/>
      <c r="O342" s="74"/>
      <c r="P342" s="74"/>
      <c r="Q342" s="74"/>
      <c r="R342" s="74"/>
      <c r="S342" s="74"/>
      <c r="T342" s="74"/>
      <c r="U342" s="74"/>
      <c r="V342" s="74"/>
      <c r="W342" s="74"/>
      <c r="X342" s="74"/>
      <c r="Y342" s="74"/>
      <c r="Z342" s="74"/>
      <c r="AA342" s="74"/>
      <c r="AB342" s="74"/>
      <c r="AC342" s="74"/>
      <c r="AD342" s="74"/>
      <c r="AE342" s="74"/>
      <c r="AF342" s="74"/>
      <c r="AG342" s="74"/>
      <c r="AH342" s="74"/>
    </row>
    <row r="343" customFormat="false" ht="15" hidden="false" customHeight="false" outlineLevel="0" collapsed="false">
      <c r="A343" s="74"/>
      <c r="B343" s="74"/>
      <c r="C343" s="74"/>
      <c r="D343" s="74"/>
      <c r="E343" s="74"/>
      <c r="F343" s="74"/>
      <c r="G343" s="74"/>
      <c r="H343" s="74"/>
      <c r="I343" s="74"/>
      <c r="J343" s="74"/>
      <c r="K343" s="74"/>
      <c r="L343" s="74"/>
      <c r="M343" s="74"/>
      <c r="N343" s="74"/>
      <c r="O343" s="74"/>
      <c r="P343" s="74"/>
      <c r="Q343" s="74"/>
      <c r="R343" s="74"/>
      <c r="S343" s="74"/>
      <c r="T343" s="74"/>
      <c r="U343" s="74"/>
      <c r="V343" s="74"/>
      <c r="W343" s="74"/>
      <c r="X343" s="74"/>
      <c r="Y343" s="74"/>
      <c r="Z343" s="74"/>
      <c r="AA343" s="74"/>
      <c r="AB343" s="74"/>
      <c r="AC343" s="74"/>
      <c r="AD343" s="74"/>
      <c r="AE343" s="74"/>
      <c r="AF343" s="74"/>
      <c r="AG343" s="74"/>
      <c r="AH343" s="74"/>
    </row>
    <row r="344" customFormat="false" ht="15" hidden="false" customHeight="false" outlineLevel="0" collapsed="false">
      <c r="A344" s="74"/>
      <c r="B344" s="74"/>
      <c r="C344" s="74"/>
      <c r="D344" s="74"/>
      <c r="E344" s="74"/>
      <c r="F344" s="74"/>
      <c r="G344" s="74"/>
      <c r="H344" s="74"/>
      <c r="I344" s="74"/>
      <c r="J344" s="74"/>
      <c r="K344" s="74"/>
      <c r="L344" s="74"/>
      <c r="M344" s="74"/>
      <c r="N344" s="74"/>
      <c r="O344" s="74"/>
      <c r="P344" s="74"/>
      <c r="Q344" s="74"/>
      <c r="R344" s="74"/>
      <c r="S344" s="74"/>
      <c r="T344" s="74"/>
      <c r="U344" s="74"/>
      <c r="V344" s="74"/>
      <c r="W344" s="74"/>
      <c r="X344" s="74"/>
      <c r="Y344" s="74"/>
      <c r="Z344" s="74"/>
      <c r="AA344" s="74"/>
      <c r="AB344" s="74"/>
      <c r="AC344" s="74"/>
      <c r="AD344" s="74"/>
      <c r="AE344" s="74"/>
      <c r="AF344" s="74"/>
      <c r="AG344" s="74"/>
      <c r="AH344" s="74"/>
    </row>
    <row r="345" customFormat="false" ht="15" hidden="false" customHeight="false" outlineLevel="0" collapsed="false">
      <c r="A345" s="74"/>
      <c r="B345" s="74"/>
      <c r="C345" s="74"/>
      <c r="D345" s="74"/>
      <c r="E345" s="74"/>
      <c r="F345" s="74"/>
      <c r="G345" s="74"/>
      <c r="H345" s="74"/>
      <c r="I345" s="74"/>
      <c r="J345" s="74"/>
      <c r="K345" s="74"/>
      <c r="L345" s="74"/>
      <c r="M345" s="74"/>
      <c r="N345" s="74"/>
      <c r="O345" s="74"/>
      <c r="P345" s="74"/>
      <c r="Q345" s="74"/>
      <c r="R345" s="74"/>
      <c r="S345" s="74"/>
      <c r="T345" s="74"/>
      <c r="U345" s="74"/>
      <c r="V345" s="74"/>
      <c r="W345" s="74"/>
      <c r="X345" s="74"/>
      <c r="Y345" s="74"/>
      <c r="Z345" s="74"/>
      <c r="AA345" s="74"/>
      <c r="AB345" s="74"/>
      <c r="AC345" s="74"/>
      <c r="AD345" s="74"/>
      <c r="AE345" s="74"/>
      <c r="AF345" s="74"/>
      <c r="AG345" s="74"/>
      <c r="AH345" s="74"/>
    </row>
    <row r="346" customFormat="false" ht="15" hidden="false" customHeight="false" outlineLevel="0" collapsed="false">
      <c r="A346" s="74"/>
      <c r="B346" s="74"/>
      <c r="C346" s="74"/>
      <c r="D346" s="74"/>
      <c r="E346" s="74"/>
      <c r="F346" s="74"/>
      <c r="G346" s="74"/>
      <c r="H346" s="74"/>
      <c r="I346" s="74"/>
      <c r="J346" s="74"/>
      <c r="K346" s="74"/>
      <c r="L346" s="74"/>
      <c r="M346" s="74"/>
      <c r="N346" s="74"/>
      <c r="O346" s="74"/>
      <c r="P346" s="74"/>
      <c r="Q346" s="74"/>
      <c r="R346" s="74"/>
      <c r="S346" s="74"/>
      <c r="T346" s="74"/>
      <c r="U346" s="74"/>
      <c r="V346" s="74"/>
      <c r="W346" s="74"/>
      <c r="X346" s="74"/>
      <c r="Y346" s="74"/>
      <c r="Z346" s="74"/>
      <c r="AA346" s="74"/>
      <c r="AB346" s="74"/>
      <c r="AC346" s="74"/>
      <c r="AD346" s="74"/>
      <c r="AE346" s="74"/>
      <c r="AF346" s="74"/>
      <c r="AG346" s="74"/>
      <c r="AH346" s="74"/>
    </row>
    <row r="347" customFormat="false" ht="15" hidden="false" customHeight="false" outlineLevel="0" collapsed="false">
      <c r="A347" s="74"/>
      <c r="B347" s="74"/>
      <c r="C347" s="74"/>
      <c r="D347" s="74"/>
      <c r="E347" s="74"/>
      <c r="F347" s="74"/>
      <c r="G347" s="74"/>
      <c r="H347" s="74"/>
      <c r="I347" s="74"/>
      <c r="J347" s="74"/>
      <c r="K347" s="74"/>
      <c r="L347" s="74"/>
      <c r="M347" s="74"/>
      <c r="N347" s="74"/>
      <c r="O347" s="74"/>
      <c r="P347" s="74"/>
      <c r="Q347" s="74"/>
      <c r="R347" s="74"/>
      <c r="S347" s="74"/>
      <c r="T347" s="74"/>
      <c r="U347" s="74"/>
      <c r="V347" s="74"/>
      <c r="W347" s="74"/>
      <c r="X347" s="74"/>
      <c r="Y347" s="74"/>
      <c r="Z347" s="74"/>
      <c r="AA347" s="74"/>
      <c r="AB347" s="74"/>
      <c r="AC347" s="74"/>
      <c r="AD347" s="74"/>
      <c r="AE347" s="74"/>
      <c r="AF347" s="74"/>
      <c r="AG347" s="74"/>
      <c r="AH347" s="74"/>
    </row>
    <row r="348" customFormat="false" ht="15" hidden="false" customHeight="false" outlineLevel="0" collapsed="false">
      <c r="A348" s="74"/>
      <c r="B348" s="74"/>
      <c r="C348" s="74"/>
      <c r="D348" s="74"/>
      <c r="E348" s="74"/>
      <c r="F348" s="74"/>
      <c r="G348" s="74"/>
      <c r="H348" s="74"/>
      <c r="I348" s="74"/>
      <c r="J348" s="74"/>
      <c r="K348" s="74"/>
      <c r="L348" s="74"/>
      <c r="M348" s="74"/>
      <c r="N348" s="74"/>
      <c r="O348" s="74"/>
      <c r="P348" s="74"/>
      <c r="Q348" s="74"/>
      <c r="R348" s="74"/>
      <c r="S348" s="74"/>
      <c r="T348" s="74"/>
      <c r="U348" s="74"/>
      <c r="V348" s="74"/>
      <c r="W348" s="74"/>
      <c r="X348" s="74"/>
      <c r="Y348" s="74"/>
      <c r="Z348" s="74"/>
      <c r="AA348" s="74"/>
      <c r="AB348" s="74"/>
      <c r="AC348" s="74"/>
      <c r="AD348" s="74"/>
      <c r="AE348" s="74"/>
      <c r="AF348" s="74"/>
      <c r="AG348" s="74"/>
      <c r="AH348" s="74"/>
    </row>
    <row r="349" customFormat="false" ht="15" hidden="false" customHeight="false" outlineLevel="0" collapsed="false">
      <c r="A349" s="74"/>
      <c r="B349" s="74"/>
      <c r="C349" s="74"/>
      <c r="D349" s="74"/>
      <c r="E349" s="74"/>
      <c r="F349" s="74"/>
      <c r="G349" s="74"/>
      <c r="H349" s="74"/>
      <c r="I349" s="74"/>
      <c r="J349" s="74"/>
      <c r="K349" s="74"/>
      <c r="L349" s="74"/>
      <c r="M349" s="74"/>
      <c r="N349" s="74"/>
      <c r="O349" s="74"/>
      <c r="P349" s="74"/>
      <c r="Q349" s="74"/>
      <c r="R349" s="74"/>
      <c r="S349" s="74"/>
      <c r="T349" s="74"/>
      <c r="U349" s="74"/>
      <c r="V349" s="74"/>
      <c r="W349" s="74"/>
      <c r="X349" s="74"/>
      <c r="Y349" s="74"/>
      <c r="Z349" s="74"/>
      <c r="AA349" s="74"/>
      <c r="AB349" s="74"/>
      <c r="AC349" s="74"/>
      <c r="AD349" s="74"/>
      <c r="AE349" s="74"/>
      <c r="AF349" s="74"/>
      <c r="AG349" s="74"/>
      <c r="AH349" s="74"/>
    </row>
    <row r="350" customFormat="false" ht="15" hidden="false" customHeight="false" outlineLevel="0" collapsed="false">
      <c r="A350" s="74"/>
      <c r="B350" s="74"/>
      <c r="C350" s="74"/>
      <c r="D350" s="74"/>
      <c r="E350" s="74"/>
      <c r="F350" s="74"/>
      <c r="G350" s="74"/>
      <c r="H350" s="74"/>
      <c r="I350" s="74"/>
      <c r="J350" s="74"/>
      <c r="K350" s="74"/>
      <c r="L350" s="74"/>
      <c r="M350" s="74"/>
      <c r="N350" s="74"/>
      <c r="O350" s="74"/>
      <c r="P350" s="74"/>
      <c r="Q350" s="74"/>
      <c r="R350" s="74"/>
      <c r="S350" s="74"/>
      <c r="T350" s="74"/>
      <c r="U350" s="74"/>
      <c r="V350" s="74"/>
      <c r="W350" s="74"/>
      <c r="X350" s="74"/>
      <c r="Y350" s="74"/>
      <c r="Z350" s="74"/>
      <c r="AA350" s="74"/>
      <c r="AB350" s="74"/>
      <c r="AC350" s="74"/>
      <c r="AD350" s="74"/>
      <c r="AE350" s="74"/>
      <c r="AF350" s="74"/>
      <c r="AG350" s="74"/>
      <c r="AH350" s="74"/>
    </row>
    <row r="351" customFormat="false" ht="15" hidden="false" customHeight="false" outlineLevel="0" collapsed="false">
      <c r="A351" s="74"/>
      <c r="B351" s="74"/>
      <c r="C351" s="74"/>
      <c r="D351" s="74"/>
      <c r="E351" s="74"/>
      <c r="F351" s="74"/>
      <c r="G351" s="74"/>
      <c r="H351" s="74"/>
      <c r="I351" s="74"/>
      <c r="J351" s="74"/>
      <c r="K351" s="74"/>
      <c r="L351" s="74"/>
      <c r="M351" s="74"/>
      <c r="N351" s="74"/>
      <c r="O351" s="74"/>
      <c r="P351" s="74"/>
      <c r="Q351" s="74"/>
      <c r="R351" s="74"/>
      <c r="S351" s="74"/>
      <c r="T351" s="74"/>
      <c r="U351" s="74"/>
      <c r="V351" s="74"/>
      <c r="W351" s="74"/>
      <c r="X351" s="74"/>
      <c r="Y351" s="74"/>
      <c r="Z351" s="74"/>
      <c r="AA351" s="74"/>
      <c r="AB351" s="74"/>
      <c r="AC351" s="74"/>
      <c r="AD351" s="74"/>
      <c r="AE351" s="74"/>
      <c r="AF351" s="74"/>
      <c r="AG351" s="74"/>
      <c r="AH351" s="74"/>
    </row>
    <row r="352" customFormat="false" ht="15" hidden="false" customHeight="false" outlineLevel="0" collapsed="false">
      <c r="A352" s="74"/>
      <c r="B352" s="74"/>
      <c r="C352" s="74"/>
      <c r="D352" s="74"/>
      <c r="E352" s="74"/>
      <c r="F352" s="74"/>
      <c r="G352" s="74"/>
      <c r="H352" s="74"/>
      <c r="I352" s="74"/>
      <c r="J352" s="74"/>
      <c r="K352" s="74"/>
      <c r="L352" s="74"/>
      <c r="M352" s="74"/>
      <c r="N352" s="74"/>
      <c r="O352" s="74"/>
      <c r="P352" s="74"/>
      <c r="Q352" s="74"/>
      <c r="R352" s="74"/>
      <c r="S352" s="74"/>
      <c r="T352" s="74"/>
      <c r="U352" s="74"/>
      <c r="V352" s="74"/>
      <c r="W352" s="74"/>
      <c r="X352" s="74"/>
      <c r="Y352" s="74"/>
      <c r="Z352" s="74"/>
      <c r="AA352" s="74"/>
      <c r="AB352" s="74"/>
      <c r="AC352" s="74"/>
      <c r="AD352" s="74"/>
      <c r="AE352" s="74"/>
      <c r="AF352" s="74"/>
      <c r="AG352" s="74"/>
      <c r="AH352" s="74"/>
    </row>
    <row r="353" customFormat="false" ht="15" hidden="false" customHeight="false" outlineLevel="0" collapsed="false">
      <c r="A353" s="74"/>
      <c r="B353" s="74"/>
      <c r="C353" s="74"/>
      <c r="D353" s="74"/>
      <c r="E353" s="74"/>
      <c r="F353" s="74"/>
      <c r="G353" s="74"/>
      <c r="H353" s="74"/>
      <c r="I353" s="74"/>
      <c r="J353" s="74"/>
      <c r="K353" s="74"/>
      <c r="L353" s="74"/>
      <c r="M353" s="74"/>
      <c r="N353" s="74"/>
      <c r="O353" s="74"/>
      <c r="P353" s="74"/>
      <c r="Q353" s="74"/>
      <c r="R353" s="74"/>
      <c r="S353" s="74"/>
      <c r="T353" s="74"/>
      <c r="U353" s="74"/>
      <c r="V353" s="74"/>
      <c r="W353" s="74"/>
      <c r="X353" s="74"/>
      <c r="Y353" s="74"/>
      <c r="Z353" s="74"/>
      <c r="AA353" s="74"/>
      <c r="AB353" s="74"/>
      <c r="AC353" s="74"/>
      <c r="AD353" s="74"/>
      <c r="AE353" s="74"/>
      <c r="AF353" s="74"/>
      <c r="AG353" s="74"/>
      <c r="AH353" s="74"/>
    </row>
    <row r="354" customFormat="false" ht="15" hidden="false" customHeight="false" outlineLevel="0" collapsed="false">
      <c r="A354" s="74"/>
      <c r="B354" s="74"/>
      <c r="C354" s="74"/>
      <c r="D354" s="74"/>
      <c r="E354" s="74"/>
      <c r="F354" s="74"/>
      <c r="G354" s="74"/>
      <c r="H354" s="74"/>
      <c r="I354" s="74"/>
      <c r="J354" s="74"/>
      <c r="K354" s="74"/>
      <c r="L354" s="74"/>
      <c r="M354" s="74"/>
      <c r="N354" s="74"/>
      <c r="O354" s="74"/>
      <c r="P354" s="74"/>
      <c r="Q354" s="74"/>
      <c r="R354" s="74"/>
      <c r="S354" s="74"/>
      <c r="T354" s="74"/>
      <c r="U354" s="74"/>
      <c r="V354" s="74"/>
      <c r="W354" s="74"/>
      <c r="X354" s="74"/>
      <c r="Y354" s="74"/>
      <c r="Z354" s="74"/>
      <c r="AA354" s="74"/>
      <c r="AB354" s="74"/>
      <c r="AC354" s="74"/>
      <c r="AD354" s="74"/>
      <c r="AE354" s="74"/>
      <c r="AF354" s="74"/>
      <c r="AG354" s="74"/>
      <c r="AH354" s="74"/>
    </row>
  </sheetData>
  <mergeCells count="3">
    <mergeCell ref="A1:AH1"/>
    <mergeCell ref="A2:J2"/>
    <mergeCell ref="A3:J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77E23"/>
    <pageSetUpPr fitToPage="true"/>
  </sheetPr>
  <dimension ref="A1:AH35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13" min="2" style="0" width="11"/>
    <col collapsed="false" customWidth="true" hidden="false" outlineLevel="0" max="14" min="14" style="0" width="28"/>
    <col collapsed="false" customWidth="true" hidden="false" outlineLevel="0" max="34" min="15" style="0" width="11"/>
  </cols>
  <sheetData>
    <row r="1" customFormat="false" ht="33.75" hidden="false" customHeight="true" outlineLevel="0" collapsed="false">
      <c r="A1" s="1" t="s">
        <v>138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</row>
    <row r="2" customFormat="false" ht="30" hidden="false" customHeight="true" outlineLevel="0" collapsed="false">
      <c r="A2" s="71" t="s">
        <v>104</v>
      </c>
      <c r="B2" s="71"/>
      <c r="C2" s="71"/>
      <c r="D2" s="71"/>
      <c r="E2" s="71"/>
      <c r="F2" s="71"/>
      <c r="G2" s="71"/>
      <c r="H2" s="71"/>
      <c r="I2" s="71"/>
      <c r="J2" s="71"/>
    </row>
    <row r="3" customFormat="false" ht="18" hidden="false" customHeight="true" outlineLevel="0" collapsed="false">
      <c r="A3" s="72" t="str">
        <f aca="false">"貼付行数: "&amp;COUNTA($N$5:$N$1004)&amp;"行"&amp;IF($N$5="","","｜対象期間: "&amp;IFERROR(TEXT(DATEVALUE(TEXT(VALUE($D$5),"0000-00-00")),"m/d")&amp;"〜"&amp;TEXT(DATEVALUE(TEXT(VALUE($E$5),"0000-00-00")),"m/d"),"—"))</f>
        <v>貼付行数: 0行</v>
      </c>
      <c r="B3" s="72"/>
      <c r="C3" s="72"/>
      <c r="D3" s="72"/>
      <c r="E3" s="72"/>
      <c r="F3" s="72"/>
      <c r="G3" s="72"/>
      <c r="H3" s="72"/>
      <c r="I3" s="72"/>
      <c r="J3" s="72"/>
    </row>
    <row r="4" customFormat="false" ht="19.5" hidden="false" customHeight="true" outlineLevel="0" collapsed="false">
      <c r="A4" s="73" t="s">
        <v>105</v>
      </c>
      <c r="B4" s="73" t="s">
        <v>106</v>
      </c>
      <c r="C4" s="73" t="s">
        <v>107</v>
      </c>
      <c r="D4" s="73" t="s">
        <v>108</v>
      </c>
      <c r="E4" s="73" t="s">
        <v>109</v>
      </c>
      <c r="F4" s="73" t="s">
        <v>110</v>
      </c>
      <c r="G4" s="73" t="s">
        <v>111</v>
      </c>
      <c r="H4" s="73" t="s">
        <v>112</v>
      </c>
      <c r="I4" s="73" t="s">
        <v>113</v>
      </c>
      <c r="J4" s="73" t="s">
        <v>114</v>
      </c>
      <c r="K4" s="73" t="s">
        <v>115</v>
      </c>
      <c r="L4" s="73" t="s">
        <v>116</v>
      </c>
      <c r="M4" s="73" t="s">
        <v>117</v>
      </c>
      <c r="N4" s="73" t="s">
        <v>51</v>
      </c>
      <c r="O4" s="73" t="s">
        <v>118</v>
      </c>
      <c r="P4" s="73" t="s">
        <v>119</v>
      </c>
      <c r="Q4" s="73" t="s">
        <v>120</v>
      </c>
      <c r="R4" s="73" t="s">
        <v>121</v>
      </c>
      <c r="S4" s="73" t="s">
        <v>122</v>
      </c>
      <c r="T4" s="73" t="s">
        <v>123</v>
      </c>
      <c r="U4" s="73" t="s">
        <v>124</v>
      </c>
      <c r="V4" s="73" t="s">
        <v>125</v>
      </c>
      <c r="W4" s="73" t="s">
        <v>126</v>
      </c>
      <c r="X4" s="73" t="s">
        <v>127</v>
      </c>
      <c r="Y4" s="73" t="s">
        <v>128</v>
      </c>
      <c r="Z4" s="73" t="s">
        <v>129</v>
      </c>
      <c r="AA4" s="73" t="s">
        <v>130</v>
      </c>
      <c r="AB4" s="73" t="s">
        <v>131</v>
      </c>
      <c r="AC4" s="73" t="s">
        <v>132</v>
      </c>
      <c r="AD4" s="73" t="s">
        <v>133</v>
      </c>
      <c r="AE4" s="73" t="s">
        <v>134</v>
      </c>
      <c r="AF4" s="73" t="s">
        <v>135</v>
      </c>
      <c r="AG4" s="73" t="s">
        <v>136</v>
      </c>
      <c r="AH4" s="73" t="s">
        <v>137</v>
      </c>
    </row>
    <row r="5" customFormat="false" ht="15" hidden="false" customHeight="false" outlineLevel="0" collapsed="false">
      <c r="A5" s="74"/>
      <c r="B5" s="74"/>
      <c r="C5" s="74"/>
      <c r="D5" s="74"/>
      <c r="E5" s="74"/>
      <c r="F5" s="74"/>
      <c r="G5" s="74"/>
      <c r="H5" s="74"/>
      <c r="I5" s="74"/>
      <c r="J5" s="74"/>
      <c r="K5" s="74"/>
      <c r="L5" s="74"/>
      <c r="M5" s="74"/>
      <c r="N5" s="74"/>
      <c r="O5" s="74"/>
      <c r="P5" s="74"/>
      <c r="Q5" s="74"/>
      <c r="R5" s="74"/>
      <c r="S5" s="74"/>
      <c r="T5" s="74"/>
      <c r="U5" s="74"/>
      <c r="V5" s="74"/>
      <c r="W5" s="74"/>
      <c r="X5" s="74"/>
      <c r="Y5" s="74"/>
      <c r="Z5" s="74"/>
      <c r="AA5" s="74"/>
      <c r="AB5" s="74"/>
      <c r="AC5" s="74"/>
      <c r="AD5" s="74"/>
      <c r="AE5" s="74"/>
      <c r="AF5" s="74"/>
      <c r="AG5" s="74"/>
      <c r="AH5" s="74"/>
    </row>
    <row r="6" customFormat="false" ht="15" hidden="false" customHeight="false" outlineLevel="0" collapsed="false">
      <c r="A6" s="74"/>
      <c r="B6" s="74"/>
      <c r="C6" s="74"/>
      <c r="D6" s="74"/>
      <c r="E6" s="74"/>
      <c r="F6" s="74"/>
      <c r="G6" s="74"/>
      <c r="H6" s="74"/>
      <c r="I6" s="74"/>
      <c r="J6" s="74"/>
      <c r="K6" s="74"/>
      <c r="L6" s="74"/>
      <c r="M6" s="74"/>
      <c r="N6" s="74"/>
      <c r="O6" s="74"/>
      <c r="P6" s="74"/>
      <c r="Q6" s="74"/>
      <c r="R6" s="74"/>
      <c r="S6" s="74"/>
      <c r="T6" s="74"/>
      <c r="U6" s="74"/>
      <c r="V6" s="74"/>
      <c r="W6" s="74"/>
      <c r="X6" s="74"/>
      <c r="Y6" s="74"/>
      <c r="Z6" s="74"/>
      <c r="AA6" s="74"/>
      <c r="AB6" s="74"/>
      <c r="AC6" s="74"/>
      <c r="AD6" s="74"/>
      <c r="AE6" s="74"/>
      <c r="AF6" s="74"/>
      <c r="AG6" s="74"/>
      <c r="AH6" s="74"/>
    </row>
    <row r="7" customFormat="false" ht="15" hidden="false" customHeight="false" outlineLevel="0" collapsed="false">
      <c r="A7" s="74"/>
      <c r="B7" s="74"/>
      <c r="C7" s="74"/>
      <c r="D7" s="74"/>
      <c r="E7" s="74"/>
      <c r="F7" s="74"/>
      <c r="G7" s="74"/>
      <c r="H7" s="74"/>
      <c r="I7" s="74"/>
      <c r="J7" s="74"/>
      <c r="K7" s="74"/>
      <c r="L7" s="74"/>
      <c r="M7" s="74"/>
      <c r="N7" s="74"/>
      <c r="O7" s="74"/>
      <c r="P7" s="74"/>
      <c r="Q7" s="74"/>
      <c r="R7" s="74"/>
      <c r="S7" s="74"/>
      <c r="T7" s="74"/>
      <c r="U7" s="74"/>
      <c r="V7" s="74"/>
      <c r="W7" s="74"/>
      <c r="X7" s="74"/>
      <c r="Y7" s="74"/>
      <c r="Z7" s="74"/>
      <c r="AA7" s="74"/>
      <c r="AB7" s="74"/>
      <c r="AC7" s="74"/>
      <c r="AD7" s="74"/>
      <c r="AE7" s="74"/>
      <c r="AF7" s="74"/>
      <c r="AG7" s="74"/>
      <c r="AH7" s="74"/>
    </row>
    <row r="8" customFormat="false" ht="15" hidden="false" customHeight="false" outlineLevel="0" collapsed="false">
      <c r="A8" s="74"/>
      <c r="B8" s="74"/>
      <c r="C8" s="74"/>
      <c r="D8" s="74"/>
      <c r="E8" s="74"/>
      <c r="F8" s="74"/>
      <c r="G8" s="74"/>
      <c r="H8" s="74"/>
      <c r="I8" s="74"/>
      <c r="J8" s="74"/>
      <c r="K8" s="74"/>
      <c r="L8" s="74"/>
      <c r="M8" s="74"/>
      <c r="N8" s="74"/>
      <c r="O8" s="74"/>
      <c r="P8" s="74"/>
      <c r="Q8" s="74"/>
      <c r="R8" s="74"/>
      <c r="S8" s="74"/>
      <c r="T8" s="74"/>
      <c r="U8" s="74"/>
      <c r="V8" s="74"/>
      <c r="W8" s="74"/>
      <c r="X8" s="74"/>
      <c r="Y8" s="74"/>
      <c r="Z8" s="74"/>
      <c r="AA8" s="74"/>
      <c r="AB8" s="74"/>
      <c r="AC8" s="74"/>
      <c r="AD8" s="74"/>
      <c r="AE8" s="74"/>
      <c r="AF8" s="74"/>
      <c r="AG8" s="74"/>
      <c r="AH8" s="74"/>
    </row>
    <row r="9" customFormat="false" ht="15" hidden="false" customHeight="false" outlineLevel="0" collapsed="false">
      <c r="A9" s="74"/>
      <c r="B9" s="74"/>
      <c r="C9" s="74"/>
      <c r="D9" s="74"/>
      <c r="E9" s="74"/>
      <c r="F9" s="74"/>
      <c r="G9" s="74"/>
      <c r="H9" s="74"/>
      <c r="I9" s="74"/>
      <c r="J9" s="74"/>
      <c r="K9" s="74"/>
      <c r="L9" s="74"/>
      <c r="M9" s="74"/>
      <c r="N9" s="74"/>
      <c r="O9" s="74"/>
      <c r="P9" s="74"/>
      <c r="Q9" s="74"/>
      <c r="R9" s="74"/>
      <c r="S9" s="74"/>
      <c r="T9" s="74"/>
      <c r="U9" s="74"/>
      <c r="V9" s="74"/>
      <c r="W9" s="74"/>
      <c r="X9" s="74"/>
      <c r="Y9" s="74"/>
      <c r="Z9" s="74"/>
      <c r="AA9" s="74"/>
      <c r="AB9" s="74"/>
      <c r="AC9" s="74"/>
      <c r="AD9" s="74"/>
      <c r="AE9" s="74"/>
      <c r="AF9" s="74"/>
      <c r="AG9" s="74"/>
      <c r="AH9" s="74"/>
    </row>
    <row r="10" customFormat="false" ht="15" hidden="false" customHeight="false" outlineLevel="0" collapsed="false">
      <c r="A10" s="74"/>
      <c r="B10" s="74"/>
      <c r="C10" s="74"/>
      <c r="D10" s="74"/>
      <c r="E10" s="74"/>
      <c r="F10" s="74"/>
      <c r="G10" s="74"/>
      <c r="H10" s="74"/>
      <c r="I10" s="74"/>
      <c r="J10" s="74"/>
      <c r="K10" s="74"/>
      <c r="L10" s="74"/>
      <c r="M10" s="74"/>
      <c r="N10" s="74"/>
      <c r="O10" s="74"/>
      <c r="P10" s="74"/>
      <c r="Q10" s="74"/>
      <c r="R10" s="74"/>
      <c r="S10" s="74"/>
      <c r="T10" s="74"/>
      <c r="U10" s="74"/>
      <c r="V10" s="74"/>
      <c r="W10" s="74"/>
      <c r="X10" s="74"/>
      <c r="Y10" s="74"/>
      <c r="Z10" s="74"/>
      <c r="AA10" s="74"/>
      <c r="AB10" s="74"/>
      <c r="AC10" s="74"/>
      <c r="AD10" s="74"/>
      <c r="AE10" s="74"/>
      <c r="AF10" s="74"/>
      <c r="AG10" s="74"/>
      <c r="AH10" s="74"/>
    </row>
    <row r="11" customFormat="false" ht="15" hidden="false" customHeight="false" outlineLevel="0" collapsed="false">
      <c r="A11" s="74"/>
      <c r="B11" s="74"/>
      <c r="C11" s="74"/>
      <c r="D11" s="74"/>
      <c r="E11" s="74"/>
      <c r="F11" s="74"/>
      <c r="G11" s="74"/>
      <c r="H11" s="74"/>
      <c r="I11" s="74"/>
      <c r="J11" s="74"/>
      <c r="K11" s="74"/>
      <c r="L11" s="74"/>
      <c r="M11" s="74"/>
      <c r="N11" s="74"/>
      <c r="O11" s="74"/>
      <c r="P11" s="74"/>
      <c r="Q11" s="74"/>
      <c r="R11" s="74"/>
      <c r="S11" s="74"/>
      <c r="T11" s="74"/>
      <c r="U11" s="74"/>
      <c r="V11" s="74"/>
      <c r="W11" s="74"/>
      <c r="X11" s="74"/>
      <c r="Y11" s="74"/>
      <c r="Z11" s="74"/>
      <c r="AA11" s="74"/>
      <c r="AB11" s="74"/>
      <c r="AC11" s="74"/>
      <c r="AD11" s="74"/>
      <c r="AE11" s="74"/>
      <c r="AF11" s="74"/>
      <c r="AG11" s="74"/>
      <c r="AH11" s="74"/>
    </row>
    <row r="12" customFormat="false" ht="15" hidden="false" customHeight="false" outlineLevel="0" collapsed="false">
      <c r="A12" s="74"/>
      <c r="B12" s="74"/>
      <c r="C12" s="74"/>
      <c r="D12" s="74"/>
      <c r="E12" s="74"/>
      <c r="F12" s="74"/>
      <c r="G12" s="74"/>
      <c r="H12" s="74"/>
      <c r="I12" s="74"/>
      <c r="J12" s="74"/>
      <c r="K12" s="74"/>
      <c r="L12" s="74"/>
      <c r="M12" s="74"/>
      <c r="N12" s="74"/>
      <c r="O12" s="74"/>
      <c r="P12" s="74"/>
      <c r="Q12" s="74"/>
      <c r="R12" s="74"/>
      <c r="S12" s="74"/>
      <c r="T12" s="74"/>
      <c r="U12" s="74"/>
      <c r="V12" s="74"/>
      <c r="W12" s="74"/>
      <c r="X12" s="74"/>
      <c r="Y12" s="74"/>
      <c r="Z12" s="74"/>
      <c r="AA12" s="74"/>
      <c r="AB12" s="74"/>
      <c r="AC12" s="74"/>
      <c r="AD12" s="74"/>
      <c r="AE12" s="74"/>
      <c r="AF12" s="74"/>
      <c r="AG12" s="74"/>
      <c r="AH12" s="74"/>
    </row>
    <row r="13" customFormat="false" ht="15" hidden="false" customHeight="false" outlineLevel="0" collapsed="false">
      <c r="A13" s="74"/>
      <c r="B13" s="74"/>
      <c r="C13" s="74"/>
      <c r="D13" s="74"/>
      <c r="E13" s="74"/>
      <c r="F13" s="74"/>
      <c r="G13" s="74"/>
      <c r="H13" s="74"/>
      <c r="I13" s="74"/>
      <c r="J13" s="74"/>
      <c r="K13" s="74"/>
      <c r="L13" s="74"/>
      <c r="M13" s="74"/>
      <c r="N13" s="74"/>
      <c r="O13" s="74"/>
      <c r="P13" s="74"/>
      <c r="Q13" s="74"/>
      <c r="R13" s="74"/>
      <c r="S13" s="74"/>
      <c r="T13" s="74"/>
      <c r="U13" s="74"/>
      <c r="V13" s="74"/>
      <c r="W13" s="74"/>
      <c r="X13" s="74"/>
      <c r="Y13" s="74"/>
      <c r="Z13" s="74"/>
      <c r="AA13" s="74"/>
      <c r="AB13" s="74"/>
      <c r="AC13" s="74"/>
      <c r="AD13" s="74"/>
      <c r="AE13" s="74"/>
      <c r="AF13" s="74"/>
      <c r="AG13" s="74"/>
      <c r="AH13" s="74"/>
    </row>
    <row r="14" customFormat="false" ht="15" hidden="false" customHeight="false" outlineLevel="0" collapsed="false">
      <c r="A14" s="74"/>
      <c r="B14" s="74"/>
      <c r="C14" s="74"/>
      <c r="D14" s="74"/>
      <c r="E14" s="74"/>
      <c r="F14" s="74"/>
      <c r="G14" s="74"/>
      <c r="H14" s="74"/>
      <c r="I14" s="74"/>
      <c r="J14" s="74"/>
      <c r="K14" s="74"/>
      <c r="L14" s="74"/>
      <c r="M14" s="74"/>
      <c r="N14" s="74"/>
      <c r="O14" s="74"/>
      <c r="P14" s="74"/>
      <c r="Q14" s="74"/>
      <c r="R14" s="74"/>
      <c r="S14" s="74"/>
      <c r="T14" s="74"/>
      <c r="U14" s="74"/>
      <c r="V14" s="74"/>
      <c r="W14" s="74"/>
      <c r="X14" s="74"/>
      <c r="Y14" s="74"/>
      <c r="Z14" s="74"/>
      <c r="AA14" s="74"/>
      <c r="AB14" s="74"/>
      <c r="AC14" s="74"/>
      <c r="AD14" s="74"/>
      <c r="AE14" s="74"/>
      <c r="AF14" s="74"/>
      <c r="AG14" s="74"/>
      <c r="AH14" s="74"/>
    </row>
    <row r="15" customFormat="false" ht="15" hidden="false" customHeight="false" outlineLevel="0" collapsed="false">
      <c r="A15" s="74"/>
      <c r="B15" s="74"/>
      <c r="C15" s="74"/>
      <c r="D15" s="74"/>
      <c r="E15" s="74"/>
      <c r="F15" s="74"/>
      <c r="G15" s="74"/>
      <c r="H15" s="74"/>
      <c r="I15" s="74"/>
      <c r="J15" s="74"/>
      <c r="K15" s="74"/>
      <c r="L15" s="74"/>
      <c r="M15" s="74"/>
      <c r="N15" s="74"/>
      <c r="O15" s="74"/>
      <c r="P15" s="74"/>
      <c r="Q15" s="74"/>
      <c r="R15" s="74"/>
      <c r="S15" s="74"/>
      <c r="T15" s="74"/>
      <c r="U15" s="74"/>
      <c r="V15" s="74"/>
      <c r="W15" s="74"/>
      <c r="X15" s="74"/>
      <c r="Y15" s="74"/>
      <c r="Z15" s="74"/>
      <c r="AA15" s="74"/>
      <c r="AB15" s="74"/>
      <c r="AC15" s="74"/>
      <c r="AD15" s="74"/>
      <c r="AE15" s="74"/>
      <c r="AF15" s="74"/>
      <c r="AG15" s="74"/>
      <c r="AH15" s="74"/>
    </row>
    <row r="16" customFormat="false" ht="15" hidden="false" customHeight="false" outlineLevel="0" collapsed="false">
      <c r="A16" s="74"/>
      <c r="B16" s="74"/>
      <c r="C16" s="74"/>
      <c r="D16" s="74"/>
      <c r="E16" s="74"/>
      <c r="F16" s="74"/>
      <c r="G16" s="74"/>
      <c r="H16" s="74"/>
      <c r="I16" s="74"/>
      <c r="J16" s="74"/>
      <c r="K16" s="74"/>
      <c r="L16" s="74"/>
      <c r="M16" s="74"/>
      <c r="N16" s="74"/>
      <c r="O16" s="74"/>
      <c r="P16" s="74"/>
      <c r="Q16" s="74"/>
      <c r="R16" s="74"/>
      <c r="S16" s="74"/>
      <c r="T16" s="74"/>
      <c r="U16" s="74"/>
      <c r="V16" s="74"/>
      <c r="W16" s="74"/>
      <c r="X16" s="74"/>
      <c r="Y16" s="74"/>
      <c r="Z16" s="74"/>
      <c r="AA16" s="74"/>
      <c r="AB16" s="74"/>
      <c r="AC16" s="74"/>
      <c r="AD16" s="74"/>
      <c r="AE16" s="74"/>
      <c r="AF16" s="74"/>
      <c r="AG16" s="74"/>
      <c r="AH16" s="74"/>
    </row>
    <row r="17" customFormat="false" ht="15" hidden="false" customHeight="false" outlineLevel="0" collapsed="false">
      <c r="A17" s="74"/>
      <c r="B17" s="74"/>
      <c r="C17" s="74"/>
      <c r="D17" s="74"/>
      <c r="E17" s="74"/>
      <c r="F17" s="74"/>
      <c r="G17" s="74"/>
      <c r="H17" s="74"/>
      <c r="I17" s="74"/>
      <c r="J17" s="74"/>
      <c r="K17" s="74"/>
      <c r="L17" s="74"/>
      <c r="M17" s="74"/>
      <c r="N17" s="74"/>
      <c r="O17" s="74"/>
      <c r="P17" s="74"/>
      <c r="Q17" s="74"/>
      <c r="R17" s="74"/>
      <c r="S17" s="74"/>
      <c r="T17" s="74"/>
      <c r="U17" s="74"/>
      <c r="V17" s="74"/>
      <c r="W17" s="74"/>
      <c r="X17" s="74"/>
      <c r="Y17" s="74"/>
      <c r="Z17" s="74"/>
      <c r="AA17" s="74"/>
      <c r="AB17" s="74"/>
      <c r="AC17" s="74"/>
      <c r="AD17" s="74"/>
      <c r="AE17" s="74"/>
      <c r="AF17" s="74"/>
      <c r="AG17" s="74"/>
      <c r="AH17" s="74"/>
    </row>
    <row r="18" customFormat="false" ht="15" hidden="false" customHeight="false" outlineLevel="0" collapsed="false">
      <c r="A18" s="74"/>
      <c r="B18" s="74"/>
      <c r="C18" s="74"/>
      <c r="D18" s="74"/>
      <c r="E18" s="74"/>
      <c r="F18" s="74"/>
      <c r="G18" s="74"/>
      <c r="H18" s="74"/>
      <c r="I18" s="74"/>
      <c r="J18" s="74"/>
      <c r="K18" s="74"/>
      <c r="L18" s="74"/>
      <c r="M18" s="74"/>
      <c r="N18" s="74"/>
      <c r="O18" s="74"/>
      <c r="P18" s="74"/>
      <c r="Q18" s="74"/>
      <c r="R18" s="74"/>
      <c r="S18" s="74"/>
      <c r="T18" s="74"/>
      <c r="U18" s="74"/>
      <c r="V18" s="74"/>
      <c r="W18" s="74"/>
      <c r="X18" s="74"/>
      <c r="Y18" s="74"/>
      <c r="Z18" s="74"/>
      <c r="AA18" s="74"/>
      <c r="AB18" s="74"/>
      <c r="AC18" s="74"/>
      <c r="AD18" s="74"/>
      <c r="AE18" s="74"/>
      <c r="AF18" s="74"/>
      <c r="AG18" s="74"/>
      <c r="AH18" s="74"/>
    </row>
    <row r="19" customFormat="false" ht="15" hidden="false" customHeight="false" outlineLevel="0" collapsed="false">
      <c r="A19" s="74"/>
      <c r="B19" s="74"/>
      <c r="C19" s="74"/>
      <c r="D19" s="74"/>
      <c r="E19" s="74"/>
      <c r="F19" s="74"/>
      <c r="G19" s="74"/>
      <c r="H19" s="74"/>
      <c r="I19" s="74"/>
      <c r="J19" s="74"/>
      <c r="K19" s="74"/>
      <c r="L19" s="74"/>
      <c r="M19" s="74"/>
      <c r="N19" s="74"/>
      <c r="O19" s="74"/>
      <c r="P19" s="74"/>
      <c r="Q19" s="74"/>
      <c r="R19" s="74"/>
      <c r="S19" s="74"/>
      <c r="T19" s="74"/>
      <c r="U19" s="74"/>
      <c r="V19" s="74"/>
      <c r="W19" s="74"/>
      <c r="X19" s="74"/>
      <c r="Y19" s="74"/>
      <c r="Z19" s="74"/>
      <c r="AA19" s="74"/>
      <c r="AB19" s="74"/>
      <c r="AC19" s="74"/>
      <c r="AD19" s="74"/>
      <c r="AE19" s="74"/>
      <c r="AF19" s="74"/>
      <c r="AG19" s="74"/>
      <c r="AH19" s="74"/>
    </row>
    <row r="20" customFormat="false" ht="15" hidden="false" customHeight="false" outlineLevel="0" collapsed="false">
      <c r="A20" s="74"/>
      <c r="B20" s="74"/>
      <c r="C20" s="74"/>
      <c r="D20" s="74"/>
      <c r="E20" s="74"/>
      <c r="F20" s="74"/>
      <c r="G20" s="74"/>
      <c r="H20" s="74"/>
      <c r="I20" s="74"/>
      <c r="J20" s="74"/>
      <c r="K20" s="74"/>
      <c r="L20" s="74"/>
      <c r="M20" s="74"/>
      <c r="N20" s="74"/>
      <c r="O20" s="74"/>
      <c r="P20" s="74"/>
      <c r="Q20" s="74"/>
      <c r="R20" s="74"/>
      <c r="S20" s="74"/>
      <c r="T20" s="74"/>
      <c r="U20" s="74"/>
      <c r="V20" s="74"/>
      <c r="W20" s="74"/>
      <c r="X20" s="74"/>
      <c r="Y20" s="74"/>
      <c r="Z20" s="74"/>
      <c r="AA20" s="74"/>
      <c r="AB20" s="74"/>
      <c r="AC20" s="74"/>
      <c r="AD20" s="74"/>
      <c r="AE20" s="74"/>
      <c r="AF20" s="74"/>
      <c r="AG20" s="74"/>
      <c r="AH20" s="74"/>
    </row>
    <row r="21" customFormat="false" ht="15" hidden="false" customHeight="false" outlineLevel="0" collapsed="false">
      <c r="A21" s="74"/>
      <c r="B21" s="74"/>
      <c r="C21" s="74"/>
      <c r="D21" s="74"/>
      <c r="E21" s="74"/>
      <c r="F21" s="74"/>
      <c r="G21" s="74"/>
      <c r="H21" s="74"/>
      <c r="I21" s="74"/>
      <c r="J21" s="74"/>
      <c r="K21" s="74"/>
      <c r="L21" s="74"/>
      <c r="M21" s="74"/>
      <c r="N21" s="74"/>
      <c r="O21" s="74"/>
      <c r="P21" s="74"/>
      <c r="Q21" s="74"/>
      <c r="R21" s="74"/>
      <c r="S21" s="74"/>
      <c r="T21" s="74"/>
      <c r="U21" s="74"/>
      <c r="V21" s="74"/>
      <c r="W21" s="74"/>
      <c r="X21" s="74"/>
      <c r="Y21" s="74"/>
      <c r="Z21" s="74"/>
      <c r="AA21" s="74"/>
      <c r="AB21" s="74"/>
      <c r="AC21" s="74"/>
      <c r="AD21" s="74"/>
      <c r="AE21" s="74"/>
      <c r="AF21" s="74"/>
      <c r="AG21" s="74"/>
      <c r="AH21" s="74"/>
    </row>
    <row r="22" customFormat="false" ht="15" hidden="false" customHeight="false" outlineLevel="0" collapsed="false">
      <c r="A22" s="74"/>
      <c r="B22" s="74"/>
      <c r="C22" s="74"/>
      <c r="D22" s="74"/>
      <c r="E22" s="74"/>
      <c r="F22" s="74"/>
      <c r="G22" s="74"/>
      <c r="H22" s="74"/>
      <c r="I22" s="74"/>
      <c r="J22" s="74"/>
      <c r="K22" s="74"/>
      <c r="L22" s="74"/>
      <c r="M22" s="74"/>
      <c r="N22" s="74"/>
      <c r="O22" s="74"/>
      <c r="P22" s="74"/>
      <c r="Q22" s="74"/>
      <c r="R22" s="74"/>
      <c r="S22" s="74"/>
      <c r="T22" s="74"/>
      <c r="U22" s="74"/>
      <c r="V22" s="74"/>
      <c r="W22" s="74"/>
      <c r="X22" s="74"/>
      <c r="Y22" s="74"/>
      <c r="Z22" s="74"/>
      <c r="AA22" s="74"/>
      <c r="AB22" s="74"/>
      <c r="AC22" s="74"/>
      <c r="AD22" s="74"/>
      <c r="AE22" s="74"/>
      <c r="AF22" s="74"/>
      <c r="AG22" s="74"/>
      <c r="AH22" s="74"/>
    </row>
    <row r="23" customFormat="false" ht="15" hidden="false" customHeight="false" outlineLevel="0" collapsed="false">
      <c r="A23" s="74"/>
      <c r="B23" s="74"/>
      <c r="C23" s="74"/>
      <c r="D23" s="74"/>
      <c r="E23" s="74"/>
      <c r="F23" s="74"/>
      <c r="G23" s="74"/>
      <c r="H23" s="74"/>
      <c r="I23" s="74"/>
      <c r="J23" s="74"/>
      <c r="K23" s="74"/>
      <c r="L23" s="74"/>
      <c r="M23" s="74"/>
      <c r="N23" s="74"/>
      <c r="O23" s="74"/>
      <c r="P23" s="74"/>
      <c r="Q23" s="74"/>
      <c r="R23" s="74"/>
      <c r="S23" s="74"/>
      <c r="T23" s="74"/>
      <c r="U23" s="74"/>
      <c r="V23" s="74"/>
      <c r="W23" s="74"/>
      <c r="X23" s="74"/>
      <c r="Y23" s="74"/>
      <c r="Z23" s="74"/>
      <c r="AA23" s="74"/>
      <c r="AB23" s="74"/>
      <c r="AC23" s="74"/>
      <c r="AD23" s="74"/>
      <c r="AE23" s="74"/>
      <c r="AF23" s="74"/>
      <c r="AG23" s="74"/>
      <c r="AH23" s="74"/>
    </row>
    <row r="24" customFormat="false" ht="15" hidden="false" customHeight="false" outlineLevel="0" collapsed="false">
      <c r="A24" s="74"/>
      <c r="B24" s="74"/>
      <c r="C24" s="74"/>
      <c r="D24" s="74"/>
      <c r="E24" s="74"/>
      <c r="F24" s="74"/>
      <c r="G24" s="74"/>
      <c r="H24" s="74"/>
      <c r="I24" s="74"/>
      <c r="J24" s="74"/>
      <c r="K24" s="74"/>
      <c r="L24" s="74"/>
      <c r="M24" s="74"/>
      <c r="N24" s="74"/>
      <c r="O24" s="74"/>
      <c r="P24" s="74"/>
      <c r="Q24" s="74"/>
      <c r="R24" s="74"/>
      <c r="S24" s="74"/>
      <c r="T24" s="74"/>
      <c r="U24" s="74"/>
      <c r="V24" s="74"/>
      <c r="W24" s="74"/>
      <c r="X24" s="74"/>
      <c r="Y24" s="74"/>
      <c r="Z24" s="74"/>
      <c r="AA24" s="74"/>
      <c r="AB24" s="74"/>
      <c r="AC24" s="74"/>
      <c r="AD24" s="74"/>
      <c r="AE24" s="74"/>
      <c r="AF24" s="74"/>
      <c r="AG24" s="74"/>
      <c r="AH24" s="74"/>
    </row>
    <row r="25" customFormat="false" ht="15" hidden="false" customHeight="false" outlineLevel="0" collapsed="false">
      <c r="A25" s="74"/>
      <c r="B25" s="74"/>
      <c r="C25" s="74"/>
      <c r="D25" s="74"/>
      <c r="E25" s="74"/>
      <c r="F25" s="74"/>
      <c r="G25" s="74"/>
      <c r="H25" s="74"/>
      <c r="I25" s="74"/>
      <c r="J25" s="74"/>
      <c r="K25" s="74"/>
      <c r="L25" s="74"/>
      <c r="M25" s="74"/>
      <c r="N25" s="74"/>
      <c r="O25" s="74"/>
      <c r="P25" s="74"/>
      <c r="Q25" s="74"/>
      <c r="R25" s="74"/>
      <c r="S25" s="74"/>
      <c r="T25" s="74"/>
      <c r="U25" s="74"/>
      <c r="V25" s="74"/>
      <c r="W25" s="74"/>
      <c r="X25" s="74"/>
      <c r="Y25" s="74"/>
      <c r="Z25" s="74"/>
      <c r="AA25" s="74"/>
      <c r="AB25" s="74"/>
      <c r="AC25" s="74"/>
      <c r="AD25" s="74"/>
      <c r="AE25" s="74"/>
      <c r="AF25" s="74"/>
      <c r="AG25" s="74"/>
      <c r="AH25" s="74"/>
    </row>
    <row r="26" customFormat="false" ht="15" hidden="false" customHeight="false" outlineLevel="0" collapsed="false">
      <c r="A26" s="74"/>
      <c r="B26" s="74"/>
      <c r="C26" s="74"/>
      <c r="D26" s="74"/>
      <c r="E26" s="74"/>
      <c r="F26" s="74"/>
      <c r="G26" s="74"/>
      <c r="H26" s="74"/>
      <c r="I26" s="74"/>
      <c r="J26" s="74"/>
      <c r="K26" s="74"/>
      <c r="L26" s="74"/>
      <c r="M26" s="74"/>
      <c r="N26" s="74"/>
      <c r="O26" s="74"/>
      <c r="P26" s="74"/>
      <c r="Q26" s="74"/>
      <c r="R26" s="74"/>
      <c r="S26" s="74"/>
      <c r="T26" s="74"/>
      <c r="U26" s="74"/>
      <c r="V26" s="74"/>
      <c r="W26" s="74"/>
      <c r="X26" s="74"/>
      <c r="Y26" s="74"/>
      <c r="Z26" s="74"/>
      <c r="AA26" s="74"/>
      <c r="AB26" s="74"/>
      <c r="AC26" s="74"/>
      <c r="AD26" s="74"/>
      <c r="AE26" s="74"/>
      <c r="AF26" s="74"/>
      <c r="AG26" s="74"/>
      <c r="AH26" s="74"/>
    </row>
    <row r="27" customFormat="false" ht="15" hidden="false" customHeight="false" outlineLevel="0" collapsed="false">
      <c r="A27" s="74"/>
      <c r="B27" s="74"/>
      <c r="C27" s="74"/>
      <c r="D27" s="74"/>
      <c r="E27" s="74"/>
      <c r="F27" s="74"/>
      <c r="G27" s="74"/>
      <c r="H27" s="74"/>
      <c r="I27" s="74"/>
      <c r="J27" s="74"/>
      <c r="K27" s="74"/>
      <c r="L27" s="74"/>
      <c r="M27" s="74"/>
      <c r="N27" s="74"/>
      <c r="O27" s="74"/>
      <c r="P27" s="74"/>
      <c r="Q27" s="74"/>
      <c r="R27" s="74"/>
      <c r="S27" s="74"/>
      <c r="T27" s="74"/>
      <c r="U27" s="74"/>
      <c r="V27" s="74"/>
      <c r="W27" s="74"/>
      <c r="X27" s="74"/>
      <c r="Y27" s="74"/>
      <c r="Z27" s="74"/>
      <c r="AA27" s="74"/>
      <c r="AB27" s="74"/>
      <c r="AC27" s="74"/>
      <c r="AD27" s="74"/>
      <c r="AE27" s="74"/>
      <c r="AF27" s="74"/>
      <c r="AG27" s="74"/>
      <c r="AH27" s="74"/>
    </row>
    <row r="28" customFormat="false" ht="15" hidden="false" customHeight="false" outlineLevel="0" collapsed="false">
      <c r="A28" s="74"/>
      <c r="B28" s="74"/>
      <c r="C28" s="74"/>
      <c r="D28" s="74"/>
      <c r="E28" s="74"/>
      <c r="F28" s="74"/>
      <c r="G28" s="74"/>
      <c r="H28" s="74"/>
      <c r="I28" s="74"/>
      <c r="J28" s="74"/>
      <c r="K28" s="74"/>
      <c r="L28" s="74"/>
      <c r="M28" s="74"/>
      <c r="N28" s="74"/>
      <c r="O28" s="74"/>
      <c r="P28" s="74"/>
      <c r="Q28" s="74"/>
      <c r="R28" s="74"/>
      <c r="S28" s="74"/>
      <c r="T28" s="74"/>
      <c r="U28" s="74"/>
      <c r="V28" s="74"/>
      <c r="W28" s="74"/>
      <c r="X28" s="74"/>
      <c r="Y28" s="74"/>
      <c r="Z28" s="74"/>
      <c r="AA28" s="74"/>
      <c r="AB28" s="74"/>
      <c r="AC28" s="74"/>
      <c r="AD28" s="74"/>
      <c r="AE28" s="74"/>
      <c r="AF28" s="74"/>
      <c r="AG28" s="74"/>
      <c r="AH28" s="74"/>
    </row>
    <row r="29" customFormat="false" ht="15" hidden="false" customHeight="false" outlineLevel="0" collapsed="false">
      <c r="A29" s="74"/>
      <c r="B29" s="74"/>
      <c r="C29" s="74"/>
      <c r="D29" s="74"/>
      <c r="E29" s="74"/>
      <c r="F29" s="74"/>
      <c r="G29" s="74"/>
      <c r="H29" s="74"/>
      <c r="I29" s="74"/>
      <c r="J29" s="74"/>
      <c r="K29" s="74"/>
      <c r="L29" s="74"/>
      <c r="M29" s="74"/>
      <c r="N29" s="74"/>
      <c r="O29" s="74"/>
      <c r="P29" s="74"/>
      <c r="Q29" s="74"/>
      <c r="R29" s="74"/>
      <c r="S29" s="74"/>
      <c r="T29" s="74"/>
      <c r="U29" s="74"/>
      <c r="V29" s="74"/>
      <c r="W29" s="74"/>
      <c r="X29" s="74"/>
      <c r="Y29" s="74"/>
      <c r="Z29" s="74"/>
      <c r="AA29" s="74"/>
      <c r="AB29" s="74"/>
      <c r="AC29" s="74"/>
      <c r="AD29" s="74"/>
      <c r="AE29" s="74"/>
      <c r="AF29" s="74"/>
      <c r="AG29" s="74"/>
      <c r="AH29" s="74"/>
    </row>
    <row r="30" customFormat="false" ht="15" hidden="false" customHeight="false" outlineLevel="0" collapsed="false">
      <c r="A30" s="74"/>
      <c r="B30" s="74"/>
      <c r="C30" s="74"/>
      <c r="D30" s="74"/>
      <c r="E30" s="74"/>
      <c r="F30" s="74"/>
      <c r="G30" s="74"/>
      <c r="H30" s="74"/>
      <c r="I30" s="74"/>
      <c r="J30" s="74"/>
      <c r="K30" s="74"/>
      <c r="L30" s="74"/>
      <c r="M30" s="74"/>
      <c r="N30" s="74"/>
      <c r="O30" s="74"/>
      <c r="P30" s="74"/>
      <c r="Q30" s="74"/>
      <c r="R30" s="74"/>
      <c r="S30" s="74"/>
      <c r="T30" s="74"/>
      <c r="U30" s="74"/>
      <c r="V30" s="74"/>
      <c r="W30" s="74"/>
      <c r="X30" s="74"/>
      <c r="Y30" s="74"/>
      <c r="Z30" s="74"/>
      <c r="AA30" s="74"/>
      <c r="AB30" s="74"/>
      <c r="AC30" s="74"/>
      <c r="AD30" s="74"/>
      <c r="AE30" s="74"/>
      <c r="AF30" s="74"/>
      <c r="AG30" s="74"/>
      <c r="AH30" s="74"/>
    </row>
    <row r="31" customFormat="false" ht="15" hidden="false" customHeight="false" outlineLevel="0" collapsed="false">
      <c r="A31" s="74"/>
      <c r="B31" s="74"/>
      <c r="C31" s="74"/>
      <c r="D31" s="74"/>
      <c r="E31" s="74"/>
      <c r="F31" s="74"/>
      <c r="G31" s="74"/>
      <c r="H31" s="74"/>
      <c r="I31" s="74"/>
      <c r="J31" s="74"/>
      <c r="K31" s="74"/>
      <c r="L31" s="74"/>
      <c r="M31" s="74"/>
      <c r="N31" s="74"/>
      <c r="O31" s="74"/>
      <c r="P31" s="74"/>
      <c r="Q31" s="74"/>
      <c r="R31" s="74"/>
      <c r="S31" s="74"/>
      <c r="T31" s="74"/>
      <c r="U31" s="74"/>
      <c r="V31" s="74"/>
      <c r="W31" s="74"/>
      <c r="X31" s="74"/>
      <c r="Y31" s="74"/>
      <c r="Z31" s="74"/>
      <c r="AA31" s="74"/>
      <c r="AB31" s="74"/>
      <c r="AC31" s="74"/>
      <c r="AD31" s="74"/>
      <c r="AE31" s="74"/>
      <c r="AF31" s="74"/>
      <c r="AG31" s="74"/>
      <c r="AH31" s="74"/>
    </row>
    <row r="32" customFormat="false" ht="15" hidden="false" customHeight="false" outlineLevel="0" collapsed="false">
      <c r="A32" s="74"/>
      <c r="B32" s="74"/>
      <c r="C32" s="74"/>
      <c r="D32" s="74"/>
      <c r="E32" s="74"/>
      <c r="F32" s="74"/>
      <c r="G32" s="74"/>
      <c r="H32" s="74"/>
      <c r="I32" s="74"/>
      <c r="J32" s="74"/>
      <c r="K32" s="74"/>
      <c r="L32" s="74"/>
      <c r="M32" s="74"/>
      <c r="N32" s="74"/>
      <c r="O32" s="74"/>
      <c r="P32" s="74"/>
      <c r="Q32" s="74"/>
      <c r="R32" s="74"/>
      <c r="S32" s="74"/>
      <c r="T32" s="74"/>
      <c r="U32" s="74"/>
      <c r="V32" s="74"/>
      <c r="W32" s="74"/>
      <c r="X32" s="74"/>
      <c r="Y32" s="74"/>
      <c r="Z32" s="74"/>
      <c r="AA32" s="74"/>
      <c r="AB32" s="74"/>
      <c r="AC32" s="74"/>
      <c r="AD32" s="74"/>
      <c r="AE32" s="74"/>
      <c r="AF32" s="74"/>
      <c r="AG32" s="74"/>
      <c r="AH32" s="74"/>
    </row>
    <row r="33" customFormat="false" ht="15" hidden="false" customHeight="false" outlineLevel="0" collapsed="false">
      <c r="A33" s="74"/>
      <c r="B33" s="74"/>
      <c r="C33" s="74"/>
      <c r="D33" s="74"/>
      <c r="E33" s="74"/>
      <c r="F33" s="74"/>
      <c r="G33" s="74"/>
      <c r="H33" s="74"/>
      <c r="I33" s="74"/>
      <c r="J33" s="74"/>
      <c r="K33" s="74"/>
      <c r="L33" s="74"/>
      <c r="M33" s="74"/>
      <c r="N33" s="74"/>
      <c r="O33" s="74"/>
      <c r="P33" s="74"/>
      <c r="Q33" s="74"/>
      <c r="R33" s="74"/>
      <c r="S33" s="74"/>
      <c r="T33" s="74"/>
      <c r="U33" s="74"/>
      <c r="V33" s="74"/>
      <c r="W33" s="74"/>
      <c r="X33" s="74"/>
      <c r="Y33" s="74"/>
      <c r="Z33" s="74"/>
      <c r="AA33" s="74"/>
      <c r="AB33" s="74"/>
      <c r="AC33" s="74"/>
      <c r="AD33" s="74"/>
      <c r="AE33" s="74"/>
      <c r="AF33" s="74"/>
      <c r="AG33" s="74"/>
      <c r="AH33" s="74"/>
    </row>
    <row r="34" customFormat="false" ht="15" hidden="false" customHeight="false" outlineLevel="0" collapsed="false">
      <c r="A34" s="74"/>
      <c r="B34" s="74"/>
      <c r="C34" s="74"/>
      <c r="D34" s="74"/>
      <c r="E34" s="74"/>
      <c r="F34" s="74"/>
      <c r="G34" s="74"/>
      <c r="H34" s="74"/>
      <c r="I34" s="74"/>
      <c r="J34" s="74"/>
      <c r="K34" s="74"/>
      <c r="L34" s="74"/>
      <c r="M34" s="74"/>
      <c r="N34" s="74"/>
      <c r="O34" s="74"/>
      <c r="P34" s="74"/>
      <c r="Q34" s="74"/>
      <c r="R34" s="74"/>
      <c r="S34" s="74"/>
      <c r="T34" s="74"/>
      <c r="U34" s="74"/>
      <c r="V34" s="74"/>
      <c r="W34" s="74"/>
      <c r="X34" s="74"/>
      <c r="Y34" s="74"/>
      <c r="Z34" s="74"/>
      <c r="AA34" s="74"/>
      <c r="AB34" s="74"/>
      <c r="AC34" s="74"/>
      <c r="AD34" s="74"/>
      <c r="AE34" s="74"/>
      <c r="AF34" s="74"/>
      <c r="AG34" s="74"/>
      <c r="AH34" s="74"/>
    </row>
    <row r="35" customFormat="false" ht="15" hidden="false" customHeight="false" outlineLevel="0" collapsed="false">
      <c r="A35" s="74"/>
      <c r="B35" s="74"/>
      <c r="C35" s="74"/>
      <c r="D35" s="74"/>
      <c r="E35" s="74"/>
      <c r="F35" s="74"/>
      <c r="G35" s="74"/>
      <c r="H35" s="74"/>
      <c r="I35" s="74"/>
      <c r="J35" s="74"/>
      <c r="K35" s="74"/>
      <c r="L35" s="74"/>
      <c r="M35" s="74"/>
      <c r="N35" s="74"/>
      <c r="O35" s="74"/>
      <c r="P35" s="74"/>
      <c r="Q35" s="74"/>
      <c r="R35" s="74"/>
      <c r="S35" s="74"/>
      <c r="T35" s="74"/>
      <c r="U35" s="74"/>
      <c r="V35" s="74"/>
      <c r="W35" s="74"/>
      <c r="X35" s="74"/>
      <c r="Y35" s="74"/>
      <c r="Z35" s="74"/>
      <c r="AA35" s="74"/>
      <c r="AB35" s="74"/>
      <c r="AC35" s="74"/>
      <c r="AD35" s="74"/>
      <c r="AE35" s="74"/>
      <c r="AF35" s="74"/>
      <c r="AG35" s="74"/>
      <c r="AH35" s="74"/>
    </row>
    <row r="36" customFormat="false" ht="15" hidden="false" customHeight="false" outlineLevel="0" collapsed="false">
      <c r="A36" s="74"/>
      <c r="B36" s="74"/>
      <c r="C36" s="74"/>
      <c r="D36" s="74"/>
      <c r="E36" s="74"/>
      <c r="F36" s="74"/>
      <c r="G36" s="74"/>
      <c r="H36" s="74"/>
      <c r="I36" s="74"/>
      <c r="J36" s="74"/>
      <c r="K36" s="74"/>
      <c r="L36" s="74"/>
      <c r="M36" s="74"/>
      <c r="N36" s="74"/>
      <c r="O36" s="74"/>
      <c r="P36" s="74"/>
      <c r="Q36" s="74"/>
      <c r="R36" s="74"/>
      <c r="S36" s="74"/>
      <c r="T36" s="74"/>
      <c r="U36" s="74"/>
      <c r="V36" s="74"/>
      <c r="W36" s="74"/>
      <c r="X36" s="74"/>
      <c r="Y36" s="74"/>
      <c r="Z36" s="74"/>
      <c r="AA36" s="74"/>
      <c r="AB36" s="74"/>
      <c r="AC36" s="74"/>
      <c r="AD36" s="74"/>
      <c r="AE36" s="74"/>
      <c r="AF36" s="74"/>
      <c r="AG36" s="74"/>
      <c r="AH36" s="74"/>
    </row>
    <row r="37" customFormat="false" ht="15" hidden="false" customHeight="false" outlineLevel="0" collapsed="false">
      <c r="A37" s="74"/>
      <c r="B37" s="74"/>
      <c r="C37" s="74"/>
      <c r="D37" s="74"/>
      <c r="E37" s="74"/>
      <c r="F37" s="74"/>
      <c r="G37" s="74"/>
      <c r="H37" s="74"/>
      <c r="I37" s="74"/>
      <c r="J37" s="74"/>
      <c r="K37" s="74"/>
      <c r="L37" s="74"/>
      <c r="M37" s="74"/>
      <c r="N37" s="74"/>
      <c r="O37" s="74"/>
      <c r="P37" s="74"/>
      <c r="Q37" s="74"/>
      <c r="R37" s="74"/>
      <c r="S37" s="74"/>
      <c r="T37" s="74"/>
      <c r="U37" s="74"/>
      <c r="V37" s="74"/>
      <c r="W37" s="74"/>
      <c r="X37" s="74"/>
      <c r="Y37" s="74"/>
      <c r="Z37" s="74"/>
      <c r="AA37" s="74"/>
      <c r="AB37" s="74"/>
      <c r="AC37" s="74"/>
      <c r="AD37" s="74"/>
      <c r="AE37" s="74"/>
      <c r="AF37" s="74"/>
      <c r="AG37" s="74"/>
      <c r="AH37" s="74"/>
    </row>
    <row r="38" customFormat="false" ht="15" hidden="false" customHeight="false" outlineLevel="0" collapsed="false">
      <c r="A38" s="74"/>
      <c r="B38" s="74"/>
      <c r="C38" s="74"/>
      <c r="D38" s="74"/>
      <c r="E38" s="74"/>
      <c r="F38" s="74"/>
      <c r="G38" s="74"/>
      <c r="H38" s="74"/>
      <c r="I38" s="74"/>
      <c r="J38" s="74"/>
      <c r="K38" s="74"/>
      <c r="L38" s="74"/>
      <c r="M38" s="74"/>
      <c r="N38" s="74"/>
      <c r="O38" s="74"/>
      <c r="P38" s="74"/>
      <c r="Q38" s="74"/>
      <c r="R38" s="74"/>
      <c r="S38" s="74"/>
      <c r="T38" s="74"/>
      <c r="U38" s="74"/>
      <c r="V38" s="74"/>
      <c r="W38" s="74"/>
      <c r="X38" s="74"/>
      <c r="Y38" s="74"/>
      <c r="Z38" s="74"/>
      <c r="AA38" s="74"/>
      <c r="AB38" s="74"/>
      <c r="AC38" s="74"/>
      <c r="AD38" s="74"/>
      <c r="AE38" s="74"/>
      <c r="AF38" s="74"/>
      <c r="AG38" s="74"/>
      <c r="AH38" s="74"/>
    </row>
    <row r="39" customFormat="false" ht="15" hidden="false" customHeight="false" outlineLevel="0" collapsed="false">
      <c r="A39" s="74"/>
      <c r="B39" s="74"/>
      <c r="C39" s="74"/>
      <c r="D39" s="74"/>
      <c r="E39" s="74"/>
      <c r="F39" s="74"/>
      <c r="G39" s="74"/>
      <c r="H39" s="74"/>
      <c r="I39" s="74"/>
      <c r="J39" s="74"/>
      <c r="K39" s="74"/>
      <c r="L39" s="74"/>
      <c r="M39" s="74"/>
      <c r="N39" s="74"/>
      <c r="O39" s="74"/>
      <c r="P39" s="74"/>
      <c r="Q39" s="74"/>
      <c r="R39" s="74"/>
      <c r="S39" s="74"/>
      <c r="T39" s="74"/>
      <c r="U39" s="74"/>
      <c r="V39" s="74"/>
      <c r="W39" s="74"/>
      <c r="X39" s="74"/>
      <c r="Y39" s="74"/>
      <c r="Z39" s="74"/>
      <c r="AA39" s="74"/>
      <c r="AB39" s="74"/>
      <c r="AC39" s="74"/>
      <c r="AD39" s="74"/>
      <c r="AE39" s="74"/>
      <c r="AF39" s="74"/>
      <c r="AG39" s="74"/>
      <c r="AH39" s="74"/>
    </row>
    <row r="40" customFormat="false" ht="15" hidden="false" customHeight="false" outlineLevel="0" collapsed="false">
      <c r="A40" s="74"/>
      <c r="B40" s="74"/>
      <c r="C40" s="74"/>
      <c r="D40" s="74"/>
      <c r="E40" s="74"/>
      <c r="F40" s="74"/>
      <c r="G40" s="74"/>
      <c r="H40" s="74"/>
      <c r="I40" s="74"/>
      <c r="J40" s="74"/>
      <c r="K40" s="74"/>
      <c r="L40" s="74"/>
      <c r="M40" s="74"/>
      <c r="N40" s="74"/>
      <c r="O40" s="74"/>
      <c r="P40" s="74"/>
      <c r="Q40" s="74"/>
      <c r="R40" s="74"/>
      <c r="S40" s="74"/>
      <c r="T40" s="74"/>
      <c r="U40" s="74"/>
      <c r="V40" s="74"/>
      <c r="W40" s="74"/>
      <c r="X40" s="74"/>
      <c r="Y40" s="74"/>
      <c r="Z40" s="74"/>
      <c r="AA40" s="74"/>
      <c r="AB40" s="74"/>
      <c r="AC40" s="74"/>
      <c r="AD40" s="74"/>
      <c r="AE40" s="74"/>
      <c r="AF40" s="74"/>
      <c r="AG40" s="74"/>
      <c r="AH40" s="74"/>
    </row>
    <row r="41" customFormat="false" ht="15" hidden="false" customHeight="false" outlineLevel="0" collapsed="false">
      <c r="A41" s="74"/>
      <c r="B41" s="74"/>
      <c r="C41" s="74"/>
      <c r="D41" s="74"/>
      <c r="E41" s="74"/>
      <c r="F41" s="74"/>
      <c r="G41" s="74"/>
      <c r="H41" s="74"/>
      <c r="I41" s="74"/>
      <c r="J41" s="74"/>
      <c r="K41" s="74"/>
      <c r="L41" s="74"/>
      <c r="M41" s="74"/>
      <c r="N41" s="74"/>
      <c r="O41" s="74"/>
      <c r="P41" s="74"/>
      <c r="Q41" s="74"/>
      <c r="R41" s="74"/>
      <c r="S41" s="74"/>
      <c r="T41" s="74"/>
      <c r="U41" s="74"/>
      <c r="V41" s="74"/>
      <c r="W41" s="74"/>
      <c r="X41" s="74"/>
      <c r="Y41" s="74"/>
      <c r="Z41" s="74"/>
      <c r="AA41" s="74"/>
      <c r="AB41" s="74"/>
      <c r="AC41" s="74"/>
      <c r="AD41" s="74"/>
      <c r="AE41" s="74"/>
      <c r="AF41" s="74"/>
      <c r="AG41" s="74"/>
      <c r="AH41" s="74"/>
    </row>
    <row r="42" customFormat="false" ht="15" hidden="false" customHeight="false" outlineLevel="0" collapsed="false">
      <c r="A42" s="74"/>
      <c r="B42" s="74"/>
      <c r="C42" s="74"/>
      <c r="D42" s="74"/>
      <c r="E42" s="74"/>
      <c r="F42" s="74"/>
      <c r="G42" s="74"/>
      <c r="H42" s="74"/>
      <c r="I42" s="74"/>
      <c r="J42" s="74"/>
      <c r="K42" s="74"/>
      <c r="L42" s="74"/>
      <c r="M42" s="74"/>
      <c r="N42" s="74"/>
      <c r="O42" s="74"/>
      <c r="P42" s="74"/>
      <c r="Q42" s="74"/>
      <c r="R42" s="74"/>
      <c r="S42" s="74"/>
      <c r="T42" s="74"/>
      <c r="U42" s="74"/>
      <c r="V42" s="74"/>
      <c r="W42" s="74"/>
      <c r="X42" s="74"/>
      <c r="Y42" s="74"/>
      <c r="Z42" s="74"/>
      <c r="AA42" s="74"/>
      <c r="AB42" s="74"/>
      <c r="AC42" s="74"/>
      <c r="AD42" s="74"/>
      <c r="AE42" s="74"/>
      <c r="AF42" s="74"/>
      <c r="AG42" s="74"/>
      <c r="AH42" s="74"/>
    </row>
    <row r="43" customFormat="false" ht="15" hidden="false" customHeight="false" outlineLevel="0" collapsed="false">
      <c r="A43" s="74"/>
      <c r="B43" s="74"/>
      <c r="C43" s="74"/>
      <c r="D43" s="74"/>
      <c r="E43" s="74"/>
      <c r="F43" s="74"/>
      <c r="G43" s="74"/>
      <c r="H43" s="74"/>
      <c r="I43" s="74"/>
      <c r="J43" s="74"/>
      <c r="K43" s="74"/>
      <c r="L43" s="74"/>
      <c r="M43" s="74"/>
      <c r="N43" s="74"/>
      <c r="O43" s="74"/>
      <c r="P43" s="74"/>
      <c r="Q43" s="74"/>
      <c r="R43" s="74"/>
      <c r="S43" s="74"/>
      <c r="T43" s="74"/>
      <c r="U43" s="74"/>
      <c r="V43" s="74"/>
      <c r="W43" s="74"/>
      <c r="X43" s="74"/>
      <c r="Y43" s="74"/>
      <c r="Z43" s="74"/>
      <c r="AA43" s="74"/>
      <c r="AB43" s="74"/>
      <c r="AC43" s="74"/>
      <c r="AD43" s="74"/>
      <c r="AE43" s="74"/>
      <c r="AF43" s="74"/>
      <c r="AG43" s="74"/>
      <c r="AH43" s="74"/>
    </row>
    <row r="44" customFormat="false" ht="15" hidden="false" customHeight="false" outlineLevel="0" collapsed="false">
      <c r="A44" s="74"/>
      <c r="B44" s="74"/>
      <c r="C44" s="74"/>
      <c r="D44" s="74"/>
      <c r="E44" s="74"/>
      <c r="F44" s="74"/>
      <c r="G44" s="74"/>
      <c r="H44" s="74"/>
      <c r="I44" s="74"/>
      <c r="J44" s="74"/>
      <c r="K44" s="74"/>
      <c r="L44" s="74"/>
      <c r="M44" s="74"/>
      <c r="N44" s="74"/>
      <c r="O44" s="74"/>
      <c r="P44" s="74"/>
      <c r="Q44" s="74"/>
      <c r="R44" s="74"/>
      <c r="S44" s="74"/>
      <c r="T44" s="74"/>
      <c r="U44" s="74"/>
      <c r="V44" s="74"/>
      <c r="W44" s="74"/>
      <c r="X44" s="74"/>
      <c r="Y44" s="74"/>
      <c r="Z44" s="74"/>
      <c r="AA44" s="74"/>
      <c r="AB44" s="74"/>
      <c r="AC44" s="74"/>
      <c r="AD44" s="74"/>
      <c r="AE44" s="74"/>
      <c r="AF44" s="74"/>
      <c r="AG44" s="74"/>
      <c r="AH44" s="74"/>
    </row>
    <row r="45" customFormat="false" ht="15" hidden="false" customHeight="false" outlineLevel="0" collapsed="false">
      <c r="A45" s="74"/>
      <c r="B45" s="74"/>
      <c r="C45" s="74"/>
      <c r="D45" s="74"/>
      <c r="E45" s="74"/>
      <c r="F45" s="74"/>
      <c r="G45" s="74"/>
      <c r="H45" s="74"/>
      <c r="I45" s="74"/>
      <c r="J45" s="74"/>
      <c r="K45" s="74"/>
      <c r="L45" s="74"/>
      <c r="M45" s="74"/>
      <c r="N45" s="74"/>
      <c r="O45" s="74"/>
      <c r="P45" s="74"/>
      <c r="Q45" s="74"/>
      <c r="R45" s="74"/>
      <c r="S45" s="74"/>
      <c r="T45" s="74"/>
      <c r="U45" s="74"/>
      <c r="V45" s="74"/>
      <c r="W45" s="74"/>
      <c r="X45" s="74"/>
      <c r="Y45" s="74"/>
      <c r="Z45" s="74"/>
      <c r="AA45" s="74"/>
      <c r="AB45" s="74"/>
      <c r="AC45" s="74"/>
      <c r="AD45" s="74"/>
      <c r="AE45" s="74"/>
      <c r="AF45" s="74"/>
      <c r="AG45" s="74"/>
      <c r="AH45" s="74"/>
    </row>
    <row r="46" customFormat="false" ht="15" hidden="false" customHeight="false" outlineLevel="0" collapsed="false">
      <c r="A46" s="74"/>
      <c r="B46" s="74"/>
      <c r="C46" s="74"/>
      <c r="D46" s="74"/>
      <c r="E46" s="74"/>
      <c r="F46" s="74"/>
      <c r="G46" s="74"/>
      <c r="H46" s="74"/>
      <c r="I46" s="74"/>
      <c r="J46" s="74"/>
      <c r="K46" s="74"/>
      <c r="L46" s="74"/>
      <c r="M46" s="74"/>
      <c r="N46" s="74"/>
      <c r="O46" s="74"/>
      <c r="P46" s="74"/>
      <c r="Q46" s="74"/>
      <c r="R46" s="74"/>
      <c r="S46" s="74"/>
      <c r="T46" s="74"/>
      <c r="U46" s="74"/>
      <c r="V46" s="74"/>
      <c r="W46" s="74"/>
      <c r="X46" s="74"/>
      <c r="Y46" s="74"/>
      <c r="Z46" s="74"/>
      <c r="AA46" s="74"/>
      <c r="AB46" s="74"/>
      <c r="AC46" s="74"/>
      <c r="AD46" s="74"/>
      <c r="AE46" s="74"/>
      <c r="AF46" s="74"/>
      <c r="AG46" s="74"/>
      <c r="AH46" s="74"/>
    </row>
    <row r="47" customFormat="false" ht="15" hidden="false" customHeight="false" outlineLevel="0" collapsed="false">
      <c r="A47" s="74"/>
      <c r="B47" s="74"/>
      <c r="C47" s="74"/>
      <c r="D47" s="74"/>
      <c r="E47" s="74"/>
      <c r="F47" s="74"/>
      <c r="G47" s="74"/>
      <c r="H47" s="74"/>
      <c r="I47" s="74"/>
      <c r="J47" s="74"/>
      <c r="K47" s="74"/>
      <c r="L47" s="74"/>
      <c r="M47" s="74"/>
      <c r="N47" s="74"/>
      <c r="O47" s="74"/>
      <c r="P47" s="74"/>
      <c r="Q47" s="74"/>
      <c r="R47" s="74"/>
      <c r="S47" s="74"/>
      <c r="T47" s="74"/>
      <c r="U47" s="74"/>
      <c r="V47" s="74"/>
      <c r="W47" s="74"/>
      <c r="X47" s="74"/>
      <c r="Y47" s="74"/>
      <c r="Z47" s="74"/>
      <c r="AA47" s="74"/>
      <c r="AB47" s="74"/>
      <c r="AC47" s="74"/>
      <c r="AD47" s="74"/>
      <c r="AE47" s="74"/>
      <c r="AF47" s="74"/>
      <c r="AG47" s="74"/>
      <c r="AH47" s="74"/>
    </row>
    <row r="48" customFormat="false" ht="15" hidden="false" customHeight="false" outlineLevel="0" collapsed="false">
      <c r="A48" s="74"/>
      <c r="B48" s="74"/>
      <c r="C48" s="74"/>
      <c r="D48" s="74"/>
      <c r="E48" s="74"/>
      <c r="F48" s="74"/>
      <c r="G48" s="74"/>
      <c r="H48" s="74"/>
      <c r="I48" s="74"/>
      <c r="J48" s="74"/>
      <c r="K48" s="74"/>
      <c r="L48" s="74"/>
      <c r="M48" s="74"/>
      <c r="N48" s="74"/>
      <c r="O48" s="74"/>
      <c r="P48" s="74"/>
      <c r="Q48" s="74"/>
      <c r="R48" s="74"/>
      <c r="S48" s="74"/>
      <c r="T48" s="74"/>
      <c r="U48" s="74"/>
      <c r="V48" s="74"/>
      <c r="W48" s="74"/>
      <c r="X48" s="74"/>
      <c r="Y48" s="74"/>
      <c r="Z48" s="74"/>
      <c r="AA48" s="74"/>
      <c r="AB48" s="74"/>
      <c r="AC48" s="74"/>
      <c r="AD48" s="74"/>
      <c r="AE48" s="74"/>
      <c r="AF48" s="74"/>
      <c r="AG48" s="74"/>
      <c r="AH48" s="74"/>
    </row>
    <row r="49" customFormat="false" ht="15" hidden="false" customHeight="false" outlineLevel="0" collapsed="false">
      <c r="A49" s="74"/>
      <c r="B49" s="74"/>
      <c r="C49" s="74"/>
      <c r="D49" s="74"/>
      <c r="E49" s="74"/>
      <c r="F49" s="74"/>
      <c r="G49" s="74"/>
      <c r="H49" s="74"/>
      <c r="I49" s="74"/>
      <c r="J49" s="74"/>
      <c r="K49" s="74"/>
      <c r="L49" s="74"/>
      <c r="M49" s="74"/>
      <c r="N49" s="74"/>
      <c r="O49" s="74"/>
      <c r="P49" s="74"/>
      <c r="Q49" s="74"/>
      <c r="R49" s="74"/>
      <c r="S49" s="74"/>
      <c r="T49" s="74"/>
      <c r="U49" s="74"/>
      <c r="V49" s="74"/>
      <c r="W49" s="74"/>
      <c r="X49" s="74"/>
      <c r="Y49" s="74"/>
      <c r="Z49" s="74"/>
      <c r="AA49" s="74"/>
      <c r="AB49" s="74"/>
      <c r="AC49" s="74"/>
      <c r="AD49" s="74"/>
      <c r="AE49" s="74"/>
      <c r="AF49" s="74"/>
      <c r="AG49" s="74"/>
      <c r="AH49" s="74"/>
    </row>
    <row r="50" customFormat="false" ht="15" hidden="false" customHeight="false" outlineLevel="0" collapsed="false">
      <c r="A50" s="74"/>
      <c r="B50" s="74"/>
      <c r="C50" s="74"/>
      <c r="D50" s="74"/>
      <c r="E50" s="74"/>
      <c r="F50" s="74"/>
      <c r="G50" s="74"/>
      <c r="H50" s="74"/>
      <c r="I50" s="74"/>
      <c r="J50" s="74"/>
      <c r="K50" s="74"/>
      <c r="L50" s="74"/>
      <c r="M50" s="74"/>
      <c r="N50" s="74"/>
      <c r="O50" s="74"/>
      <c r="P50" s="74"/>
      <c r="Q50" s="74"/>
      <c r="R50" s="74"/>
      <c r="S50" s="74"/>
      <c r="T50" s="74"/>
      <c r="U50" s="74"/>
      <c r="V50" s="74"/>
      <c r="W50" s="74"/>
      <c r="X50" s="74"/>
      <c r="Y50" s="74"/>
      <c r="Z50" s="74"/>
      <c r="AA50" s="74"/>
      <c r="AB50" s="74"/>
      <c r="AC50" s="74"/>
      <c r="AD50" s="74"/>
      <c r="AE50" s="74"/>
      <c r="AF50" s="74"/>
      <c r="AG50" s="74"/>
      <c r="AH50" s="74"/>
    </row>
    <row r="51" customFormat="false" ht="15" hidden="false" customHeight="false" outlineLevel="0" collapsed="false">
      <c r="A51" s="74"/>
      <c r="B51" s="74"/>
      <c r="C51" s="74"/>
      <c r="D51" s="74"/>
      <c r="E51" s="74"/>
      <c r="F51" s="74"/>
      <c r="G51" s="74"/>
      <c r="H51" s="74"/>
      <c r="I51" s="74"/>
      <c r="J51" s="74"/>
      <c r="K51" s="74"/>
      <c r="L51" s="74"/>
      <c r="M51" s="74"/>
      <c r="N51" s="74"/>
      <c r="O51" s="74"/>
      <c r="P51" s="74"/>
      <c r="Q51" s="74"/>
      <c r="R51" s="74"/>
      <c r="S51" s="74"/>
      <c r="T51" s="74"/>
      <c r="U51" s="74"/>
      <c r="V51" s="74"/>
      <c r="W51" s="74"/>
      <c r="X51" s="74"/>
      <c r="Y51" s="74"/>
      <c r="Z51" s="74"/>
      <c r="AA51" s="74"/>
      <c r="AB51" s="74"/>
      <c r="AC51" s="74"/>
      <c r="AD51" s="74"/>
      <c r="AE51" s="74"/>
      <c r="AF51" s="74"/>
      <c r="AG51" s="74"/>
      <c r="AH51" s="74"/>
    </row>
    <row r="52" customFormat="false" ht="15" hidden="false" customHeight="false" outlineLevel="0" collapsed="false">
      <c r="A52" s="74"/>
      <c r="B52" s="74"/>
      <c r="C52" s="74"/>
      <c r="D52" s="74"/>
      <c r="E52" s="74"/>
      <c r="F52" s="74"/>
      <c r="G52" s="74"/>
      <c r="H52" s="74"/>
      <c r="I52" s="74"/>
      <c r="J52" s="74"/>
      <c r="K52" s="74"/>
      <c r="L52" s="74"/>
      <c r="M52" s="74"/>
      <c r="N52" s="74"/>
      <c r="O52" s="74"/>
      <c r="P52" s="74"/>
      <c r="Q52" s="74"/>
      <c r="R52" s="74"/>
      <c r="S52" s="74"/>
      <c r="T52" s="74"/>
      <c r="U52" s="74"/>
      <c r="V52" s="74"/>
      <c r="W52" s="74"/>
      <c r="X52" s="74"/>
      <c r="Y52" s="74"/>
      <c r="Z52" s="74"/>
      <c r="AA52" s="74"/>
      <c r="AB52" s="74"/>
      <c r="AC52" s="74"/>
      <c r="AD52" s="74"/>
      <c r="AE52" s="74"/>
      <c r="AF52" s="74"/>
      <c r="AG52" s="74"/>
      <c r="AH52" s="74"/>
    </row>
    <row r="53" customFormat="false" ht="15" hidden="false" customHeight="false" outlineLevel="0" collapsed="false">
      <c r="A53" s="74"/>
      <c r="B53" s="74"/>
      <c r="C53" s="74"/>
      <c r="D53" s="74"/>
      <c r="E53" s="74"/>
      <c r="F53" s="74"/>
      <c r="G53" s="74"/>
      <c r="H53" s="74"/>
      <c r="I53" s="74"/>
      <c r="J53" s="74"/>
      <c r="K53" s="74"/>
      <c r="L53" s="74"/>
      <c r="M53" s="74"/>
      <c r="N53" s="74"/>
      <c r="O53" s="74"/>
      <c r="P53" s="74"/>
      <c r="Q53" s="74"/>
      <c r="R53" s="74"/>
      <c r="S53" s="74"/>
      <c r="T53" s="74"/>
      <c r="U53" s="74"/>
      <c r="V53" s="74"/>
      <c r="W53" s="74"/>
      <c r="X53" s="74"/>
      <c r="Y53" s="74"/>
      <c r="Z53" s="74"/>
      <c r="AA53" s="74"/>
      <c r="AB53" s="74"/>
      <c r="AC53" s="74"/>
      <c r="AD53" s="74"/>
      <c r="AE53" s="74"/>
      <c r="AF53" s="74"/>
      <c r="AG53" s="74"/>
      <c r="AH53" s="74"/>
    </row>
    <row r="54" customFormat="false" ht="15" hidden="false" customHeight="false" outlineLevel="0" collapsed="false">
      <c r="A54" s="74"/>
      <c r="B54" s="74"/>
      <c r="C54" s="74"/>
      <c r="D54" s="74"/>
      <c r="E54" s="74"/>
      <c r="F54" s="74"/>
      <c r="G54" s="74"/>
      <c r="H54" s="74"/>
      <c r="I54" s="74"/>
      <c r="J54" s="74"/>
      <c r="K54" s="74"/>
      <c r="L54" s="74"/>
      <c r="M54" s="74"/>
      <c r="N54" s="74"/>
      <c r="O54" s="74"/>
      <c r="P54" s="74"/>
      <c r="Q54" s="74"/>
      <c r="R54" s="74"/>
      <c r="S54" s="74"/>
      <c r="T54" s="74"/>
      <c r="U54" s="74"/>
      <c r="V54" s="74"/>
      <c r="W54" s="74"/>
      <c r="X54" s="74"/>
      <c r="Y54" s="74"/>
      <c r="Z54" s="74"/>
      <c r="AA54" s="74"/>
      <c r="AB54" s="74"/>
      <c r="AC54" s="74"/>
      <c r="AD54" s="74"/>
      <c r="AE54" s="74"/>
      <c r="AF54" s="74"/>
      <c r="AG54" s="74"/>
      <c r="AH54" s="74"/>
    </row>
    <row r="55" customFormat="false" ht="15" hidden="false" customHeight="false" outlineLevel="0" collapsed="false">
      <c r="A55" s="74"/>
      <c r="B55" s="74"/>
      <c r="C55" s="74"/>
      <c r="D55" s="74"/>
      <c r="E55" s="74"/>
      <c r="F55" s="74"/>
      <c r="G55" s="74"/>
      <c r="H55" s="74"/>
      <c r="I55" s="74"/>
      <c r="J55" s="74"/>
      <c r="K55" s="74"/>
      <c r="L55" s="74"/>
      <c r="M55" s="74"/>
      <c r="N55" s="74"/>
      <c r="O55" s="74"/>
      <c r="P55" s="74"/>
      <c r="Q55" s="74"/>
      <c r="R55" s="74"/>
      <c r="S55" s="74"/>
      <c r="T55" s="74"/>
      <c r="U55" s="74"/>
      <c r="V55" s="74"/>
      <c r="W55" s="74"/>
      <c r="X55" s="74"/>
      <c r="Y55" s="74"/>
      <c r="Z55" s="74"/>
      <c r="AA55" s="74"/>
      <c r="AB55" s="74"/>
      <c r="AC55" s="74"/>
      <c r="AD55" s="74"/>
      <c r="AE55" s="74"/>
      <c r="AF55" s="74"/>
      <c r="AG55" s="74"/>
      <c r="AH55" s="74"/>
    </row>
    <row r="56" customFormat="false" ht="15" hidden="false" customHeight="false" outlineLevel="0" collapsed="false">
      <c r="A56" s="74"/>
      <c r="B56" s="74"/>
      <c r="C56" s="74"/>
      <c r="D56" s="74"/>
      <c r="E56" s="74"/>
      <c r="F56" s="74"/>
      <c r="G56" s="74"/>
      <c r="H56" s="74"/>
      <c r="I56" s="74"/>
      <c r="J56" s="74"/>
      <c r="K56" s="74"/>
      <c r="L56" s="74"/>
      <c r="M56" s="74"/>
      <c r="N56" s="74"/>
      <c r="O56" s="74"/>
      <c r="P56" s="74"/>
      <c r="Q56" s="74"/>
      <c r="R56" s="74"/>
      <c r="S56" s="74"/>
      <c r="T56" s="74"/>
      <c r="U56" s="74"/>
      <c r="V56" s="74"/>
      <c r="W56" s="74"/>
      <c r="X56" s="74"/>
      <c r="Y56" s="74"/>
      <c r="Z56" s="74"/>
      <c r="AA56" s="74"/>
      <c r="AB56" s="74"/>
      <c r="AC56" s="74"/>
      <c r="AD56" s="74"/>
      <c r="AE56" s="74"/>
      <c r="AF56" s="74"/>
      <c r="AG56" s="74"/>
      <c r="AH56" s="74"/>
    </row>
    <row r="57" customFormat="false" ht="15" hidden="false" customHeight="false" outlineLevel="0" collapsed="false">
      <c r="A57" s="74"/>
      <c r="B57" s="74"/>
      <c r="C57" s="74"/>
      <c r="D57" s="74"/>
      <c r="E57" s="74"/>
      <c r="F57" s="74"/>
      <c r="G57" s="74"/>
      <c r="H57" s="74"/>
      <c r="I57" s="74"/>
      <c r="J57" s="74"/>
      <c r="K57" s="74"/>
      <c r="L57" s="74"/>
      <c r="M57" s="74"/>
      <c r="N57" s="74"/>
      <c r="O57" s="74"/>
      <c r="P57" s="74"/>
      <c r="Q57" s="74"/>
      <c r="R57" s="74"/>
      <c r="S57" s="74"/>
      <c r="T57" s="74"/>
      <c r="U57" s="74"/>
      <c r="V57" s="74"/>
      <c r="W57" s="74"/>
      <c r="X57" s="74"/>
      <c r="Y57" s="74"/>
      <c r="Z57" s="74"/>
      <c r="AA57" s="74"/>
      <c r="AB57" s="74"/>
      <c r="AC57" s="74"/>
      <c r="AD57" s="74"/>
      <c r="AE57" s="74"/>
      <c r="AF57" s="74"/>
      <c r="AG57" s="74"/>
      <c r="AH57" s="74"/>
    </row>
    <row r="58" customFormat="false" ht="15" hidden="false" customHeight="false" outlineLevel="0" collapsed="false">
      <c r="A58" s="74"/>
      <c r="B58" s="74"/>
      <c r="C58" s="74"/>
      <c r="D58" s="74"/>
      <c r="E58" s="74"/>
      <c r="F58" s="74"/>
      <c r="G58" s="74"/>
      <c r="H58" s="74"/>
      <c r="I58" s="74"/>
      <c r="J58" s="74"/>
      <c r="K58" s="74"/>
      <c r="L58" s="74"/>
      <c r="M58" s="74"/>
      <c r="N58" s="74"/>
      <c r="O58" s="74"/>
      <c r="P58" s="74"/>
      <c r="Q58" s="74"/>
      <c r="R58" s="74"/>
      <c r="S58" s="74"/>
      <c r="T58" s="74"/>
      <c r="U58" s="74"/>
      <c r="V58" s="74"/>
      <c r="W58" s="74"/>
      <c r="X58" s="74"/>
      <c r="Y58" s="74"/>
      <c r="Z58" s="74"/>
      <c r="AA58" s="74"/>
      <c r="AB58" s="74"/>
      <c r="AC58" s="74"/>
      <c r="AD58" s="74"/>
      <c r="AE58" s="74"/>
      <c r="AF58" s="74"/>
      <c r="AG58" s="74"/>
      <c r="AH58" s="74"/>
    </row>
    <row r="59" customFormat="false" ht="15" hidden="false" customHeight="false" outlineLevel="0" collapsed="false">
      <c r="A59" s="74"/>
      <c r="B59" s="74"/>
      <c r="C59" s="74"/>
      <c r="D59" s="74"/>
      <c r="E59" s="74"/>
      <c r="F59" s="74"/>
      <c r="G59" s="74"/>
      <c r="H59" s="74"/>
      <c r="I59" s="74"/>
      <c r="J59" s="74"/>
      <c r="K59" s="74"/>
      <c r="L59" s="74"/>
      <c r="M59" s="74"/>
      <c r="N59" s="74"/>
      <c r="O59" s="74"/>
      <c r="P59" s="74"/>
      <c r="Q59" s="74"/>
      <c r="R59" s="74"/>
      <c r="S59" s="74"/>
      <c r="T59" s="74"/>
      <c r="U59" s="74"/>
      <c r="V59" s="74"/>
      <c r="W59" s="74"/>
      <c r="X59" s="74"/>
      <c r="Y59" s="74"/>
      <c r="Z59" s="74"/>
      <c r="AA59" s="74"/>
      <c r="AB59" s="74"/>
      <c r="AC59" s="74"/>
      <c r="AD59" s="74"/>
      <c r="AE59" s="74"/>
      <c r="AF59" s="74"/>
      <c r="AG59" s="74"/>
      <c r="AH59" s="74"/>
    </row>
    <row r="60" customFormat="false" ht="15" hidden="false" customHeight="false" outlineLevel="0" collapsed="false">
      <c r="A60" s="74"/>
      <c r="B60" s="74"/>
      <c r="C60" s="74"/>
      <c r="D60" s="74"/>
      <c r="E60" s="74"/>
      <c r="F60" s="74"/>
      <c r="G60" s="74"/>
      <c r="H60" s="74"/>
      <c r="I60" s="74"/>
      <c r="J60" s="74"/>
      <c r="K60" s="74"/>
      <c r="L60" s="74"/>
      <c r="M60" s="74"/>
      <c r="N60" s="74"/>
      <c r="O60" s="74"/>
      <c r="P60" s="74"/>
      <c r="Q60" s="74"/>
      <c r="R60" s="74"/>
      <c r="S60" s="74"/>
      <c r="T60" s="74"/>
      <c r="U60" s="74"/>
      <c r="V60" s="74"/>
      <c r="W60" s="74"/>
      <c r="X60" s="74"/>
      <c r="Y60" s="74"/>
      <c r="Z60" s="74"/>
      <c r="AA60" s="74"/>
      <c r="AB60" s="74"/>
      <c r="AC60" s="74"/>
      <c r="AD60" s="74"/>
      <c r="AE60" s="74"/>
      <c r="AF60" s="74"/>
      <c r="AG60" s="74"/>
      <c r="AH60" s="74"/>
    </row>
    <row r="61" customFormat="false" ht="15" hidden="false" customHeight="false" outlineLevel="0" collapsed="false">
      <c r="A61" s="74"/>
      <c r="B61" s="74"/>
      <c r="C61" s="74"/>
      <c r="D61" s="74"/>
      <c r="E61" s="74"/>
      <c r="F61" s="74"/>
      <c r="G61" s="74"/>
      <c r="H61" s="74"/>
      <c r="I61" s="74"/>
      <c r="J61" s="74"/>
      <c r="K61" s="74"/>
      <c r="L61" s="74"/>
      <c r="M61" s="74"/>
      <c r="N61" s="74"/>
      <c r="O61" s="74"/>
      <c r="P61" s="74"/>
      <c r="Q61" s="74"/>
      <c r="R61" s="74"/>
      <c r="S61" s="74"/>
      <c r="T61" s="74"/>
      <c r="U61" s="74"/>
      <c r="V61" s="74"/>
      <c r="W61" s="74"/>
      <c r="X61" s="74"/>
      <c r="Y61" s="74"/>
      <c r="Z61" s="74"/>
      <c r="AA61" s="74"/>
      <c r="AB61" s="74"/>
      <c r="AC61" s="74"/>
      <c r="AD61" s="74"/>
      <c r="AE61" s="74"/>
      <c r="AF61" s="74"/>
      <c r="AG61" s="74"/>
      <c r="AH61" s="74"/>
    </row>
    <row r="62" customFormat="false" ht="15" hidden="false" customHeight="false" outlineLevel="0" collapsed="false">
      <c r="A62" s="74"/>
      <c r="B62" s="74"/>
      <c r="C62" s="74"/>
      <c r="D62" s="74"/>
      <c r="E62" s="74"/>
      <c r="F62" s="74"/>
      <c r="G62" s="74"/>
      <c r="H62" s="74"/>
      <c r="I62" s="74"/>
      <c r="J62" s="74"/>
      <c r="K62" s="74"/>
      <c r="L62" s="74"/>
      <c r="M62" s="74"/>
      <c r="N62" s="74"/>
      <c r="O62" s="74"/>
      <c r="P62" s="74"/>
      <c r="Q62" s="74"/>
      <c r="R62" s="74"/>
      <c r="S62" s="74"/>
      <c r="T62" s="74"/>
      <c r="U62" s="74"/>
      <c r="V62" s="74"/>
      <c r="W62" s="74"/>
      <c r="X62" s="74"/>
      <c r="Y62" s="74"/>
      <c r="Z62" s="74"/>
      <c r="AA62" s="74"/>
      <c r="AB62" s="74"/>
      <c r="AC62" s="74"/>
      <c r="AD62" s="74"/>
      <c r="AE62" s="74"/>
      <c r="AF62" s="74"/>
      <c r="AG62" s="74"/>
      <c r="AH62" s="74"/>
    </row>
    <row r="63" customFormat="false" ht="15" hidden="false" customHeight="false" outlineLevel="0" collapsed="false">
      <c r="A63" s="74"/>
      <c r="B63" s="74"/>
      <c r="C63" s="74"/>
      <c r="D63" s="74"/>
      <c r="E63" s="74"/>
      <c r="F63" s="74"/>
      <c r="G63" s="74"/>
      <c r="H63" s="74"/>
      <c r="I63" s="74"/>
      <c r="J63" s="74"/>
      <c r="K63" s="74"/>
      <c r="L63" s="74"/>
      <c r="M63" s="74"/>
      <c r="N63" s="74"/>
      <c r="O63" s="74"/>
      <c r="P63" s="74"/>
      <c r="Q63" s="74"/>
      <c r="R63" s="74"/>
      <c r="S63" s="74"/>
      <c r="T63" s="74"/>
      <c r="U63" s="74"/>
      <c r="V63" s="74"/>
      <c r="W63" s="74"/>
      <c r="X63" s="74"/>
      <c r="Y63" s="74"/>
      <c r="Z63" s="74"/>
      <c r="AA63" s="74"/>
      <c r="AB63" s="74"/>
      <c r="AC63" s="74"/>
      <c r="AD63" s="74"/>
      <c r="AE63" s="74"/>
      <c r="AF63" s="74"/>
      <c r="AG63" s="74"/>
      <c r="AH63" s="74"/>
    </row>
    <row r="64" customFormat="false" ht="15" hidden="false" customHeight="false" outlineLevel="0" collapsed="false">
      <c r="A64" s="74"/>
      <c r="B64" s="74"/>
      <c r="C64" s="74"/>
      <c r="D64" s="74"/>
      <c r="E64" s="74"/>
      <c r="F64" s="74"/>
      <c r="G64" s="74"/>
      <c r="H64" s="74"/>
      <c r="I64" s="74"/>
      <c r="J64" s="74"/>
      <c r="K64" s="74"/>
      <c r="L64" s="74"/>
      <c r="M64" s="74"/>
      <c r="N64" s="74"/>
      <c r="O64" s="74"/>
      <c r="P64" s="74"/>
      <c r="Q64" s="74"/>
      <c r="R64" s="74"/>
      <c r="S64" s="74"/>
      <c r="T64" s="74"/>
      <c r="U64" s="74"/>
      <c r="V64" s="74"/>
      <c r="W64" s="74"/>
      <c r="X64" s="74"/>
      <c r="Y64" s="74"/>
      <c r="Z64" s="74"/>
      <c r="AA64" s="74"/>
      <c r="AB64" s="74"/>
      <c r="AC64" s="74"/>
      <c r="AD64" s="74"/>
      <c r="AE64" s="74"/>
      <c r="AF64" s="74"/>
      <c r="AG64" s="74"/>
      <c r="AH64" s="74"/>
    </row>
    <row r="65" customFormat="false" ht="15" hidden="false" customHeight="false" outlineLevel="0" collapsed="false">
      <c r="A65" s="74"/>
      <c r="B65" s="74"/>
      <c r="C65" s="74"/>
      <c r="D65" s="74"/>
      <c r="E65" s="74"/>
      <c r="F65" s="74"/>
      <c r="G65" s="74"/>
      <c r="H65" s="74"/>
      <c r="I65" s="74"/>
      <c r="J65" s="74"/>
      <c r="K65" s="74"/>
      <c r="L65" s="74"/>
      <c r="M65" s="74"/>
      <c r="N65" s="74"/>
      <c r="O65" s="74"/>
      <c r="P65" s="74"/>
      <c r="Q65" s="74"/>
      <c r="R65" s="74"/>
      <c r="S65" s="74"/>
      <c r="T65" s="74"/>
      <c r="U65" s="74"/>
      <c r="V65" s="74"/>
      <c r="W65" s="74"/>
      <c r="X65" s="74"/>
      <c r="Y65" s="74"/>
      <c r="Z65" s="74"/>
      <c r="AA65" s="74"/>
      <c r="AB65" s="74"/>
      <c r="AC65" s="74"/>
      <c r="AD65" s="74"/>
      <c r="AE65" s="74"/>
      <c r="AF65" s="74"/>
      <c r="AG65" s="74"/>
      <c r="AH65" s="74"/>
    </row>
    <row r="66" customFormat="false" ht="15" hidden="false" customHeight="false" outlineLevel="0" collapsed="false">
      <c r="A66" s="74"/>
      <c r="B66" s="74"/>
      <c r="C66" s="74"/>
      <c r="D66" s="74"/>
      <c r="E66" s="74"/>
      <c r="F66" s="74"/>
      <c r="G66" s="74"/>
      <c r="H66" s="74"/>
      <c r="I66" s="74"/>
      <c r="J66" s="74"/>
      <c r="K66" s="74"/>
      <c r="L66" s="74"/>
      <c r="M66" s="74"/>
      <c r="N66" s="74"/>
      <c r="O66" s="74"/>
      <c r="P66" s="74"/>
      <c r="Q66" s="74"/>
      <c r="R66" s="74"/>
      <c r="S66" s="74"/>
      <c r="T66" s="74"/>
      <c r="U66" s="74"/>
      <c r="V66" s="74"/>
      <c r="W66" s="74"/>
      <c r="X66" s="74"/>
      <c r="Y66" s="74"/>
      <c r="Z66" s="74"/>
      <c r="AA66" s="74"/>
      <c r="AB66" s="74"/>
      <c r="AC66" s="74"/>
      <c r="AD66" s="74"/>
      <c r="AE66" s="74"/>
      <c r="AF66" s="74"/>
      <c r="AG66" s="74"/>
      <c r="AH66" s="74"/>
    </row>
    <row r="67" customFormat="false" ht="15" hidden="false" customHeight="false" outlineLevel="0" collapsed="false">
      <c r="A67" s="74"/>
      <c r="B67" s="74"/>
      <c r="C67" s="74"/>
      <c r="D67" s="74"/>
      <c r="E67" s="74"/>
      <c r="F67" s="74"/>
      <c r="G67" s="74"/>
      <c r="H67" s="74"/>
      <c r="I67" s="74"/>
      <c r="J67" s="74"/>
      <c r="K67" s="74"/>
      <c r="L67" s="74"/>
      <c r="M67" s="74"/>
      <c r="N67" s="74"/>
      <c r="O67" s="74"/>
      <c r="P67" s="74"/>
      <c r="Q67" s="74"/>
      <c r="R67" s="74"/>
      <c r="S67" s="74"/>
      <c r="T67" s="74"/>
      <c r="U67" s="74"/>
      <c r="V67" s="74"/>
      <c r="W67" s="74"/>
      <c r="X67" s="74"/>
      <c r="Y67" s="74"/>
      <c r="Z67" s="74"/>
      <c r="AA67" s="74"/>
      <c r="AB67" s="74"/>
      <c r="AC67" s="74"/>
      <c r="AD67" s="74"/>
      <c r="AE67" s="74"/>
      <c r="AF67" s="74"/>
      <c r="AG67" s="74"/>
      <c r="AH67" s="74"/>
    </row>
    <row r="68" customFormat="false" ht="15" hidden="false" customHeight="false" outlineLevel="0" collapsed="false">
      <c r="A68" s="74"/>
      <c r="B68" s="74"/>
      <c r="C68" s="74"/>
      <c r="D68" s="74"/>
      <c r="E68" s="74"/>
      <c r="F68" s="74"/>
      <c r="G68" s="74"/>
      <c r="H68" s="74"/>
      <c r="I68" s="74"/>
      <c r="J68" s="74"/>
      <c r="K68" s="74"/>
      <c r="L68" s="74"/>
      <c r="M68" s="74"/>
      <c r="N68" s="74"/>
      <c r="O68" s="74"/>
      <c r="P68" s="74"/>
      <c r="Q68" s="74"/>
      <c r="R68" s="74"/>
      <c r="S68" s="74"/>
      <c r="T68" s="74"/>
      <c r="U68" s="74"/>
      <c r="V68" s="74"/>
      <c r="W68" s="74"/>
      <c r="X68" s="74"/>
      <c r="Y68" s="74"/>
      <c r="Z68" s="74"/>
      <c r="AA68" s="74"/>
      <c r="AB68" s="74"/>
      <c r="AC68" s="74"/>
      <c r="AD68" s="74"/>
      <c r="AE68" s="74"/>
      <c r="AF68" s="74"/>
      <c r="AG68" s="74"/>
      <c r="AH68" s="74"/>
    </row>
    <row r="69" customFormat="false" ht="15" hidden="false" customHeight="false" outlineLevel="0" collapsed="false">
      <c r="A69" s="74"/>
      <c r="B69" s="74"/>
      <c r="C69" s="74"/>
      <c r="D69" s="74"/>
      <c r="E69" s="74"/>
      <c r="F69" s="74"/>
      <c r="G69" s="74"/>
      <c r="H69" s="74"/>
      <c r="I69" s="74"/>
      <c r="J69" s="74"/>
      <c r="K69" s="74"/>
      <c r="L69" s="74"/>
      <c r="M69" s="74"/>
      <c r="N69" s="74"/>
      <c r="O69" s="74"/>
      <c r="P69" s="74"/>
      <c r="Q69" s="74"/>
      <c r="R69" s="74"/>
      <c r="S69" s="74"/>
      <c r="T69" s="74"/>
      <c r="U69" s="74"/>
      <c r="V69" s="74"/>
      <c r="W69" s="74"/>
      <c r="X69" s="74"/>
      <c r="Y69" s="74"/>
      <c r="Z69" s="74"/>
      <c r="AA69" s="74"/>
      <c r="AB69" s="74"/>
      <c r="AC69" s="74"/>
      <c r="AD69" s="74"/>
      <c r="AE69" s="74"/>
      <c r="AF69" s="74"/>
      <c r="AG69" s="74"/>
      <c r="AH69" s="74"/>
    </row>
    <row r="70" customFormat="false" ht="15" hidden="false" customHeight="false" outlineLevel="0" collapsed="false">
      <c r="A70" s="74"/>
      <c r="B70" s="74"/>
      <c r="C70" s="74"/>
      <c r="D70" s="74"/>
      <c r="E70" s="74"/>
      <c r="F70" s="74"/>
      <c r="G70" s="74"/>
      <c r="H70" s="74"/>
      <c r="I70" s="74"/>
      <c r="J70" s="74"/>
      <c r="K70" s="74"/>
      <c r="L70" s="74"/>
      <c r="M70" s="74"/>
      <c r="N70" s="74"/>
      <c r="O70" s="74"/>
      <c r="P70" s="74"/>
      <c r="Q70" s="74"/>
      <c r="R70" s="74"/>
      <c r="S70" s="74"/>
      <c r="T70" s="74"/>
      <c r="U70" s="74"/>
      <c r="V70" s="74"/>
      <c r="W70" s="74"/>
      <c r="X70" s="74"/>
      <c r="Y70" s="74"/>
      <c r="Z70" s="74"/>
      <c r="AA70" s="74"/>
      <c r="AB70" s="74"/>
      <c r="AC70" s="74"/>
      <c r="AD70" s="74"/>
      <c r="AE70" s="74"/>
      <c r="AF70" s="74"/>
      <c r="AG70" s="74"/>
      <c r="AH70" s="74"/>
    </row>
    <row r="71" customFormat="false" ht="15" hidden="false" customHeight="false" outlineLevel="0" collapsed="false">
      <c r="A71" s="74"/>
      <c r="B71" s="74"/>
      <c r="C71" s="74"/>
      <c r="D71" s="74"/>
      <c r="E71" s="74"/>
      <c r="F71" s="74"/>
      <c r="G71" s="74"/>
      <c r="H71" s="74"/>
      <c r="I71" s="74"/>
      <c r="J71" s="74"/>
      <c r="K71" s="74"/>
      <c r="L71" s="74"/>
      <c r="M71" s="74"/>
      <c r="N71" s="74"/>
      <c r="O71" s="74"/>
      <c r="P71" s="74"/>
      <c r="Q71" s="74"/>
      <c r="R71" s="74"/>
      <c r="S71" s="74"/>
      <c r="T71" s="74"/>
      <c r="U71" s="74"/>
      <c r="V71" s="74"/>
      <c r="W71" s="74"/>
      <c r="X71" s="74"/>
      <c r="Y71" s="74"/>
      <c r="Z71" s="74"/>
      <c r="AA71" s="74"/>
      <c r="AB71" s="74"/>
      <c r="AC71" s="74"/>
      <c r="AD71" s="74"/>
      <c r="AE71" s="74"/>
      <c r="AF71" s="74"/>
      <c r="AG71" s="74"/>
      <c r="AH71" s="74"/>
    </row>
    <row r="72" customFormat="false" ht="15" hidden="false" customHeight="false" outlineLevel="0" collapsed="false">
      <c r="A72" s="74"/>
      <c r="B72" s="74"/>
      <c r="C72" s="74"/>
      <c r="D72" s="74"/>
      <c r="E72" s="74"/>
      <c r="F72" s="74"/>
      <c r="G72" s="74"/>
      <c r="H72" s="74"/>
      <c r="I72" s="74"/>
      <c r="J72" s="74"/>
      <c r="K72" s="74"/>
      <c r="L72" s="74"/>
      <c r="M72" s="74"/>
      <c r="N72" s="74"/>
      <c r="O72" s="74"/>
      <c r="P72" s="74"/>
      <c r="Q72" s="74"/>
      <c r="R72" s="74"/>
      <c r="S72" s="74"/>
      <c r="T72" s="74"/>
      <c r="U72" s="74"/>
      <c r="V72" s="74"/>
      <c r="W72" s="74"/>
      <c r="X72" s="74"/>
      <c r="Y72" s="74"/>
      <c r="Z72" s="74"/>
      <c r="AA72" s="74"/>
      <c r="AB72" s="74"/>
      <c r="AC72" s="74"/>
      <c r="AD72" s="74"/>
      <c r="AE72" s="74"/>
      <c r="AF72" s="74"/>
      <c r="AG72" s="74"/>
      <c r="AH72" s="74"/>
    </row>
    <row r="73" customFormat="false" ht="15" hidden="false" customHeight="false" outlineLevel="0" collapsed="false">
      <c r="A73" s="74"/>
      <c r="B73" s="74"/>
      <c r="C73" s="74"/>
      <c r="D73" s="74"/>
      <c r="E73" s="74"/>
      <c r="F73" s="74"/>
      <c r="G73" s="74"/>
      <c r="H73" s="74"/>
      <c r="I73" s="74"/>
      <c r="J73" s="74"/>
      <c r="K73" s="74"/>
      <c r="L73" s="74"/>
      <c r="M73" s="74"/>
      <c r="N73" s="74"/>
      <c r="O73" s="74"/>
      <c r="P73" s="74"/>
      <c r="Q73" s="74"/>
      <c r="R73" s="74"/>
      <c r="S73" s="74"/>
      <c r="T73" s="74"/>
      <c r="U73" s="74"/>
      <c r="V73" s="74"/>
      <c r="W73" s="74"/>
      <c r="X73" s="74"/>
      <c r="Y73" s="74"/>
      <c r="Z73" s="74"/>
      <c r="AA73" s="74"/>
      <c r="AB73" s="74"/>
      <c r="AC73" s="74"/>
      <c r="AD73" s="74"/>
      <c r="AE73" s="74"/>
      <c r="AF73" s="74"/>
      <c r="AG73" s="74"/>
      <c r="AH73" s="74"/>
    </row>
    <row r="74" customFormat="false" ht="15" hidden="false" customHeight="false" outlineLevel="0" collapsed="false">
      <c r="A74" s="74"/>
      <c r="B74" s="74"/>
      <c r="C74" s="74"/>
      <c r="D74" s="74"/>
      <c r="E74" s="74"/>
      <c r="F74" s="74"/>
      <c r="G74" s="74"/>
      <c r="H74" s="74"/>
      <c r="I74" s="74"/>
      <c r="J74" s="74"/>
      <c r="K74" s="74"/>
      <c r="L74" s="74"/>
      <c r="M74" s="74"/>
      <c r="N74" s="74"/>
      <c r="O74" s="74"/>
      <c r="P74" s="74"/>
      <c r="Q74" s="74"/>
      <c r="R74" s="74"/>
      <c r="S74" s="74"/>
      <c r="T74" s="74"/>
      <c r="U74" s="74"/>
      <c r="V74" s="74"/>
      <c r="W74" s="74"/>
      <c r="X74" s="74"/>
      <c r="Y74" s="74"/>
      <c r="Z74" s="74"/>
      <c r="AA74" s="74"/>
      <c r="AB74" s="74"/>
      <c r="AC74" s="74"/>
      <c r="AD74" s="74"/>
      <c r="AE74" s="74"/>
      <c r="AF74" s="74"/>
      <c r="AG74" s="74"/>
      <c r="AH74" s="74"/>
    </row>
    <row r="75" customFormat="false" ht="15" hidden="false" customHeight="false" outlineLevel="0" collapsed="false">
      <c r="A75" s="74"/>
      <c r="B75" s="74"/>
      <c r="C75" s="74"/>
      <c r="D75" s="74"/>
      <c r="E75" s="74"/>
      <c r="F75" s="74"/>
      <c r="G75" s="74"/>
      <c r="H75" s="74"/>
      <c r="I75" s="74"/>
      <c r="J75" s="74"/>
      <c r="K75" s="74"/>
      <c r="L75" s="74"/>
      <c r="M75" s="74"/>
      <c r="N75" s="74"/>
      <c r="O75" s="74"/>
      <c r="P75" s="74"/>
      <c r="Q75" s="74"/>
      <c r="R75" s="74"/>
      <c r="S75" s="74"/>
      <c r="T75" s="74"/>
      <c r="U75" s="74"/>
      <c r="V75" s="74"/>
      <c r="W75" s="74"/>
      <c r="X75" s="74"/>
      <c r="Y75" s="74"/>
      <c r="Z75" s="74"/>
      <c r="AA75" s="74"/>
      <c r="AB75" s="74"/>
      <c r="AC75" s="74"/>
      <c r="AD75" s="74"/>
      <c r="AE75" s="74"/>
      <c r="AF75" s="74"/>
      <c r="AG75" s="74"/>
      <c r="AH75" s="74"/>
    </row>
    <row r="76" customFormat="false" ht="15" hidden="false" customHeight="false" outlineLevel="0" collapsed="false">
      <c r="A76" s="74"/>
      <c r="B76" s="74"/>
      <c r="C76" s="74"/>
      <c r="D76" s="74"/>
      <c r="E76" s="74"/>
      <c r="F76" s="74"/>
      <c r="G76" s="74"/>
      <c r="H76" s="74"/>
      <c r="I76" s="74"/>
      <c r="J76" s="74"/>
      <c r="K76" s="74"/>
      <c r="L76" s="74"/>
      <c r="M76" s="74"/>
      <c r="N76" s="74"/>
      <c r="O76" s="74"/>
      <c r="P76" s="74"/>
      <c r="Q76" s="74"/>
      <c r="R76" s="74"/>
      <c r="S76" s="74"/>
      <c r="T76" s="74"/>
      <c r="U76" s="74"/>
      <c r="V76" s="74"/>
      <c r="W76" s="74"/>
      <c r="X76" s="74"/>
      <c r="Y76" s="74"/>
      <c r="Z76" s="74"/>
      <c r="AA76" s="74"/>
      <c r="AB76" s="74"/>
      <c r="AC76" s="74"/>
      <c r="AD76" s="74"/>
      <c r="AE76" s="74"/>
      <c r="AF76" s="74"/>
      <c r="AG76" s="74"/>
      <c r="AH76" s="74"/>
    </row>
    <row r="77" customFormat="false" ht="15" hidden="false" customHeight="false" outlineLevel="0" collapsed="false">
      <c r="A77" s="74"/>
      <c r="B77" s="74"/>
      <c r="C77" s="74"/>
      <c r="D77" s="74"/>
      <c r="E77" s="74"/>
      <c r="F77" s="74"/>
      <c r="G77" s="74"/>
      <c r="H77" s="74"/>
      <c r="I77" s="74"/>
      <c r="J77" s="74"/>
      <c r="K77" s="74"/>
      <c r="L77" s="74"/>
      <c r="M77" s="74"/>
      <c r="N77" s="74"/>
      <c r="O77" s="74"/>
      <c r="P77" s="74"/>
      <c r="Q77" s="74"/>
      <c r="R77" s="74"/>
      <c r="S77" s="74"/>
      <c r="T77" s="74"/>
      <c r="U77" s="74"/>
      <c r="V77" s="74"/>
      <c r="W77" s="74"/>
      <c r="X77" s="74"/>
      <c r="Y77" s="74"/>
      <c r="Z77" s="74"/>
      <c r="AA77" s="74"/>
      <c r="AB77" s="74"/>
      <c r="AC77" s="74"/>
      <c r="AD77" s="74"/>
      <c r="AE77" s="74"/>
      <c r="AF77" s="74"/>
      <c r="AG77" s="74"/>
      <c r="AH77" s="74"/>
    </row>
    <row r="78" customFormat="false" ht="15" hidden="false" customHeight="false" outlineLevel="0" collapsed="false">
      <c r="A78" s="74"/>
      <c r="B78" s="74"/>
      <c r="C78" s="74"/>
      <c r="D78" s="74"/>
      <c r="E78" s="74"/>
      <c r="F78" s="74"/>
      <c r="G78" s="74"/>
      <c r="H78" s="74"/>
      <c r="I78" s="74"/>
      <c r="J78" s="74"/>
      <c r="K78" s="74"/>
      <c r="L78" s="74"/>
      <c r="M78" s="74"/>
      <c r="N78" s="74"/>
      <c r="O78" s="74"/>
      <c r="P78" s="74"/>
      <c r="Q78" s="74"/>
      <c r="R78" s="74"/>
      <c r="S78" s="74"/>
      <c r="T78" s="74"/>
      <c r="U78" s="74"/>
      <c r="V78" s="74"/>
      <c r="W78" s="74"/>
      <c r="X78" s="74"/>
      <c r="Y78" s="74"/>
      <c r="Z78" s="74"/>
      <c r="AA78" s="74"/>
      <c r="AB78" s="74"/>
      <c r="AC78" s="74"/>
      <c r="AD78" s="74"/>
      <c r="AE78" s="74"/>
      <c r="AF78" s="74"/>
      <c r="AG78" s="74"/>
      <c r="AH78" s="74"/>
    </row>
    <row r="79" customFormat="false" ht="15" hidden="false" customHeight="false" outlineLevel="0" collapsed="false">
      <c r="A79" s="74"/>
      <c r="B79" s="74"/>
      <c r="C79" s="74"/>
      <c r="D79" s="74"/>
      <c r="E79" s="74"/>
      <c r="F79" s="74"/>
      <c r="G79" s="74"/>
      <c r="H79" s="74"/>
      <c r="I79" s="74"/>
      <c r="J79" s="74"/>
      <c r="K79" s="74"/>
      <c r="L79" s="74"/>
      <c r="M79" s="74"/>
      <c r="N79" s="74"/>
      <c r="O79" s="74"/>
      <c r="P79" s="74"/>
      <c r="Q79" s="74"/>
      <c r="R79" s="74"/>
      <c r="S79" s="74"/>
      <c r="T79" s="74"/>
      <c r="U79" s="74"/>
      <c r="V79" s="74"/>
      <c r="W79" s="74"/>
      <c r="X79" s="74"/>
      <c r="Y79" s="74"/>
      <c r="Z79" s="74"/>
      <c r="AA79" s="74"/>
      <c r="AB79" s="74"/>
      <c r="AC79" s="74"/>
      <c r="AD79" s="74"/>
      <c r="AE79" s="74"/>
      <c r="AF79" s="74"/>
      <c r="AG79" s="74"/>
      <c r="AH79" s="74"/>
    </row>
    <row r="80" customFormat="false" ht="15" hidden="false" customHeight="false" outlineLevel="0" collapsed="false">
      <c r="A80" s="74"/>
      <c r="B80" s="74"/>
      <c r="C80" s="74"/>
      <c r="D80" s="74"/>
      <c r="E80" s="74"/>
      <c r="F80" s="74"/>
      <c r="G80" s="74"/>
      <c r="H80" s="74"/>
      <c r="I80" s="74"/>
      <c r="J80" s="74"/>
      <c r="K80" s="74"/>
      <c r="L80" s="74"/>
      <c r="M80" s="74"/>
      <c r="N80" s="74"/>
      <c r="O80" s="74"/>
      <c r="P80" s="74"/>
      <c r="Q80" s="74"/>
      <c r="R80" s="74"/>
      <c r="S80" s="74"/>
      <c r="T80" s="74"/>
      <c r="U80" s="74"/>
      <c r="V80" s="74"/>
      <c r="W80" s="74"/>
      <c r="X80" s="74"/>
      <c r="Y80" s="74"/>
      <c r="Z80" s="74"/>
      <c r="AA80" s="74"/>
      <c r="AB80" s="74"/>
      <c r="AC80" s="74"/>
      <c r="AD80" s="74"/>
      <c r="AE80" s="74"/>
      <c r="AF80" s="74"/>
      <c r="AG80" s="74"/>
      <c r="AH80" s="74"/>
    </row>
    <row r="81" customFormat="false" ht="15" hidden="false" customHeight="false" outlineLevel="0" collapsed="false">
      <c r="A81" s="74"/>
      <c r="B81" s="74"/>
      <c r="C81" s="74"/>
      <c r="D81" s="74"/>
      <c r="E81" s="74"/>
      <c r="F81" s="74"/>
      <c r="G81" s="74"/>
      <c r="H81" s="74"/>
      <c r="I81" s="74"/>
      <c r="J81" s="74"/>
      <c r="K81" s="74"/>
      <c r="L81" s="74"/>
      <c r="M81" s="74"/>
      <c r="N81" s="74"/>
      <c r="O81" s="74"/>
      <c r="P81" s="74"/>
      <c r="Q81" s="74"/>
      <c r="R81" s="74"/>
      <c r="S81" s="74"/>
      <c r="T81" s="74"/>
      <c r="U81" s="74"/>
      <c r="V81" s="74"/>
      <c r="W81" s="74"/>
      <c r="X81" s="74"/>
      <c r="Y81" s="74"/>
      <c r="Z81" s="74"/>
      <c r="AA81" s="74"/>
      <c r="AB81" s="74"/>
      <c r="AC81" s="74"/>
      <c r="AD81" s="74"/>
      <c r="AE81" s="74"/>
      <c r="AF81" s="74"/>
      <c r="AG81" s="74"/>
      <c r="AH81" s="74"/>
    </row>
    <row r="82" customFormat="false" ht="15" hidden="false" customHeight="false" outlineLevel="0" collapsed="false">
      <c r="A82" s="74"/>
      <c r="B82" s="74"/>
      <c r="C82" s="74"/>
      <c r="D82" s="74"/>
      <c r="E82" s="74"/>
      <c r="F82" s="74"/>
      <c r="G82" s="74"/>
      <c r="H82" s="74"/>
      <c r="I82" s="74"/>
      <c r="J82" s="74"/>
      <c r="K82" s="74"/>
      <c r="L82" s="74"/>
      <c r="M82" s="74"/>
      <c r="N82" s="74"/>
      <c r="O82" s="74"/>
      <c r="P82" s="74"/>
      <c r="Q82" s="74"/>
      <c r="R82" s="74"/>
      <c r="S82" s="74"/>
      <c r="T82" s="74"/>
      <c r="U82" s="74"/>
      <c r="V82" s="74"/>
      <c r="W82" s="74"/>
      <c r="X82" s="74"/>
      <c r="Y82" s="74"/>
      <c r="Z82" s="74"/>
      <c r="AA82" s="74"/>
      <c r="AB82" s="74"/>
      <c r="AC82" s="74"/>
      <c r="AD82" s="74"/>
      <c r="AE82" s="74"/>
      <c r="AF82" s="74"/>
      <c r="AG82" s="74"/>
      <c r="AH82" s="74"/>
    </row>
    <row r="83" customFormat="false" ht="15" hidden="false" customHeight="false" outlineLevel="0" collapsed="false">
      <c r="A83" s="74"/>
      <c r="B83" s="74"/>
      <c r="C83" s="74"/>
      <c r="D83" s="74"/>
      <c r="E83" s="74"/>
      <c r="F83" s="74"/>
      <c r="G83" s="74"/>
      <c r="H83" s="74"/>
      <c r="I83" s="74"/>
      <c r="J83" s="74"/>
      <c r="K83" s="74"/>
      <c r="L83" s="74"/>
      <c r="M83" s="74"/>
      <c r="N83" s="74"/>
      <c r="O83" s="74"/>
      <c r="P83" s="74"/>
      <c r="Q83" s="74"/>
      <c r="R83" s="74"/>
      <c r="S83" s="74"/>
      <c r="T83" s="74"/>
      <c r="U83" s="74"/>
      <c r="V83" s="74"/>
      <c r="W83" s="74"/>
      <c r="X83" s="74"/>
      <c r="Y83" s="74"/>
      <c r="Z83" s="74"/>
      <c r="AA83" s="74"/>
      <c r="AB83" s="74"/>
      <c r="AC83" s="74"/>
      <c r="AD83" s="74"/>
      <c r="AE83" s="74"/>
      <c r="AF83" s="74"/>
      <c r="AG83" s="74"/>
      <c r="AH83" s="74"/>
    </row>
    <row r="84" customFormat="false" ht="15" hidden="false" customHeight="false" outlineLevel="0" collapsed="false">
      <c r="A84" s="74"/>
      <c r="B84" s="74"/>
      <c r="C84" s="74"/>
      <c r="D84" s="74"/>
      <c r="E84" s="74"/>
      <c r="F84" s="74"/>
      <c r="G84" s="74"/>
      <c r="H84" s="74"/>
      <c r="I84" s="74"/>
      <c r="J84" s="74"/>
      <c r="K84" s="74"/>
      <c r="L84" s="74"/>
      <c r="M84" s="74"/>
      <c r="N84" s="74"/>
      <c r="O84" s="74"/>
      <c r="P84" s="74"/>
      <c r="Q84" s="74"/>
      <c r="R84" s="74"/>
      <c r="S84" s="74"/>
      <c r="T84" s="74"/>
      <c r="U84" s="74"/>
      <c r="V84" s="74"/>
      <c r="W84" s="74"/>
      <c r="X84" s="74"/>
      <c r="Y84" s="74"/>
      <c r="Z84" s="74"/>
      <c r="AA84" s="74"/>
      <c r="AB84" s="74"/>
      <c r="AC84" s="74"/>
      <c r="AD84" s="74"/>
      <c r="AE84" s="74"/>
      <c r="AF84" s="74"/>
      <c r="AG84" s="74"/>
      <c r="AH84" s="74"/>
    </row>
    <row r="85" customFormat="false" ht="15" hidden="false" customHeight="false" outlineLevel="0" collapsed="false">
      <c r="A85" s="74"/>
      <c r="B85" s="74"/>
      <c r="C85" s="74"/>
      <c r="D85" s="74"/>
      <c r="E85" s="74"/>
      <c r="F85" s="74"/>
      <c r="G85" s="74"/>
      <c r="H85" s="74"/>
      <c r="I85" s="74"/>
      <c r="J85" s="74"/>
      <c r="K85" s="74"/>
      <c r="L85" s="74"/>
      <c r="M85" s="74"/>
      <c r="N85" s="74"/>
      <c r="O85" s="74"/>
      <c r="P85" s="74"/>
      <c r="Q85" s="74"/>
      <c r="R85" s="74"/>
      <c r="S85" s="74"/>
      <c r="T85" s="74"/>
      <c r="U85" s="74"/>
      <c r="V85" s="74"/>
      <c r="W85" s="74"/>
      <c r="X85" s="74"/>
      <c r="Y85" s="74"/>
      <c r="Z85" s="74"/>
      <c r="AA85" s="74"/>
      <c r="AB85" s="74"/>
      <c r="AC85" s="74"/>
      <c r="AD85" s="74"/>
      <c r="AE85" s="74"/>
      <c r="AF85" s="74"/>
      <c r="AG85" s="74"/>
      <c r="AH85" s="74"/>
    </row>
    <row r="86" customFormat="false" ht="15" hidden="false" customHeight="false" outlineLevel="0" collapsed="false">
      <c r="A86" s="74"/>
      <c r="B86" s="74"/>
      <c r="C86" s="74"/>
      <c r="D86" s="74"/>
      <c r="E86" s="74"/>
      <c r="F86" s="74"/>
      <c r="G86" s="74"/>
      <c r="H86" s="74"/>
      <c r="I86" s="74"/>
      <c r="J86" s="74"/>
      <c r="K86" s="74"/>
      <c r="L86" s="74"/>
      <c r="M86" s="74"/>
      <c r="N86" s="74"/>
      <c r="O86" s="74"/>
      <c r="P86" s="74"/>
      <c r="Q86" s="74"/>
      <c r="R86" s="74"/>
      <c r="S86" s="74"/>
      <c r="T86" s="74"/>
      <c r="U86" s="74"/>
      <c r="V86" s="74"/>
      <c r="W86" s="74"/>
      <c r="X86" s="74"/>
      <c r="Y86" s="74"/>
      <c r="Z86" s="74"/>
      <c r="AA86" s="74"/>
      <c r="AB86" s="74"/>
      <c r="AC86" s="74"/>
      <c r="AD86" s="74"/>
      <c r="AE86" s="74"/>
      <c r="AF86" s="74"/>
      <c r="AG86" s="74"/>
      <c r="AH86" s="74"/>
    </row>
    <row r="87" customFormat="false" ht="15" hidden="false" customHeight="false" outlineLevel="0" collapsed="false">
      <c r="A87" s="74"/>
      <c r="B87" s="74"/>
      <c r="C87" s="74"/>
      <c r="D87" s="74"/>
      <c r="E87" s="74"/>
      <c r="F87" s="74"/>
      <c r="G87" s="74"/>
      <c r="H87" s="74"/>
      <c r="I87" s="74"/>
      <c r="J87" s="74"/>
      <c r="K87" s="74"/>
      <c r="L87" s="74"/>
      <c r="M87" s="74"/>
      <c r="N87" s="74"/>
      <c r="O87" s="74"/>
      <c r="P87" s="74"/>
      <c r="Q87" s="74"/>
      <c r="R87" s="74"/>
      <c r="S87" s="74"/>
      <c r="T87" s="74"/>
      <c r="U87" s="74"/>
      <c r="V87" s="74"/>
      <c r="W87" s="74"/>
      <c r="X87" s="74"/>
      <c r="Y87" s="74"/>
      <c r="Z87" s="74"/>
      <c r="AA87" s="74"/>
      <c r="AB87" s="74"/>
      <c r="AC87" s="74"/>
      <c r="AD87" s="74"/>
      <c r="AE87" s="74"/>
      <c r="AF87" s="74"/>
      <c r="AG87" s="74"/>
      <c r="AH87" s="74"/>
    </row>
    <row r="88" customFormat="false" ht="15" hidden="false" customHeight="false" outlineLevel="0" collapsed="false">
      <c r="A88" s="74"/>
      <c r="B88" s="74"/>
      <c r="C88" s="74"/>
      <c r="D88" s="74"/>
      <c r="E88" s="74"/>
      <c r="F88" s="74"/>
      <c r="G88" s="74"/>
      <c r="H88" s="74"/>
      <c r="I88" s="74"/>
      <c r="J88" s="74"/>
      <c r="K88" s="74"/>
      <c r="L88" s="74"/>
      <c r="M88" s="74"/>
      <c r="N88" s="74"/>
      <c r="O88" s="74"/>
      <c r="P88" s="74"/>
      <c r="Q88" s="74"/>
      <c r="R88" s="74"/>
      <c r="S88" s="74"/>
      <c r="T88" s="74"/>
      <c r="U88" s="74"/>
      <c r="V88" s="74"/>
      <c r="W88" s="74"/>
      <c r="X88" s="74"/>
      <c r="Y88" s="74"/>
      <c r="Z88" s="74"/>
      <c r="AA88" s="74"/>
      <c r="AB88" s="74"/>
      <c r="AC88" s="74"/>
      <c r="AD88" s="74"/>
      <c r="AE88" s="74"/>
      <c r="AF88" s="74"/>
      <c r="AG88" s="74"/>
      <c r="AH88" s="74"/>
    </row>
    <row r="89" customFormat="false" ht="15" hidden="false" customHeight="false" outlineLevel="0" collapsed="false">
      <c r="A89" s="74"/>
      <c r="B89" s="74"/>
      <c r="C89" s="74"/>
      <c r="D89" s="74"/>
      <c r="E89" s="74"/>
      <c r="F89" s="74"/>
      <c r="G89" s="74"/>
      <c r="H89" s="74"/>
      <c r="I89" s="74"/>
      <c r="J89" s="74"/>
      <c r="K89" s="74"/>
      <c r="L89" s="74"/>
      <c r="M89" s="74"/>
      <c r="N89" s="74"/>
      <c r="O89" s="74"/>
      <c r="P89" s="74"/>
      <c r="Q89" s="74"/>
      <c r="R89" s="74"/>
      <c r="S89" s="74"/>
      <c r="T89" s="74"/>
      <c r="U89" s="74"/>
      <c r="V89" s="74"/>
      <c r="W89" s="74"/>
      <c r="X89" s="74"/>
      <c r="Y89" s="74"/>
      <c r="Z89" s="74"/>
      <c r="AA89" s="74"/>
      <c r="AB89" s="74"/>
      <c r="AC89" s="74"/>
      <c r="AD89" s="74"/>
      <c r="AE89" s="74"/>
      <c r="AF89" s="74"/>
      <c r="AG89" s="74"/>
      <c r="AH89" s="74"/>
    </row>
    <row r="90" customFormat="false" ht="15" hidden="false" customHeight="false" outlineLevel="0" collapsed="false">
      <c r="A90" s="74"/>
      <c r="B90" s="74"/>
      <c r="C90" s="74"/>
      <c r="D90" s="74"/>
      <c r="E90" s="74"/>
      <c r="F90" s="74"/>
      <c r="G90" s="74"/>
      <c r="H90" s="74"/>
      <c r="I90" s="74"/>
      <c r="J90" s="74"/>
      <c r="K90" s="74"/>
      <c r="L90" s="74"/>
      <c r="M90" s="74"/>
      <c r="N90" s="74"/>
      <c r="O90" s="74"/>
      <c r="P90" s="74"/>
      <c r="Q90" s="74"/>
      <c r="R90" s="74"/>
      <c r="S90" s="74"/>
      <c r="T90" s="74"/>
      <c r="U90" s="74"/>
      <c r="V90" s="74"/>
      <c r="W90" s="74"/>
      <c r="X90" s="74"/>
      <c r="Y90" s="74"/>
      <c r="Z90" s="74"/>
      <c r="AA90" s="74"/>
      <c r="AB90" s="74"/>
      <c r="AC90" s="74"/>
      <c r="AD90" s="74"/>
      <c r="AE90" s="74"/>
      <c r="AF90" s="74"/>
      <c r="AG90" s="74"/>
      <c r="AH90" s="74"/>
    </row>
    <row r="91" customFormat="false" ht="15" hidden="false" customHeight="false" outlineLevel="0" collapsed="false">
      <c r="A91" s="74"/>
      <c r="B91" s="74"/>
      <c r="C91" s="74"/>
      <c r="D91" s="74"/>
      <c r="E91" s="74"/>
      <c r="F91" s="74"/>
      <c r="G91" s="74"/>
      <c r="H91" s="74"/>
      <c r="I91" s="74"/>
      <c r="J91" s="74"/>
      <c r="K91" s="74"/>
      <c r="L91" s="74"/>
      <c r="M91" s="74"/>
      <c r="N91" s="74"/>
      <c r="O91" s="74"/>
      <c r="P91" s="74"/>
      <c r="Q91" s="74"/>
      <c r="R91" s="74"/>
      <c r="S91" s="74"/>
      <c r="T91" s="74"/>
      <c r="U91" s="74"/>
      <c r="V91" s="74"/>
      <c r="W91" s="74"/>
      <c r="X91" s="74"/>
      <c r="Y91" s="74"/>
      <c r="Z91" s="74"/>
      <c r="AA91" s="74"/>
      <c r="AB91" s="74"/>
      <c r="AC91" s="74"/>
      <c r="AD91" s="74"/>
      <c r="AE91" s="74"/>
      <c r="AF91" s="74"/>
      <c r="AG91" s="74"/>
      <c r="AH91" s="74"/>
    </row>
    <row r="92" customFormat="false" ht="15" hidden="false" customHeight="false" outlineLevel="0" collapsed="false">
      <c r="A92" s="74"/>
      <c r="B92" s="74"/>
      <c r="C92" s="74"/>
      <c r="D92" s="74"/>
      <c r="E92" s="74"/>
      <c r="F92" s="74"/>
      <c r="G92" s="74"/>
      <c r="H92" s="74"/>
      <c r="I92" s="74"/>
      <c r="J92" s="74"/>
      <c r="K92" s="74"/>
      <c r="L92" s="74"/>
      <c r="M92" s="74"/>
      <c r="N92" s="74"/>
      <c r="O92" s="74"/>
      <c r="P92" s="74"/>
      <c r="Q92" s="74"/>
      <c r="R92" s="74"/>
      <c r="S92" s="74"/>
      <c r="T92" s="74"/>
      <c r="U92" s="74"/>
      <c r="V92" s="74"/>
      <c r="W92" s="74"/>
      <c r="X92" s="74"/>
      <c r="Y92" s="74"/>
      <c r="Z92" s="74"/>
      <c r="AA92" s="74"/>
      <c r="AB92" s="74"/>
      <c r="AC92" s="74"/>
      <c r="AD92" s="74"/>
      <c r="AE92" s="74"/>
      <c r="AF92" s="74"/>
      <c r="AG92" s="74"/>
      <c r="AH92" s="74"/>
    </row>
    <row r="93" customFormat="false" ht="15" hidden="false" customHeight="false" outlineLevel="0" collapsed="false">
      <c r="A93" s="74"/>
      <c r="B93" s="74"/>
      <c r="C93" s="74"/>
      <c r="D93" s="74"/>
      <c r="E93" s="74"/>
      <c r="F93" s="74"/>
      <c r="G93" s="74"/>
      <c r="H93" s="74"/>
      <c r="I93" s="74"/>
      <c r="J93" s="74"/>
      <c r="K93" s="74"/>
      <c r="L93" s="74"/>
      <c r="M93" s="74"/>
      <c r="N93" s="74"/>
      <c r="O93" s="74"/>
      <c r="P93" s="74"/>
      <c r="Q93" s="74"/>
      <c r="R93" s="74"/>
      <c r="S93" s="74"/>
      <c r="T93" s="74"/>
      <c r="U93" s="74"/>
      <c r="V93" s="74"/>
      <c r="W93" s="74"/>
      <c r="X93" s="74"/>
      <c r="Y93" s="74"/>
      <c r="Z93" s="74"/>
      <c r="AA93" s="74"/>
      <c r="AB93" s="74"/>
      <c r="AC93" s="74"/>
      <c r="AD93" s="74"/>
      <c r="AE93" s="74"/>
      <c r="AF93" s="74"/>
      <c r="AG93" s="74"/>
      <c r="AH93" s="74"/>
    </row>
    <row r="94" customFormat="false" ht="15" hidden="false" customHeight="false" outlineLevel="0" collapsed="false">
      <c r="A94" s="74"/>
      <c r="B94" s="74"/>
      <c r="C94" s="74"/>
      <c r="D94" s="74"/>
      <c r="E94" s="74"/>
      <c r="F94" s="74"/>
      <c r="G94" s="74"/>
      <c r="H94" s="74"/>
      <c r="I94" s="74"/>
      <c r="J94" s="74"/>
      <c r="K94" s="74"/>
      <c r="L94" s="74"/>
      <c r="M94" s="74"/>
      <c r="N94" s="74"/>
      <c r="O94" s="74"/>
      <c r="P94" s="74"/>
      <c r="Q94" s="74"/>
      <c r="R94" s="74"/>
      <c r="S94" s="74"/>
      <c r="T94" s="74"/>
      <c r="U94" s="74"/>
      <c r="V94" s="74"/>
      <c r="W94" s="74"/>
      <c r="X94" s="74"/>
      <c r="Y94" s="74"/>
      <c r="Z94" s="74"/>
      <c r="AA94" s="74"/>
      <c r="AB94" s="74"/>
      <c r="AC94" s="74"/>
      <c r="AD94" s="74"/>
      <c r="AE94" s="74"/>
      <c r="AF94" s="74"/>
      <c r="AG94" s="74"/>
      <c r="AH94" s="74"/>
    </row>
    <row r="95" customFormat="false" ht="15" hidden="false" customHeight="false" outlineLevel="0" collapsed="false">
      <c r="A95" s="74"/>
      <c r="B95" s="74"/>
      <c r="C95" s="74"/>
      <c r="D95" s="74"/>
      <c r="E95" s="74"/>
      <c r="F95" s="74"/>
      <c r="G95" s="74"/>
      <c r="H95" s="74"/>
      <c r="I95" s="74"/>
      <c r="J95" s="74"/>
      <c r="K95" s="74"/>
      <c r="L95" s="74"/>
      <c r="M95" s="74"/>
      <c r="N95" s="74"/>
      <c r="O95" s="74"/>
      <c r="P95" s="74"/>
      <c r="Q95" s="74"/>
      <c r="R95" s="74"/>
      <c r="S95" s="74"/>
      <c r="T95" s="74"/>
      <c r="U95" s="74"/>
      <c r="V95" s="74"/>
      <c r="W95" s="74"/>
      <c r="X95" s="74"/>
      <c r="Y95" s="74"/>
      <c r="Z95" s="74"/>
      <c r="AA95" s="74"/>
      <c r="AB95" s="74"/>
      <c r="AC95" s="74"/>
      <c r="AD95" s="74"/>
      <c r="AE95" s="74"/>
      <c r="AF95" s="74"/>
      <c r="AG95" s="74"/>
      <c r="AH95" s="74"/>
    </row>
    <row r="96" customFormat="false" ht="15" hidden="false" customHeight="false" outlineLevel="0" collapsed="false">
      <c r="A96" s="74"/>
      <c r="B96" s="74"/>
      <c r="C96" s="74"/>
      <c r="D96" s="74"/>
      <c r="E96" s="74"/>
      <c r="F96" s="74"/>
      <c r="G96" s="74"/>
      <c r="H96" s="74"/>
      <c r="I96" s="74"/>
      <c r="J96" s="74"/>
      <c r="K96" s="74"/>
      <c r="L96" s="74"/>
      <c r="M96" s="74"/>
      <c r="N96" s="74"/>
      <c r="O96" s="74"/>
      <c r="P96" s="74"/>
      <c r="Q96" s="74"/>
      <c r="R96" s="74"/>
      <c r="S96" s="74"/>
      <c r="T96" s="74"/>
      <c r="U96" s="74"/>
      <c r="V96" s="74"/>
      <c r="W96" s="74"/>
      <c r="X96" s="74"/>
      <c r="Y96" s="74"/>
      <c r="Z96" s="74"/>
      <c r="AA96" s="74"/>
      <c r="AB96" s="74"/>
      <c r="AC96" s="74"/>
      <c r="AD96" s="74"/>
      <c r="AE96" s="74"/>
      <c r="AF96" s="74"/>
      <c r="AG96" s="74"/>
      <c r="AH96" s="74"/>
    </row>
    <row r="97" customFormat="false" ht="15" hidden="false" customHeight="false" outlineLevel="0" collapsed="false">
      <c r="A97" s="74"/>
      <c r="B97" s="74"/>
      <c r="C97" s="74"/>
      <c r="D97" s="74"/>
      <c r="E97" s="74"/>
      <c r="F97" s="74"/>
      <c r="G97" s="74"/>
      <c r="H97" s="74"/>
      <c r="I97" s="74"/>
      <c r="J97" s="74"/>
      <c r="K97" s="74"/>
      <c r="L97" s="74"/>
      <c r="M97" s="74"/>
      <c r="N97" s="74"/>
      <c r="O97" s="74"/>
      <c r="P97" s="74"/>
      <c r="Q97" s="74"/>
      <c r="R97" s="74"/>
      <c r="S97" s="74"/>
      <c r="T97" s="74"/>
      <c r="U97" s="74"/>
      <c r="V97" s="74"/>
      <c r="W97" s="74"/>
      <c r="X97" s="74"/>
      <c r="Y97" s="74"/>
      <c r="Z97" s="74"/>
      <c r="AA97" s="74"/>
      <c r="AB97" s="74"/>
      <c r="AC97" s="74"/>
      <c r="AD97" s="74"/>
      <c r="AE97" s="74"/>
      <c r="AF97" s="74"/>
      <c r="AG97" s="74"/>
      <c r="AH97" s="74"/>
    </row>
    <row r="98" customFormat="false" ht="15" hidden="false" customHeight="false" outlineLevel="0" collapsed="false">
      <c r="A98" s="74"/>
      <c r="B98" s="74"/>
      <c r="C98" s="74"/>
      <c r="D98" s="74"/>
      <c r="E98" s="74"/>
      <c r="F98" s="74"/>
      <c r="G98" s="74"/>
      <c r="H98" s="74"/>
      <c r="I98" s="74"/>
      <c r="J98" s="74"/>
      <c r="K98" s="74"/>
      <c r="L98" s="74"/>
      <c r="M98" s="74"/>
      <c r="N98" s="74"/>
      <c r="O98" s="74"/>
      <c r="P98" s="74"/>
      <c r="Q98" s="74"/>
      <c r="R98" s="74"/>
      <c r="S98" s="74"/>
      <c r="T98" s="74"/>
      <c r="U98" s="74"/>
      <c r="V98" s="74"/>
      <c r="W98" s="74"/>
      <c r="X98" s="74"/>
      <c r="Y98" s="74"/>
      <c r="Z98" s="74"/>
      <c r="AA98" s="74"/>
      <c r="AB98" s="74"/>
      <c r="AC98" s="74"/>
      <c r="AD98" s="74"/>
      <c r="AE98" s="74"/>
      <c r="AF98" s="74"/>
      <c r="AG98" s="74"/>
      <c r="AH98" s="74"/>
    </row>
    <row r="99" customFormat="false" ht="15" hidden="false" customHeight="false" outlineLevel="0" collapsed="false">
      <c r="A99" s="74"/>
      <c r="B99" s="74"/>
      <c r="C99" s="74"/>
      <c r="D99" s="74"/>
      <c r="E99" s="74"/>
      <c r="F99" s="74"/>
      <c r="G99" s="74"/>
      <c r="H99" s="74"/>
      <c r="I99" s="74"/>
      <c r="J99" s="74"/>
      <c r="K99" s="74"/>
      <c r="L99" s="74"/>
      <c r="M99" s="74"/>
      <c r="N99" s="74"/>
      <c r="O99" s="74"/>
      <c r="P99" s="74"/>
      <c r="Q99" s="74"/>
      <c r="R99" s="74"/>
      <c r="S99" s="74"/>
      <c r="T99" s="74"/>
      <c r="U99" s="74"/>
      <c r="V99" s="74"/>
      <c r="W99" s="74"/>
      <c r="X99" s="74"/>
      <c r="Y99" s="74"/>
      <c r="Z99" s="74"/>
      <c r="AA99" s="74"/>
      <c r="AB99" s="74"/>
      <c r="AC99" s="74"/>
      <c r="AD99" s="74"/>
      <c r="AE99" s="74"/>
      <c r="AF99" s="74"/>
      <c r="AG99" s="74"/>
      <c r="AH99" s="74"/>
    </row>
    <row r="100" customFormat="false" ht="15" hidden="false" customHeight="false" outlineLevel="0" collapsed="false">
      <c r="A100" s="74"/>
      <c r="B100" s="74"/>
      <c r="C100" s="74"/>
      <c r="D100" s="74"/>
      <c r="E100" s="74"/>
      <c r="F100" s="74"/>
      <c r="G100" s="74"/>
      <c r="H100" s="74"/>
      <c r="I100" s="74"/>
      <c r="J100" s="74"/>
      <c r="K100" s="74"/>
      <c r="L100" s="74"/>
      <c r="M100" s="74"/>
      <c r="N100" s="74"/>
      <c r="O100" s="74"/>
      <c r="P100" s="74"/>
      <c r="Q100" s="74"/>
      <c r="R100" s="74"/>
      <c r="S100" s="74"/>
      <c r="T100" s="74"/>
      <c r="U100" s="74"/>
      <c r="V100" s="74"/>
      <c r="W100" s="74"/>
      <c r="X100" s="74"/>
      <c r="Y100" s="74"/>
      <c r="Z100" s="74"/>
      <c r="AA100" s="74"/>
      <c r="AB100" s="74"/>
      <c r="AC100" s="74"/>
      <c r="AD100" s="74"/>
      <c r="AE100" s="74"/>
      <c r="AF100" s="74"/>
      <c r="AG100" s="74"/>
      <c r="AH100" s="74"/>
    </row>
    <row r="101" customFormat="false" ht="15" hidden="false" customHeight="false" outlineLevel="0" collapsed="false">
      <c r="A101" s="74"/>
      <c r="B101" s="74"/>
      <c r="C101" s="74"/>
      <c r="D101" s="74"/>
      <c r="E101" s="74"/>
      <c r="F101" s="74"/>
      <c r="G101" s="74"/>
      <c r="H101" s="74"/>
      <c r="I101" s="74"/>
      <c r="J101" s="74"/>
      <c r="K101" s="74"/>
      <c r="L101" s="74"/>
      <c r="M101" s="74"/>
      <c r="N101" s="74"/>
      <c r="O101" s="74"/>
      <c r="P101" s="74"/>
      <c r="Q101" s="74"/>
      <c r="R101" s="74"/>
      <c r="S101" s="74"/>
      <c r="T101" s="74"/>
      <c r="U101" s="74"/>
      <c r="V101" s="74"/>
      <c r="W101" s="74"/>
      <c r="X101" s="74"/>
      <c r="Y101" s="74"/>
      <c r="Z101" s="74"/>
      <c r="AA101" s="74"/>
      <c r="AB101" s="74"/>
      <c r="AC101" s="74"/>
      <c r="AD101" s="74"/>
      <c r="AE101" s="74"/>
      <c r="AF101" s="74"/>
      <c r="AG101" s="74"/>
      <c r="AH101" s="74"/>
    </row>
    <row r="102" customFormat="false" ht="15" hidden="false" customHeight="false" outlineLevel="0" collapsed="false">
      <c r="A102" s="74"/>
      <c r="B102" s="74"/>
      <c r="C102" s="74"/>
      <c r="D102" s="74"/>
      <c r="E102" s="74"/>
      <c r="F102" s="74"/>
      <c r="G102" s="74"/>
      <c r="H102" s="74"/>
      <c r="I102" s="74"/>
      <c r="J102" s="74"/>
      <c r="K102" s="74"/>
      <c r="L102" s="74"/>
      <c r="M102" s="74"/>
      <c r="N102" s="74"/>
      <c r="O102" s="74"/>
      <c r="P102" s="74"/>
      <c r="Q102" s="74"/>
      <c r="R102" s="74"/>
      <c r="S102" s="74"/>
      <c r="T102" s="74"/>
      <c r="U102" s="74"/>
      <c r="V102" s="74"/>
      <c r="W102" s="74"/>
      <c r="X102" s="74"/>
      <c r="Y102" s="74"/>
      <c r="Z102" s="74"/>
      <c r="AA102" s="74"/>
      <c r="AB102" s="74"/>
      <c r="AC102" s="74"/>
      <c r="AD102" s="74"/>
      <c r="AE102" s="74"/>
      <c r="AF102" s="74"/>
      <c r="AG102" s="74"/>
      <c r="AH102" s="74"/>
    </row>
    <row r="103" customFormat="false" ht="15" hidden="false" customHeight="false" outlineLevel="0" collapsed="false">
      <c r="A103" s="74"/>
      <c r="B103" s="74"/>
      <c r="C103" s="74"/>
      <c r="D103" s="74"/>
      <c r="E103" s="74"/>
      <c r="F103" s="74"/>
      <c r="G103" s="74"/>
      <c r="H103" s="74"/>
      <c r="I103" s="74"/>
      <c r="J103" s="74"/>
      <c r="K103" s="74"/>
      <c r="L103" s="74"/>
      <c r="M103" s="74"/>
      <c r="N103" s="74"/>
      <c r="O103" s="74"/>
      <c r="P103" s="74"/>
      <c r="Q103" s="74"/>
      <c r="R103" s="74"/>
      <c r="S103" s="74"/>
      <c r="T103" s="74"/>
      <c r="U103" s="74"/>
      <c r="V103" s="74"/>
      <c r="W103" s="74"/>
      <c r="X103" s="74"/>
      <c r="Y103" s="74"/>
      <c r="Z103" s="74"/>
      <c r="AA103" s="74"/>
      <c r="AB103" s="74"/>
      <c r="AC103" s="74"/>
      <c r="AD103" s="74"/>
      <c r="AE103" s="74"/>
      <c r="AF103" s="74"/>
      <c r="AG103" s="74"/>
      <c r="AH103" s="74"/>
    </row>
    <row r="104" customFormat="false" ht="15" hidden="false" customHeight="false" outlineLevel="0" collapsed="false">
      <c r="A104" s="74"/>
      <c r="B104" s="74"/>
      <c r="C104" s="74"/>
      <c r="D104" s="74"/>
      <c r="E104" s="74"/>
      <c r="F104" s="74"/>
      <c r="G104" s="74"/>
      <c r="H104" s="74"/>
      <c r="I104" s="74"/>
      <c r="J104" s="74"/>
      <c r="K104" s="74"/>
      <c r="L104" s="74"/>
      <c r="M104" s="74"/>
      <c r="N104" s="74"/>
      <c r="O104" s="74"/>
      <c r="P104" s="74"/>
      <c r="Q104" s="74"/>
      <c r="R104" s="74"/>
      <c r="S104" s="74"/>
      <c r="T104" s="74"/>
      <c r="U104" s="74"/>
      <c r="V104" s="74"/>
      <c r="W104" s="74"/>
      <c r="X104" s="74"/>
      <c r="Y104" s="74"/>
      <c r="Z104" s="74"/>
      <c r="AA104" s="74"/>
      <c r="AB104" s="74"/>
      <c r="AC104" s="74"/>
      <c r="AD104" s="74"/>
      <c r="AE104" s="74"/>
      <c r="AF104" s="74"/>
      <c r="AG104" s="74"/>
      <c r="AH104" s="74"/>
    </row>
    <row r="105" customFormat="false" ht="15" hidden="false" customHeight="false" outlineLevel="0" collapsed="false">
      <c r="A105" s="74"/>
      <c r="B105" s="74"/>
      <c r="C105" s="74"/>
      <c r="D105" s="74"/>
      <c r="E105" s="74"/>
      <c r="F105" s="74"/>
      <c r="G105" s="74"/>
      <c r="H105" s="74"/>
      <c r="I105" s="74"/>
      <c r="J105" s="74"/>
      <c r="K105" s="74"/>
      <c r="L105" s="74"/>
      <c r="M105" s="74"/>
      <c r="N105" s="74"/>
      <c r="O105" s="74"/>
      <c r="P105" s="74"/>
      <c r="Q105" s="74"/>
      <c r="R105" s="74"/>
      <c r="S105" s="74"/>
      <c r="T105" s="74"/>
      <c r="U105" s="74"/>
      <c r="V105" s="74"/>
      <c r="W105" s="74"/>
      <c r="X105" s="74"/>
      <c r="Y105" s="74"/>
      <c r="Z105" s="74"/>
      <c r="AA105" s="74"/>
      <c r="AB105" s="74"/>
      <c r="AC105" s="74"/>
      <c r="AD105" s="74"/>
      <c r="AE105" s="74"/>
      <c r="AF105" s="74"/>
      <c r="AG105" s="74"/>
      <c r="AH105" s="74"/>
    </row>
    <row r="106" customFormat="false" ht="15" hidden="false" customHeight="false" outlineLevel="0" collapsed="false">
      <c r="A106" s="74"/>
      <c r="B106" s="74"/>
      <c r="C106" s="74"/>
      <c r="D106" s="74"/>
      <c r="E106" s="74"/>
      <c r="F106" s="74"/>
      <c r="G106" s="74"/>
      <c r="H106" s="74"/>
      <c r="I106" s="74"/>
      <c r="J106" s="74"/>
      <c r="K106" s="74"/>
      <c r="L106" s="74"/>
      <c r="M106" s="74"/>
      <c r="N106" s="74"/>
      <c r="O106" s="74"/>
      <c r="P106" s="74"/>
      <c r="Q106" s="74"/>
      <c r="R106" s="74"/>
      <c r="S106" s="74"/>
      <c r="T106" s="74"/>
      <c r="U106" s="74"/>
      <c r="V106" s="74"/>
      <c r="W106" s="74"/>
      <c r="X106" s="74"/>
      <c r="Y106" s="74"/>
      <c r="Z106" s="74"/>
      <c r="AA106" s="74"/>
      <c r="AB106" s="74"/>
      <c r="AC106" s="74"/>
      <c r="AD106" s="74"/>
      <c r="AE106" s="74"/>
      <c r="AF106" s="74"/>
      <c r="AG106" s="74"/>
      <c r="AH106" s="74"/>
    </row>
    <row r="107" customFormat="false" ht="15" hidden="false" customHeight="false" outlineLevel="0" collapsed="false">
      <c r="A107" s="74"/>
      <c r="B107" s="74"/>
      <c r="C107" s="74"/>
      <c r="D107" s="74"/>
      <c r="E107" s="74"/>
      <c r="F107" s="74"/>
      <c r="G107" s="74"/>
      <c r="H107" s="74"/>
      <c r="I107" s="74"/>
      <c r="J107" s="74"/>
      <c r="K107" s="74"/>
      <c r="L107" s="74"/>
      <c r="M107" s="74"/>
      <c r="N107" s="74"/>
      <c r="O107" s="74"/>
      <c r="P107" s="74"/>
      <c r="Q107" s="74"/>
      <c r="R107" s="74"/>
      <c r="S107" s="74"/>
      <c r="T107" s="74"/>
      <c r="U107" s="74"/>
      <c r="V107" s="74"/>
      <c r="W107" s="74"/>
      <c r="X107" s="74"/>
      <c r="Y107" s="74"/>
      <c r="Z107" s="74"/>
      <c r="AA107" s="74"/>
      <c r="AB107" s="74"/>
      <c r="AC107" s="74"/>
      <c r="AD107" s="74"/>
      <c r="AE107" s="74"/>
      <c r="AF107" s="74"/>
      <c r="AG107" s="74"/>
      <c r="AH107" s="74"/>
    </row>
    <row r="108" customFormat="false" ht="15" hidden="false" customHeight="false" outlineLevel="0" collapsed="false">
      <c r="A108" s="74"/>
      <c r="B108" s="74"/>
      <c r="C108" s="74"/>
      <c r="D108" s="74"/>
      <c r="E108" s="74"/>
      <c r="F108" s="74"/>
      <c r="G108" s="74"/>
      <c r="H108" s="74"/>
      <c r="I108" s="74"/>
      <c r="J108" s="74"/>
      <c r="K108" s="74"/>
      <c r="L108" s="74"/>
      <c r="M108" s="74"/>
      <c r="N108" s="74"/>
      <c r="O108" s="74"/>
      <c r="P108" s="74"/>
      <c r="Q108" s="74"/>
      <c r="R108" s="74"/>
      <c r="S108" s="74"/>
      <c r="T108" s="74"/>
      <c r="U108" s="74"/>
      <c r="V108" s="74"/>
      <c r="W108" s="74"/>
      <c r="X108" s="74"/>
      <c r="Y108" s="74"/>
      <c r="Z108" s="74"/>
      <c r="AA108" s="74"/>
      <c r="AB108" s="74"/>
      <c r="AC108" s="74"/>
      <c r="AD108" s="74"/>
      <c r="AE108" s="74"/>
      <c r="AF108" s="74"/>
      <c r="AG108" s="74"/>
      <c r="AH108" s="74"/>
    </row>
    <row r="109" customFormat="false" ht="15" hidden="false" customHeight="false" outlineLevel="0" collapsed="false">
      <c r="A109" s="74"/>
      <c r="B109" s="74"/>
      <c r="C109" s="74"/>
      <c r="D109" s="74"/>
      <c r="E109" s="74"/>
      <c r="F109" s="74"/>
      <c r="G109" s="74"/>
      <c r="H109" s="74"/>
      <c r="I109" s="74"/>
      <c r="J109" s="74"/>
      <c r="K109" s="74"/>
      <c r="L109" s="74"/>
      <c r="M109" s="74"/>
      <c r="N109" s="74"/>
      <c r="O109" s="74"/>
      <c r="P109" s="74"/>
      <c r="Q109" s="74"/>
      <c r="R109" s="74"/>
      <c r="S109" s="74"/>
      <c r="T109" s="74"/>
      <c r="U109" s="74"/>
      <c r="V109" s="74"/>
      <c r="W109" s="74"/>
      <c r="X109" s="74"/>
      <c r="Y109" s="74"/>
      <c r="Z109" s="74"/>
      <c r="AA109" s="74"/>
      <c r="AB109" s="74"/>
      <c r="AC109" s="74"/>
      <c r="AD109" s="74"/>
      <c r="AE109" s="74"/>
      <c r="AF109" s="74"/>
      <c r="AG109" s="74"/>
      <c r="AH109" s="74"/>
    </row>
    <row r="110" customFormat="false" ht="15" hidden="false" customHeight="false" outlineLevel="0" collapsed="false">
      <c r="A110" s="74"/>
      <c r="B110" s="74"/>
      <c r="C110" s="74"/>
      <c r="D110" s="74"/>
      <c r="E110" s="74"/>
      <c r="F110" s="74"/>
      <c r="G110" s="74"/>
      <c r="H110" s="74"/>
      <c r="I110" s="74"/>
      <c r="J110" s="74"/>
      <c r="K110" s="74"/>
      <c r="L110" s="74"/>
      <c r="M110" s="74"/>
      <c r="N110" s="74"/>
      <c r="O110" s="74"/>
      <c r="P110" s="74"/>
      <c r="Q110" s="74"/>
      <c r="R110" s="74"/>
      <c r="S110" s="74"/>
      <c r="T110" s="74"/>
      <c r="U110" s="74"/>
      <c r="V110" s="74"/>
      <c r="W110" s="74"/>
      <c r="X110" s="74"/>
      <c r="Y110" s="74"/>
      <c r="Z110" s="74"/>
      <c r="AA110" s="74"/>
      <c r="AB110" s="74"/>
      <c r="AC110" s="74"/>
      <c r="AD110" s="74"/>
      <c r="AE110" s="74"/>
      <c r="AF110" s="74"/>
      <c r="AG110" s="74"/>
      <c r="AH110" s="74"/>
    </row>
    <row r="111" customFormat="false" ht="15" hidden="false" customHeight="false" outlineLevel="0" collapsed="false">
      <c r="A111" s="74"/>
      <c r="B111" s="74"/>
      <c r="C111" s="74"/>
      <c r="D111" s="74"/>
      <c r="E111" s="74"/>
      <c r="F111" s="74"/>
      <c r="G111" s="74"/>
      <c r="H111" s="74"/>
      <c r="I111" s="74"/>
      <c r="J111" s="74"/>
      <c r="K111" s="74"/>
      <c r="L111" s="74"/>
      <c r="M111" s="74"/>
      <c r="N111" s="74"/>
      <c r="O111" s="74"/>
      <c r="P111" s="74"/>
      <c r="Q111" s="74"/>
      <c r="R111" s="74"/>
      <c r="S111" s="74"/>
      <c r="T111" s="74"/>
      <c r="U111" s="74"/>
      <c r="V111" s="74"/>
      <c r="W111" s="74"/>
      <c r="X111" s="74"/>
      <c r="Y111" s="74"/>
      <c r="Z111" s="74"/>
      <c r="AA111" s="74"/>
      <c r="AB111" s="74"/>
      <c r="AC111" s="74"/>
      <c r="AD111" s="74"/>
      <c r="AE111" s="74"/>
      <c r="AF111" s="74"/>
      <c r="AG111" s="74"/>
      <c r="AH111" s="74"/>
    </row>
    <row r="112" customFormat="false" ht="15" hidden="false" customHeight="false" outlineLevel="0" collapsed="false">
      <c r="A112" s="74"/>
      <c r="B112" s="74"/>
      <c r="C112" s="74"/>
      <c r="D112" s="74"/>
      <c r="E112" s="74"/>
      <c r="F112" s="74"/>
      <c r="G112" s="74"/>
      <c r="H112" s="74"/>
      <c r="I112" s="74"/>
      <c r="J112" s="74"/>
      <c r="K112" s="74"/>
      <c r="L112" s="74"/>
      <c r="M112" s="74"/>
      <c r="N112" s="74"/>
      <c r="O112" s="74"/>
      <c r="P112" s="74"/>
      <c r="Q112" s="74"/>
      <c r="R112" s="74"/>
      <c r="S112" s="74"/>
      <c r="T112" s="74"/>
      <c r="U112" s="74"/>
      <c r="V112" s="74"/>
      <c r="W112" s="74"/>
      <c r="X112" s="74"/>
      <c r="Y112" s="74"/>
      <c r="Z112" s="74"/>
      <c r="AA112" s="74"/>
      <c r="AB112" s="74"/>
      <c r="AC112" s="74"/>
      <c r="AD112" s="74"/>
      <c r="AE112" s="74"/>
      <c r="AF112" s="74"/>
      <c r="AG112" s="74"/>
      <c r="AH112" s="74"/>
    </row>
    <row r="113" customFormat="false" ht="15" hidden="false" customHeight="false" outlineLevel="0" collapsed="false">
      <c r="A113" s="74"/>
      <c r="B113" s="74"/>
      <c r="C113" s="74"/>
      <c r="D113" s="74"/>
      <c r="E113" s="74"/>
      <c r="F113" s="74"/>
      <c r="G113" s="74"/>
      <c r="H113" s="74"/>
      <c r="I113" s="74"/>
      <c r="J113" s="74"/>
      <c r="K113" s="74"/>
      <c r="L113" s="74"/>
      <c r="M113" s="74"/>
      <c r="N113" s="74"/>
      <c r="O113" s="74"/>
      <c r="P113" s="74"/>
      <c r="Q113" s="74"/>
      <c r="R113" s="74"/>
      <c r="S113" s="74"/>
      <c r="T113" s="74"/>
      <c r="U113" s="74"/>
      <c r="V113" s="74"/>
      <c r="W113" s="74"/>
      <c r="X113" s="74"/>
      <c r="Y113" s="74"/>
      <c r="Z113" s="74"/>
      <c r="AA113" s="74"/>
      <c r="AB113" s="74"/>
      <c r="AC113" s="74"/>
      <c r="AD113" s="74"/>
      <c r="AE113" s="74"/>
      <c r="AF113" s="74"/>
      <c r="AG113" s="74"/>
      <c r="AH113" s="74"/>
    </row>
    <row r="114" customFormat="false" ht="15" hidden="false" customHeight="false" outlineLevel="0" collapsed="false">
      <c r="A114" s="74"/>
      <c r="B114" s="74"/>
      <c r="C114" s="74"/>
      <c r="D114" s="74"/>
      <c r="E114" s="74"/>
      <c r="F114" s="74"/>
      <c r="G114" s="74"/>
      <c r="H114" s="74"/>
      <c r="I114" s="74"/>
      <c r="J114" s="74"/>
      <c r="K114" s="74"/>
      <c r="L114" s="74"/>
      <c r="M114" s="74"/>
      <c r="N114" s="74"/>
      <c r="O114" s="74"/>
      <c r="P114" s="74"/>
      <c r="Q114" s="74"/>
      <c r="R114" s="74"/>
      <c r="S114" s="74"/>
      <c r="T114" s="74"/>
      <c r="U114" s="74"/>
      <c r="V114" s="74"/>
      <c r="W114" s="74"/>
      <c r="X114" s="74"/>
      <c r="Y114" s="74"/>
      <c r="Z114" s="74"/>
      <c r="AA114" s="74"/>
      <c r="AB114" s="74"/>
      <c r="AC114" s="74"/>
      <c r="AD114" s="74"/>
      <c r="AE114" s="74"/>
      <c r="AF114" s="74"/>
      <c r="AG114" s="74"/>
      <c r="AH114" s="74"/>
    </row>
    <row r="115" customFormat="false" ht="15" hidden="false" customHeight="false" outlineLevel="0" collapsed="false">
      <c r="A115" s="74"/>
      <c r="B115" s="74"/>
      <c r="C115" s="74"/>
      <c r="D115" s="74"/>
      <c r="E115" s="74"/>
      <c r="F115" s="74"/>
      <c r="G115" s="74"/>
      <c r="H115" s="74"/>
      <c r="I115" s="74"/>
      <c r="J115" s="74"/>
      <c r="K115" s="74"/>
      <c r="L115" s="74"/>
      <c r="M115" s="74"/>
      <c r="N115" s="74"/>
      <c r="O115" s="74"/>
      <c r="P115" s="74"/>
      <c r="Q115" s="74"/>
      <c r="R115" s="74"/>
      <c r="S115" s="74"/>
      <c r="T115" s="74"/>
      <c r="U115" s="74"/>
      <c r="V115" s="74"/>
      <c r="W115" s="74"/>
      <c r="X115" s="74"/>
      <c r="Y115" s="74"/>
      <c r="Z115" s="74"/>
      <c r="AA115" s="74"/>
      <c r="AB115" s="74"/>
      <c r="AC115" s="74"/>
      <c r="AD115" s="74"/>
      <c r="AE115" s="74"/>
      <c r="AF115" s="74"/>
      <c r="AG115" s="74"/>
      <c r="AH115" s="74"/>
    </row>
    <row r="116" customFormat="false" ht="15" hidden="false" customHeight="false" outlineLevel="0" collapsed="false">
      <c r="A116" s="74"/>
      <c r="B116" s="74"/>
      <c r="C116" s="74"/>
      <c r="D116" s="74"/>
      <c r="E116" s="74"/>
      <c r="F116" s="74"/>
      <c r="G116" s="74"/>
      <c r="H116" s="74"/>
      <c r="I116" s="74"/>
      <c r="J116" s="74"/>
      <c r="K116" s="74"/>
      <c r="L116" s="74"/>
      <c r="M116" s="74"/>
      <c r="N116" s="74"/>
      <c r="O116" s="74"/>
      <c r="P116" s="74"/>
      <c r="Q116" s="74"/>
      <c r="R116" s="74"/>
      <c r="S116" s="74"/>
      <c r="T116" s="74"/>
      <c r="U116" s="74"/>
      <c r="V116" s="74"/>
      <c r="W116" s="74"/>
      <c r="X116" s="74"/>
      <c r="Y116" s="74"/>
      <c r="Z116" s="74"/>
      <c r="AA116" s="74"/>
      <c r="AB116" s="74"/>
      <c r="AC116" s="74"/>
      <c r="AD116" s="74"/>
      <c r="AE116" s="74"/>
      <c r="AF116" s="74"/>
      <c r="AG116" s="74"/>
      <c r="AH116" s="74"/>
    </row>
    <row r="117" customFormat="false" ht="15" hidden="false" customHeight="false" outlineLevel="0" collapsed="false">
      <c r="A117" s="74"/>
      <c r="B117" s="74"/>
      <c r="C117" s="74"/>
      <c r="D117" s="74"/>
      <c r="E117" s="74"/>
      <c r="F117" s="74"/>
      <c r="G117" s="74"/>
      <c r="H117" s="74"/>
      <c r="I117" s="74"/>
      <c r="J117" s="74"/>
      <c r="K117" s="74"/>
      <c r="L117" s="74"/>
      <c r="M117" s="74"/>
      <c r="N117" s="74"/>
      <c r="O117" s="74"/>
      <c r="P117" s="74"/>
      <c r="Q117" s="74"/>
      <c r="R117" s="74"/>
      <c r="S117" s="74"/>
      <c r="T117" s="74"/>
      <c r="U117" s="74"/>
      <c r="V117" s="74"/>
      <c r="W117" s="74"/>
      <c r="X117" s="74"/>
      <c r="Y117" s="74"/>
      <c r="Z117" s="74"/>
      <c r="AA117" s="74"/>
      <c r="AB117" s="74"/>
      <c r="AC117" s="74"/>
      <c r="AD117" s="74"/>
      <c r="AE117" s="74"/>
      <c r="AF117" s="74"/>
      <c r="AG117" s="74"/>
      <c r="AH117" s="74"/>
    </row>
    <row r="118" customFormat="false" ht="15" hidden="false" customHeight="false" outlineLevel="0" collapsed="false">
      <c r="A118" s="74"/>
      <c r="B118" s="74"/>
      <c r="C118" s="74"/>
      <c r="D118" s="74"/>
      <c r="E118" s="74"/>
      <c r="F118" s="74"/>
      <c r="G118" s="74"/>
      <c r="H118" s="74"/>
      <c r="I118" s="74"/>
      <c r="J118" s="74"/>
      <c r="K118" s="74"/>
      <c r="L118" s="74"/>
      <c r="M118" s="74"/>
      <c r="N118" s="74"/>
      <c r="O118" s="74"/>
      <c r="P118" s="74"/>
      <c r="Q118" s="74"/>
      <c r="R118" s="74"/>
      <c r="S118" s="74"/>
      <c r="T118" s="74"/>
      <c r="U118" s="74"/>
      <c r="V118" s="74"/>
      <c r="W118" s="74"/>
      <c r="X118" s="74"/>
      <c r="Y118" s="74"/>
      <c r="Z118" s="74"/>
      <c r="AA118" s="74"/>
      <c r="AB118" s="74"/>
      <c r="AC118" s="74"/>
      <c r="AD118" s="74"/>
      <c r="AE118" s="74"/>
      <c r="AF118" s="74"/>
      <c r="AG118" s="74"/>
      <c r="AH118" s="74"/>
    </row>
    <row r="119" customFormat="false" ht="15" hidden="false" customHeight="false" outlineLevel="0" collapsed="false">
      <c r="A119" s="74"/>
      <c r="B119" s="74"/>
      <c r="C119" s="74"/>
      <c r="D119" s="74"/>
      <c r="E119" s="74"/>
      <c r="F119" s="74"/>
      <c r="G119" s="74"/>
      <c r="H119" s="74"/>
      <c r="I119" s="74"/>
      <c r="J119" s="74"/>
      <c r="K119" s="74"/>
      <c r="L119" s="74"/>
      <c r="M119" s="74"/>
      <c r="N119" s="74"/>
      <c r="O119" s="74"/>
      <c r="P119" s="74"/>
      <c r="Q119" s="74"/>
      <c r="R119" s="74"/>
      <c r="S119" s="74"/>
      <c r="T119" s="74"/>
      <c r="U119" s="74"/>
      <c r="V119" s="74"/>
      <c r="W119" s="74"/>
      <c r="X119" s="74"/>
      <c r="Y119" s="74"/>
      <c r="Z119" s="74"/>
      <c r="AA119" s="74"/>
      <c r="AB119" s="74"/>
      <c r="AC119" s="74"/>
      <c r="AD119" s="74"/>
      <c r="AE119" s="74"/>
      <c r="AF119" s="74"/>
      <c r="AG119" s="74"/>
      <c r="AH119" s="74"/>
    </row>
    <row r="120" customFormat="false" ht="15" hidden="false" customHeight="false" outlineLevel="0" collapsed="false">
      <c r="A120" s="74"/>
      <c r="B120" s="74"/>
      <c r="C120" s="74"/>
      <c r="D120" s="74"/>
      <c r="E120" s="74"/>
      <c r="F120" s="74"/>
      <c r="G120" s="74"/>
      <c r="H120" s="74"/>
      <c r="I120" s="74"/>
      <c r="J120" s="74"/>
      <c r="K120" s="74"/>
      <c r="L120" s="74"/>
      <c r="M120" s="74"/>
      <c r="N120" s="74"/>
      <c r="O120" s="74"/>
      <c r="P120" s="74"/>
      <c r="Q120" s="74"/>
      <c r="R120" s="74"/>
      <c r="S120" s="74"/>
      <c r="T120" s="74"/>
      <c r="U120" s="74"/>
      <c r="V120" s="74"/>
      <c r="W120" s="74"/>
      <c r="X120" s="74"/>
      <c r="Y120" s="74"/>
      <c r="Z120" s="74"/>
      <c r="AA120" s="74"/>
      <c r="AB120" s="74"/>
      <c r="AC120" s="74"/>
      <c r="AD120" s="74"/>
      <c r="AE120" s="74"/>
      <c r="AF120" s="74"/>
      <c r="AG120" s="74"/>
      <c r="AH120" s="74"/>
    </row>
    <row r="121" customFormat="false" ht="15" hidden="false" customHeight="false" outlineLevel="0" collapsed="false">
      <c r="A121" s="74"/>
      <c r="B121" s="74"/>
      <c r="C121" s="74"/>
      <c r="D121" s="74"/>
      <c r="E121" s="74"/>
      <c r="F121" s="74"/>
      <c r="G121" s="74"/>
      <c r="H121" s="74"/>
      <c r="I121" s="74"/>
      <c r="J121" s="74"/>
      <c r="K121" s="74"/>
      <c r="L121" s="74"/>
      <c r="M121" s="74"/>
      <c r="N121" s="74"/>
      <c r="O121" s="74"/>
      <c r="P121" s="74"/>
      <c r="Q121" s="74"/>
      <c r="R121" s="74"/>
      <c r="S121" s="74"/>
      <c r="T121" s="74"/>
      <c r="U121" s="74"/>
      <c r="V121" s="74"/>
      <c r="W121" s="74"/>
      <c r="X121" s="74"/>
      <c r="Y121" s="74"/>
      <c r="Z121" s="74"/>
      <c r="AA121" s="74"/>
      <c r="AB121" s="74"/>
      <c r="AC121" s="74"/>
      <c r="AD121" s="74"/>
      <c r="AE121" s="74"/>
      <c r="AF121" s="74"/>
      <c r="AG121" s="74"/>
      <c r="AH121" s="74"/>
    </row>
    <row r="122" customFormat="false" ht="15" hidden="false" customHeight="false" outlineLevel="0" collapsed="false">
      <c r="A122" s="74"/>
      <c r="B122" s="74"/>
      <c r="C122" s="74"/>
      <c r="D122" s="74"/>
      <c r="E122" s="74"/>
      <c r="F122" s="74"/>
      <c r="G122" s="74"/>
      <c r="H122" s="74"/>
      <c r="I122" s="74"/>
      <c r="J122" s="74"/>
      <c r="K122" s="74"/>
      <c r="L122" s="74"/>
      <c r="M122" s="74"/>
      <c r="N122" s="74"/>
      <c r="O122" s="74"/>
      <c r="P122" s="74"/>
      <c r="Q122" s="74"/>
      <c r="R122" s="74"/>
      <c r="S122" s="74"/>
      <c r="T122" s="74"/>
      <c r="U122" s="74"/>
      <c r="V122" s="74"/>
      <c r="W122" s="74"/>
      <c r="X122" s="74"/>
      <c r="Y122" s="74"/>
      <c r="Z122" s="74"/>
      <c r="AA122" s="74"/>
      <c r="AB122" s="74"/>
      <c r="AC122" s="74"/>
      <c r="AD122" s="74"/>
      <c r="AE122" s="74"/>
      <c r="AF122" s="74"/>
      <c r="AG122" s="74"/>
      <c r="AH122" s="74"/>
    </row>
    <row r="123" customFormat="false" ht="15" hidden="false" customHeight="false" outlineLevel="0" collapsed="false">
      <c r="A123" s="74"/>
      <c r="B123" s="74"/>
      <c r="C123" s="74"/>
      <c r="D123" s="74"/>
      <c r="E123" s="74"/>
      <c r="F123" s="74"/>
      <c r="G123" s="74"/>
      <c r="H123" s="74"/>
      <c r="I123" s="74"/>
      <c r="J123" s="74"/>
      <c r="K123" s="74"/>
      <c r="L123" s="74"/>
      <c r="M123" s="74"/>
      <c r="N123" s="74"/>
      <c r="O123" s="74"/>
      <c r="P123" s="74"/>
      <c r="Q123" s="74"/>
      <c r="R123" s="74"/>
      <c r="S123" s="74"/>
      <c r="T123" s="74"/>
      <c r="U123" s="74"/>
      <c r="V123" s="74"/>
      <c r="W123" s="74"/>
      <c r="X123" s="74"/>
      <c r="Y123" s="74"/>
      <c r="Z123" s="74"/>
      <c r="AA123" s="74"/>
      <c r="AB123" s="74"/>
      <c r="AC123" s="74"/>
      <c r="AD123" s="74"/>
      <c r="AE123" s="74"/>
      <c r="AF123" s="74"/>
      <c r="AG123" s="74"/>
      <c r="AH123" s="74"/>
    </row>
    <row r="124" customFormat="false" ht="15" hidden="false" customHeight="false" outlineLevel="0" collapsed="false">
      <c r="A124" s="74"/>
      <c r="B124" s="74"/>
      <c r="C124" s="74"/>
      <c r="D124" s="74"/>
      <c r="E124" s="74"/>
      <c r="F124" s="74"/>
      <c r="G124" s="74"/>
      <c r="H124" s="74"/>
      <c r="I124" s="74"/>
      <c r="J124" s="74"/>
      <c r="K124" s="74"/>
      <c r="L124" s="74"/>
      <c r="M124" s="74"/>
      <c r="N124" s="74"/>
      <c r="O124" s="74"/>
      <c r="P124" s="74"/>
      <c r="Q124" s="74"/>
      <c r="R124" s="74"/>
      <c r="S124" s="74"/>
      <c r="T124" s="74"/>
      <c r="U124" s="74"/>
      <c r="V124" s="74"/>
      <c r="W124" s="74"/>
      <c r="X124" s="74"/>
      <c r="Y124" s="74"/>
      <c r="Z124" s="74"/>
      <c r="AA124" s="74"/>
      <c r="AB124" s="74"/>
      <c r="AC124" s="74"/>
      <c r="AD124" s="74"/>
      <c r="AE124" s="74"/>
      <c r="AF124" s="74"/>
      <c r="AG124" s="74"/>
      <c r="AH124" s="74"/>
    </row>
    <row r="125" customFormat="false" ht="15" hidden="false" customHeight="false" outlineLevel="0" collapsed="false">
      <c r="A125" s="74"/>
      <c r="B125" s="74"/>
      <c r="C125" s="74"/>
      <c r="D125" s="74"/>
      <c r="E125" s="74"/>
      <c r="F125" s="74"/>
      <c r="G125" s="74"/>
      <c r="H125" s="74"/>
      <c r="I125" s="74"/>
      <c r="J125" s="74"/>
      <c r="K125" s="74"/>
      <c r="L125" s="74"/>
      <c r="M125" s="74"/>
      <c r="N125" s="74"/>
      <c r="O125" s="74"/>
      <c r="P125" s="74"/>
      <c r="Q125" s="74"/>
      <c r="R125" s="74"/>
      <c r="S125" s="74"/>
      <c r="T125" s="74"/>
      <c r="U125" s="74"/>
      <c r="V125" s="74"/>
      <c r="W125" s="74"/>
      <c r="X125" s="74"/>
      <c r="Y125" s="74"/>
      <c r="Z125" s="74"/>
      <c r="AA125" s="74"/>
      <c r="AB125" s="74"/>
      <c r="AC125" s="74"/>
      <c r="AD125" s="74"/>
      <c r="AE125" s="74"/>
      <c r="AF125" s="74"/>
      <c r="AG125" s="74"/>
      <c r="AH125" s="74"/>
    </row>
    <row r="126" customFormat="false" ht="15" hidden="false" customHeight="false" outlineLevel="0" collapsed="false">
      <c r="A126" s="74"/>
      <c r="B126" s="74"/>
      <c r="C126" s="74"/>
      <c r="D126" s="74"/>
      <c r="E126" s="74"/>
      <c r="F126" s="74"/>
      <c r="G126" s="74"/>
      <c r="H126" s="74"/>
      <c r="I126" s="74"/>
      <c r="J126" s="74"/>
      <c r="K126" s="74"/>
      <c r="L126" s="74"/>
      <c r="M126" s="74"/>
      <c r="N126" s="74"/>
      <c r="O126" s="74"/>
      <c r="P126" s="74"/>
      <c r="Q126" s="74"/>
      <c r="R126" s="74"/>
      <c r="S126" s="74"/>
      <c r="T126" s="74"/>
      <c r="U126" s="74"/>
      <c r="V126" s="74"/>
      <c r="W126" s="74"/>
      <c r="X126" s="74"/>
      <c r="Y126" s="74"/>
      <c r="Z126" s="74"/>
      <c r="AA126" s="74"/>
      <c r="AB126" s="74"/>
      <c r="AC126" s="74"/>
      <c r="AD126" s="74"/>
      <c r="AE126" s="74"/>
      <c r="AF126" s="74"/>
      <c r="AG126" s="74"/>
      <c r="AH126" s="74"/>
    </row>
    <row r="127" customFormat="false" ht="15" hidden="false" customHeight="false" outlineLevel="0" collapsed="false">
      <c r="A127" s="74"/>
      <c r="B127" s="74"/>
      <c r="C127" s="74"/>
      <c r="D127" s="74"/>
      <c r="E127" s="74"/>
      <c r="F127" s="74"/>
      <c r="G127" s="74"/>
      <c r="H127" s="74"/>
      <c r="I127" s="74"/>
      <c r="J127" s="74"/>
      <c r="K127" s="74"/>
      <c r="L127" s="74"/>
      <c r="M127" s="74"/>
      <c r="N127" s="74"/>
      <c r="O127" s="74"/>
      <c r="P127" s="74"/>
      <c r="Q127" s="74"/>
      <c r="R127" s="74"/>
      <c r="S127" s="74"/>
      <c r="T127" s="74"/>
      <c r="U127" s="74"/>
      <c r="V127" s="74"/>
      <c r="W127" s="74"/>
      <c r="X127" s="74"/>
      <c r="Y127" s="74"/>
      <c r="Z127" s="74"/>
      <c r="AA127" s="74"/>
      <c r="AB127" s="74"/>
      <c r="AC127" s="74"/>
      <c r="AD127" s="74"/>
      <c r="AE127" s="74"/>
      <c r="AF127" s="74"/>
      <c r="AG127" s="74"/>
      <c r="AH127" s="74"/>
    </row>
    <row r="128" customFormat="false" ht="15" hidden="false" customHeight="false" outlineLevel="0" collapsed="false">
      <c r="A128" s="74"/>
      <c r="B128" s="74"/>
      <c r="C128" s="74"/>
      <c r="D128" s="74"/>
      <c r="E128" s="74"/>
      <c r="F128" s="74"/>
      <c r="G128" s="74"/>
      <c r="H128" s="74"/>
      <c r="I128" s="74"/>
      <c r="J128" s="74"/>
      <c r="K128" s="74"/>
      <c r="L128" s="74"/>
      <c r="M128" s="74"/>
      <c r="N128" s="74"/>
      <c r="O128" s="74"/>
      <c r="P128" s="74"/>
      <c r="Q128" s="74"/>
      <c r="R128" s="74"/>
      <c r="S128" s="74"/>
      <c r="T128" s="74"/>
      <c r="U128" s="74"/>
      <c r="V128" s="74"/>
      <c r="W128" s="74"/>
      <c r="X128" s="74"/>
      <c r="Y128" s="74"/>
      <c r="Z128" s="74"/>
      <c r="AA128" s="74"/>
      <c r="AB128" s="74"/>
      <c r="AC128" s="74"/>
      <c r="AD128" s="74"/>
      <c r="AE128" s="74"/>
      <c r="AF128" s="74"/>
      <c r="AG128" s="74"/>
      <c r="AH128" s="74"/>
    </row>
    <row r="129" customFormat="false" ht="15" hidden="false" customHeight="false" outlineLevel="0" collapsed="false">
      <c r="A129" s="74"/>
      <c r="B129" s="74"/>
      <c r="C129" s="74"/>
      <c r="D129" s="74"/>
      <c r="E129" s="74"/>
      <c r="F129" s="74"/>
      <c r="G129" s="74"/>
      <c r="H129" s="74"/>
      <c r="I129" s="74"/>
      <c r="J129" s="74"/>
      <c r="K129" s="74"/>
      <c r="L129" s="74"/>
      <c r="M129" s="74"/>
      <c r="N129" s="74"/>
      <c r="O129" s="74"/>
      <c r="P129" s="74"/>
      <c r="Q129" s="74"/>
      <c r="R129" s="74"/>
      <c r="S129" s="74"/>
      <c r="T129" s="74"/>
      <c r="U129" s="74"/>
      <c r="V129" s="74"/>
      <c r="W129" s="74"/>
      <c r="X129" s="74"/>
      <c r="Y129" s="74"/>
      <c r="Z129" s="74"/>
      <c r="AA129" s="74"/>
      <c r="AB129" s="74"/>
      <c r="AC129" s="74"/>
      <c r="AD129" s="74"/>
      <c r="AE129" s="74"/>
      <c r="AF129" s="74"/>
      <c r="AG129" s="74"/>
      <c r="AH129" s="74"/>
    </row>
    <row r="130" customFormat="false" ht="15" hidden="false" customHeight="false" outlineLevel="0" collapsed="false">
      <c r="A130" s="74"/>
      <c r="B130" s="74"/>
      <c r="C130" s="74"/>
      <c r="D130" s="74"/>
      <c r="E130" s="74"/>
      <c r="F130" s="74"/>
      <c r="G130" s="74"/>
      <c r="H130" s="74"/>
      <c r="I130" s="74"/>
      <c r="J130" s="74"/>
      <c r="K130" s="74"/>
      <c r="L130" s="74"/>
      <c r="M130" s="74"/>
      <c r="N130" s="74"/>
      <c r="O130" s="74"/>
      <c r="P130" s="74"/>
      <c r="Q130" s="74"/>
      <c r="R130" s="74"/>
      <c r="S130" s="74"/>
      <c r="T130" s="74"/>
      <c r="U130" s="74"/>
      <c r="V130" s="74"/>
      <c r="W130" s="74"/>
      <c r="X130" s="74"/>
      <c r="Y130" s="74"/>
      <c r="Z130" s="74"/>
      <c r="AA130" s="74"/>
      <c r="AB130" s="74"/>
      <c r="AC130" s="74"/>
      <c r="AD130" s="74"/>
      <c r="AE130" s="74"/>
      <c r="AF130" s="74"/>
      <c r="AG130" s="74"/>
      <c r="AH130" s="74"/>
    </row>
    <row r="131" customFormat="false" ht="15" hidden="false" customHeight="false" outlineLevel="0" collapsed="false">
      <c r="A131" s="74"/>
      <c r="B131" s="74"/>
      <c r="C131" s="74"/>
      <c r="D131" s="74"/>
      <c r="E131" s="74"/>
      <c r="F131" s="74"/>
      <c r="G131" s="74"/>
      <c r="H131" s="74"/>
      <c r="I131" s="74"/>
      <c r="J131" s="74"/>
      <c r="K131" s="74"/>
      <c r="L131" s="74"/>
      <c r="M131" s="74"/>
      <c r="N131" s="74"/>
      <c r="O131" s="74"/>
      <c r="P131" s="74"/>
      <c r="Q131" s="74"/>
      <c r="R131" s="74"/>
      <c r="S131" s="74"/>
      <c r="T131" s="74"/>
      <c r="U131" s="74"/>
      <c r="V131" s="74"/>
      <c r="W131" s="74"/>
      <c r="X131" s="74"/>
      <c r="Y131" s="74"/>
      <c r="Z131" s="74"/>
      <c r="AA131" s="74"/>
      <c r="AB131" s="74"/>
      <c r="AC131" s="74"/>
      <c r="AD131" s="74"/>
      <c r="AE131" s="74"/>
      <c r="AF131" s="74"/>
      <c r="AG131" s="74"/>
      <c r="AH131" s="74"/>
    </row>
    <row r="132" customFormat="false" ht="15" hidden="false" customHeight="false" outlineLevel="0" collapsed="false">
      <c r="A132" s="74"/>
      <c r="B132" s="74"/>
      <c r="C132" s="74"/>
      <c r="D132" s="74"/>
      <c r="E132" s="74"/>
      <c r="F132" s="74"/>
      <c r="G132" s="74"/>
      <c r="H132" s="74"/>
      <c r="I132" s="74"/>
      <c r="J132" s="74"/>
      <c r="K132" s="74"/>
      <c r="L132" s="74"/>
      <c r="M132" s="74"/>
      <c r="N132" s="74"/>
      <c r="O132" s="74"/>
      <c r="P132" s="74"/>
      <c r="Q132" s="74"/>
      <c r="R132" s="74"/>
      <c r="S132" s="74"/>
      <c r="T132" s="74"/>
      <c r="U132" s="74"/>
      <c r="V132" s="74"/>
      <c r="W132" s="74"/>
      <c r="X132" s="74"/>
      <c r="Y132" s="74"/>
      <c r="Z132" s="74"/>
      <c r="AA132" s="74"/>
      <c r="AB132" s="74"/>
      <c r="AC132" s="74"/>
      <c r="AD132" s="74"/>
      <c r="AE132" s="74"/>
      <c r="AF132" s="74"/>
      <c r="AG132" s="74"/>
      <c r="AH132" s="74"/>
    </row>
    <row r="133" customFormat="false" ht="15" hidden="false" customHeight="false" outlineLevel="0" collapsed="false">
      <c r="A133" s="74"/>
      <c r="B133" s="74"/>
      <c r="C133" s="74"/>
      <c r="D133" s="74"/>
      <c r="E133" s="74"/>
      <c r="F133" s="74"/>
      <c r="G133" s="74"/>
      <c r="H133" s="74"/>
      <c r="I133" s="74"/>
      <c r="J133" s="74"/>
      <c r="K133" s="74"/>
      <c r="L133" s="74"/>
      <c r="M133" s="74"/>
      <c r="N133" s="74"/>
      <c r="O133" s="74"/>
      <c r="P133" s="74"/>
      <c r="Q133" s="74"/>
      <c r="R133" s="74"/>
      <c r="S133" s="74"/>
      <c r="T133" s="74"/>
      <c r="U133" s="74"/>
      <c r="V133" s="74"/>
      <c r="W133" s="74"/>
      <c r="X133" s="74"/>
      <c r="Y133" s="74"/>
      <c r="Z133" s="74"/>
      <c r="AA133" s="74"/>
      <c r="AB133" s="74"/>
      <c r="AC133" s="74"/>
      <c r="AD133" s="74"/>
      <c r="AE133" s="74"/>
      <c r="AF133" s="74"/>
      <c r="AG133" s="74"/>
      <c r="AH133" s="74"/>
    </row>
    <row r="134" customFormat="false" ht="15" hidden="false" customHeight="false" outlineLevel="0" collapsed="false">
      <c r="A134" s="74"/>
      <c r="B134" s="74"/>
      <c r="C134" s="74"/>
      <c r="D134" s="74"/>
      <c r="E134" s="74"/>
      <c r="F134" s="74"/>
      <c r="G134" s="74"/>
      <c r="H134" s="74"/>
      <c r="I134" s="74"/>
      <c r="J134" s="74"/>
      <c r="K134" s="74"/>
      <c r="L134" s="74"/>
      <c r="M134" s="74"/>
      <c r="N134" s="74"/>
      <c r="O134" s="74"/>
      <c r="P134" s="74"/>
      <c r="Q134" s="74"/>
      <c r="R134" s="74"/>
      <c r="S134" s="74"/>
      <c r="T134" s="74"/>
      <c r="U134" s="74"/>
      <c r="V134" s="74"/>
      <c r="W134" s="74"/>
      <c r="X134" s="74"/>
      <c r="Y134" s="74"/>
      <c r="Z134" s="74"/>
      <c r="AA134" s="74"/>
      <c r="AB134" s="74"/>
      <c r="AC134" s="74"/>
      <c r="AD134" s="74"/>
      <c r="AE134" s="74"/>
      <c r="AF134" s="74"/>
      <c r="AG134" s="74"/>
      <c r="AH134" s="74"/>
    </row>
    <row r="135" customFormat="false" ht="15" hidden="false" customHeight="false" outlineLevel="0" collapsed="false">
      <c r="A135" s="74"/>
      <c r="B135" s="74"/>
      <c r="C135" s="74"/>
      <c r="D135" s="74"/>
      <c r="E135" s="74"/>
      <c r="F135" s="74"/>
      <c r="G135" s="74"/>
      <c r="H135" s="74"/>
      <c r="I135" s="74"/>
      <c r="J135" s="74"/>
      <c r="K135" s="74"/>
      <c r="L135" s="74"/>
      <c r="M135" s="74"/>
      <c r="N135" s="74"/>
      <c r="O135" s="74"/>
      <c r="P135" s="74"/>
      <c r="Q135" s="74"/>
      <c r="R135" s="74"/>
      <c r="S135" s="74"/>
      <c r="T135" s="74"/>
      <c r="U135" s="74"/>
      <c r="V135" s="74"/>
      <c r="W135" s="74"/>
      <c r="X135" s="74"/>
      <c r="Y135" s="74"/>
      <c r="Z135" s="74"/>
      <c r="AA135" s="74"/>
      <c r="AB135" s="74"/>
      <c r="AC135" s="74"/>
      <c r="AD135" s="74"/>
      <c r="AE135" s="74"/>
      <c r="AF135" s="74"/>
      <c r="AG135" s="74"/>
      <c r="AH135" s="74"/>
    </row>
    <row r="136" customFormat="false" ht="15" hidden="false" customHeight="false" outlineLevel="0" collapsed="false">
      <c r="A136" s="74"/>
      <c r="B136" s="74"/>
      <c r="C136" s="74"/>
      <c r="D136" s="74"/>
      <c r="E136" s="74"/>
      <c r="F136" s="74"/>
      <c r="G136" s="74"/>
      <c r="H136" s="74"/>
      <c r="I136" s="74"/>
      <c r="J136" s="74"/>
      <c r="K136" s="74"/>
      <c r="L136" s="74"/>
      <c r="M136" s="74"/>
      <c r="N136" s="74"/>
      <c r="O136" s="74"/>
      <c r="P136" s="74"/>
      <c r="Q136" s="74"/>
      <c r="R136" s="74"/>
      <c r="S136" s="74"/>
      <c r="T136" s="74"/>
      <c r="U136" s="74"/>
      <c r="V136" s="74"/>
      <c r="W136" s="74"/>
      <c r="X136" s="74"/>
      <c r="Y136" s="74"/>
      <c r="Z136" s="74"/>
      <c r="AA136" s="74"/>
      <c r="AB136" s="74"/>
      <c r="AC136" s="74"/>
      <c r="AD136" s="74"/>
      <c r="AE136" s="74"/>
      <c r="AF136" s="74"/>
      <c r="AG136" s="74"/>
      <c r="AH136" s="74"/>
    </row>
    <row r="137" customFormat="false" ht="15" hidden="false" customHeight="false" outlineLevel="0" collapsed="false">
      <c r="A137" s="74"/>
      <c r="B137" s="74"/>
      <c r="C137" s="74"/>
      <c r="D137" s="74"/>
      <c r="E137" s="74"/>
      <c r="F137" s="74"/>
      <c r="G137" s="74"/>
      <c r="H137" s="74"/>
      <c r="I137" s="74"/>
      <c r="J137" s="74"/>
      <c r="K137" s="74"/>
      <c r="L137" s="74"/>
      <c r="M137" s="74"/>
      <c r="N137" s="74"/>
      <c r="O137" s="74"/>
      <c r="P137" s="74"/>
      <c r="Q137" s="74"/>
      <c r="R137" s="74"/>
      <c r="S137" s="74"/>
      <c r="T137" s="74"/>
      <c r="U137" s="74"/>
      <c r="V137" s="74"/>
      <c r="W137" s="74"/>
      <c r="X137" s="74"/>
      <c r="Y137" s="74"/>
      <c r="Z137" s="74"/>
      <c r="AA137" s="74"/>
      <c r="AB137" s="74"/>
      <c r="AC137" s="74"/>
      <c r="AD137" s="74"/>
      <c r="AE137" s="74"/>
      <c r="AF137" s="74"/>
      <c r="AG137" s="74"/>
      <c r="AH137" s="74"/>
    </row>
    <row r="138" customFormat="false" ht="15" hidden="false" customHeight="false" outlineLevel="0" collapsed="false">
      <c r="A138" s="74"/>
      <c r="B138" s="74"/>
      <c r="C138" s="74"/>
      <c r="D138" s="74"/>
      <c r="E138" s="74"/>
      <c r="F138" s="74"/>
      <c r="G138" s="74"/>
      <c r="H138" s="74"/>
      <c r="I138" s="74"/>
      <c r="J138" s="74"/>
      <c r="K138" s="74"/>
      <c r="L138" s="74"/>
      <c r="M138" s="74"/>
      <c r="N138" s="74"/>
      <c r="O138" s="74"/>
      <c r="P138" s="74"/>
      <c r="Q138" s="74"/>
      <c r="R138" s="74"/>
      <c r="S138" s="74"/>
      <c r="T138" s="74"/>
      <c r="U138" s="74"/>
      <c r="V138" s="74"/>
      <c r="W138" s="74"/>
      <c r="X138" s="74"/>
      <c r="Y138" s="74"/>
      <c r="Z138" s="74"/>
      <c r="AA138" s="74"/>
      <c r="AB138" s="74"/>
      <c r="AC138" s="74"/>
      <c r="AD138" s="74"/>
      <c r="AE138" s="74"/>
      <c r="AF138" s="74"/>
      <c r="AG138" s="74"/>
      <c r="AH138" s="74"/>
    </row>
    <row r="139" customFormat="false" ht="15" hidden="false" customHeight="false" outlineLevel="0" collapsed="false">
      <c r="A139" s="74"/>
      <c r="B139" s="74"/>
      <c r="C139" s="74"/>
      <c r="D139" s="74"/>
      <c r="E139" s="74"/>
      <c r="F139" s="74"/>
      <c r="G139" s="74"/>
      <c r="H139" s="74"/>
      <c r="I139" s="74"/>
      <c r="J139" s="74"/>
      <c r="K139" s="74"/>
      <c r="L139" s="74"/>
      <c r="M139" s="74"/>
      <c r="N139" s="74"/>
      <c r="O139" s="74"/>
      <c r="P139" s="74"/>
      <c r="Q139" s="74"/>
      <c r="R139" s="74"/>
      <c r="S139" s="74"/>
      <c r="T139" s="74"/>
      <c r="U139" s="74"/>
      <c r="V139" s="74"/>
      <c r="W139" s="74"/>
      <c r="X139" s="74"/>
      <c r="Y139" s="74"/>
      <c r="Z139" s="74"/>
      <c r="AA139" s="74"/>
      <c r="AB139" s="74"/>
      <c r="AC139" s="74"/>
      <c r="AD139" s="74"/>
      <c r="AE139" s="74"/>
      <c r="AF139" s="74"/>
      <c r="AG139" s="74"/>
      <c r="AH139" s="74"/>
    </row>
    <row r="140" customFormat="false" ht="15" hidden="false" customHeight="false" outlineLevel="0" collapsed="false">
      <c r="A140" s="74"/>
      <c r="B140" s="74"/>
      <c r="C140" s="74"/>
      <c r="D140" s="74"/>
      <c r="E140" s="74"/>
      <c r="F140" s="74"/>
      <c r="G140" s="74"/>
      <c r="H140" s="74"/>
      <c r="I140" s="74"/>
      <c r="J140" s="74"/>
      <c r="K140" s="74"/>
      <c r="L140" s="74"/>
      <c r="M140" s="74"/>
      <c r="N140" s="74"/>
      <c r="O140" s="74"/>
      <c r="P140" s="74"/>
      <c r="Q140" s="74"/>
      <c r="R140" s="74"/>
      <c r="S140" s="74"/>
      <c r="T140" s="74"/>
      <c r="U140" s="74"/>
      <c r="V140" s="74"/>
      <c r="W140" s="74"/>
      <c r="X140" s="74"/>
      <c r="Y140" s="74"/>
      <c r="Z140" s="74"/>
      <c r="AA140" s="74"/>
      <c r="AB140" s="74"/>
      <c r="AC140" s="74"/>
      <c r="AD140" s="74"/>
      <c r="AE140" s="74"/>
      <c r="AF140" s="74"/>
      <c r="AG140" s="74"/>
      <c r="AH140" s="74"/>
    </row>
    <row r="141" customFormat="false" ht="15" hidden="false" customHeight="false" outlineLevel="0" collapsed="false">
      <c r="A141" s="74"/>
      <c r="B141" s="74"/>
      <c r="C141" s="74"/>
      <c r="D141" s="74"/>
      <c r="E141" s="74"/>
      <c r="F141" s="74"/>
      <c r="G141" s="74"/>
      <c r="H141" s="74"/>
      <c r="I141" s="74"/>
      <c r="J141" s="74"/>
      <c r="K141" s="74"/>
      <c r="L141" s="74"/>
      <c r="M141" s="74"/>
      <c r="N141" s="74"/>
      <c r="O141" s="74"/>
      <c r="P141" s="74"/>
      <c r="Q141" s="74"/>
      <c r="R141" s="74"/>
      <c r="S141" s="74"/>
      <c r="T141" s="74"/>
      <c r="U141" s="74"/>
      <c r="V141" s="74"/>
      <c r="W141" s="74"/>
      <c r="X141" s="74"/>
      <c r="Y141" s="74"/>
      <c r="Z141" s="74"/>
      <c r="AA141" s="74"/>
      <c r="AB141" s="74"/>
      <c r="AC141" s="74"/>
      <c r="AD141" s="74"/>
      <c r="AE141" s="74"/>
      <c r="AF141" s="74"/>
      <c r="AG141" s="74"/>
      <c r="AH141" s="74"/>
    </row>
    <row r="142" customFormat="false" ht="15" hidden="false" customHeight="false" outlineLevel="0" collapsed="false">
      <c r="A142" s="74"/>
      <c r="B142" s="74"/>
      <c r="C142" s="74"/>
      <c r="D142" s="74"/>
      <c r="E142" s="74"/>
      <c r="F142" s="74"/>
      <c r="G142" s="74"/>
      <c r="H142" s="74"/>
      <c r="I142" s="74"/>
      <c r="J142" s="74"/>
      <c r="K142" s="74"/>
      <c r="L142" s="74"/>
      <c r="M142" s="74"/>
      <c r="N142" s="74"/>
      <c r="O142" s="74"/>
      <c r="P142" s="74"/>
      <c r="Q142" s="74"/>
      <c r="R142" s="74"/>
      <c r="S142" s="74"/>
      <c r="T142" s="74"/>
      <c r="U142" s="74"/>
      <c r="V142" s="74"/>
      <c r="W142" s="74"/>
      <c r="X142" s="74"/>
      <c r="Y142" s="74"/>
      <c r="Z142" s="74"/>
      <c r="AA142" s="74"/>
      <c r="AB142" s="74"/>
      <c r="AC142" s="74"/>
      <c r="AD142" s="74"/>
      <c r="AE142" s="74"/>
      <c r="AF142" s="74"/>
      <c r="AG142" s="74"/>
      <c r="AH142" s="74"/>
    </row>
    <row r="143" customFormat="false" ht="15" hidden="false" customHeight="false" outlineLevel="0" collapsed="false">
      <c r="A143" s="74"/>
      <c r="B143" s="74"/>
      <c r="C143" s="74"/>
      <c r="D143" s="74"/>
      <c r="E143" s="74"/>
      <c r="F143" s="74"/>
      <c r="G143" s="74"/>
      <c r="H143" s="74"/>
      <c r="I143" s="74"/>
      <c r="J143" s="74"/>
      <c r="K143" s="74"/>
      <c r="L143" s="74"/>
      <c r="M143" s="74"/>
      <c r="N143" s="74"/>
      <c r="O143" s="74"/>
      <c r="P143" s="74"/>
      <c r="Q143" s="74"/>
      <c r="R143" s="74"/>
      <c r="S143" s="74"/>
      <c r="T143" s="74"/>
      <c r="U143" s="74"/>
      <c r="V143" s="74"/>
      <c r="W143" s="74"/>
      <c r="X143" s="74"/>
      <c r="Y143" s="74"/>
      <c r="Z143" s="74"/>
      <c r="AA143" s="74"/>
      <c r="AB143" s="74"/>
      <c r="AC143" s="74"/>
      <c r="AD143" s="74"/>
      <c r="AE143" s="74"/>
      <c r="AF143" s="74"/>
      <c r="AG143" s="74"/>
      <c r="AH143" s="74"/>
    </row>
    <row r="144" customFormat="false" ht="15" hidden="false" customHeight="false" outlineLevel="0" collapsed="false">
      <c r="A144" s="74"/>
      <c r="B144" s="74"/>
      <c r="C144" s="74"/>
      <c r="D144" s="74"/>
      <c r="E144" s="74"/>
      <c r="F144" s="74"/>
      <c r="G144" s="74"/>
      <c r="H144" s="74"/>
      <c r="I144" s="74"/>
      <c r="J144" s="74"/>
      <c r="K144" s="74"/>
      <c r="L144" s="74"/>
      <c r="M144" s="74"/>
      <c r="N144" s="74"/>
      <c r="O144" s="74"/>
      <c r="P144" s="74"/>
      <c r="Q144" s="74"/>
      <c r="R144" s="74"/>
      <c r="S144" s="74"/>
      <c r="T144" s="74"/>
      <c r="U144" s="74"/>
      <c r="V144" s="74"/>
      <c r="W144" s="74"/>
      <c r="X144" s="74"/>
      <c r="Y144" s="74"/>
      <c r="Z144" s="74"/>
      <c r="AA144" s="74"/>
      <c r="AB144" s="74"/>
      <c r="AC144" s="74"/>
      <c r="AD144" s="74"/>
      <c r="AE144" s="74"/>
      <c r="AF144" s="74"/>
      <c r="AG144" s="74"/>
      <c r="AH144" s="74"/>
    </row>
    <row r="145" customFormat="false" ht="15" hidden="false" customHeight="false" outlineLevel="0" collapsed="false">
      <c r="A145" s="74"/>
      <c r="B145" s="74"/>
      <c r="C145" s="74"/>
      <c r="D145" s="74"/>
      <c r="E145" s="74"/>
      <c r="F145" s="74"/>
      <c r="G145" s="74"/>
      <c r="H145" s="74"/>
      <c r="I145" s="74"/>
      <c r="J145" s="74"/>
      <c r="K145" s="74"/>
      <c r="L145" s="74"/>
      <c r="M145" s="74"/>
      <c r="N145" s="74"/>
      <c r="O145" s="74"/>
      <c r="P145" s="74"/>
      <c r="Q145" s="74"/>
      <c r="R145" s="74"/>
      <c r="S145" s="74"/>
      <c r="T145" s="74"/>
      <c r="U145" s="74"/>
      <c r="V145" s="74"/>
      <c r="W145" s="74"/>
      <c r="X145" s="74"/>
      <c r="Y145" s="74"/>
      <c r="Z145" s="74"/>
      <c r="AA145" s="74"/>
      <c r="AB145" s="74"/>
      <c r="AC145" s="74"/>
      <c r="AD145" s="74"/>
      <c r="AE145" s="74"/>
      <c r="AF145" s="74"/>
      <c r="AG145" s="74"/>
      <c r="AH145" s="74"/>
    </row>
    <row r="146" customFormat="false" ht="15" hidden="false" customHeight="false" outlineLevel="0" collapsed="false">
      <c r="A146" s="74"/>
      <c r="B146" s="74"/>
      <c r="C146" s="74"/>
      <c r="D146" s="74"/>
      <c r="E146" s="74"/>
      <c r="F146" s="74"/>
      <c r="G146" s="74"/>
      <c r="H146" s="74"/>
      <c r="I146" s="74"/>
      <c r="J146" s="74"/>
      <c r="K146" s="74"/>
      <c r="L146" s="74"/>
      <c r="M146" s="74"/>
      <c r="N146" s="74"/>
      <c r="O146" s="74"/>
      <c r="P146" s="74"/>
      <c r="Q146" s="74"/>
      <c r="R146" s="74"/>
      <c r="S146" s="74"/>
      <c r="T146" s="74"/>
      <c r="U146" s="74"/>
      <c r="V146" s="74"/>
      <c r="W146" s="74"/>
      <c r="X146" s="74"/>
      <c r="Y146" s="74"/>
      <c r="Z146" s="74"/>
      <c r="AA146" s="74"/>
      <c r="AB146" s="74"/>
      <c r="AC146" s="74"/>
      <c r="AD146" s="74"/>
      <c r="AE146" s="74"/>
      <c r="AF146" s="74"/>
      <c r="AG146" s="74"/>
      <c r="AH146" s="74"/>
    </row>
    <row r="147" customFormat="false" ht="15" hidden="false" customHeight="false" outlineLevel="0" collapsed="false">
      <c r="A147" s="74"/>
      <c r="B147" s="74"/>
      <c r="C147" s="74"/>
      <c r="D147" s="74"/>
      <c r="E147" s="74"/>
      <c r="F147" s="74"/>
      <c r="G147" s="74"/>
      <c r="H147" s="74"/>
      <c r="I147" s="74"/>
      <c r="J147" s="74"/>
      <c r="K147" s="74"/>
      <c r="L147" s="74"/>
      <c r="M147" s="74"/>
      <c r="N147" s="74"/>
      <c r="O147" s="74"/>
      <c r="P147" s="74"/>
      <c r="Q147" s="74"/>
      <c r="R147" s="74"/>
      <c r="S147" s="74"/>
      <c r="T147" s="74"/>
      <c r="U147" s="74"/>
      <c r="V147" s="74"/>
      <c r="W147" s="74"/>
      <c r="X147" s="74"/>
      <c r="Y147" s="74"/>
      <c r="Z147" s="74"/>
      <c r="AA147" s="74"/>
      <c r="AB147" s="74"/>
      <c r="AC147" s="74"/>
      <c r="AD147" s="74"/>
      <c r="AE147" s="74"/>
      <c r="AF147" s="74"/>
      <c r="AG147" s="74"/>
      <c r="AH147" s="74"/>
    </row>
    <row r="148" customFormat="false" ht="15" hidden="false" customHeight="false" outlineLevel="0" collapsed="false">
      <c r="A148" s="74"/>
      <c r="B148" s="74"/>
      <c r="C148" s="74"/>
      <c r="D148" s="74"/>
      <c r="E148" s="74"/>
      <c r="F148" s="74"/>
      <c r="G148" s="74"/>
      <c r="H148" s="74"/>
      <c r="I148" s="74"/>
      <c r="J148" s="74"/>
      <c r="K148" s="74"/>
      <c r="L148" s="74"/>
      <c r="M148" s="74"/>
      <c r="N148" s="74"/>
      <c r="O148" s="74"/>
      <c r="P148" s="74"/>
      <c r="Q148" s="74"/>
      <c r="R148" s="74"/>
      <c r="S148" s="74"/>
      <c r="T148" s="74"/>
      <c r="U148" s="74"/>
      <c r="V148" s="74"/>
      <c r="W148" s="74"/>
      <c r="X148" s="74"/>
      <c r="Y148" s="74"/>
      <c r="Z148" s="74"/>
      <c r="AA148" s="74"/>
      <c r="AB148" s="74"/>
      <c r="AC148" s="74"/>
      <c r="AD148" s="74"/>
      <c r="AE148" s="74"/>
      <c r="AF148" s="74"/>
      <c r="AG148" s="74"/>
      <c r="AH148" s="74"/>
    </row>
    <row r="149" customFormat="false" ht="15" hidden="false" customHeight="false" outlineLevel="0" collapsed="false">
      <c r="A149" s="74"/>
      <c r="B149" s="74"/>
      <c r="C149" s="74"/>
      <c r="D149" s="74"/>
      <c r="E149" s="74"/>
      <c r="F149" s="74"/>
      <c r="G149" s="74"/>
      <c r="H149" s="74"/>
      <c r="I149" s="74"/>
      <c r="J149" s="74"/>
      <c r="K149" s="74"/>
      <c r="L149" s="74"/>
      <c r="M149" s="74"/>
      <c r="N149" s="74"/>
      <c r="O149" s="74"/>
      <c r="P149" s="74"/>
      <c r="Q149" s="74"/>
      <c r="R149" s="74"/>
      <c r="S149" s="74"/>
      <c r="T149" s="74"/>
      <c r="U149" s="74"/>
      <c r="V149" s="74"/>
      <c r="W149" s="74"/>
      <c r="X149" s="74"/>
      <c r="Y149" s="74"/>
      <c r="Z149" s="74"/>
      <c r="AA149" s="74"/>
      <c r="AB149" s="74"/>
      <c r="AC149" s="74"/>
      <c r="AD149" s="74"/>
      <c r="AE149" s="74"/>
      <c r="AF149" s="74"/>
      <c r="AG149" s="74"/>
      <c r="AH149" s="74"/>
    </row>
    <row r="150" customFormat="false" ht="15" hidden="false" customHeight="false" outlineLevel="0" collapsed="false">
      <c r="A150" s="74"/>
      <c r="B150" s="74"/>
      <c r="C150" s="74"/>
      <c r="D150" s="74"/>
      <c r="E150" s="74"/>
      <c r="F150" s="74"/>
      <c r="G150" s="74"/>
      <c r="H150" s="74"/>
      <c r="I150" s="74"/>
      <c r="J150" s="74"/>
      <c r="K150" s="74"/>
      <c r="L150" s="74"/>
      <c r="M150" s="74"/>
      <c r="N150" s="74"/>
      <c r="O150" s="74"/>
      <c r="P150" s="74"/>
      <c r="Q150" s="74"/>
      <c r="R150" s="74"/>
      <c r="S150" s="74"/>
      <c r="T150" s="74"/>
      <c r="U150" s="74"/>
      <c r="V150" s="74"/>
      <c r="W150" s="74"/>
      <c r="X150" s="74"/>
      <c r="Y150" s="74"/>
      <c r="Z150" s="74"/>
      <c r="AA150" s="74"/>
      <c r="AB150" s="74"/>
      <c r="AC150" s="74"/>
      <c r="AD150" s="74"/>
      <c r="AE150" s="74"/>
      <c r="AF150" s="74"/>
      <c r="AG150" s="74"/>
      <c r="AH150" s="74"/>
    </row>
    <row r="151" customFormat="false" ht="15" hidden="false" customHeight="false" outlineLevel="0" collapsed="false">
      <c r="A151" s="74"/>
      <c r="B151" s="74"/>
      <c r="C151" s="74"/>
      <c r="D151" s="74"/>
      <c r="E151" s="74"/>
      <c r="F151" s="74"/>
      <c r="G151" s="74"/>
      <c r="H151" s="74"/>
      <c r="I151" s="74"/>
      <c r="J151" s="74"/>
      <c r="K151" s="74"/>
      <c r="L151" s="74"/>
      <c r="M151" s="74"/>
      <c r="N151" s="74"/>
      <c r="O151" s="74"/>
      <c r="P151" s="74"/>
      <c r="Q151" s="74"/>
      <c r="R151" s="74"/>
      <c r="S151" s="74"/>
      <c r="T151" s="74"/>
      <c r="U151" s="74"/>
      <c r="V151" s="74"/>
      <c r="W151" s="74"/>
      <c r="X151" s="74"/>
      <c r="Y151" s="74"/>
      <c r="Z151" s="74"/>
      <c r="AA151" s="74"/>
      <c r="AB151" s="74"/>
      <c r="AC151" s="74"/>
      <c r="AD151" s="74"/>
      <c r="AE151" s="74"/>
      <c r="AF151" s="74"/>
      <c r="AG151" s="74"/>
      <c r="AH151" s="74"/>
    </row>
    <row r="152" customFormat="false" ht="15" hidden="false" customHeight="false" outlineLevel="0" collapsed="false">
      <c r="A152" s="74"/>
      <c r="B152" s="74"/>
      <c r="C152" s="74"/>
      <c r="D152" s="74"/>
      <c r="E152" s="74"/>
      <c r="F152" s="74"/>
      <c r="G152" s="74"/>
      <c r="H152" s="74"/>
      <c r="I152" s="74"/>
      <c r="J152" s="74"/>
      <c r="K152" s="74"/>
      <c r="L152" s="74"/>
      <c r="M152" s="74"/>
      <c r="N152" s="74"/>
      <c r="O152" s="74"/>
      <c r="P152" s="74"/>
      <c r="Q152" s="74"/>
      <c r="R152" s="74"/>
      <c r="S152" s="74"/>
      <c r="T152" s="74"/>
      <c r="U152" s="74"/>
      <c r="V152" s="74"/>
      <c r="W152" s="74"/>
      <c r="X152" s="74"/>
      <c r="Y152" s="74"/>
      <c r="Z152" s="74"/>
      <c r="AA152" s="74"/>
      <c r="AB152" s="74"/>
      <c r="AC152" s="74"/>
      <c r="AD152" s="74"/>
      <c r="AE152" s="74"/>
      <c r="AF152" s="74"/>
      <c r="AG152" s="74"/>
      <c r="AH152" s="74"/>
    </row>
    <row r="153" customFormat="false" ht="15" hidden="false" customHeight="false" outlineLevel="0" collapsed="false">
      <c r="A153" s="74"/>
      <c r="B153" s="74"/>
      <c r="C153" s="74"/>
      <c r="D153" s="74"/>
      <c r="E153" s="74"/>
      <c r="F153" s="74"/>
      <c r="G153" s="74"/>
      <c r="H153" s="74"/>
      <c r="I153" s="74"/>
      <c r="J153" s="74"/>
      <c r="K153" s="74"/>
      <c r="L153" s="74"/>
      <c r="M153" s="74"/>
      <c r="N153" s="74"/>
      <c r="O153" s="74"/>
      <c r="P153" s="74"/>
      <c r="Q153" s="74"/>
      <c r="R153" s="74"/>
      <c r="S153" s="74"/>
      <c r="T153" s="74"/>
      <c r="U153" s="74"/>
      <c r="V153" s="74"/>
      <c r="W153" s="74"/>
      <c r="X153" s="74"/>
      <c r="Y153" s="74"/>
      <c r="Z153" s="74"/>
      <c r="AA153" s="74"/>
      <c r="AB153" s="74"/>
      <c r="AC153" s="74"/>
      <c r="AD153" s="74"/>
      <c r="AE153" s="74"/>
      <c r="AF153" s="74"/>
      <c r="AG153" s="74"/>
      <c r="AH153" s="74"/>
    </row>
    <row r="154" customFormat="false" ht="15" hidden="false" customHeight="false" outlineLevel="0" collapsed="false">
      <c r="A154" s="74"/>
      <c r="B154" s="74"/>
      <c r="C154" s="74"/>
      <c r="D154" s="74"/>
      <c r="E154" s="74"/>
      <c r="F154" s="74"/>
      <c r="G154" s="74"/>
      <c r="H154" s="74"/>
      <c r="I154" s="74"/>
      <c r="J154" s="74"/>
      <c r="K154" s="74"/>
      <c r="L154" s="74"/>
      <c r="M154" s="74"/>
      <c r="N154" s="74"/>
      <c r="O154" s="74"/>
      <c r="P154" s="74"/>
      <c r="Q154" s="74"/>
      <c r="R154" s="74"/>
      <c r="S154" s="74"/>
      <c r="T154" s="74"/>
      <c r="U154" s="74"/>
      <c r="V154" s="74"/>
      <c r="W154" s="74"/>
      <c r="X154" s="74"/>
      <c r="Y154" s="74"/>
      <c r="Z154" s="74"/>
      <c r="AA154" s="74"/>
      <c r="AB154" s="74"/>
      <c r="AC154" s="74"/>
      <c r="AD154" s="74"/>
      <c r="AE154" s="74"/>
      <c r="AF154" s="74"/>
      <c r="AG154" s="74"/>
      <c r="AH154" s="74"/>
    </row>
    <row r="155" customFormat="false" ht="15" hidden="false" customHeight="false" outlineLevel="0" collapsed="false">
      <c r="A155" s="74"/>
      <c r="B155" s="74"/>
      <c r="C155" s="74"/>
      <c r="D155" s="74"/>
      <c r="E155" s="74"/>
      <c r="F155" s="74"/>
      <c r="G155" s="74"/>
      <c r="H155" s="74"/>
      <c r="I155" s="74"/>
      <c r="J155" s="74"/>
      <c r="K155" s="74"/>
      <c r="L155" s="74"/>
      <c r="M155" s="74"/>
      <c r="N155" s="74"/>
      <c r="O155" s="74"/>
      <c r="P155" s="74"/>
      <c r="Q155" s="74"/>
      <c r="R155" s="74"/>
      <c r="S155" s="74"/>
      <c r="T155" s="74"/>
      <c r="U155" s="74"/>
      <c r="V155" s="74"/>
      <c r="W155" s="74"/>
      <c r="X155" s="74"/>
      <c r="Y155" s="74"/>
      <c r="Z155" s="74"/>
      <c r="AA155" s="74"/>
      <c r="AB155" s="74"/>
      <c r="AC155" s="74"/>
      <c r="AD155" s="74"/>
      <c r="AE155" s="74"/>
      <c r="AF155" s="74"/>
      <c r="AG155" s="74"/>
      <c r="AH155" s="74"/>
    </row>
    <row r="156" customFormat="false" ht="15" hidden="false" customHeight="false" outlineLevel="0" collapsed="false">
      <c r="A156" s="74"/>
      <c r="B156" s="74"/>
      <c r="C156" s="74"/>
      <c r="D156" s="74"/>
      <c r="E156" s="74"/>
      <c r="F156" s="74"/>
      <c r="G156" s="74"/>
      <c r="H156" s="74"/>
      <c r="I156" s="74"/>
      <c r="J156" s="74"/>
      <c r="K156" s="74"/>
      <c r="L156" s="74"/>
      <c r="M156" s="74"/>
      <c r="N156" s="74"/>
      <c r="O156" s="74"/>
      <c r="P156" s="74"/>
      <c r="Q156" s="74"/>
      <c r="R156" s="74"/>
      <c r="S156" s="74"/>
      <c r="T156" s="74"/>
      <c r="U156" s="74"/>
      <c r="V156" s="74"/>
      <c r="W156" s="74"/>
      <c r="X156" s="74"/>
      <c r="Y156" s="74"/>
      <c r="Z156" s="74"/>
      <c r="AA156" s="74"/>
      <c r="AB156" s="74"/>
      <c r="AC156" s="74"/>
      <c r="AD156" s="74"/>
      <c r="AE156" s="74"/>
      <c r="AF156" s="74"/>
      <c r="AG156" s="74"/>
      <c r="AH156" s="74"/>
    </row>
    <row r="157" customFormat="false" ht="15" hidden="false" customHeight="false" outlineLevel="0" collapsed="false">
      <c r="A157" s="74"/>
      <c r="B157" s="74"/>
      <c r="C157" s="74"/>
      <c r="D157" s="74"/>
      <c r="E157" s="74"/>
      <c r="F157" s="74"/>
      <c r="G157" s="74"/>
      <c r="H157" s="74"/>
      <c r="I157" s="74"/>
      <c r="J157" s="74"/>
      <c r="K157" s="74"/>
      <c r="L157" s="74"/>
      <c r="M157" s="74"/>
      <c r="N157" s="74"/>
      <c r="O157" s="74"/>
      <c r="P157" s="74"/>
      <c r="Q157" s="74"/>
      <c r="R157" s="74"/>
      <c r="S157" s="74"/>
      <c r="T157" s="74"/>
      <c r="U157" s="74"/>
      <c r="V157" s="74"/>
      <c r="W157" s="74"/>
      <c r="X157" s="74"/>
      <c r="Y157" s="74"/>
      <c r="Z157" s="74"/>
      <c r="AA157" s="74"/>
      <c r="AB157" s="74"/>
      <c r="AC157" s="74"/>
      <c r="AD157" s="74"/>
      <c r="AE157" s="74"/>
      <c r="AF157" s="74"/>
      <c r="AG157" s="74"/>
      <c r="AH157" s="74"/>
    </row>
    <row r="158" customFormat="false" ht="15" hidden="false" customHeight="false" outlineLevel="0" collapsed="false">
      <c r="A158" s="74"/>
      <c r="B158" s="74"/>
      <c r="C158" s="74"/>
      <c r="D158" s="74"/>
      <c r="E158" s="74"/>
      <c r="F158" s="74"/>
      <c r="G158" s="74"/>
      <c r="H158" s="74"/>
      <c r="I158" s="74"/>
      <c r="J158" s="74"/>
      <c r="K158" s="74"/>
      <c r="L158" s="74"/>
      <c r="M158" s="74"/>
      <c r="N158" s="74"/>
      <c r="O158" s="74"/>
      <c r="P158" s="74"/>
      <c r="Q158" s="74"/>
      <c r="R158" s="74"/>
      <c r="S158" s="74"/>
      <c r="T158" s="74"/>
      <c r="U158" s="74"/>
      <c r="V158" s="74"/>
      <c r="W158" s="74"/>
      <c r="X158" s="74"/>
      <c r="Y158" s="74"/>
      <c r="Z158" s="74"/>
      <c r="AA158" s="74"/>
      <c r="AB158" s="74"/>
      <c r="AC158" s="74"/>
      <c r="AD158" s="74"/>
      <c r="AE158" s="74"/>
      <c r="AF158" s="74"/>
      <c r="AG158" s="74"/>
      <c r="AH158" s="74"/>
    </row>
    <row r="159" customFormat="false" ht="15" hidden="false" customHeight="false" outlineLevel="0" collapsed="false">
      <c r="A159" s="74"/>
      <c r="B159" s="74"/>
      <c r="C159" s="74"/>
      <c r="D159" s="74"/>
      <c r="E159" s="74"/>
      <c r="F159" s="74"/>
      <c r="G159" s="74"/>
      <c r="H159" s="74"/>
      <c r="I159" s="74"/>
      <c r="J159" s="74"/>
      <c r="K159" s="74"/>
      <c r="L159" s="74"/>
      <c r="M159" s="74"/>
      <c r="N159" s="74"/>
      <c r="O159" s="74"/>
      <c r="P159" s="74"/>
      <c r="Q159" s="74"/>
      <c r="R159" s="74"/>
      <c r="S159" s="74"/>
      <c r="T159" s="74"/>
      <c r="U159" s="74"/>
      <c r="V159" s="74"/>
      <c r="W159" s="74"/>
      <c r="X159" s="74"/>
      <c r="Y159" s="74"/>
      <c r="Z159" s="74"/>
      <c r="AA159" s="74"/>
      <c r="AB159" s="74"/>
      <c r="AC159" s="74"/>
      <c r="AD159" s="74"/>
      <c r="AE159" s="74"/>
      <c r="AF159" s="74"/>
      <c r="AG159" s="74"/>
      <c r="AH159" s="74"/>
    </row>
    <row r="160" customFormat="false" ht="15" hidden="false" customHeight="false" outlineLevel="0" collapsed="false">
      <c r="A160" s="74"/>
      <c r="B160" s="74"/>
      <c r="C160" s="74"/>
      <c r="D160" s="74"/>
      <c r="E160" s="74"/>
      <c r="F160" s="74"/>
      <c r="G160" s="74"/>
      <c r="H160" s="74"/>
      <c r="I160" s="74"/>
      <c r="J160" s="74"/>
      <c r="K160" s="74"/>
      <c r="L160" s="74"/>
      <c r="M160" s="74"/>
      <c r="N160" s="74"/>
      <c r="O160" s="74"/>
      <c r="P160" s="74"/>
      <c r="Q160" s="74"/>
      <c r="R160" s="74"/>
      <c r="S160" s="74"/>
      <c r="T160" s="74"/>
      <c r="U160" s="74"/>
      <c r="V160" s="74"/>
      <c r="W160" s="74"/>
      <c r="X160" s="74"/>
      <c r="Y160" s="74"/>
      <c r="Z160" s="74"/>
      <c r="AA160" s="74"/>
      <c r="AB160" s="74"/>
      <c r="AC160" s="74"/>
      <c r="AD160" s="74"/>
      <c r="AE160" s="74"/>
      <c r="AF160" s="74"/>
      <c r="AG160" s="74"/>
      <c r="AH160" s="74"/>
    </row>
    <row r="161" customFormat="false" ht="15" hidden="false" customHeight="false" outlineLevel="0" collapsed="false">
      <c r="A161" s="74"/>
      <c r="B161" s="74"/>
      <c r="C161" s="74"/>
      <c r="D161" s="74"/>
      <c r="E161" s="74"/>
      <c r="F161" s="74"/>
      <c r="G161" s="74"/>
      <c r="H161" s="74"/>
      <c r="I161" s="74"/>
      <c r="J161" s="74"/>
      <c r="K161" s="74"/>
      <c r="L161" s="74"/>
      <c r="M161" s="74"/>
      <c r="N161" s="74"/>
      <c r="O161" s="74"/>
      <c r="P161" s="74"/>
      <c r="Q161" s="74"/>
      <c r="R161" s="74"/>
      <c r="S161" s="74"/>
      <c r="T161" s="74"/>
      <c r="U161" s="74"/>
      <c r="V161" s="74"/>
      <c r="W161" s="74"/>
      <c r="X161" s="74"/>
      <c r="Y161" s="74"/>
      <c r="Z161" s="74"/>
      <c r="AA161" s="74"/>
      <c r="AB161" s="74"/>
      <c r="AC161" s="74"/>
      <c r="AD161" s="74"/>
      <c r="AE161" s="74"/>
      <c r="AF161" s="74"/>
      <c r="AG161" s="74"/>
      <c r="AH161" s="74"/>
    </row>
    <row r="162" customFormat="false" ht="15" hidden="false" customHeight="false" outlineLevel="0" collapsed="false">
      <c r="A162" s="74"/>
      <c r="B162" s="74"/>
      <c r="C162" s="74"/>
      <c r="D162" s="74"/>
      <c r="E162" s="74"/>
      <c r="F162" s="74"/>
      <c r="G162" s="74"/>
      <c r="H162" s="74"/>
      <c r="I162" s="74"/>
      <c r="J162" s="74"/>
      <c r="K162" s="74"/>
      <c r="L162" s="74"/>
      <c r="M162" s="74"/>
      <c r="N162" s="74"/>
      <c r="O162" s="74"/>
      <c r="P162" s="74"/>
      <c r="Q162" s="74"/>
      <c r="R162" s="74"/>
      <c r="S162" s="74"/>
      <c r="T162" s="74"/>
      <c r="U162" s="74"/>
      <c r="V162" s="74"/>
      <c r="W162" s="74"/>
      <c r="X162" s="74"/>
      <c r="Y162" s="74"/>
      <c r="Z162" s="74"/>
      <c r="AA162" s="74"/>
      <c r="AB162" s="74"/>
      <c r="AC162" s="74"/>
      <c r="AD162" s="74"/>
      <c r="AE162" s="74"/>
      <c r="AF162" s="74"/>
      <c r="AG162" s="74"/>
      <c r="AH162" s="74"/>
    </row>
    <row r="163" customFormat="false" ht="15" hidden="false" customHeight="false" outlineLevel="0" collapsed="false">
      <c r="A163" s="74"/>
      <c r="B163" s="74"/>
      <c r="C163" s="74"/>
      <c r="D163" s="74"/>
      <c r="E163" s="74"/>
      <c r="F163" s="74"/>
      <c r="G163" s="74"/>
      <c r="H163" s="74"/>
      <c r="I163" s="74"/>
      <c r="J163" s="74"/>
      <c r="K163" s="74"/>
      <c r="L163" s="74"/>
      <c r="M163" s="74"/>
      <c r="N163" s="74"/>
      <c r="O163" s="74"/>
      <c r="P163" s="74"/>
      <c r="Q163" s="74"/>
      <c r="R163" s="74"/>
      <c r="S163" s="74"/>
      <c r="T163" s="74"/>
      <c r="U163" s="74"/>
      <c r="V163" s="74"/>
      <c r="W163" s="74"/>
      <c r="X163" s="74"/>
      <c r="Y163" s="74"/>
      <c r="Z163" s="74"/>
      <c r="AA163" s="74"/>
      <c r="AB163" s="74"/>
      <c r="AC163" s="74"/>
      <c r="AD163" s="74"/>
      <c r="AE163" s="74"/>
      <c r="AF163" s="74"/>
      <c r="AG163" s="74"/>
      <c r="AH163" s="74"/>
    </row>
    <row r="164" customFormat="false" ht="15" hidden="false" customHeight="false" outlineLevel="0" collapsed="false">
      <c r="A164" s="74"/>
      <c r="B164" s="74"/>
      <c r="C164" s="74"/>
      <c r="D164" s="74"/>
      <c r="E164" s="74"/>
      <c r="F164" s="74"/>
      <c r="G164" s="74"/>
      <c r="H164" s="74"/>
      <c r="I164" s="74"/>
      <c r="J164" s="74"/>
      <c r="K164" s="74"/>
      <c r="L164" s="74"/>
      <c r="M164" s="74"/>
      <c r="N164" s="74"/>
      <c r="O164" s="74"/>
      <c r="P164" s="74"/>
      <c r="Q164" s="74"/>
      <c r="R164" s="74"/>
      <c r="S164" s="74"/>
      <c r="T164" s="74"/>
      <c r="U164" s="74"/>
      <c r="V164" s="74"/>
      <c r="W164" s="74"/>
      <c r="X164" s="74"/>
      <c r="Y164" s="74"/>
      <c r="Z164" s="74"/>
      <c r="AA164" s="74"/>
      <c r="AB164" s="74"/>
      <c r="AC164" s="74"/>
      <c r="AD164" s="74"/>
      <c r="AE164" s="74"/>
      <c r="AF164" s="74"/>
      <c r="AG164" s="74"/>
      <c r="AH164" s="74"/>
    </row>
    <row r="165" customFormat="false" ht="15" hidden="false" customHeight="false" outlineLevel="0" collapsed="false">
      <c r="A165" s="74"/>
      <c r="B165" s="74"/>
      <c r="C165" s="74"/>
      <c r="D165" s="74"/>
      <c r="E165" s="74"/>
      <c r="F165" s="74"/>
      <c r="G165" s="74"/>
      <c r="H165" s="74"/>
      <c r="I165" s="74"/>
      <c r="J165" s="74"/>
      <c r="K165" s="74"/>
      <c r="L165" s="74"/>
      <c r="M165" s="74"/>
      <c r="N165" s="74"/>
      <c r="O165" s="74"/>
      <c r="P165" s="74"/>
      <c r="Q165" s="74"/>
      <c r="R165" s="74"/>
      <c r="S165" s="74"/>
      <c r="T165" s="74"/>
      <c r="U165" s="74"/>
      <c r="V165" s="74"/>
      <c r="W165" s="74"/>
      <c r="X165" s="74"/>
      <c r="Y165" s="74"/>
      <c r="Z165" s="74"/>
      <c r="AA165" s="74"/>
      <c r="AB165" s="74"/>
      <c r="AC165" s="74"/>
      <c r="AD165" s="74"/>
      <c r="AE165" s="74"/>
      <c r="AF165" s="74"/>
      <c r="AG165" s="74"/>
      <c r="AH165" s="74"/>
    </row>
    <row r="166" customFormat="false" ht="15" hidden="false" customHeight="false" outlineLevel="0" collapsed="false">
      <c r="A166" s="74"/>
      <c r="B166" s="74"/>
      <c r="C166" s="74"/>
      <c r="D166" s="74"/>
      <c r="E166" s="74"/>
      <c r="F166" s="74"/>
      <c r="G166" s="74"/>
      <c r="H166" s="74"/>
      <c r="I166" s="74"/>
      <c r="J166" s="74"/>
      <c r="K166" s="74"/>
      <c r="L166" s="74"/>
      <c r="M166" s="74"/>
      <c r="N166" s="74"/>
      <c r="O166" s="74"/>
      <c r="P166" s="74"/>
      <c r="Q166" s="74"/>
      <c r="R166" s="74"/>
      <c r="S166" s="74"/>
      <c r="T166" s="74"/>
      <c r="U166" s="74"/>
      <c r="V166" s="74"/>
      <c r="W166" s="74"/>
      <c r="X166" s="74"/>
      <c r="Y166" s="74"/>
      <c r="Z166" s="74"/>
      <c r="AA166" s="74"/>
      <c r="AB166" s="74"/>
      <c r="AC166" s="74"/>
      <c r="AD166" s="74"/>
      <c r="AE166" s="74"/>
      <c r="AF166" s="74"/>
      <c r="AG166" s="74"/>
      <c r="AH166" s="74"/>
    </row>
    <row r="167" customFormat="false" ht="15" hidden="false" customHeight="false" outlineLevel="0" collapsed="false">
      <c r="A167" s="74"/>
      <c r="B167" s="74"/>
      <c r="C167" s="74"/>
      <c r="D167" s="74"/>
      <c r="E167" s="74"/>
      <c r="F167" s="74"/>
      <c r="G167" s="74"/>
      <c r="H167" s="74"/>
      <c r="I167" s="74"/>
      <c r="J167" s="74"/>
      <c r="K167" s="74"/>
      <c r="L167" s="74"/>
      <c r="M167" s="74"/>
      <c r="N167" s="74"/>
      <c r="O167" s="74"/>
      <c r="P167" s="74"/>
      <c r="Q167" s="74"/>
      <c r="R167" s="74"/>
      <c r="S167" s="74"/>
      <c r="T167" s="74"/>
      <c r="U167" s="74"/>
      <c r="V167" s="74"/>
      <c r="W167" s="74"/>
      <c r="X167" s="74"/>
      <c r="Y167" s="74"/>
      <c r="Z167" s="74"/>
      <c r="AA167" s="74"/>
      <c r="AB167" s="74"/>
      <c r="AC167" s="74"/>
      <c r="AD167" s="74"/>
      <c r="AE167" s="74"/>
      <c r="AF167" s="74"/>
      <c r="AG167" s="74"/>
      <c r="AH167" s="74"/>
    </row>
    <row r="168" customFormat="false" ht="15" hidden="false" customHeight="false" outlineLevel="0" collapsed="false">
      <c r="A168" s="74"/>
      <c r="B168" s="74"/>
      <c r="C168" s="74"/>
      <c r="D168" s="74"/>
      <c r="E168" s="74"/>
      <c r="F168" s="74"/>
      <c r="G168" s="74"/>
      <c r="H168" s="74"/>
      <c r="I168" s="74"/>
      <c r="J168" s="74"/>
      <c r="K168" s="74"/>
      <c r="L168" s="74"/>
      <c r="M168" s="74"/>
      <c r="N168" s="74"/>
      <c r="O168" s="74"/>
      <c r="P168" s="74"/>
      <c r="Q168" s="74"/>
      <c r="R168" s="74"/>
      <c r="S168" s="74"/>
      <c r="T168" s="74"/>
      <c r="U168" s="74"/>
      <c r="V168" s="74"/>
      <c r="W168" s="74"/>
      <c r="X168" s="74"/>
      <c r="Y168" s="74"/>
      <c r="Z168" s="74"/>
      <c r="AA168" s="74"/>
      <c r="AB168" s="74"/>
      <c r="AC168" s="74"/>
      <c r="AD168" s="74"/>
      <c r="AE168" s="74"/>
      <c r="AF168" s="74"/>
      <c r="AG168" s="74"/>
      <c r="AH168" s="74"/>
    </row>
    <row r="169" customFormat="false" ht="15" hidden="false" customHeight="false" outlineLevel="0" collapsed="false">
      <c r="A169" s="74"/>
      <c r="B169" s="74"/>
      <c r="C169" s="74"/>
      <c r="D169" s="74"/>
      <c r="E169" s="74"/>
      <c r="F169" s="74"/>
      <c r="G169" s="74"/>
      <c r="H169" s="74"/>
      <c r="I169" s="74"/>
      <c r="J169" s="74"/>
      <c r="K169" s="74"/>
      <c r="L169" s="74"/>
      <c r="M169" s="74"/>
      <c r="N169" s="74"/>
      <c r="O169" s="74"/>
      <c r="P169" s="74"/>
      <c r="Q169" s="74"/>
      <c r="R169" s="74"/>
      <c r="S169" s="74"/>
      <c r="T169" s="74"/>
      <c r="U169" s="74"/>
      <c r="V169" s="74"/>
      <c r="W169" s="74"/>
      <c r="X169" s="74"/>
      <c r="Y169" s="74"/>
      <c r="Z169" s="74"/>
      <c r="AA169" s="74"/>
      <c r="AB169" s="74"/>
      <c r="AC169" s="74"/>
      <c r="AD169" s="74"/>
      <c r="AE169" s="74"/>
      <c r="AF169" s="74"/>
      <c r="AG169" s="74"/>
      <c r="AH169" s="74"/>
    </row>
    <row r="170" customFormat="false" ht="15" hidden="false" customHeight="false" outlineLevel="0" collapsed="false">
      <c r="A170" s="74"/>
      <c r="B170" s="74"/>
      <c r="C170" s="74"/>
      <c r="D170" s="74"/>
      <c r="E170" s="74"/>
      <c r="F170" s="74"/>
      <c r="G170" s="74"/>
      <c r="H170" s="74"/>
      <c r="I170" s="74"/>
      <c r="J170" s="74"/>
      <c r="K170" s="74"/>
      <c r="L170" s="74"/>
      <c r="M170" s="74"/>
      <c r="N170" s="74"/>
      <c r="O170" s="74"/>
      <c r="P170" s="74"/>
      <c r="Q170" s="74"/>
      <c r="R170" s="74"/>
      <c r="S170" s="74"/>
      <c r="T170" s="74"/>
      <c r="U170" s="74"/>
      <c r="V170" s="74"/>
      <c r="W170" s="74"/>
      <c r="X170" s="74"/>
      <c r="Y170" s="74"/>
      <c r="Z170" s="74"/>
      <c r="AA170" s="74"/>
      <c r="AB170" s="74"/>
      <c r="AC170" s="74"/>
      <c r="AD170" s="74"/>
      <c r="AE170" s="74"/>
      <c r="AF170" s="74"/>
      <c r="AG170" s="74"/>
      <c r="AH170" s="74"/>
    </row>
    <row r="171" customFormat="false" ht="15" hidden="false" customHeight="false" outlineLevel="0" collapsed="false">
      <c r="A171" s="74"/>
      <c r="B171" s="74"/>
      <c r="C171" s="74"/>
      <c r="D171" s="74"/>
      <c r="E171" s="74"/>
      <c r="F171" s="74"/>
      <c r="G171" s="74"/>
      <c r="H171" s="74"/>
      <c r="I171" s="74"/>
      <c r="J171" s="74"/>
      <c r="K171" s="74"/>
      <c r="L171" s="74"/>
      <c r="M171" s="74"/>
      <c r="N171" s="74"/>
      <c r="O171" s="74"/>
      <c r="P171" s="74"/>
      <c r="Q171" s="74"/>
      <c r="R171" s="74"/>
      <c r="S171" s="74"/>
      <c r="T171" s="74"/>
      <c r="U171" s="74"/>
      <c r="V171" s="74"/>
      <c r="W171" s="74"/>
      <c r="X171" s="74"/>
      <c r="Y171" s="74"/>
      <c r="Z171" s="74"/>
      <c r="AA171" s="74"/>
      <c r="AB171" s="74"/>
      <c r="AC171" s="74"/>
      <c r="AD171" s="74"/>
      <c r="AE171" s="74"/>
      <c r="AF171" s="74"/>
      <c r="AG171" s="74"/>
      <c r="AH171" s="74"/>
    </row>
    <row r="172" customFormat="false" ht="15" hidden="false" customHeight="false" outlineLevel="0" collapsed="false">
      <c r="A172" s="74"/>
      <c r="B172" s="74"/>
      <c r="C172" s="74"/>
      <c r="D172" s="74"/>
      <c r="E172" s="74"/>
      <c r="F172" s="74"/>
      <c r="G172" s="74"/>
      <c r="H172" s="74"/>
      <c r="I172" s="74"/>
      <c r="J172" s="74"/>
      <c r="K172" s="74"/>
      <c r="L172" s="74"/>
      <c r="M172" s="74"/>
      <c r="N172" s="74"/>
      <c r="O172" s="74"/>
      <c r="P172" s="74"/>
      <c r="Q172" s="74"/>
      <c r="R172" s="74"/>
      <c r="S172" s="74"/>
      <c r="T172" s="74"/>
      <c r="U172" s="74"/>
      <c r="V172" s="74"/>
      <c r="W172" s="74"/>
      <c r="X172" s="74"/>
      <c r="Y172" s="74"/>
      <c r="Z172" s="74"/>
      <c r="AA172" s="74"/>
      <c r="AB172" s="74"/>
      <c r="AC172" s="74"/>
      <c r="AD172" s="74"/>
      <c r="AE172" s="74"/>
      <c r="AF172" s="74"/>
      <c r="AG172" s="74"/>
      <c r="AH172" s="74"/>
    </row>
    <row r="173" customFormat="false" ht="15" hidden="false" customHeight="false" outlineLevel="0" collapsed="false">
      <c r="A173" s="74"/>
      <c r="B173" s="74"/>
      <c r="C173" s="74"/>
      <c r="D173" s="74"/>
      <c r="E173" s="74"/>
      <c r="F173" s="74"/>
      <c r="G173" s="74"/>
      <c r="H173" s="74"/>
      <c r="I173" s="74"/>
      <c r="J173" s="74"/>
      <c r="K173" s="74"/>
      <c r="L173" s="74"/>
      <c r="M173" s="74"/>
      <c r="N173" s="74"/>
      <c r="O173" s="74"/>
      <c r="P173" s="74"/>
      <c r="Q173" s="74"/>
      <c r="R173" s="74"/>
      <c r="S173" s="74"/>
      <c r="T173" s="74"/>
      <c r="U173" s="74"/>
      <c r="V173" s="74"/>
      <c r="W173" s="74"/>
      <c r="X173" s="74"/>
      <c r="Y173" s="74"/>
      <c r="Z173" s="74"/>
      <c r="AA173" s="74"/>
      <c r="AB173" s="74"/>
      <c r="AC173" s="74"/>
      <c r="AD173" s="74"/>
      <c r="AE173" s="74"/>
      <c r="AF173" s="74"/>
      <c r="AG173" s="74"/>
      <c r="AH173" s="74"/>
    </row>
    <row r="174" customFormat="false" ht="15" hidden="false" customHeight="false" outlineLevel="0" collapsed="false">
      <c r="A174" s="74"/>
      <c r="B174" s="74"/>
      <c r="C174" s="74"/>
      <c r="D174" s="74"/>
      <c r="E174" s="74"/>
      <c r="F174" s="74"/>
      <c r="G174" s="74"/>
      <c r="H174" s="74"/>
      <c r="I174" s="74"/>
      <c r="J174" s="74"/>
      <c r="K174" s="74"/>
      <c r="L174" s="74"/>
      <c r="M174" s="74"/>
      <c r="N174" s="74"/>
      <c r="O174" s="74"/>
      <c r="P174" s="74"/>
      <c r="Q174" s="74"/>
      <c r="R174" s="74"/>
      <c r="S174" s="74"/>
      <c r="T174" s="74"/>
      <c r="U174" s="74"/>
      <c r="V174" s="74"/>
      <c r="W174" s="74"/>
      <c r="X174" s="74"/>
      <c r="Y174" s="74"/>
      <c r="Z174" s="74"/>
      <c r="AA174" s="74"/>
      <c r="AB174" s="74"/>
      <c r="AC174" s="74"/>
      <c r="AD174" s="74"/>
      <c r="AE174" s="74"/>
      <c r="AF174" s="74"/>
      <c r="AG174" s="74"/>
      <c r="AH174" s="74"/>
    </row>
    <row r="175" customFormat="false" ht="15" hidden="false" customHeight="false" outlineLevel="0" collapsed="false">
      <c r="A175" s="74"/>
      <c r="B175" s="74"/>
      <c r="C175" s="74"/>
      <c r="D175" s="74"/>
      <c r="E175" s="74"/>
      <c r="F175" s="74"/>
      <c r="G175" s="74"/>
      <c r="H175" s="74"/>
      <c r="I175" s="74"/>
      <c r="J175" s="74"/>
      <c r="K175" s="74"/>
      <c r="L175" s="74"/>
      <c r="M175" s="74"/>
      <c r="N175" s="74"/>
      <c r="O175" s="74"/>
      <c r="P175" s="74"/>
      <c r="Q175" s="74"/>
      <c r="R175" s="74"/>
      <c r="S175" s="74"/>
      <c r="T175" s="74"/>
      <c r="U175" s="74"/>
      <c r="V175" s="74"/>
      <c r="W175" s="74"/>
      <c r="X175" s="74"/>
      <c r="Y175" s="74"/>
      <c r="Z175" s="74"/>
      <c r="AA175" s="74"/>
      <c r="AB175" s="74"/>
      <c r="AC175" s="74"/>
      <c r="AD175" s="74"/>
      <c r="AE175" s="74"/>
      <c r="AF175" s="74"/>
      <c r="AG175" s="74"/>
      <c r="AH175" s="74"/>
    </row>
    <row r="176" customFormat="false" ht="15" hidden="false" customHeight="false" outlineLevel="0" collapsed="false">
      <c r="A176" s="74"/>
      <c r="B176" s="74"/>
      <c r="C176" s="74"/>
      <c r="D176" s="74"/>
      <c r="E176" s="74"/>
      <c r="F176" s="74"/>
      <c r="G176" s="74"/>
      <c r="H176" s="74"/>
      <c r="I176" s="74"/>
      <c r="J176" s="74"/>
      <c r="K176" s="74"/>
      <c r="L176" s="74"/>
      <c r="M176" s="74"/>
      <c r="N176" s="74"/>
      <c r="O176" s="74"/>
      <c r="P176" s="74"/>
      <c r="Q176" s="74"/>
      <c r="R176" s="74"/>
      <c r="S176" s="74"/>
      <c r="T176" s="74"/>
      <c r="U176" s="74"/>
      <c r="V176" s="74"/>
      <c r="W176" s="74"/>
      <c r="X176" s="74"/>
      <c r="Y176" s="74"/>
      <c r="Z176" s="74"/>
      <c r="AA176" s="74"/>
      <c r="AB176" s="74"/>
      <c r="AC176" s="74"/>
      <c r="AD176" s="74"/>
      <c r="AE176" s="74"/>
      <c r="AF176" s="74"/>
      <c r="AG176" s="74"/>
      <c r="AH176" s="74"/>
    </row>
    <row r="177" customFormat="false" ht="15" hidden="false" customHeight="false" outlineLevel="0" collapsed="false">
      <c r="A177" s="74"/>
      <c r="B177" s="74"/>
      <c r="C177" s="74"/>
      <c r="D177" s="74"/>
      <c r="E177" s="74"/>
      <c r="F177" s="74"/>
      <c r="G177" s="74"/>
      <c r="H177" s="74"/>
      <c r="I177" s="74"/>
      <c r="J177" s="74"/>
      <c r="K177" s="74"/>
      <c r="L177" s="74"/>
      <c r="M177" s="74"/>
      <c r="N177" s="74"/>
      <c r="O177" s="74"/>
      <c r="P177" s="74"/>
      <c r="Q177" s="74"/>
      <c r="R177" s="74"/>
      <c r="S177" s="74"/>
      <c r="T177" s="74"/>
      <c r="U177" s="74"/>
      <c r="V177" s="74"/>
      <c r="W177" s="74"/>
      <c r="X177" s="74"/>
      <c r="Y177" s="74"/>
      <c r="Z177" s="74"/>
      <c r="AA177" s="74"/>
      <c r="AB177" s="74"/>
      <c r="AC177" s="74"/>
      <c r="AD177" s="74"/>
      <c r="AE177" s="74"/>
      <c r="AF177" s="74"/>
      <c r="AG177" s="74"/>
      <c r="AH177" s="74"/>
    </row>
    <row r="178" customFormat="false" ht="15" hidden="false" customHeight="false" outlineLevel="0" collapsed="false">
      <c r="A178" s="74"/>
      <c r="B178" s="74"/>
      <c r="C178" s="74"/>
      <c r="D178" s="74"/>
      <c r="E178" s="74"/>
      <c r="F178" s="74"/>
      <c r="G178" s="74"/>
      <c r="H178" s="74"/>
      <c r="I178" s="74"/>
      <c r="J178" s="74"/>
      <c r="K178" s="74"/>
      <c r="L178" s="74"/>
      <c r="M178" s="74"/>
      <c r="N178" s="74"/>
      <c r="O178" s="74"/>
      <c r="P178" s="74"/>
      <c r="Q178" s="74"/>
      <c r="R178" s="74"/>
      <c r="S178" s="74"/>
      <c r="T178" s="74"/>
      <c r="U178" s="74"/>
      <c r="V178" s="74"/>
      <c r="W178" s="74"/>
      <c r="X178" s="74"/>
      <c r="Y178" s="74"/>
      <c r="Z178" s="74"/>
      <c r="AA178" s="74"/>
      <c r="AB178" s="74"/>
      <c r="AC178" s="74"/>
      <c r="AD178" s="74"/>
      <c r="AE178" s="74"/>
      <c r="AF178" s="74"/>
      <c r="AG178" s="74"/>
      <c r="AH178" s="74"/>
    </row>
    <row r="179" customFormat="false" ht="15" hidden="false" customHeight="false" outlineLevel="0" collapsed="false">
      <c r="A179" s="74"/>
      <c r="B179" s="74"/>
      <c r="C179" s="74"/>
      <c r="D179" s="74"/>
      <c r="E179" s="74"/>
      <c r="F179" s="74"/>
      <c r="G179" s="74"/>
      <c r="H179" s="74"/>
      <c r="I179" s="74"/>
      <c r="J179" s="74"/>
      <c r="K179" s="74"/>
      <c r="L179" s="74"/>
      <c r="M179" s="74"/>
      <c r="N179" s="74"/>
      <c r="O179" s="74"/>
      <c r="P179" s="74"/>
      <c r="Q179" s="74"/>
      <c r="R179" s="74"/>
      <c r="S179" s="74"/>
      <c r="T179" s="74"/>
      <c r="U179" s="74"/>
      <c r="V179" s="74"/>
      <c r="W179" s="74"/>
      <c r="X179" s="74"/>
      <c r="Y179" s="74"/>
      <c r="Z179" s="74"/>
      <c r="AA179" s="74"/>
      <c r="AB179" s="74"/>
      <c r="AC179" s="74"/>
      <c r="AD179" s="74"/>
      <c r="AE179" s="74"/>
      <c r="AF179" s="74"/>
      <c r="AG179" s="74"/>
      <c r="AH179" s="74"/>
    </row>
    <row r="180" customFormat="false" ht="15" hidden="false" customHeight="false" outlineLevel="0" collapsed="false">
      <c r="A180" s="74"/>
      <c r="B180" s="74"/>
      <c r="C180" s="74"/>
      <c r="D180" s="74"/>
      <c r="E180" s="74"/>
      <c r="F180" s="74"/>
      <c r="G180" s="74"/>
      <c r="H180" s="74"/>
      <c r="I180" s="74"/>
      <c r="J180" s="74"/>
      <c r="K180" s="74"/>
      <c r="L180" s="74"/>
      <c r="M180" s="74"/>
      <c r="N180" s="74"/>
      <c r="O180" s="74"/>
      <c r="P180" s="74"/>
      <c r="Q180" s="74"/>
      <c r="R180" s="74"/>
      <c r="S180" s="74"/>
      <c r="T180" s="74"/>
      <c r="U180" s="74"/>
      <c r="V180" s="74"/>
      <c r="W180" s="74"/>
      <c r="X180" s="74"/>
      <c r="Y180" s="74"/>
      <c r="Z180" s="74"/>
      <c r="AA180" s="74"/>
      <c r="AB180" s="74"/>
      <c r="AC180" s="74"/>
      <c r="AD180" s="74"/>
      <c r="AE180" s="74"/>
      <c r="AF180" s="74"/>
      <c r="AG180" s="74"/>
      <c r="AH180" s="74"/>
    </row>
    <row r="181" customFormat="false" ht="15" hidden="false" customHeight="false" outlineLevel="0" collapsed="false">
      <c r="A181" s="74"/>
      <c r="B181" s="74"/>
      <c r="C181" s="74"/>
      <c r="D181" s="74"/>
      <c r="E181" s="74"/>
      <c r="F181" s="74"/>
      <c r="G181" s="74"/>
      <c r="H181" s="74"/>
      <c r="I181" s="74"/>
      <c r="J181" s="74"/>
      <c r="K181" s="74"/>
      <c r="L181" s="74"/>
      <c r="M181" s="74"/>
      <c r="N181" s="74"/>
      <c r="O181" s="74"/>
      <c r="P181" s="74"/>
      <c r="Q181" s="74"/>
      <c r="R181" s="74"/>
      <c r="S181" s="74"/>
      <c r="T181" s="74"/>
      <c r="U181" s="74"/>
      <c r="V181" s="74"/>
      <c r="W181" s="74"/>
      <c r="X181" s="74"/>
      <c r="Y181" s="74"/>
      <c r="Z181" s="74"/>
      <c r="AA181" s="74"/>
      <c r="AB181" s="74"/>
      <c r="AC181" s="74"/>
      <c r="AD181" s="74"/>
      <c r="AE181" s="74"/>
      <c r="AF181" s="74"/>
      <c r="AG181" s="74"/>
      <c r="AH181" s="74"/>
    </row>
    <row r="182" customFormat="false" ht="15" hidden="false" customHeight="false" outlineLevel="0" collapsed="false">
      <c r="A182" s="74"/>
      <c r="B182" s="74"/>
      <c r="C182" s="74"/>
      <c r="D182" s="74"/>
      <c r="E182" s="74"/>
      <c r="F182" s="74"/>
      <c r="G182" s="74"/>
      <c r="H182" s="74"/>
      <c r="I182" s="74"/>
      <c r="J182" s="74"/>
      <c r="K182" s="74"/>
      <c r="L182" s="74"/>
      <c r="M182" s="74"/>
      <c r="N182" s="74"/>
      <c r="O182" s="74"/>
      <c r="P182" s="74"/>
      <c r="Q182" s="74"/>
      <c r="R182" s="74"/>
      <c r="S182" s="74"/>
      <c r="T182" s="74"/>
      <c r="U182" s="74"/>
      <c r="V182" s="74"/>
      <c r="W182" s="74"/>
      <c r="X182" s="74"/>
      <c r="Y182" s="74"/>
      <c r="Z182" s="74"/>
      <c r="AA182" s="74"/>
      <c r="AB182" s="74"/>
      <c r="AC182" s="74"/>
      <c r="AD182" s="74"/>
      <c r="AE182" s="74"/>
      <c r="AF182" s="74"/>
      <c r="AG182" s="74"/>
      <c r="AH182" s="74"/>
    </row>
    <row r="183" customFormat="false" ht="15" hidden="false" customHeight="false" outlineLevel="0" collapsed="false">
      <c r="A183" s="74"/>
      <c r="B183" s="74"/>
      <c r="C183" s="74"/>
      <c r="D183" s="74"/>
      <c r="E183" s="74"/>
      <c r="F183" s="74"/>
      <c r="G183" s="74"/>
      <c r="H183" s="74"/>
      <c r="I183" s="74"/>
      <c r="J183" s="74"/>
      <c r="K183" s="74"/>
      <c r="L183" s="74"/>
      <c r="M183" s="74"/>
      <c r="N183" s="74"/>
      <c r="O183" s="74"/>
      <c r="P183" s="74"/>
      <c r="Q183" s="74"/>
      <c r="R183" s="74"/>
      <c r="S183" s="74"/>
      <c r="T183" s="74"/>
      <c r="U183" s="74"/>
      <c r="V183" s="74"/>
      <c r="W183" s="74"/>
      <c r="X183" s="74"/>
      <c r="Y183" s="74"/>
      <c r="Z183" s="74"/>
      <c r="AA183" s="74"/>
      <c r="AB183" s="74"/>
      <c r="AC183" s="74"/>
      <c r="AD183" s="74"/>
      <c r="AE183" s="74"/>
      <c r="AF183" s="74"/>
      <c r="AG183" s="74"/>
      <c r="AH183" s="74"/>
    </row>
    <row r="184" customFormat="false" ht="15" hidden="false" customHeight="false" outlineLevel="0" collapsed="false">
      <c r="A184" s="74"/>
      <c r="B184" s="74"/>
      <c r="C184" s="74"/>
      <c r="D184" s="74"/>
      <c r="E184" s="74"/>
      <c r="F184" s="74"/>
      <c r="G184" s="74"/>
      <c r="H184" s="74"/>
      <c r="I184" s="74"/>
      <c r="J184" s="74"/>
      <c r="K184" s="74"/>
      <c r="L184" s="74"/>
      <c r="M184" s="74"/>
      <c r="N184" s="74"/>
      <c r="O184" s="74"/>
      <c r="P184" s="74"/>
      <c r="Q184" s="74"/>
      <c r="R184" s="74"/>
      <c r="S184" s="74"/>
      <c r="T184" s="74"/>
      <c r="U184" s="74"/>
      <c r="V184" s="74"/>
      <c r="W184" s="74"/>
      <c r="X184" s="74"/>
      <c r="Y184" s="74"/>
      <c r="Z184" s="74"/>
      <c r="AA184" s="74"/>
      <c r="AB184" s="74"/>
      <c r="AC184" s="74"/>
      <c r="AD184" s="74"/>
      <c r="AE184" s="74"/>
      <c r="AF184" s="74"/>
      <c r="AG184" s="74"/>
      <c r="AH184" s="74"/>
    </row>
    <row r="185" customFormat="false" ht="15" hidden="false" customHeight="false" outlineLevel="0" collapsed="false">
      <c r="A185" s="74"/>
      <c r="B185" s="74"/>
      <c r="C185" s="74"/>
      <c r="D185" s="74"/>
      <c r="E185" s="74"/>
      <c r="F185" s="74"/>
      <c r="G185" s="74"/>
      <c r="H185" s="74"/>
      <c r="I185" s="74"/>
      <c r="J185" s="74"/>
      <c r="K185" s="74"/>
      <c r="L185" s="74"/>
      <c r="M185" s="74"/>
      <c r="N185" s="74"/>
      <c r="O185" s="74"/>
      <c r="P185" s="74"/>
      <c r="Q185" s="74"/>
      <c r="R185" s="74"/>
      <c r="S185" s="74"/>
      <c r="T185" s="74"/>
      <c r="U185" s="74"/>
      <c r="V185" s="74"/>
      <c r="W185" s="74"/>
      <c r="X185" s="74"/>
      <c r="Y185" s="74"/>
      <c r="Z185" s="74"/>
      <c r="AA185" s="74"/>
      <c r="AB185" s="74"/>
      <c r="AC185" s="74"/>
      <c r="AD185" s="74"/>
      <c r="AE185" s="74"/>
      <c r="AF185" s="74"/>
      <c r="AG185" s="74"/>
      <c r="AH185" s="74"/>
    </row>
    <row r="186" customFormat="false" ht="15" hidden="false" customHeight="false" outlineLevel="0" collapsed="false">
      <c r="A186" s="74"/>
      <c r="B186" s="74"/>
      <c r="C186" s="74"/>
      <c r="D186" s="74"/>
      <c r="E186" s="74"/>
      <c r="F186" s="74"/>
      <c r="G186" s="74"/>
      <c r="H186" s="74"/>
      <c r="I186" s="74"/>
      <c r="J186" s="74"/>
      <c r="K186" s="74"/>
      <c r="L186" s="74"/>
      <c r="M186" s="74"/>
      <c r="N186" s="74"/>
      <c r="O186" s="74"/>
      <c r="P186" s="74"/>
      <c r="Q186" s="74"/>
      <c r="R186" s="74"/>
      <c r="S186" s="74"/>
      <c r="T186" s="74"/>
      <c r="U186" s="74"/>
      <c r="V186" s="74"/>
      <c r="W186" s="74"/>
      <c r="X186" s="74"/>
      <c r="Y186" s="74"/>
      <c r="Z186" s="74"/>
      <c r="AA186" s="74"/>
      <c r="AB186" s="74"/>
      <c r="AC186" s="74"/>
      <c r="AD186" s="74"/>
      <c r="AE186" s="74"/>
      <c r="AF186" s="74"/>
      <c r="AG186" s="74"/>
      <c r="AH186" s="74"/>
    </row>
    <row r="187" customFormat="false" ht="15" hidden="false" customHeight="false" outlineLevel="0" collapsed="false">
      <c r="A187" s="74"/>
      <c r="B187" s="74"/>
      <c r="C187" s="74"/>
      <c r="D187" s="74"/>
      <c r="E187" s="74"/>
      <c r="F187" s="74"/>
      <c r="G187" s="74"/>
      <c r="H187" s="74"/>
      <c r="I187" s="74"/>
      <c r="J187" s="74"/>
      <c r="K187" s="74"/>
      <c r="L187" s="74"/>
      <c r="M187" s="74"/>
      <c r="N187" s="74"/>
      <c r="O187" s="74"/>
      <c r="P187" s="74"/>
      <c r="Q187" s="74"/>
      <c r="R187" s="74"/>
      <c r="S187" s="74"/>
      <c r="T187" s="74"/>
      <c r="U187" s="74"/>
      <c r="V187" s="74"/>
      <c r="W187" s="74"/>
      <c r="X187" s="74"/>
      <c r="Y187" s="74"/>
      <c r="Z187" s="74"/>
      <c r="AA187" s="74"/>
      <c r="AB187" s="74"/>
      <c r="AC187" s="74"/>
      <c r="AD187" s="74"/>
      <c r="AE187" s="74"/>
      <c r="AF187" s="74"/>
      <c r="AG187" s="74"/>
      <c r="AH187" s="74"/>
    </row>
    <row r="188" customFormat="false" ht="15" hidden="false" customHeight="false" outlineLevel="0" collapsed="false">
      <c r="A188" s="74"/>
      <c r="B188" s="74"/>
      <c r="C188" s="74"/>
      <c r="D188" s="74"/>
      <c r="E188" s="74"/>
      <c r="F188" s="74"/>
      <c r="G188" s="74"/>
      <c r="H188" s="74"/>
      <c r="I188" s="74"/>
      <c r="J188" s="74"/>
      <c r="K188" s="74"/>
      <c r="L188" s="74"/>
      <c r="M188" s="74"/>
      <c r="N188" s="74"/>
      <c r="O188" s="74"/>
      <c r="P188" s="74"/>
      <c r="Q188" s="74"/>
      <c r="R188" s="74"/>
      <c r="S188" s="74"/>
      <c r="T188" s="74"/>
      <c r="U188" s="74"/>
      <c r="V188" s="74"/>
      <c r="W188" s="74"/>
      <c r="X188" s="74"/>
      <c r="Y188" s="74"/>
      <c r="Z188" s="74"/>
      <c r="AA188" s="74"/>
      <c r="AB188" s="74"/>
      <c r="AC188" s="74"/>
      <c r="AD188" s="74"/>
      <c r="AE188" s="74"/>
      <c r="AF188" s="74"/>
      <c r="AG188" s="74"/>
      <c r="AH188" s="74"/>
    </row>
    <row r="189" customFormat="false" ht="15" hidden="false" customHeight="false" outlineLevel="0" collapsed="false">
      <c r="A189" s="74"/>
      <c r="B189" s="74"/>
      <c r="C189" s="74"/>
      <c r="D189" s="74"/>
      <c r="E189" s="74"/>
      <c r="F189" s="74"/>
      <c r="G189" s="74"/>
      <c r="H189" s="74"/>
      <c r="I189" s="74"/>
      <c r="J189" s="74"/>
      <c r="K189" s="74"/>
      <c r="L189" s="74"/>
      <c r="M189" s="74"/>
      <c r="N189" s="74"/>
      <c r="O189" s="74"/>
      <c r="P189" s="74"/>
      <c r="Q189" s="74"/>
      <c r="R189" s="74"/>
      <c r="S189" s="74"/>
      <c r="T189" s="74"/>
      <c r="U189" s="74"/>
      <c r="V189" s="74"/>
      <c r="W189" s="74"/>
      <c r="X189" s="74"/>
      <c r="Y189" s="74"/>
      <c r="Z189" s="74"/>
      <c r="AA189" s="74"/>
      <c r="AB189" s="74"/>
      <c r="AC189" s="74"/>
      <c r="AD189" s="74"/>
      <c r="AE189" s="74"/>
      <c r="AF189" s="74"/>
      <c r="AG189" s="74"/>
      <c r="AH189" s="74"/>
    </row>
    <row r="190" customFormat="false" ht="15" hidden="false" customHeight="false" outlineLevel="0" collapsed="false">
      <c r="A190" s="74"/>
      <c r="B190" s="74"/>
      <c r="C190" s="74"/>
      <c r="D190" s="74"/>
      <c r="E190" s="74"/>
      <c r="F190" s="74"/>
      <c r="G190" s="74"/>
      <c r="H190" s="74"/>
      <c r="I190" s="74"/>
      <c r="J190" s="74"/>
      <c r="K190" s="74"/>
      <c r="L190" s="74"/>
      <c r="M190" s="74"/>
      <c r="N190" s="74"/>
      <c r="O190" s="74"/>
      <c r="P190" s="74"/>
      <c r="Q190" s="74"/>
      <c r="R190" s="74"/>
      <c r="S190" s="74"/>
      <c r="T190" s="74"/>
      <c r="U190" s="74"/>
      <c r="V190" s="74"/>
      <c r="W190" s="74"/>
      <c r="X190" s="74"/>
      <c r="Y190" s="74"/>
      <c r="Z190" s="74"/>
      <c r="AA190" s="74"/>
      <c r="AB190" s="74"/>
      <c r="AC190" s="74"/>
      <c r="AD190" s="74"/>
      <c r="AE190" s="74"/>
      <c r="AF190" s="74"/>
      <c r="AG190" s="74"/>
      <c r="AH190" s="74"/>
    </row>
    <row r="191" customFormat="false" ht="15" hidden="false" customHeight="false" outlineLevel="0" collapsed="false">
      <c r="A191" s="74"/>
      <c r="B191" s="74"/>
      <c r="C191" s="74"/>
      <c r="D191" s="74"/>
      <c r="E191" s="74"/>
      <c r="F191" s="74"/>
      <c r="G191" s="74"/>
      <c r="H191" s="74"/>
      <c r="I191" s="74"/>
      <c r="J191" s="74"/>
      <c r="K191" s="74"/>
      <c r="L191" s="74"/>
      <c r="M191" s="74"/>
      <c r="N191" s="74"/>
      <c r="O191" s="74"/>
      <c r="P191" s="74"/>
      <c r="Q191" s="74"/>
      <c r="R191" s="74"/>
      <c r="S191" s="74"/>
      <c r="T191" s="74"/>
      <c r="U191" s="74"/>
      <c r="V191" s="74"/>
      <c r="W191" s="74"/>
      <c r="X191" s="74"/>
      <c r="Y191" s="74"/>
      <c r="Z191" s="74"/>
      <c r="AA191" s="74"/>
      <c r="AB191" s="74"/>
      <c r="AC191" s="74"/>
      <c r="AD191" s="74"/>
      <c r="AE191" s="74"/>
      <c r="AF191" s="74"/>
      <c r="AG191" s="74"/>
      <c r="AH191" s="74"/>
    </row>
    <row r="192" customFormat="false" ht="15" hidden="false" customHeight="false" outlineLevel="0" collapsed="false">
      <c r="A192" s="74"/>
      <c r="B192" s="74"/>
      <c r="C192" s="74"/>
      <c r="D192" s="74"/>
      <c r="E192" s="74"/>
      <c r="F192" s="74"/>
      <c r="G192" s="74"/>
      <c r="H192" s="74"/>
      <c r="I192" s="74"/>
      <c r="J192" s="74"/>
      <c r="K192" s="74"/>
      <c r="L192" s="74"/>
      <c r="M192" s="74"/>
      <c r="N192" s="74"/>
      <c r="O192" s="74"/>
      <c r="P192" s="74"/>
      <c r="Q192" s="74"/>
      <c r="R192" s="74"/>
      <c r="S192" s="74"/>
      <c r="T192" s="74"/>
      <c r="U192" s="74"/>
      <c r="V192" s="74"/>
      <c r="W192" s="74"/>
      <c r="X192" s="74"/>
      <c r="Y192" s="74"/>
      <c r="Z192" s="74"/>
      <c r="AA192" s="74"/>
      <c r="AB192" s="74"/>
      <c r="AC192" s="74"/>
      <c r="AD192" s="74"/>
      <c r="AE192" s="74"/>
      <c r="AF192" s="74"/>
      <c r="AG192" s="74"/>
      <c r="AH192" s="74"/>
    </row>
    <row r="193" customFormat="false" ht="15" hidden="false" customHeight="false" outlineLevel="0" collapsed="false">
      <c r="A193" s="74"/>
      <c r="B193" s="74"/>
      <c r="C193" s="74"/>
      <c r="D193" s="74"/>
      <c r="E193" s="74"/>
      <c r="F193" s="74"/>
      <c r="G193" s="74"/>
      <c r="H193" s="74"/>
      <c r="I193" s="74"/>
      <c r="J193" s="74"/>
      <c r="K193" s="74"/>
      <c r="L193" s="74"/>
      <c r="M193" s="74"/>
      <c r="N193" s="74"/>
      <c r="O193" s="74"/>
      <c r="P193" s="74"/>
      <c r="Q193" s="74"/>
      <c r="R193" s="74"/>
      <c r="S193" s="74"/>
      <c r="T193" s="74"/>
      <c r="U193" s="74"/>
      <c r="V193" s="74"/>
      <c r="W193" s="74"/>
      <c r="X193" s="74"/>
      <c r="Y193" s="74"/>
      <c r="Z193" s="74"/>
      <c r="AA193" s="74"/>
      <c r="AB193" s="74"/>
      <c r="AC193" s="74"/>
      <c r="AD193" s="74"/>
      <c r="AE193" s="74"/>
      <c r="AF193" s="74"/>
      <c r="AG193" s="74"/>
      <c r="AH193" s="74"/>
    </row>
    <row r="194" customFormat="false" ht="15" hidden="false" customHeight="false" outlineLevel="0" collapsed="false">
      <c r="A194" s="74"/>
      <c r="B194" s="74"/>
      <c r="C194" s="74"/>
      <c r="D194" s="74"/>
      <c r="E194" s="74"/>
      <c r="F194" s="74"/>
      <c r="G194" s="74"/>
      <c r="H194" s="74"/>
      <c r="I194" s="74"/>
      <c r="J194" s="74"/>
      <c r="K194" s="74"/>
      <c r="L194" s="74"/>
      <c r="M194" s="74"/>
      <c r="N194" s="74"/>
      <c r="O194" s="74"/>
      <c r="P194" s="74"/>
      <c r="Q194" s="74"/>
      <c r="R194" s="74"/>
      <c r="S194" s="74"/>
      <c r="T194" s="74"/>
      <c r="U194" s="74"/>
      <c r="V194" s="74"/>
      <c r="W194" s="74"/>
      <c r="X194" s="74"/>
      <c r="Y194" s="74"/>
      <c r="Z194" s="74"/>
      <c r="AA194" s="74"/>
      <c r="AB194" s="74"/>
      <c r="AC194" s="74"/>
      <c r="AD194" s="74"/>
      <c r="AE194" s="74"/>
      <c r="AF194" s="74"/>
      <c r="AG194" s="74"/>
      <c r="AH194" s="74"/>
    </row>
    <row r="195" customFormat="false" ht="15" hidden="false" customHeight="false" outlineLevel="0" collapsed="false">
      <c r="A195" s="74"/>
      <c r="B195" s="74"/>
      <c r="C195" s="74"/>
      <c r="D195" s="74"/>
      <c r="E195" s="74"/>
      <c r="F195" s="74"/>
      <c r="G195" s="74"/>
      <c r="H195" s="74"/>
      <c r="I195" s="74"/>
      <c r="J195" s="74"/>
      <c r="K195" s="74"/>
      <c r="L195" s="74"/>
      <c r="M195" s="74"/>
      <c r="N195" s="74"/>
      <c r="O195" s="74"/>
      <c r="P195" s="74"/>
      <c r="Q195" s="74"/>
      <c r="R195" s="74"/>
      <c r="S195" s="74"/>
      <c r="T195" s="74"/>
      <c r="U195" s="74"/>
      <c r="V195" s="74"/>
      <c r="W195" s="74"/>
      <c r="X195" s="74"/>
      <c r="Y195" s="74"/>
      <c r="Z195" s="74"/>
      <c r="AA195" s="74"/>
      <c r="AB195" s="74"/>
      <c r="AC195" s="74"/>
      <c r="AD195" s="74"/>
      <c r="AE195" s="74"/>
      <c r="AF195" s="74"/>
      <c r="AG195" s="74"/>
      <c r="AH195" s="74"/>
    </row>
    <row r="196" customFormat="false" ht="15" hidden="false" customHeight="false" outlineLevel="0" collapsed="false">
      <c r="A196" s="74"/>
      <c r="B196" s="74"/>
      <c r="C196" s="74"/>
      <c r="D196" s="74"/>
      <c r="E196" s="74"/>
      <c r="F196" s="74"/>
      <c r="G196" s="74"/>
      <c r="H196" s="74"/>
      <c r="I196" s="74"/>
      <c r="J196" s="74"/>
      <c r="K196" s="74"/>
      <c r="L196" s="74"/>
      <c r="M196" s="74"/>
      <c r="N196" s="74"/>
      <c r="O196" s="74"/>
      <c r="P196" s="74"/>
      <c r="Q196" s="74"/>
      <c r="R196" s="74"/>
      <c r="S196" s="74"/>
      <c r="T196" s="74"/>
      <c r="U196" s="74"/>
      <c r="V196" s="74"/>
      <c r="W196" s="74"/>
      <c r="X196" s="74"/>
      <c r="Y196" s="74"/>
      <c r="Z196" s="74"/>
      <c r="AA196" s="74"/>
      <c r="AB196" s="74"/>
      <c r="AC196" s="74"/>
      <c r="AD196" s="74"/>
      <c r="AE196" s="74"/>
      <c r="AF196" s="74"/>
      <c r="AG196" s="74"/>
      <c r="AH196" s="74"/>
    </row>
    <row r="197" customFormat="false" ht="15" hidden="false" customHeight="false" outlineLevel="0" collapsed="false">
      <c r="A197" s="74"/>
      <c r="B197" s="74"/>
      <c r="C197" s="74"/>
      <c r="D197" s="74"/>
      <c r="E197" s="74"/>
      <c r="F197" s="74"/>
      <c r="G197" s="74"/>
      <c r="H197" s="74"/>
      <c r="I197" s="74"/>
      <c r="J197" s="74"/>
      <c r="K197" s="74"/>
      <c r="L197" s="74"/>
      <c r="M197" s="74"/>
      <c r="N197" s="74"/>
      <c r="O197" s="74"/>
      <c r="P197" s="74"/>
      <c r="Q197" s="74"/>
      <c r="R197" s="74"/>
      <c r="S197" s="74"/>
      <c r="T197" s="74"/>
      <c r="U197" s="74"/>
      <c r="V197" s="74"/>
      <c r="W197" s="74"/>
      <c r="X197" s="74"/>
      <c r="Y197" s="74"/>
      <c r="Z197" s="74"/>
      <c r="AA197" s="74"/>
      <c r="AB197" s="74"/>
      <c r="AC197" s="74"/>
      <c r="AD197" s="74"/>
      <c r="AE197" s="74"/>
      <c r="AF197" s="74"/>
      <c r="AG197" s="74"/>
      <c r="AH197" s="74"/>
    </row>
    <row r="198" customFormat="false" ht="15" hidden="false" customHeight="false" outlineLevel="0" collapsed="false">
      <c r="A198" s="74"/>
      <c r="B198" s="74"/>
      <c r="C198" s="74"/>
      <c r="D198" s="74"/>
      <c r="E198" s="74"/>
      <c r="F198" s="74"/>
      <c r="G198" s="74"/>
      <c r="H198" s="74"/>
      <c r="I198" s="74"/>
      <c r="J198" s="74"/>
      <c r="K198" s="74"/>
      <c r="L198" s="74"/>
      <c r="M198" s="74"/>
      <c r="N198" s="74"/>
      <c r="O198" s="74"/>
      <c r="P198" s="74"/>
      <c r="Q198" s="74"/>
      <c r="R198" s="74"/>
      <c r="S198" s="74"/>
      <c r="T198" s="74"/>
      <c r="U198" s="74"/>
      <c r="V198" s="74"/>
      <c r="W198" s="74"/>
      <c r="X198" s="74"/>
      <c r="Y198" s="74"/>
      <c r="Z198" s="74"/>
      <c r="AA198" s="74"/>
      <c r="AB198" s="74"/>
      <c r="AC198" s="74"/>
      <c r="AD198" s="74"/>
      <c r="AE198" s="74"/>
      <c r="AF198" s="74"/>
      <c r="AG198" s="74"/>
      <c r="AH198" s="74"/>
    </row>
    <row r="199" customFormat="false" ht="15" hidden="false" customHeight="false" outlineLevel="0" collapsed="false">
      <c r="A199" s="74"/>
      <c r="B199" s="74"/>
      <c r="C199" s="74"/>
      <c r="D199" s="74"/>
      <c r="E199" s="74"/>
      <c r="F199" s="74"/>
      <c r="G199" s="74"/>
      <c r="H199" s="74"/>
      <c r="I199" s="74"/>
      <c r="J199" s="74"/>
      <c r="K199" s="74"/>
      <c r="L199" s="74"/>
      <c r="M199" s="74"/>
      <c r="N199" s="74"/>
      <c r="O199" s="74"/>
      <c r="P199" s="74"/>
      <c r="Q199" s="74"/>
      <c r="R199" s="74"/>
      <c r="S199" s="74"/>
      <c r="T199" s="74"/>
      <c r="U199" s="74"/>
      <c r="V199" s="74"/>
      <c r="W199" s="74"/>
      <c r="X199" s="74"/>
      <c r="Y199" s="74"/>
      <c r="Z199" s="74"/>
      <c r="AA199" s="74"/>
      <c r="AB199" s="74"/>
      <c r="AC199" s="74"/>
      <c r="AD199" s="74"/>
      <c r="AE199" s="74"/>
      <c r="AF199" s="74"/>
      <c r="AG199" s="74"/>
      <c r="AH199" s="74"/>
    </row>
    <row r="200" customFormat="false" ht="15" hidden="false" customHeight="false" outlineLevel="0" collapsed="false">
      <c r="A200" s="74"/>
      <c r="B200" s="74"/>
      <c r="C200" s="74"/>
      <c r="D200" s="74"/>
      <c r="E200" s="74"/>
      <c r="F200" s="74"/>
      <c r="G200" s="74"/>
      <c r="H200" s="74"/>
      <c r="I200" s="74"/>
      <c r="J200" s="74"/>
      <c r="K200" s="74"/>
      <c r="L200" s="74"/>
      <c r="M200" s="74"/>
      <c r="N200" s="74"/>
      <c r="O200" s="74"/>
      <c r="P200" s="74"/>
      <c r="Q200" s="74"/>
      <c r="R200" s="74"/>
      <c r="S200" s="74"/>
      <c r="T200" s="74"/>
      <c r="U200" s="74"/>
      <c r="V200" s="74"/>
      <c r="W200" s="74"/>
      <c r="X200" s="74"/>
      <c r="Y200" s="74"/>
      <c r="Z200" s="74"/>
      <c r="AA200" s="74"/>
      <c r="AB200" s="74"/>
      <c r="AC200" s="74"/>
      <c r="AD200" s="74"/>
      <c r="AE200" s="74"/>
      <c r="AF200" s="74"/>
      <c r="AG200" s="74"/>
      <c r="AH200" s="74"/>
    </row>
    <row r="201" customFormat="false" ht="15" hidden="false" customHeight="false" outlineLevel="0" collapsed="false">
      <c r="A201" s="74"/>
      <c r="B201" s="74"/>
      <c r="C201" s="74"/>
      <c r="D201" s="74"/>
      <c r="E201" s="74"/>
      <c r="F201" s="74"/>
      <c r="G201" s="74"/>
      <c r="H201" s="74"/>
      <c r="I201" s="74"/>
      <c r="J201" s="74"/>
      <c r="K201" s="74"/>
      <c r="L201" s="74"/>
      <c r="M201" s="74"/>
      <c r="N201" s="74"/>
      <c r="O201" s="74"/>
      <c r="P201" s="74"/>
      <c r="Q201" s="74"/>
      <c r="R201" s="74"/>
      <c r="S201" s="74"/>
      <c r="T201" s="74"/>
      <c r="U201" s="74"/>
      <c r="V201" s="74"/>
      <c r="W201" s="74"/>
      <c r="X201" s="74"/>
      <c r="Y201" s="74"/>
      <c r="Z201" s="74"/>
      <c r="AA201" s="74"/>
      <c r="AB201" s="74"/>
      <c r="AC201" s="74"/>
      <c r="AD201" s="74"/>
      <c r="AE201" s="74"/>
      <c r="AF201" s="74"/>
      <c r="AG201" s="74"/>
      <c r="AH201" s="74"/>
    </row>
    <row r="202" customFormat="false" ht="15" hidden="false" customHeight="false" outlineLevel="0" collapsed="false">
      <c r="A202" s="74"/>
      <c r="B202" s="74"/>
      <c r="C202" s="74"/>
      <c r="D202" s="74"/>
      <c r="E202" s="74"/>
      <c r="F202" s="74"/>
      <c r="G202" s="74"/>
      <c r="H202" s="74"/>
      <c r="I202" s="74"/>
      <c r="J202" s="74"/>
      <c r="K202" s="74"/>
      <c r="L202" s="74"/>
      <c r="M202" s="74"/>
      <c r="N202" s="74"/>
      <c r="O202" s="74"/>
      <c r="P202" s="74"/>
      <c r="Q202" s="74"/>
      <c r="R202" s="74"/>
      <c r="S202" s="74"/>
      <c r="T202" s="74"/>
      <c r="U202" s="74"/>
      <c r="V202" s="74"/>
      <c r="W202" s="74"/>
      <c r="X202" s="74"/>
      <c r="Y202" s="74"/>
      <c r="Z202" s="74"/>
      <c r="AA202" s="74"/>
      <c r="AB202" s="74"/>
      <c r="AC202" s="74"/>
      <c r="AD202" s="74"/>
      <c r="AE202" s="74"/>
      <c r="AF202" s="74"/>
      <c r="AG202" s="74"/>
      <c r="AH202" s="74"/>
    </row>
    <row r="203" customFormat="false" ht="15" hidden="false" customHeight="false" outlineLevel="0" collapsed="false">
      <c r="A203" s="74"/>
      <c r="B203" s="74"/>
      <c r="C203" s="74"/>
      <c r="D203" s="74"/>
      <c r="E203" s="74"/>
      <c r="F203" s="74"/>
      <c r="G203" s="74"/>
      <c r="H203" s="74"/>
      <c r="I203" s="74"/>
      <c r="J203" s="74"/>
      <c r="K203" s="74"/>
      <c r="L203" s="74"/>
      <c r="M203" s="74"/>
      <c r="N203" s="74"/>
      <c r="O203" s="74"/>
      <c r="P203" s="74"/>
      <c r="Q203" s="74"/>
      <c r="R203" s="74"/>
      <c r="S203" s="74"/>
      <c r="T203" s="74"/>
      <c r="U203" s="74"/>
      <c r="V203" s="74"/>
      <c r="W203" s="74"/>
      <c r="X203" s="74"/>
      <c r="Y203" s="74"/>
      <c r="Z203" s="74"/>
      <c r="AA203" s="74"/>
      <c r="AB203" s="74"/>
      <c r="AC203" s="74"/>
      <c r="AD203" s="74"/>
      <c r="AE203" s="74"/>
      <c r="AF203" s="74"/>
      <c r="AG203" s="74"/>
      <c r="AH203" s="74"/>
    </row>
    <row r="204" customFormat="false" ht="15" hidden="false" customHeight="false" outlineLevel="0" collapsed="false">
      <c r="A204" s="74"/>
      <c r="B204" s="74"/>
      <c r="C204" s="74"/>
      <c r="D204" s="74"/>
      <c r="E204" s="74"/>
      <c r="F204" s="74"/>
      <c r="G204" s="74"/>
      <c r="H204" s="74"/>
      <c r="I204" s="74"/>
      <c r="J204" s="74"/>
      <c r="K204" s="74"/>
      <c r="L204" s="74"/>
      <c r="M204" s="74"/>
      <c r="N204" s="74"/>
      <c r="O204" s="74"/>
      <c r="P204" s="74"/>
      <c r="Q204" s="74"/>
      <c r="R204" s="74"/>
      <c r="S204" s="74"/>
      <c r="T204" s="74"/>
      <c r="U204" s="74"/>
      <c r="V204" s="74"/>
      <c r="W204" s="74"/>
      <c r="X204" s="74"/>
      <c r="Y204" s="74"/>
      <c r="Z204" s="74"/>
      <c r="AA204" s="74"/>
      <c r="AB204" s="74"/>
      <c r="AC204" s="74"/>
      <c r="AD204" s="74"/>
      <c r="AE204" s="74"/>
      <c r="AF204" s="74"/>
      <c r="AG204" s="74"/>
      <c r="AH204" s="74"/>
    </row>
    <row r="205" customFormat="false" ht="15" hidden="false" customHeight="false" outlineLevel="0" collapsed="false">
      <c r="A205" s="74"/>
      <c r="B205" s="74"/>
      <c r="C205" s="74"/>
      <c r="D205" s="74"/>
      <c r="E205" s="74"/>
      <c r="F205" s="74"/>
      <c r="G205" s="74"/>
      <c r="H205" s="74"/>
      <c r="I205" s="74"/>
      <c r="J205" s="74"/>
      <c r="K205" s="74"/>
      <c r="L205" s="74"/>
      <c r="M205" s="74"/>
      <c r="N205" s="74"/>
      <c r="O205" s="74"/>
      <c r="P205" s="74"/>
      <c r="Q205" s="74"/>
      <c r="R205" s="74"/>
      <c r="S205" s="74"/>
      <c r="T205" s="74"/>
      <c r="U205" s="74"/>
      <c r="V205" s="74"/>
      <c r="W205" s="74"/>
      <c r="X205" s="74"/>
      <c r="Y205" s="74"/>
      <c r="Z205" s="74"/>
      <c r="AA205" s="74"/>
      <c r="AB205" s="74"/>
      <c r="AC205" s="74"/>
      <c r="AD205" s="74"/>
      <c r="AE205" s="74"/>
      <c r="AF205" s="74"/>
      <c r="AG205" s="74"/>
      <c r="AH205" s="74"/>
    </row>
    <row r="206" customFormat="false" ht="15" hidden="false" customHeight="false" outlineLevel="0" collapsed="false">
      <c r="A206" s="74"/>
      <c r="B206" s="74"/>
      <c r="C206" s="74"/>
      <c r="D206" s="74"/>
      <c r="E206" s="74"/>
      <c r="F206" s="74"/>
      <c r="G206" s="74"/>
      <c r="H206" s="74"/>
      <c r="I206" s="74"/>
      <c r="J206" s="74"/>
      <c r="K206" s="74"/>
      <c r="L206" s="74"/>
      <c r="M206" s="74"/>
      <c r="N206" s="74"/>
      <c r="O206" s="74"/>
      <c r="P206" s="74"/>
      <c r="Q206" s="74"/>
      <c r="R206" s="74"/>
      <c r="S206" s="74"/>
      <c r="T206" s="74"/>
      <c r="U206" s="74"/>
      <c r="V206" s="74"/>
      <c r="W206" s="74"/>
      <c r="X206" s="74"/>
      <c r="Y206" s="74"/>
      <c r="Z206" s="74"/>
      <c r="AA206" s="74"/>
      <c r="AB206" s="74"/>
      <c r="AC206" s="74"/>
      <c r="AD206" s="74"/>
      <c r="AE206" s="74"/>
      <c r="AF206" s="74"/>
      <c r="AG206" s="74"/>
      <c r="AH206" s="74"/>
    </row>
    <row r="207" customFormat="false" ht="15" hidden="false" customHeight="false" outlineLevel="0" collapsed="false">
      <c r="A207" s="74"/>
      <c r="B207" s="74"/>
      <c r="C207" s="74"/>
      <c r="D207" s="74"/>
      <c r="E207" s="74"/>
      <c r="F207" s="74"/>
      <c r="G207" s="74"/>
      <c r="H207" s="74"/>
      <c r="I207" s="74"/>
      <c r="J207" s="74"/>
      <c r="K207" s="74"/>
      <c r="L207" s="74"/>
      <c r="M207" s="74"/>
      <c r="N207" s="74"/>
      <c r="O207" s="74"/>
      <c r="P207" s="74"/>
      <c r="Q207" s="74"/>
      <c r="R207" s="74"/>
      <c r="S207" s="74"/>
      <c r="T207" s="74"/>
      <c r="U207" s="74"/>
      <c r="V207" s="74"/>
      <c r="W207" s="74"/>
      <c r="X207" s="74"/>
      <c r="Y207" s="74"/>
      <c r="Z207" s="74"/>
      <c r="AA207" s="74"/>
      <c r="AB207" s="74"/>
      <c r="AC207" s="74"/>
      <c r="AD207" s="74"/>
      <c r="AE207" s="74"/>
      <c r="AF207" s="74"/>
      <c r="AG207" s="74"/>
      <c r="AH207" s="74"/>
    </row>
    <row r="208" customFormat="false" ht="15" hidden="false" customHeight="false" outlineLevel="0" collapsed="false">
      <c r="A208" s="74"/>
      <c r="B208" s="74"/>
      <c r="C208" s="74"/>
      <c r="D208" s="74"/>
      <c r="E208" s="74"/>
      <c r="F208" s="74"/>
      <c r="G208" s="74"/>
      <c r="H208" s="74"/>
      <c r="I208" s="74"/>
      <c r="J208" s="74"/>
      <c r="K208" s="74"/>
      <c r="L208" s="74"/>
      <c r="M208" s="74"/>
      <c r="N208" s="74"/>
      <c r="O208" s="74"/>
      <c r="P208" s="74"/>
      <c r="Q208" s="74"/>
      <c r="R208" s="74"/>
      <c r="S208" s="74"/>
      <c r="T208" s="74"/>
      <c r="U208" s="74"/>
      <c r="V208" s="74"/>
      <c r="W208" s="74"/>
      <c r="X208" s="74"/>
      <c r="Y208" s="74"/>
      <c r="Z208" s="74"/>
      <c r="AA208" s="74"/>
      <c r="AB208" s="74"/>
      <c r="AC208" s="74"/>
      <c r="AD208" s="74"/>
      <c r="AE208" s="74"/>
      <c r="AF208" s="74"/>
      <c r="AG208" s="74"/>
      <c r="AH208" s="74"/>
    </row>
    <row r="209" customFormat="false" ht="15" hidden="false" customHeight="false" outlineLevel="0" collapsed="false">
      <c r="A209" s="74"/>
      <c r="B209" s="74"/>
      <c r="C209" s="74"/>
      <c r="D209" s="74"/>
      <c r="E209" s="74"/>
      <c r="F209" s="74"/>
      <c r="G209" s="74"/>
      <c r="H209" s="74"/>
      <c r="I209" s="74"/>
      <c r="J209" s="74"/>
      <c r="K209" s="74"/>
      <c r="L209" s="74"/>
      <c r="M209" s="74"/>
      <c r="N209" s="74"/>
      <c r="O209" s="74"/>
      <c r="P209" s="74"/>
      <c r="Q209" s="74"/>
      <c r="R209" s="74"/>
      <c r="S209" s="74"/>
      <c r="T209" s="74"/>
      <c r="U209" s="74"/>
      <c r="V209" s="74"/>
      <c r="W209" s="74"/>
      <c r="X209" s="74"/>
      <c r="Y209" s="74"/>
      <c r="Z209" s="74"/>
      <c r="AA209" s="74"/>
      <c r="AB209" s="74"/>
      <c r="AC209" s="74"/>
      <c r="AD209" s="74"/>
      <c r="AE209" s="74"/>
      <c r="AF209" s="74"/>
      <c r="AG209" s="74"/>
      <c r="AH209" s="74"/>
    </row>
    <row r="210" customFormat="false" ht="15" hidden="false" customHeight="false" outlineLevel="0" collapsed="false">
      <c r="A210" s="74"/>
      <c r="B210" s="74"/>
      <c r="C210" s="74"/>
      <c r="D210" s="74"/>
      <c r="E210" s="74"/>
      <c r="F210" s="74"/>
      <c r="G210" s="74"/>
      <c r="H210" s="74"/>
      <c r="I210" s="74"/>
      <c r="J210" s="74"/>
      <c r="K210" s="74"/>
      <c r="L210" s="74"/>
      <c r="M210" s="74"/>
      <c r="N210" s="74"/>
      <c r="O210" s="74"/>
      <c r="P210" s="74"/>
      <c r="Q210" s="74"/>
      <c r="R210" s="74"/>
      <c r="S210" s="74"/>
      <c r="T210" s="74"/>
      <c r="U210" s="74"/>
      <c r="V210" s="74"/>
      <c r="W210" s="74"/>
      <c r="X210" s="74"/>
      <c r="Y210" s="74"/>
      <c r="Z210" s="74"/>
      <c r="AA210" s="74"/>
      <c r="AB210" s="74"/>
      <c r="AC210" s="74"/>
      <c r="AD210" s="74"/>
      <c r="AE210" s="74"/>
      <c r="AF210" s="74"/>
      <c r="AG210" s="74"/>
      <c r="AH210" s="74"/>
    </row>
    <row r="211" customFormat="false" ht="15" hidden="false" customHeight="false" outlineLevel="0" collapsed="false">
      <c r="A211" s="74"/>
      <c r="B211" s="74"/>
      <c r="C211" s="74"/>
      <c r="D211" s="74"/>
      <c r="E211" s="74"/>
      <c r="F211" s="74"/>
      <c r="G211" s="74"/>
      <c r="H211" s="74"/>
      <c r="I211" s="74"/>
      <c r="J211" s="74"/>
      <c r="K211" s="74"/>
      <c r="L211" s="74"/>
      <c r="M211" s="74"/>
      <c r="N211" s="74"/>
      <c r="O211" s="74"/>
      <c r="P211" s="74"/>
      <c r="Q211" s="74"/>
      <c r="R211" s="74"/>
      <c r="S211" s="74"/>
      <c r="T211" s="74"/>
      <c r="U211" s="74"/>
      <c r="V211" s="74"/>
      <c r="W211" s="74"/>
      <c r="X211" s="74"/>
      <c r="Y211" s="74"/>
      <c r="Z211" s="74"/>
      <c r="AA211" s="74"/>
      <c r="AB211" s="74"/>
      <c r="AC211" s="74"/>
      <c r="AD211" s="74"/>
      <c r="AE211" s="74"/>
      <c r="AF211" s="74"/>
      <c r="AG211" s="74"/>
      <c r="AH211" s="74"/>
    </row>
    <row r="212" customFormat="false" ht="15" hidden="false" customHeight="false" outlineLevel="0" collapsed="false">
      <c r="A212" s="74"/>
      <c r="B212" s="74"/>
      <c r="C212" s="74"/>
      <c r="D212" s="74"/>
      <c r="E212" s="74"/>
      <c r="F212" s="74"/>
      <c r="G212" s="74"/>
      <c r="H212" s="74"/>
      <c r="I212" s="74"/>
      <c r="J212" s="74"/>
      <c r="K212" s="74"/>
      <c r="L212" s="74"/>
      <c r="M212" s="74"/>
      <c r="N212" s="74"/>
      <c r="O212" s="74"/>
      <c r="P212" s="74"/>
      <c r="Q212" s="74"/>
      <c r="R212" s="74"/>
      <c r="S212" s="74"/>
      <c r="T212" s="74"/>
      <c r="U212" s="74"/>
      <c r="V212" s="74"/>
      <c r="W212" s="74"/>
      <c r="X212" s="74"/>
      <c r="Y212" s="74"/>
      <c r="Z212" s="74"/>
      <c r="AA212" s="74"/>
      <c r="AB212" s="74"/>
      <c r="AC212" s="74"/>
      <c r="AD212" s="74"/>
      <c r="AE212" s="74"/>
      <c r="AF212" s="74"/>
      <c r="AG212" s="74"/>
      <c r="AH212" s="74"/>
    </row>
    <row r="213" customFormat="false" ht="15" hidden="false" customHeight="false" outlineLevel="0" collapsed="false">
      <c r="A213" s="74"/>
      <c r="B213" s="74"/>
      <c r="C213" s="74"/>
      <c r="D213" s="74"/>
      <c r="E213" s="74"/>
      <c r="F213" s="74"/>
      <c r="G213" s="74"/>
      <c r="H213" s="74"/>
      <c r="I213" s="74"/>
      <c r="J213" s="74"/>
      <c r="K213" s="74"/>
      <c r="L213" s="74"/>
      <c r="M213" s="74"/>
      <c r="N213" s="74"/>
      <c r="O213" s="74"/>
      <c r="P213" s="74"/>
      <c r="Q213" s="74"/>
      <c r="R213" s="74"/>
      <c r="S213" s="74"/>
      <c r="T213" s="74"/>
      <c r="U213" s="74"/>
      <c r="V213" s="74"/>
      <c r="W213" s="74"/>
      <c r="X213" s="74"/>
      <c r="Y213" s="74"/>
      <c r="Z213" s="74"/>
      <c r="AA213" s="74"/>
      <c r="AB213" s="74"/>
      <c r="AC213" s="74"/>
      <c r="AD213" s="74"/>
      <c r="AE213" s="74"/>
      <c r="AF213" s="74"/>
      <c r="AG213" s="74"/>
      <c r="AH213" s="74"/>
    </row>
    <row r="214" customFormat="false" ht="15" hidden="false" customHeight="false" outlineLevel="0" collapsed="false">
      <c r="A214" s="74"/>
      <c r="B214" s="74"/>
      <c r="C214" s="74"/>
      <c r="D214" s="74"/>
      <c r="E214" s="74"/>
      <c r="F214" s="74"/>
      <c r="G214" s="74"/>
      <c r="H214" s="74"/>
      <c r="I214" s="74"/>
      <c r="J214" s="74"/>
      <c r="K214" s="74"/>
      <c r="L214" s="74"/>
      <c r="M214" s="74"/>
      <c r="N214" s="74"/>
      <c r="O214" s="74"/>
      <c r="P214" s="74"/>
      <c r="Q214" s="74"/>
      <c r="R214" s="74"/>
      <c r="S214" s="74"/>
      <c r="T214" s="74"/>
      <c r="U214" s="74"/>
      <c r="V214" s="74"/>
      <c r="W214" s="74"/>
      <c r="X214" s="74"/>
      <c r="Y214" s="74"/>
      <c r="Z214" s="74"/>
      <c r="AA214" s="74"/>
      <c r="AB214" s="74"/>
      <c r="AC214" s="74"/>
      <c r="AD214" s="74"/>
      <c r="AE214" s="74"/>
      <c r="AF214" s="74"/>
      <c r="AG214" s="74"/>
      <c r="AH214" s="74"/>
    </row>
    <row r="215" customFormat="false" ht="15" hidden="false" customHeight="false" outlineLevel="0" collapsed="false">
      <c r="A215" s="74"/>
      <c r="B215" s="74"/>
      <c r="C215" s="74"/>
      <c r="D215" s="74"/>
      <c r="E215" s="74"/>
      <c r="F215" s="74"/>
      <c r="G215" s="74"/>
      <c r="H215" s="74"/>
      <c r="I215" s="74"/>
      <c r="J215" s="74"/>
      <c r="K215" s="74"/>
      <c r="L215" s="74"/>
      <c r="M215" s="74"/>
      <c r="N215" s="74"/>
      <c r="O215" s="74"/>
      <c r="P215" s="74"/>
      <c r="Q215" s="74"/>
      <c r="R215" s="74"/>
      <c r="S215" s="74"/>
      <c r="T215" s="74"/>
      <c r="U215" s="74"/>
      <c r="V215" s="74"/>
      <c r="W215" s="74"/>
      <c r="X215" s="74"/>
      <c r="Y215" s="74"/>
      <c r="Z215" s="74"/>
      <c r="AA215" s="74"/>
      <c r="AB215" s="74"/>
      <c r="AC215" s="74"/>
      <c r="AD215" s="74"/>
      <c r="AE215" s="74"/>
      <c r="AF215" s="74"/>
      <c r="AG215" s="74"/>
      <c r="AH215" s="74"/>
    </row>
    <row r="216" customFormat="false" ht="15" hidden="false" customHeight="false" outlineLevel="0" collapsed="false">
      <c r="A216" s="74"/>
      <c r="B216" s="74"/>
      <c r="C216" s="74"/>
      <c r="D216" s="74"/>
      <c r="E216" s="74"/>
      <c r="F216" s="74"/>
      <c r="G216" s="74"/>
      <c r="H216" s="74"/>
      <c r="I216" s="74"/>
      <c r="J216" s="74"/>
      <c r="K216" s="74"/>
      <c r="L216" s="74"/>
      <c r="M216" s="74"/>
      <c r="N216" s="74"/>
      <c r="O216" s="74"/>
      <c r="P216" s="74"/>
      <c r="Q216" s="74"/>
      <c r="R216" s="74"/>
      <c r="S216" s="74"/>
      <c r="T216" s="74"/>
      <c r="U216" s="74"/>
      <c r="V216" s="74"/>
      <c r="W216" s="74"/>
      <c r="X216" s="74"/>
      <c r="Y216" s="74"/>
      <c r="Z216" s="74"/>
      <c r="AA216" s="74"/>
      <c r="AB216" s="74"/>
      <c r="AC216" s="74"/>
      <c r="AD216" s="74"/>
      <c r="AE216" s="74"/>
      <c r="AF216" s="74"/>
      <c r="AG216" s="74"/>
      <c r="AH216" s="74"/>
    </row>
    <row r="217" customFormat="false" ht="15" hidden="false" customHeight="false" outlineLevel="0" collapsed="false">
      <c r="A217" s="74"/>
      <c r="B217" s="74"/>
      <c r="C217" s="74"/>
      <c r="D217" s="74"/>
      <c r="E217" s="74"/>
      <c r="F217" s="74"/>
      <c r="G217" s="74"/>
      <c r="H217" s="74"/>
      <c r="I217" s="74"/>
      <c r="J217" s="74"/>
      <c r="K217" s="74"/>
      <c r="L217" s="74"/>
      <c r="M217" s="74"/>
      <c r="N217" s="74"/>
      <c r="O217" s="74"/>
      <c r="P217" s="74"/>
      <c r="Q217" s="74"/>
      <c r="R217" s="74"/>
      <c r="S217" s="74"/>
      <c r="T217" s="74"/>
      <c r="U217" s="74"/>
      <c r="V217" s="74"/>
      <c r="W217" s="74"/>
      <c r="X217" s="74"/>
      <c r="Y217" s="74"/>
      <c r="Z217" s="74"/>
      <c r="AA217" s="74"/>
      <c r="AB217" s="74"/>
      <c r="AC217" s="74"/>
      <c r="AD217" s="74"/>
      <c r="AE217" s="74"/>
      <c r="AF217" s="74"/>
      <c r="AG217" s="74"/>
      <c r="AH217" s="74"/>
    </row>
    <row r="218" customFormat="false" ht="15" hidden="false" customHeight="false" outlineLevel="0" collapsed="false">
      <c r="A218" s="74"/>
      <c r="B218" s="74"/>
      <c r="C218" s="74"/>
      <c r="D218" s="74"/>
      <c r="E218" s="74"/>
      <c r="F218" s="74"/>
      <c r="G218" s="74"/>
      <c r="H218" s="74"/>
      <c r="I218" s="74"/>
      <c r="J218" s="74"/>
      <c r="K218" s="74"/>
      <c r="L218" s="74"/>
      <c r="M218" s="74"/>
      <c r="N218" s="74"/>
      <c r="O218" s="74"/>
      <c r="P218" s="74"/>
      <c r="Q218" s="74"/>
      <c r="R218" s="74"/>
      <c r="S218" s="74"/>
      <c r="T218" s="74"/>
      <c r="U218" s="74"/>
      <c r="V218" s="74"/>
      <c r="W218" s="74"/>
      <c r="X218" s="74"/>
      <c r="Y218" s="74"/>
      <c r="Z218" s="74"/>
      <c r="AA218" s="74"/>
      <c r="AB218" s="74"/>
      <c r="AC218" s="74"/>
      <c r="AD218" s="74"/>
      <c r="AE218" s="74"/>
      <c r="AF218" s="74"/>
      <c r="AG218" s="74"/>
      <c r="AH218" s="74"/>
    </row>
    <row r="219" customFormat="false" ht="15" hidden="false" customHeight="false" outlineLevel="0" collapsed="false">
      <c r="A219" s="74"/>
      <c r="B219" s="74"/>
      <c r="C219" s="74"/>
      <c r="D219" s="74"/>
      <c r="E219" s="74"/>
      <c r="F219" s="74"/>
      <c r="G219" s="74"/>
      <c r="H219" s="74"/>
      <c r="I219" s="74"/>
      <c r="J219" s="74"/>
      <c r="K219" s="74"/>
      <c r="L219" s="74"/>
      <c r="M219" s="74"/>
      <c r="N219" s="74"/>
      <c r="O219" s="74"/>
      <c r="P219" s="74"/>
      <c r="Q219" s="74"/>
      <c r="R219" s="74"/>
      <c r="S219" s="74"/>
      <c r="T219" s="74"/>
      <c r="U219" s="74"/>
      <c r="V219" s="74"/>
      <c r="W219" s="74"/>
      <c r="X219" s="74"/>
      <c r="Y219" s="74"/>
      <c r="Z219" s="74"/>
      <c r="AA219" s="74"/>
      <c r="AB219" s="74"/>
      <c r="AC219" s="74"/>
      <c r="AD219" s="74"/>
      <c r="AE219" s="74"/>
      <c r="AF219" s="74"/>
      <c r="AG219" s="74"/>
      <c r="AH219" s="74"/>
    </row>
    <row r="220" customFormat="false" ht="15" hidden="false" customHeight="false" outlineLevel="0" collapsed="false">
      <c r="A220" s="74"/>
      <c r="B220" s="74"/>
      <c r="C220" s="74"/>
      <c r="D220" s="74"/>
      <c r="E220" s="74"/>
      <c r="F220" s="74"/>
      <c r="G220" s="74"/>
      <c r="H220" s="74"/>
      <c r="I220" s="74"/>
      <c r="J220" s="74"/>
      <c r="K220" s="74"/>
      <c r="L220" s="74"/>
      <c r="M220" s="74"/>
      <c r="N220" s="74"/>
      <c r="O220" s="74"/>
      <c r="P220" s="74"/>
      <c r="Q220" s="74"/>
      <c r="R220" s="74"/>
      <c r="S220" s="74"/>
      <c r="T220" s="74"/>
      <c r="U220" s="74"/>
      <c r="V220" s="74"/>
      <c r="W220" s="74"/>
      <c r="X220" s="74"/>
      <c r="Y220" s="74"/>
      <c r="Z220" s="74"/>
      <c r="AA220" s="74"/>
      <c r="AB220" s="74"/>
      <c r="AC220" s="74"/>
      <c r="AD220" s="74"/>
      <c r="AE220" s="74"/>
      <c r="AF220" s="74"/>
      <c r="AG220" s="74"/>
      <c r="AH220" s="74"/>
    </row>
    <row r="221" customFormat="false" ht="15" hidden="false" customHeight="false" outlineLevel="0" collapsed="false">
      <c r="A221" s="74"/>
      <c r="B221" s="74"/>
      <c r="C221" s="74"/>
      <c r="D221" s="74"/>
      <c r="E221" s="74"/>
      <c r="F221" s="74"/>
      <c r="G221" s="74"/>
      <c r="H221" s="74"/>
      <c r="I221" s="74"/>
      <c r="J221" s="74"/>
      <c r="K221" s="74"/>
      <c r="L221" s="74"/>
      <c r="M221" s="74"/>
      <c r="N221" s="74"/>
      <c r="O221" s="74"/>
      <c r="P221" s="74"/>
      <c r="Q221" s="74"/>
      <c r="R221" s="74"/>
      <c r="S221" s="74"/>
      <c r="T221" s="74"/>
      <c r="U221" s="74"/>
      <c r="V221" s="74"/>
      <c r="W221" s="74"/>
      <c r="X221" s="74"/>
      <c r="Y221" s="74"/>
      <c r="Z221" s="74"/>
      <c r="AA221" s="74"/>
      <c r="AB221" s="74"/>
      <c r="AC221" s="74"/>
      <c r="AD221" s="74"/>
      <c r="AE221" s="74"/>
      <c r="AF221" s="74"/>
      <c r="AG221" s="74"/>
      <c r="AH221" s="74"/>
    </row>
    <row r="222" customFormat="false" ht="15" hidden="false" customHeight="false" outlineLevel="0" collapsed="false">
      <c r="A222" s="74"/>
      <c r="B222" s="74"/>
      <c r="C222" s="74"/>
      <c r="D222" s="74"/>
      <c r="E222" s="74"/>
      <c r="F222" s="74"/>
      <c r="G222" s="74"/>
      <c r="H222" s="74"/>
      <c r="I222" s="74"/>
      <c r="J222" s="74"/>
      <c r="K222" s="74"/>
      <c r="L222" s="74"/>
      <c r="M222" s="74"/>
      <c r="N222" s="74"/>
      <c r="O222" s="74"/>
      <c r="P222" s="74"/>
      <c r="Q222" s="74"/>
      <c r="R222" s="74"/>
      <c r="S222" s="74"/>
      <c r="T222" s="74"/>
      <c r="U222" s="74"/>
      <c r="V222" s="74"/>
      <c r="W222" s="74"/>
      <c r="X222" s="74"/>
      <c r="Y222" s="74"/>
      <c r="Z222" s="74"/>
      <c r="AA222" s="74"/>
      <c r="AB222" s="74"/>
      <c r="AC222" s="74"/>
      <c r="AD222" s="74"/>
      <c r="AE222" s="74"/>
      <c r="AF222" s="74"/>
      <c r="AG222" s="74"/>
      <c r="AH222" s="74"/>
    </row>
    <row r="223" customFormat="false" ht="15" hidden="false" customHeight="false" outlineLevel="0" collapsed="false">
      <c r="A223" s="74"/>
      <c r="B223" s="74"/>
      <c r="C223" s="74"/>
      <c r="D223" s="74"/>
      <c r="E223" s="74"/>
      <c r="F223" s="74"/>
      <c r="G223" s="74"/>
      <c r="H223" s="74"/>
      <c r="I223" s="74"/>
      <c r="J223" s="74"/>
      <c r="K223" s="74"/>
      <c r="L223" s="74"/>
      <c r="M223" s="74"/>
      <c r="N223" s="74"/>
      <c r="O223" s="74"/>
      <c r="P223" s="74"/>
      <c r="Q223" s="74"/>
      <c r="R223" s="74"/>
      <c r="S223" s="74"/>
      <c r="T223" s="74"/>
      <c r="U223" s="74"/>
      <c r="V223" s="74"/>
      <c r="W223" s="74"/>
      <c r="X223" s="74"/>
      <c r="Y223" s="74"/>
      <c r="Z223" s="74"/>
      <c r="AA223" s="74"/>
      <c r="AB223" s="74"/>
      <c r="AC223" s="74"/>
      <c r="AD223" s="74"/>
      <c r="AE223" s="74"/>
      <c r="AF223" s="74"/>
      <c r="AG223" s="74"/>
      <c r="AH223" s="74"/>
    </row>
    <row r="224" customFormat="false" ht="15" hidden="false" customHeight="false" outlineLevel="0" collapsed="false">
      <c r="A224" s="74"/>
      <c r="B224" s="74"/>
      <c r="C224" s="74"/>
      <c r="D224" s="74"/>
      <c r="E224" s="74"/>
      <c r="F224" s="74"/>
      <c r="G224" s="74"/>
      <c r="H224" s="74"/>
      <c r="I224" s="74"/>
      <c r="J224" s="74"/>
      <c r="K224" s="74"/>
      <c r="L224" s="74"/>
      <c r="M224" s="74"/>
      <c r="N224" s="74"/>
      <c r="O224" s="74"/>
      <c r="P224" s="74"/>
      <c r="Q224" s="74"/>
      <c r="R224" s="74"/>
      <c r="S224" s="74"/>
      <c r="T224" s="74"/>
      <c r="U224" s="74"/>
      <c r="V224" s="74"/>
      <c r="W224" s="74"/>
      <c r="X224" s="74"/>
      <c r="Y224" s="74"/>
      <c r="Z224" s="74"/>
      <c r="AA224" s="74"/>
      <c r="AB224" s="74"/>
      <c r="AC224" s="74"/>
      <c r="AD224" s="74"/>
      <c r="AE224" s="74"/>
      <c r="AF224" s="74"/>
      <c r="AG224" s="74"/>
      <c r="AH224" s="74"/>
    </row>
    <row r="225" customFormat="false" ht="15" hidden="false" customHeight="false" outlineLevel="0" collapsed="false">
      <c r="A225" s="74"/>
      <c r="B225" s="74"/>
      <c r="C225" s="74"/>
      <c r="D225" s="74"/>
      <c r="E225" s="74"/>
      <c r="F225" s="74"/>
      <c r="G225" s="74"/>
      <c r="H225" s="74"/>
      <c r="I225" s="74"/>
      <c r="J225" s="74"/>
      <c r="K225" s="74"/>
      <c r="L225" s="74"/>
      <c r="M225" s="74"/>
      <c r="N225" s="74"/>
      <c r="O225" s="74"/>
      <c r="P225" s="74"/>
      <c r="Q225" s="74"/>
      <c r="R225" s="74"/>
      <c r="S225" s="74"/>
      <c r="T225" s="74"/>
      <c r="U225" s="74"/>
      <c r="V225" s="74"/>
      <c r="W225" s="74"/>
      <c r="X225" s="74"/>
      <c r="Y225" s="74"/>
      <c r="Z225" s="74"/>
      <c r="AA225" s="74"/>
      <c r="AB225" s="74"/>
      <c r="AC225" s="74"/>
      <c r="AD225" s="74"/>
      <c r="AE225" s="74"/>
      <c r="AF225" s="74"/>
      <c r="AG225" s="74"/>
      <c r="AH225" s="74"/>
    </row>
    <row r="226" customFormat="false" ht="15" hidden="false" customHeight="false" outlineLevel="0" collapsed="false">
      <c r="A226" s="74"/>
      <c r="B226" s="74"/>
      <c r="C226" s="74"/>
      <c r="D226" s="74"/>
      <c r="E226" s="74"/>
      <c r="F226" s="74"/>
      <c r="G226" s="74"/>
      <c r="H226" s="74"/>
      <c r="I226" s="74"/>
      <c r="J226" s="74"/>
      <c r="K226" s="74"/>
      <c r="L226" s="74"/>
      <c r="M226" s="74"/>
      <c r="N226" s="74"/>
      <c r="O226" s="74"/>
      <c r="P226" s="74"/>
      <c r="Q226" s="74"/>
      <c r="R226" s="74"/>
      <c r="S226" s="74"/>
      <c r="T226" s="74"/>
      <c r="U226" s="74"/>
      <c r="V226" s="74"/>
      <c r="W226" s="74"/>
      <c r="X226" s="74"/>
      <c r="Y226" s="74"/>
      <c r="Z226" s="74"/>
      <c r="AA226" s="74"/>
      <c r="AB226" s="74"/>
      <c r="AC226" s="74"/>
      <c r="AD226" s="74"/>
      <c r="AE226" s="74"/>
      <c r="AF226" s="74"/>
      <c r="AG226" s="74"/>
      <c r="AH226" s="74"/>
    </row>
    <row r="227" customFormat="false" ht="15" hidden="false" customHeight="false" outlineLevel="0" collapsed="false">
      <c r="A227" s="74"/>
      <c r="B227" s="74"/>
      <c r="C227" s="74"/>
      <c r="D227" s="74"/>
      <c r="E227" s="74"/>
      <c r="F227" s="74"/>
      <c r="G227" s="74"/>
      <c r="H227" s="74"/>
      <c r="I227" s="74"/>
      <c r="J227" s="74"/>
      <c r="K227" s="74"/>
      <c r="L227" s="74"/>
      <c r="M227" s="74"/>
      <c r="N227" s="74"/>
      <c r="O227" s="74"/>
      <c r="P227" s="74"/>
      <c r="Q227" s="74"/>
      <c r="R227" s="74"/>
      <c r="S227" s="74"/>
      <c r="T227" s="74"/>
      <c r="U227" s="74"/>
      <c r="V227" s="74"/>
      <c r="W227" s="74"/>
      <c r="X227" s="74"/>
      <c r="Y227" s="74"/>
      <c r="Z227" s="74"/>
      <c r="AA227" s="74"/>
      <c r="AB227" s="74"/>
      <c r="AC227" s="74"/>
      <c r="AD227" s="74"/>
      <c r="AE227" s="74"/>
      <c r="AF227" s="74"/>
      <c r="AG227" s="74"/>
      <c r="AH227" s="74"/>
    </row>
    <row r="228" customFormat="false" ht="15" hidden="false" customHeight="false" outlineLevel="0" collapsed="false">
      <c r="A228" s="74"/>
      <c r="B228" s="74"/>
      <c r="C228" s="74"/>
      <c r="D228" s="74"/>
      <c r="E228" s="74"/>
      <c r="F228" s="74"/>
      <c r="G228" s="74"/>
      <c r="H228" s="74"/>
      <c r="I228" s="74"/>
      <c r="J228" s="74"/>
      <c r="K228" s="74"/>
      <c r="L228" s="74"/>
      <c r="M228" s="74"/>
      <c r="N228" s="74"/>
      <c r="O228" s="74"/>
      <c r="P228" s="74"/>
      <c r="Q228" s="74"/>
      <c r="R228" s="74"/>
      <c r="S228" s="74"/>
      <c r="T228" s="74"/>
      <c r="U228" s="74"/>
      <c r="V228" s="74"/>
      <c r="W228" s="74"/>
      <c r="X228" s="74"/>
      <c r="Y228" s="74"/>
      <c r="Z228" s="74"/>
      <c r="AA228" s="74"/>
      <c r="AB228" s="74"/>
      <c r="AC228" s="74"/>
      <c r="AD228" s="74"/>
      <c r="AE228" s="74"/>
      <c r="AF228" s="74"/>
      <c r="AG228" s="74"/>
      <c r="AH228" s="74"/>
    </row>
    <row r="229" customFormat="false" ht="15" hidden="false" customHeight="false" outlineLevel="0" collapsed="false">
      <c r="A229" s="74"/>
      <c r="B229" s="74"/>
      <c r="C229" s="74"/>
      <c r="D229" s="74"/>
      <c r="E229" s="74"/>
      <c r="F229" s="74"/>
      <c r="G229" s="74"/>
      <c r="H229" s="74"/>
      <c r="I229" s="74"/>
      <c r="J229" s="74"/>
      <c r="K229" s="74"/>
      <c r="L229" s="74"/>
      <c r="M229" s="74"/>
      <c r="N229" s="74"/>
      <c r="O229" s="74"/>
      <c r="P229" s="74"/>
      <c r="Q229" s="74"/>
      <c r="R229" s="74"/>
      <c r="S229" s="74"/>
      <c r="T229" s="74"/>
      <c r="U229" s="74"/>
      <c r="V229" s="74"/>
      <c r="W229" s="74"/>
      <c r="X229" s="74"/>
      <c r="Y229" s="74"/>
      <c r="Z229" s="74"/>
      <c r="AA229" s="74"/>
      <c r="AB229" s="74"/>
      <c r="AC229" s="74"/>
      <c r="AD229" s="74"/>
      <c r="AE229" s="74"/>
      <c r="AF229" s="74"/>
      <c r="AG229" s="74"/>
      <c r="AH229" s="74"/>
    </row>
    <row r="230" customFormat="false" ht="15" hidden="false" customHeight="false" outlineLevel="0" collapsed="false">
      <c r="A230" s="74"/>
      <c r="B230" s="74"/>
      <c r="C230" s="74"/>
      <c r="D230" s="74"/>
      <c r="E230" s="74"/>
      <c r="F230" s="74"/>
      <c r="G230" s="74"/>
      <c r="H230" s="74"/>
      <c r="I230" s="74"/>
      <c r="J230" s="74"/>
      <c r="K230" s="74"/>
      <c r="L230" s="74"/>
      <c r="M230" s="74"/>
      <c r="N230" s="74"/>
      <c r="O230" s="74"/>
      <c r="P230" s="74"/>
      <c r="Q230" s="74"/>
      <c r="R230" s="74"/>
      <c r="S230" s="74"/>
      <c r="T230" s="74"/>
      <c r="U230" s="74"/>
      <c r="V230" s="74"/>
      <c r="W230" s="74"/>
      <c r="X230" s="74"/>
      <c r="Y230" s="74"/>
      <c r="Z230" s="74"/>
      <c r="AA230" s="74"/>
      <c r="AB230" s="74"/>
      <c r="AC230" s="74"/>
      <c r="AD230" s="74"/>
      <c r="AE230" s="74"/>
      <c r="AF230" s="74"/>
      <c r="AG230" s="74"/>
      <c r="AH230" s="74"/>
    </row>
    <row r="231" customFormat="false" ht="15" hidden="false" customHeight="false" outlineLevel="0" collapsed="false">
      <c r="A231" s="74"/>
      <c r="B231" s="74"/>
      <c r="C231" s="74"/>
      <c r="D231" s="74"/>
      <c r="E231" s="74"/>
      <c r="F231" s="74"/>
      <c r="G231" s="74"/>
      <c r="H231" s="74"/>
      <c r="I231" s="74"/>
      <c r="J231" s="74"/>
      <c r="K231" s="74"/>
      <c r="L231" s="74"/>
      <c r="M231" s="74"/>
      <c r="N231" s="74"/>
      <c r="O231" s="74"/>
      <c r="P231" s="74"/>
      <c r="Q231" s="74"/>
      <c r="R231" s="74"/>
      <c r="S231" s="74"/>
      <c r="T231" s="74"/>
      <c r="U231" s="74"/>
      <c r="V231" s="74"/>
      <c r="W231" s="74"/>
      <c r="X231" s="74"/>
      <c r="Y231" s="74"/>
      <c r="Z231" s="74"/>
      <c r="AA231" s="74"/>
      <c r="AB231" s="74"/>
      <c r="AC231" s="74"/>
      <c r="AD231" s="74"/>
      <c r="AE231" s="74"/>
      <c r="AF231" s="74"/>
      <c r="AG231" s="74"/>
      <c r="AH231" s="74"/>
    </row>
    <row r="232" customFormat="false" ht="15" hidden="false" customHeight="false" outlineLevel="0" collapsed="false">
      <c r="A232" s="74"/>
      <c r="B232" s="74"/>
      <c r="C232" s="74"/>
      <c r="D232" s="74"/>
      <c r="E232" s="74"/>
      <c r="F232" s="74"/>
      <c r="G232" s="74"/>
      <c r="H232" s="74"/>
      <c r="I232" s="74"/>
      <c r="J232" s="74"/>
      <c r="K232" s="74"/>
      <c r="L232" s="74"/>
      <c r="M232" s="74"/>
      <c r="N232" s="74"/>
      <c r="O232" s="74"/>
      <c r="P232" s="74"/>
      <c r="Q232" s="74"/>
      <c r="R232" s="74"/>
      <c r="S232" s="74"/>
      <c r="T232" s="74"/>
      <c r="U232" s="74"/>
      <c r="V232" s="74"/>
      <c r="W232" s="74"/>
      <c r="X232" s="74"/>
      <c r="Y232" s="74"/>
      <c r="Z232" s="74"/>
      <c r="AA232" s="74"/>
      <c r="AB232" s="74"/>
      <c r="AC232" s="74"/>
      <c r="AD232" s="74"/>
      <c r="AE232" s="74"/>
      <c r="AF232" s="74"/>
      <c r="AG232" s="74"/>
      <c r="AH232" s="74"/>
    </row>
    <row r="233" customFormat="false" ht="15" hidden="false" customHeight="false" outlineLevel="0" collapsed="false">
      <c r="A233" s="74"/>
      <c r="B233" s="74"/>
      <c r="C233" s="74"/>
      <c r="D233" s="74"/>
      <c r="E233" s="74"/>
      <c r="F233" s="74"/>
      <c r="G233" s="74"/>
      <c r="H233" s="74"/>
      <c r="I233" s="74"/>
      <c r="J233" s="74"/>
      <c r="K233" s="74"/>
      <c r="L233" s="74"/>
      <c r="M233" s="74"/>
      <c r="N233" s="74"/>
      <c r="O233" s="74"/>
      <c r="P233" s="74"/>
      <c r="Q233" s="74"/>
      <c r="R233" s="74"/>
      <c r="S233" s="74"/>
      <c r="T233" s="74"/>
      <c r="U233" s="74"/>
      <c r="V233" s="74"/>
      <c r="W233" s="74"/>
      <c r="X233" s="74"/>
      <c r="Y233" s="74"/>
      <c r="Z233" s="74"/>
      <c r="AA233" s="74"/>
      <c r="AB233" s="74"/>
      <c r="AC233" s="74"/>
      <c r="AD233" s="74"/>
      <c r="AE233" s="74"/>
      <c r="AF233" s="74"/>
      <c r="AG233" s="74"/>
      <c r="AH233" s="74"/>
    </row>
    <row r="234" customFormat="false" ht="15" hidden="false" customHeight="false" outlineLevel="0" collapsed="false">
      <c r="A234" s="74"/>
      <c r="B234" s="74"/>
      <c r="C234" s="74"/>
      <c r="D234" s="74"/>
      <c r="E234" s="74"/>
      <c r="F234" s="74"/>
      <c r="G234" s="74"/>
      <c r="H234" s="74"/>
      <c r="I234" s="74"/>
      <c r="J234" s="74"/>
      <c r="K234" s="74"/>
      <c r="L234" s="74"/>
      <c r="M234" s="74"/>
      <c r="N234" s="74"/>
      <c r="O234" s="74"/>
      <c r="P234" s="74"/>
      <c r="Q234" s="74"/>
      <c r="R234" s="74"/>
      <c r="S234" s="74"/>
      <c r="T234" s="74"/>
      <c r="U234" s="74"/>
      <c r="V234" s="74"/>
      <c r="W234" s="74"/>
      <c r="X234" s="74"/>
      <c r="Y234" s="74"/>
      <c r="Z234" s="74"/>
      <c r="AA234" s="74"/>
      <c r="AB234" s="74"/>
      <c r="AC234" s="74"/>
      <c r="AD234" s="74"/>
      <c r="AE234" s="74"/>
      <c r="AF234" s="74"/>
      <c r="AG234" s="74"/>
      <c r="AH234" s="74"/>
    </row>
    <row r="235" customFormat="false" ht="15" hidden="false" customHeight="false" outlineLevel="0" collapsed="false">
      <c r="A235" s="74"/>
      <c r="B235" s="74"/>
      <c r="C235" s="74"/>
      <c r="D235" s="74"/>
      <c r="E235" s="74"/>
      <c r="F235" s="74"/>
      <c r="G235" s="74"/>
      <c r="H235" s="74"/>
      <c r="I235" s="74"/>
      <c r="J235" s="74"/>
      <c r="K235" s="74"/>
      <c r="L235" s="74"/>
      <c r="M235" s="74"/>
      <c r="N235" s="74"/>
      <c r="O235" s="74"/>
      <c r="P235" s="74"/>
      <c r="Q235" s="74"/>
      <c r="R235" s="74"/>
      <c r="S235" s="74"/>
      <c r="T235" s="74"/>
      <c r="U235" s="74"/>
      <c r="V235" s="74"/>
      <c r="W235" s="74"/>
      <c r="X235" s="74"/>
      <c r="Y235" s="74"/>
      <c r="Z235" s="74"/>
      <c r="AA235" s="74"/>
      <c r="AB235" s="74"/>
      <c r="AC235" s="74"/>
      <c r="AD235" s="74"/>
      <c r="AE235" s="74"/>
      <c r="AF235" s="74"/>
      <c r="AG235" s="74"/>
      <c r="AH235" s="74"/>
    </row>
    <row r="236" customFormat="false" ht="15" hidden="false" customHeight="false" outlineLevel="0" collapsed="false">
      <c r="A236" s="74"/>
      <c r="B236" s="74"/>
      <c r="C236" s="74"/>
      <c r="D236" s="74"/>
      <c r="E236" s="74"/>
      <c r="F236" s="74"/>
      <c r="G236" s="74"/>
      <c r="H236" s="74"/>
      <c r="I236" s="74"/>
      <c r="J236" s="74"/>
      <c r="K236" s="74"/>
      <c r="L236" s="74"/>
      <c r="M236" s="74"/>
      <c r="N236" s="74"/>
      <c r="O236" s="74"/>
      <c r="P236" s="74"/>
      <c r="Q236" s="74"/>
      <c r="R236" s="74"/>
      <c r="S236" s="74"/>
      <c r="T236" s="74"/>
      <c r="U236" s="74"/>
      <c r="V236" s="74"/>
      <c r="W236" s="74"/>
      <c r="X236" s="74"/>
      <c r="Y236" s="74"/>
      <c r="Z236" s="74"/>
      <c r="AA236" s="74"/>
      <c r="AB236" s="74"/>
      <c r="AC236" s="74"/>
      <c r="AD236" s="74"/>
      <c r="AE236" s="74"/>
      <c r="AF236" s="74"/>
      <c r="AG236" s="74"/>
      <c r="AH236" s="74"/>
    </row>
    <row r="237" customFormat="false" ht="15" hidden="false" customHeight="false" outlineLevel="0" collapsed="false">
      <c r="A237" s="74"/>
      <c r="B237" s="74"/>
      <c r="C237" s="74"/>
      <c r="D237" s="74"/>
      <c r="E237" s="74"/>
      <c r="F237" s="74"/>
      <c r="G237" s="74"/>
      <c r="H237" s="74"/>
      <c r="I237" s="74"/>
      <c r="J237" s="74"/>
      <c r="K237" s="74"/>
      <c r="L237" s="74"/>
      <c r="M237" s="74"/>
      <c r="N237" s="74"/>
      <c r="O237" s="74"/>
      <c r="P237" s="74"/>
      <c r="Q237" s="74"/>
      <c r="R237" s="74"/>
      <c r="S237" s="74"/>
      <c r="T237" s="74"/>
      <c r="U237" s="74"/>
      <c r="V237" s="74"/>
      <c r="W237" s="74"/>
      <c r="X237" s="74"/>
      <c r="Y237" s="74"/>
      <c r="Z237" s="74"/>
      <c r="AA237" s="74"/>
      <c r="AB237" s="74"/>
      <c r="AC237" s="74"/>
      <c r="AD237" s="74"/>
      <c r="AE237" s="74"/>
      <c r="AF237" s="74"/>
      <c r="AG237" s="74"/>
      <c r="AH237" s="74"/>
    </row>
    <row r="238" customFormat="false" ht="15" hidden="false" customHeight="false" outlineLevel="0" collapsed="false">
      <c r="A238" s="74"/>
      <c r="B238" s="74"/>
      <c r="C238" s="74"/>
      <c r="D238" s="74"/>
      <c r="E238" s="74"/>
      <c r="F238" s="74"/>
      <c r="G238" s="74"/>
      <c r="H238" s="74"/>
      <c r="I238" s="74"/>
      <c r="J238" s="74"/>
      <c r="K238" s="74"/>
      <c r="L238" s="74"/>
      <c r="M238" s="74"/>
      <c r="N238" s="74"/>
      <c r="O238" s="74"/>
      <c r="P238" s="74"/>
      <c r="Q238" s="74"/>
      <c r="R238" s="74"/>
      <c r="S238" s="74"/>
      <c r="T238" s="74"/>
      <c r="U238" s="74"/>
      <c r="V238" s="74"/>
      <c r="W238" s="74"/>
      <c r="X238" s="74"/>
      <c r="Y238" s="74"/>
      <c r="Z238" s="74"/>
      <c r="AA238" s="74"/>
      <c r="AB238" s="74"/>
      <c r="AC238" s="74"/>
      <c r="AD238" s="74"/>
      <c r="AE238" s="74"/>
      <c r="AF238" s="74"/>
      <c r="AG238" s="74"/>
      <c r="AH238" s="74"/>
    </row>
    <row r="239" customFormat="false" ht="15" hidden="false" customHeight="false" outlineLevel="0" collapsed="false">
      <c r="A239" s="74"/>
      <c r="B239" s="74"/>
      <c r="C239" s="74"/>
      <c r="D239" s="74"/>
      <c r="E239" s="74"/>
      <c r="F239" s="74"/>
      <c r="G239" s="74"/>
      <c r="H239" s="74"/>
      <c r="I239" s="74"/>
      <c r="J239" s="74"/>
      <c r="K239" s="74"/>
      <c r="L239" s="74"/>
      <c r="M239" s="74"/>
      <c r="N239" s="74"/>
      <c r="O239" s="74"/>
      <c r="P239" s="74"/>
      <c r="Q239" s="74"/>
      <c r="R239" s="74"/>
      <c r="S239" s="74"/>
      <c r="T239" s="74"/>
      <c r="U239" s="74"/>
      <c r="V239" s="74"/>
      <c r="W239" s="74"/>
      <c r="X239" s="74"/>
      <c r="Y239" s="74"/>
      <c r="Z239" s="74"/>
      <c r="AA239" s="74"/>
      <c r="AB239" s="74"/>
      <c r="AC239" s="74"/>
      <c r="AD239" s="74"/>
      <c r="AE239" s="74"/>
      <c r="AF239" s="74"/>
      <c r="AG239" s="74"/>
      <c r="AH239" s="74"/>
    </row>
    <row r="240" customFormat="false" ht="15" hidden="false" customHeight="false" outlineLevel="0" collapsed="false">
      <c r="A240" s="74"/>
      <c r="B240" s="74"/>
      <c r="C240" s="74"/>
      <c r="D240" s="74"/>
      <c r="E240" s="74"/>
      <c r="F240" s="74"/>
      <c r="G240" s="74"/>
      <c r="H240" s="74"/>
      <c r="I240" s="74"/>
      <c r="J240" s="74"/>
      <c r="K240" s="74"/>
      <c r="L240" s="74"/>
      <c r="M240" s="74"/>
      <c r="N240" s="74"/>
      <c r="O240" s="74"/>
      <c r="P240" s="74"/>
      <c r="Q240" s="74"/>
      <c r="R240" s="74"/>
      <c r="S240" s="74"/>
      <c r="T240" s="74"/>
      <c r="U240" s="74"/>
      <c r="V240" s="74"/>
      <c r="W240" s="74"/>
      <c r="X240" s="74"/>
      <c r="Y240" s="74"/>
      <c r="Z240" s="74"/>
      <c r="AA240" s="74"/>
      <c r="AB240" s="74"/>
      <c r="AC240" s="74"/>
      <c r="AD240" s="74"/>
      <c r="AE240" s="74"/>
      <c r="AF240" s="74"/>
      <c r="AG240" s="74"/>
      <c r="AH240" s="74"/>
    </row>
    <row r="241" customFormat="false" ht="15" hidden="false" customHeight="false" outlineLevel="0" collapsed="false">
      <c r="A241" s="74"/>
      <c r="B241" s="74"/>
      <c r="C241" s="74"/>
      <c r="D241" s="74"/>
      <c r="E241" s="74"/>
      <c r="F241" s="74"/>
      <c r="G241" s="74"/>
      <c r="H241" s="74"/>
      <c r="I241" s="74"/>
      <c r="J241" s="74"/>
      <c r="K241" s="74"/>
      <c r="L241" s="74"/>
      <c r="M241" s="74"/>
      <c r="N241" s="74"/>
      <c r="O241" s="74"/>
      <c r="P241" s="74"/>
      <c r="Q241" s="74"/>
      <c r="R241" s="74"/>
      <c r="S241" s="74"/>
      <c r="T241" s="74"/>
      <c r="U241" s="74"/>
      <c r="V241" s="74"/>
      <c r="W241" s="74"/>
      <c r="X241" s="74"/>
      <c r="Y241" s="74"/>
      <c r="Z241" s="74"/>
      <c r="AA241" s="74"/>
      <c r="AB241" s="74"/>
      <c r="AC241" s="74"/>
      <c r="AD241" s="74"/>
      <c r="AE241" s="74"/>
      <c r="AF241" s="74"/>
      <c r="AG241" s="74"/>
      <c r="AH241" s="74"/>
    </row>
    <row r="242" customFormat="false" ht="15" hidden="false" customHeight="false" outlineLevel="0" collapsed="false">
      <c r="A242" s="74"/>
      <c r="B242" s="74"/>
      <c r="C242" s="74"/>
      <c r="D242" s="74"/>
      <c r="E242" s="74"/>
      <c r="F242" s="74"/>
      <c r="G242" s="74"/>
      <c r="H242" s="74"/>
      <c r="I242" s="74"/>
      <c r="J242" s="74"/>
      <c r="K242" s="74"/>
      <c r="L242" s="74"/>
      <c r="M242" s="74"/>
      <c r="N242" s="74"/>
      <c r="O242" s="74"/>
      <c r="P242" s="74"/>
      <c r="Q242" s="74"/>
      <c r="R242" s="74"/>
      <c r="S242" s="74"/>
      <c r="T242" s="74"/>
      <c r="U242" s="74"/>
      <c r="V242" s="74"/>
      <c r="W242" s="74"/>
      <c r="X242" s="74"/>
      <c r="Y242" s="74"/>
      <c r="Z242" s="74"/>
      <c r="AA242" s="74"/>
      <c r="AB242" s="74"/>
      <c r="AC242" s="74"/>
      <c r="AD242" s="74"/>
      <c r="AE242" s="74"/>
      <c r="AF242" s="74"/>
      <c r="AG242" s="74"/>
      <c r="AH242" s="74"/>
    </row>
    <row r="243" customFormat="false" ht="15" hidden="false" customHeight="false" outlineLevel="0" collapsed="false">
      <c r="A243" s="74"/>
      <c r="B243" s="74"/>
      <c r="C243" s="74"/>
      <c r="D243" s="74"/>
      <c r="E243" s="74"/>
      <c r="F243" s="74"/>
      <c r="G243" s="74"/>
      <c r="H243" s="74"/>
      <c r="I243" s="74"/>
      <c r="J243" s="74"/>
      <c r="K243" s="74"/>
      <c r="L243" s="74"/>
      <c r="M243" s="74"/>
      <c r="N243" s="74"/>
      <c r="O243" s="74"/>
      <c r="P243" s="74"/>
      <c r="Q243" s="74"/>
      <c r="R243" s="74"/>
      <c r="S243" s="74"/>
      <c r="T243" s="74"/>
      <c r="U243" s="74"/>
      <c r="V243" s="74"/>
      <c r="W243" s="74"/>
      <c r="X243" s="74"/>
      <c r="Y243" s="74"/>
      <c r="Z243" s="74"/>
      <c r="AA243" s="74"/>
      <c r="AB243" s="74"/>
      <c r="AC243" s="74"/>
      <c r="AD243" s="74"/>
      <c r="AE243" s="74"/>
      <c r="AF243" s="74"/>
      <c r="AG243" s="74"/>
      <c r="AH243" s="74"/>
    </row>
    <row r="244" customFormat="false" ht="15" hidden="false" customHeight="false" outlineLevel="0" collapsed="false">
      <c r="A244" s="74"/>
      <c r="B244" s="74"/>
      <c r="C244" s="74"/>
      <c r="D244" s="74"/>
      <c r="E244" s="74"/>
      <c r="F244" s="74"/>
      <c r="G244" s="74"/>
      <c r="H244" s="74"/>
      <c r="I244" s="74"/>
      <c r="J244" s="74"/>
      <c r="K244" s="74"/>
      <c r="L244" s="74"/>
      <c r="M244" s="74"/>
      <c r="N244" s="74"/>
      <c r="O244" s="74"/>
      <c r="P244" s="74"/>
      <c r="Q244" s="74"/>
      <c r="R244" s="74"/>
      <c r="S244" s="74"/>
      <c r="T244" s="74"/>
      <c r="U244" s="74"/>
      <c r="V244" s="74"/>
      <c r="W244" s="74"/>
      <c r="X244" s="74"/>
      <c r="Y244" s="74"/>
      <c r="Z244" s="74"/>
      <c r="AA244" s="74"/>
      <c r="AB244" s="74"/>
      <c r="AC244" s="74"/>
      <c r="AD244" s="74"/>
      <c r="AE244" s="74"/>
      <c r="AF244" s="74"/>
      <c r="AG244" s="74"/>
      <c r="AH244" s="74"/>
    </row>
    <row r="245" customFormat="false" ht="15" hidden="false" customHeight="false" outlineLevel="0" collapsed="false">
      <c r="A245" s="74"/>
      <c r="B245" s="74"/>
      <c r="C245" s="74"/>
      <c r="D245" s="74"/>
      <c r="E245" s="74"/>
      <c r="F245" s="74"/>
      <c r="G245" s="74"/>
      <c r="H245" s="74"/>
      <c r="I245" s="74"/>
      <c r="J245" s="74"/>
      <c r="K245" s="74"/>
      <c r="L245" s="74"/>
      <c r="M245" s="74"/>
      <c r="N245" s="74"/>
      <c r="O245" s="74"/>
      <c r="P245" s="74"/>
      <c r="Q245" s="74"/>
      <c r="R245" s="74"/>
      <c r="S245" s="74"/>
      <c r="T245" s="74"/>
      <c r="U245" s="74"/>
      <c r="V245" s="74"/>
      <c r="W245" s="74"/>
      <c r="X245" s="74"/>
      <c r="Y245" s="74"/>
      <c r="Z245" s="74"/>
      <c r="AA245" s="74"/>
      <c r="AB245" s="74"/>
      <c r="AC245" s="74"/>
      <c r="AD245" s="74"/>
      <c r="AE245" s="74"/>
      <c r="AF245" s="74"/>
      <c r="AG245" s="74"/>
      <c r="AH245" s="74"/>
    </row>
    <row r="246" customFormat="false" ht="15" hidden="false" customHeight="false" outlineLevel="0" collapsed="false">
      <c r="A246" s="74"/>
      <c r="B246" s="74"/>
      <c r="C246" s="74"/>
      <c r="D246" s="74"/>
      <c r="E246" s="74"/>
      <c r="F246" s="74"/>
      <c r="G246" s="74"/>
      <c r="H246" s="74"/>
      <c r="I246" s="74"/>
      <c r="J246" s="74"/>
      <c r="K246" s="74"/>
      <c r="L246" s="74"/>
      <c r="M246" s="74"/>
      <c r="N246" s="74"/>
      <c r="O246" s="74"/>
      <c r="P246" s="74"/>
      <c r="Q246" s="74"/>
      <c r="R246" s="74"/>
      <c r="S246" s="74"/>
      <c r="T246" s="74"/>
      <c r="U246" s="74"/>
      <c r="V246" s="74"/>
      <c r="W246" s="74"/>
      <c r="X246" s="74"/>
      <c r="Y246" s="74"/>
      <c r="Z246" s="74"/>
      <c r="AA246" s="74"/>
      <c r="AB246" s="74"/>
      <c r="AC246" s="74"/>
      <c r="AD246" s="74"/>
      <c r="AE246" s="74"/>
      <c r="AF246" s="74"/>
      <c r="AG246" s="74"/>
      <c r="AH246" s="74"/>
    </row>
    <row r="247" customFormat="false" ht="15" hidden="false" customHeight="false" outlineLevel="0" collapsed="false">
      <c r="A247" s="74"/>
      <c r="B247" s="74"/>
      <c r="C247" s="74"/>
      <c r="D247" s="74"/>
      <c r="E247" s="74"/>
      <c r="F247" s="74"/>
      <c r="G247" s="74"/>
      <c r="H247" s="74"/>
      <c r="I247" s="74"/>
      <c r="J247" s="74"/>
      <c r="K247" s="74"/>
      <c r="L247" s="74"/>
      <c r="M247" s="74"/>
      <c r="N247" s="74"/>
      <c r="O247" s="74"/>
      <c r="P247" s="74"/>
      <c r="Q247" s="74"/>
      <c r="R247" s="74"/>
      <c r="S247" s="74"/>
      <c r="T247" s="74"/>
      <c r="U247" s="74"/>
      <c r="V247" s="74"/>
      <c r="W247" s="74"/>
      <c r="X247" s="74"/>
      <c r="Y247" s="74"/>
      <c r="Z247" s="74"/>
      <c r="AA247" s="74"/>
      <c r="AB247" s="74"/>
      <c r="AC247" s="74"/>
      <c r="AD247" s="74"/>
      <c r="AE247" s="74"/>
      <c r="AF247" s="74"/>
      <c r="AG247" s="74"/>
      <c r="AH247" s="74"/>
    </row>
    <row r="248" customFormat="false" ht="15" hidden="false" customHeight="false" outlineLevel="0" collapsed="false">
      <c r="A248" s="74"/>
      <c r="B248" s="74"/>
      <c r="C248" s="74"/>
      <c r="D248" s="74"/>
      <c r="E248" s="74"/>
      <c r="F248" s="74"/>
      <c r="G248" s="74"/>
      <c r="H248" s="74"/>
      <c r="I248" s="74"/>
      <c r="J248" s="74"/>
      <c r="K248" s="74"/>
      <c r="L248" s="74"/>
      <c r="M248" s="74"/>
      <c r="N248" s="74"/>
      <c r="O248" s="74"/>
      <c r="P248" s="74"/>
      <c r="Q248" s="74"/>
      <c r="R248" s="74"/>
      <c r="S248" s="74"/>
      <c r="T248" s="74"/>
      <c r="U248" s="74"/>
      <c r="V248" s="74"/>
      <c r="W248" s="74"/>
      <c r="X248" s="74"/>
      <c r="Y248" s="74"/>
      <c r="Z248" s="74"/>
      <c r="AA248" s="74"/>
      <c r="AB248" s="74"/>
      <c r="AC248" s="74"/>
      <c r="AD248" s="74"/>
      <c r="AE248" s="74"/>
      <c r="AF248" s="74"/>
      <c r="AG248" s="74"/>
      <c r="AH248" s="74"/>
    </row>
    <row r="249" customFormat="false" ht="15" hidden="false" customHeight="false" outlineLevel="0" collapsed="false">
      <c r="A249" s="74"/>
      <c r="B249" s="74"/>
      <c r="C249" s="74"/>
      <c r="D249" s="74"/>
      <c r="E249" s="74"/>
      <c r="F249" s="74"/>
      <c r="G249" s="74"/>
      <c r="H249" s="74"/>
      <c r="I249" s="74"/>
      <c r="J249" s="74"/>
      <c r="K249" s="74"/>
      <c r="L249" s="74"/>
      <c r="M249" s="74"/>
      <c r="N249" s="74"/>
      <c r="O249" s="74"/>
      <c r="P249" s="74"/>
      <c r="Q249" s="74"/>
      <c r="R249" s="74"/>
      <c r="S249" s="74"/>
      <c r="T249" s="74"/>
      <c r="U249" s="74"/>
      <c r="V249" s="74"/>
      <c r="W249" s="74"/>
      <c r="X249" s="74"/>
      <c r="Y249" s="74"/>
      <c r="Z249" s="74"/>
      <c r="AA249" s="74"/>
      <c r="AB249" s="74"/>
      <c r="AC249" s="74"/>
      <c r="AD249" s="74"/>
      <c r="AE249" s="74"/>
      <c r="AF249" s="74"/>
      <c r="AG249" s="74"/>
      <c r="AH249" s="74"/>
    </row>
    <row r="250" customFormat="false" ht="15" hidden="false" customHeight="false" outlineLevel="0" collapsed="false">
      <c r="A250" s="74"/>
      <c r="B250" s="74"/>
      <c r="C250" s="74"/>
      <c r="D250" s="74"/>
      <c r="E250" s="74"/>
      <c r="F250" s="74"/>
      <c r="G250" s="74"/>
      <c r="H250" s="74"/>
      <c r="I250" s="74"/>
      <c r="J250" s="74"/>
      <c r="K250" s="74"/>
      <c r="L250" s="74"/>
      <c r="M250" s="74"/>
      <c r="N250" s="74"/>
      <c r="O250" s="74"/>
      <c r="P250" s="74"/>
      <c r="Q250" s="74"/>
      <c r="R250" s="74"/>
      <c r="S250" s="74"/>
      <c r="T250" s="74"/>
      <c r="U250" s="74"/>
      <c r="V250" s="74"/>
      <c r="W250" s="74"/>
      <c r="X250" s="74"/>
      <c r="Y250" s="74"/>
      <c r="Z250" s="74"/>
      <c r="AA250" s="74"/>
      <c r="AB250" s="74"/>
      <c r="AC250" s="74"/>
      <c r="AD250" s="74"/>
      <c r="AE250" s="74"/>
      <c r="AF250" s="74"/>
      <c r="AG250" s="74"/>
      <c r="AH250" s="74"/>
    </row>
    <row r="251" customFormat="false" ht="15" hidden="false" customHeight="false" outlineLevel="0" collapsed="false">
      <c r="A251" s="74"/>
      <c r="B251" s="74"/>
      <c r="C251" s="74"/>
      <c r="D251" s="74"/>
      <c r="E251" s="74"/>
      <c r="F251" s="74"/>
      <c r="G251" s="74"/>
      <c r="H251" s="74"/>
      <c r="I251" s="74"/>
      <c r="J251" s="74"/>
      <c r="K251" s="74"/>
      <c r="L251" s="74"/>
      <c r="M251" s="74"/>
      <c r="N251" s="74"/>
      <c r="O251" s="74"/>
      <c r="P251" s="74"/>
      <c r="Q251" s="74"/>
      <c r="R251" s="74"/>
      <c r="S251" s="74"/>
      <c r="T251" s="74"/>
      <c r="U251" s="74"/>
      <c r="V251" s="74"/>
      <c r="W251" s="74"/>
      <c r="X251" s="74"/>
      <c r="Y251" s="74"/>
      <c r="Z251" s="74"/>
      <c r="AA251" s="74"/>
      <c r="AB251" s="74"/>
      <c r="AC251" s="74"/>
      <c r="AD251" s="74"/>
      <c r="AE251" s="74"/>
      <c r="AF251" s="74"/>
      <c r="AG251" s="74"/>
      <c r="AH251" s="74"/>
    </row>
    <row r="252" customFormat="false" ht="15" hidden="false" customHeight="false" outlineLevel="0" collapsed="false">
      <c r="A252" s="74"/>
      <c r="B252" s="74"/>
      <c r="C252" s="74"/>
      <c r="D252" s="74"/>
      <c r="E252" s="74"/>
      <c r="F252" s="74"/>
      <c r="G252" s="74"/>
      <c r="H252" s="74"/>
      <c r="I252" s="74"/>
      <c r="J252" s="74"/>
      <c r="K252" s="74"/>
      <c r="L252" s="74"/>
      <c r="M252" s="74"/>
      <c r="N252" s="74"/>
      <c r="O252" s="74"/>
      <c r="P252" s="74"/>
      <c r="Q252" s="74"/>
      <c r="R252" s="74"/>
      <c r="S252" s="74"/>
      <c r="T252" s="74"/>
      <c r="U252" s="74"/>
      <c r="V252" s="74"/>
      <c r="W252" s="74"/>
      <c r="X252" s="74"/>
      <c r="Y252" s="74"/>
      <c r="Z252" s="74"/>
      <c r="AA252" s="74"/>
      <c r="AB252" s="74"/>
      <c r="AC252" s="74"/>
      <c r="AD252" s="74"/>
      <c r="AE252" s="74"/>
      <c r="AF252" s="74"/>
      <c r="AG252" s="74"/>
      <c r="AH252" s="74"/>
    </row>
    <row r="253" customFormat="false" ht="15" hidden="false" customHeight="false" outlineLevel="0" collapsed="false">
      <c r="A253" s="74"/>
      <c r="B253" s="74"/>
      <c r="C253" s="74"/>
      <c r="D253" s="74"/>
      <c r="E253" s="74"/>
      <c r="F253" s="74"/>
      <c r="G253" s="74"/>
      <c r="H253" s="74"/>
      <c r="I253" s="74"/>
      <c r="J253" s="74"/>
      <c r="K253" s="74"/>
      <c r="L253" s="74"/>
      <c r="M253" s="74"/>
      <c r="N253" s="74"/>
      <c r="O253" s="74"/>
      <c r="P253" s="74"/>
      <c r="Q253" s="74"/>
      <c r="R253" s="74"/>
      <c r="S253" s="74"/>
      <c r="T253" s="74"/>
      <c r="U253" s="74"/>
      <c r="V253" s="74"/>
      <c r="W253" s="74"/>
      <c r="X253" s="74"/>
      <c r="Y253" s="74"/>
      <c r="Z253" s="74"/>
      <c r="AA253" s="74"/>
      <c r="AB253" s="74"/>
      <c r="AC253" s="74"/>
      <c r="AD253" s="74"/>
      <c r="AE253" s="74"/>
      <c r="AF253" s="74"/>
      <c r="AG253" s="74"/>
      <c r="AH253" s="74"/>
    </row>
    <row r="254" customFormat="false" ht="15" hidden="false" customHeight="false" outlineLevel="0" collapsed="false">
      <c r="A254" s="74"/>
      <c r="B254" s="74"/>
      <c r="C254" s="74"/>
      <c r="D254" s="74"/>
      <c r="E254" s="74"/>
      <c r="F254" s="74"/>
      <c r="G254" s="74"/>
      <c r="H254" s="74"/>
      <c r="I254" s="74"/>
      <c r="J254" s="74"/>
      <c r="K254" s="74"/>
      <c r="L254" s="74"/>
      <c r="M254" s="74"/>
      <c r="N254" s="74"/>
      <c r="O254" s="74"/>
      <c r="P254" s="74"/>
      <c r="Q254" s="74"/>
      <c r="R254" s="74"/>
      <c r="S254" s="74"/>
      <c r="T254" s="74"/>
      <c r="U254" s="74"/>
      <c r="V254" s="74"/>
      <c r="W254" s="74"/>
      <c r="X254" s="74"/>
      <c r="Y254" s="74"/>
      <c r="Z254" s="74"/>
      <c r="AA254" s="74"/>
      <c r="AB254" s="74"/>
      <c r="AC254" s="74"/>
      <c r="AD254" s="74"/>
      <c r="AE254" s="74"/>
      <c r="AF254" s="74"/>
      <c r="AG254" s="74"/>
      <c r="AH254" s="74"/>
    </row>
    <row r="255" customFormat="false" ht="15" hidden="false" customHeight="false" outlineLevel="0" collapsed="false">
      <c r="A255" s="74"/>
      <c r="B255" s="74"/>
      <c r="C255" s="74"/>
      <c r="D255" s="74"/>
      <c r="E255" s="74"/>
      <c r="F255" s="74"/>
      <c r="G255" s="74"/>
      <c r="H255" s="74"/>
      <c r="I255" s="74"/>
      <c r="J255" s="74"/>
      <c r="K255" s="74"/>
      <c r="L255" s="74"/>
      <c r="M255" s="74"/>
      <c r="N255" s="74"/>
      <c r="O255" s="74"/>
      <c r="P255" s="74"/>
      <c r="Q255" s="74"/>
      <c r="R255" s="74"/>
      <c r="S255" s="74"/>
      <c r="T255" s="74"/>
      <c r="U255" s="74"/>
      <c r="V255" s="74"/>
      <c r="W255" s="74"/>
      <c r="X255" s="74"/>
      <c r="Y255" s="74"/>
      <c r="Z255" s="74"/>
      <c r="AA255" s="74"/>
      <c r="AB255" s="74"/>
      <c r="AC255" s="74"/>
      <c r="AD255" s="74"/>
      <c r="AE255" s="74"/>
      <c r="AF255" s="74"/>
      <c r="AG255" s="74"/>
      <c r="AH255" s="74"/>
    </row>
    <row r="256" customFormat="false" ht="15" hidden="false" customHeight="false" outlineLevel="0" collapsed="false">
      <c r="A256" s="74"/>
      <c r="B256" s="74"/>
      <c r="C256" s="74"/>
      <c r="D256" s="74"/>
      <c r="E256" s="74"/>
      <c r="F256" s="74"/>
      <c r="G256" s="74"/>
      <c r="H256" s="74"/>
      <c r="I256" s="74"/>
      <c r="J256" s="74"/>
      <c r="K256" s="74"/>
      <c r="L256" s="74"/>
      <c r="M256" s="74"/>
      <c r="N256" s="74"/>
      <c r="O256" s="74"/>
      <c r="P256" s="74"/>
      <c r="Q256" s="74"/>
      <c r="R256" s="74"/>
      <c r="S256" s="74"/>
      <c r="T256" s="74"/>
      <c r="U256" s="74"/>
      <c r="V256" s="74"/>
      <c r="W256" s="74"/>
      <c r="X256" s="74"/>
      <c r="Y256" s="74"/>
      <c r="Z256" s="74"/>
      <c r="AA256" s="74"/>
      <c r="AB256" s="74"/>
      <c r="AC256" s="74"/>
      <c r="AD256" s="74"/>
      <c r="AE256" s="74"/>
      <c r="AF256" s="74"/>
      <c r="AG256" s="74"/>
      <c r="AH256" s="74"/>
    </row>
    <row r="257" customFormat="false" ht="15" hidden="false" customHeight="false" outlineLevel="0" collapsed="false">
      <c r="A257" s="74"/>
      <c r="B257" s="74"/>
      <c r="C257" s="74"/>
      <c r="D257" s="74"/>
      <c r="E257" s="74"/>
      <c r="F257" s="74"/>
      <c r="G257" s="74"/>
      <c r="H257" s="74"/>
      <c r="I257" s="74"/>
      <c r="J257" s="74"/>
      <c r="K257" s="74"/>
      <c r="L257" s="74"/>
      <c r="M257" s="74"/>
      <c r="N257" s="74"/>
      <c r="O257" s="74"/>
      <c r="P257" s="74"/>
      <c r="Q257" s="74"/>
      <c r="R257" s="74"/>
      <c r="S257" s="74"/>
      <c r="T257" s="74"/>
      <c r="U257" s="74"/>
      <c r="V257" s="74"/>
      <c r="W257" s="74"/>
      <c r="X257" s="74"/>
      <c r="Y257" s="74"/>
      <c r="Z257" s="74"/>
      <c r="AA257" s="74"/>
      <c r="AB257" s="74"/>
      <c r="AC257" s="74"/>
      <c r="AD257" s="74"/>
      <c r="AE257" s="74"/>
      <c r="AF257" s="74"/>
      <c r="AG257" s="74"/>
      <c r="AH257" s="74"/>
    </row>
    <row r="258" customFormat="false" ht="15" hidden="false" customHeight="false" outlineLevel="0" collapsed="false">
      <c r="A258" s="74"/>
      <c r="B258" s="74"/>
      <c r="C258" s="74"/>
      <c r="D258" s="74"/>
      <c r="E258" s="74"/>
      <c r="F258" s="74"/>
      <c r="G258" s="74"/>
      <c r="H258" s="74"/>
      <c r="I258" s="74"/>
      <c r="J258" s="74"/>
      <c r="K258" s="74"/>
      <c r="L258" s="74"/>
      <c r="M258" s="74"/>
      <c r="N258" s="74"/>
      <c r="O258" s="74"/>
      <c r="P258" s="74"/>
      <c r="Q258" s="74"/>
      <c r="R258" s="74"/>
      <c r="S258" s="74"/>
      <c r="T258" s="74"/>
      <c r="U258" s="74"/>
      <c r="V258" s="74"/>
      <c r="W258" s="74"/>
      <c r="X258" s="74"/>
      <c r="Y258" s="74"/>
      <c r="Z258" s="74"/>
      <c r="AA258" s="74"/>
      <c r="AB258" s="74"/>
      <c r="AC258" s="74"/>
      <c r="AD258" s="74"/>
      <c r="AE258" s="74"/>
      <c r="AF258" s="74"/>
      <c r="AG258" s="74"/>
      <c r="AH258" s="74"/>
    </row>
    <row r="259" customFormat="false" ht="15" hidden="false" customHeight="false" outlineLevel="0" collapsed="false">
      <c r="A259" s="74"/>
      <c r="B259" s="74"/>
      <c r="C259" s="74"/>
      <c r="D259" s="74"/>
      <c r="E259" s="74"/>
      <c r="F259" s="74"/>
      <c r="G259" s="74"/>
      <c r="H259" s="74"/>
      <c r="I259" s="74"/>
      <c r="J259" s="74"/>
      <c r="K259" s="74"/>
      <c r="L259" s="74"/>
      <c r="M259" s="74"/>
      <c r="N259" s="74"/>
      <c r="O259" s="74"/>
      <c r="P259" s="74"/>
      <c r="Q259" s="74"/>
      <c r="R259" s="74"/>
      <c r="S259" s="74"/>
      <c r="T259" s="74"/>
      <c r="U259" s="74"/>
      <c r="V259" s="74"/>
      <c r="W259" s="74"/>
      <c r="X259" s="74"/>
      <c r="Y259" s="74"/>
      <c r="Z259" s="74"/>
      <c r="AA259" s="74"/>
      <c r="AB259" s="74"/>
      <c r="AC259" s="74"/>
      <c r="AD259" s="74"/>
      <c r="AE259" s="74"/>
      <c r="AF259" s="74"/>
      <c r="AG259" s="74"/>
      <c r="AH259" s="74"/>
    </row>
    <row r="260" customFormat="false" ht="15" hidden="false" customHeight="false" outlineLevel="0" collapsed="false">
      <c r="A260" s="74"/>
      <c r="B260" s="74"/>
      <c r="C260" s="74"/>
      <c r="D260" s="74"/>
      <c r="E260" s="74"/>
      <c r="F260" s="74"/>
      <c r="G260" s="74"/>
      <c r="H260" s="74"/>
      <c r="I260" s="74"/>
      <c r="J260" s="74"/>
      <c r="K260" s="74"/>
      <c r="L260" s="74"/>
      <c r="M260" s="74"/>
      <c r="N260" s="74"/>
      <c r="O260" s="74"/>
      <c r="P260" s="74"/>
      <c r="Q260" s="74"/>
      <c r="R260" s="74"/>
      <c r="S260" s="74"/>
      <c r="T260" s="74"/>
      <c r="U260" s="74"/>
      <c r="V260" s="74"/>
      <c r="W260" s="74"/>
      <c r="X260" s="74"/>
      <c r="Y260" s="74"/>
      <c r="Z260" s="74"/>
      <c r="AA260" s="74"/>
      <c r="AB260" s="74"/>
      <c r="AC260" s="74"/>
      <c r="AD260" s="74"/>
      <c r="AE260" s="74"/>
      <c r="AF260" s="74"/>
      <c r="AG260" s="74"/>
      <c r="AH260" s="74"/>
    </row>
    <row r="261" customFormat="false" ht="15" hidden="false" customHeight="false" outlineLevel="0" collapsed="false">
      <c r="A261" s="74"/>
      <c r="B261" s="74"/>
      <c r="C261" s="74"/>
      <c r="D261" s="74"/>
      <c r="E261" s="74"/>
      <c r="F261" s="74"/>
      <c r="G261" s="74"/>
      <c r="H261" s="74"/>
      <c r="I261" s="74"/>
      <c r="J261" s="74"/>
      <c r="K261" s="74"/>
      <c r="L261" s="74"/>
      <c r="M261" s="74"/>
      <c r="N261" s="74"/>
      <c r="O261" s="74"/>
      <c r="P261" s="74"/>
      <c r="Q261" s="74"/>
      <c r="R261" s="74"/>
      <c r="S261" s="74"/>
      <c r="T261" s="74"/>
      <c r="U261" s="74"/>
      <c r="V261" s="74"/>
      <c r="W261" s="74"/>
      <c r="X261" s="74"/>
      <c r="Y261" s="74"/>
      <c r="Z261" s="74"/>
      <c r="AA261" s="74"/>
      <c r="AB261" s="74"/>
      <c r="AC261" s="74"/>
      <c r="AD261" s="74"/>
      <c r="AE261" s="74"/>
      <c r="AF261" s="74"/>
      <c r="AG261" s="74"/>
      <c r="AH261" s="74"/>
    </row>
    <row r="262" customFormat="false" ht="15" hidden="false" customHeight="false" outlineLevel="0" collapsed="false">
      <c r="A262" s="74"/>
      <c r="B262" s="74"/>
      <c r="C262" s="74"/>
      <c r="D262" s="74"/>
      <c r="E262" s="74"/>
      <c r="F262" s="74"/>
      <c r="G262" s="74"/>
      <c r="H262" s="74"/>
      <c r="I262" s="74"/>
      <c r="J262" s="74"/>
      <c r="K262" s="74"/>
      <c r="L262" s="74"/>
      <c r="M262" s="74"/>
      <c r="N262" s="74"/>
      <c r="O262" s="74"/>
      <c r="P262" s="74"/>
      <c r="Q262" s="74"/>
      <c r="R262" s="74"/>
      <c r="S262" s="74"/>
      <c r="T262" s="74"/>
      <c r="U262" s="74"/>
      <c r="V262" s="74"/>
      <c r="W262" s="74"/>
      <c r="X262" s="74"/>
      <c r="Y262" s="74"/>
      <c r="Z262" s="74"/>
      <c r="AA262" s="74"/>
      <c r="AB262" s="74"/>
      <c r="AC262" s="74"/>
      <c r="AD262" s="74"/>
      <c r="AE262" s="74"/>
      <c r="AF262" s="74"/>
      <c r="AG262" s="74"/>
      <c r="AH262" s="74"/>
    </row>
    <row r="263" customFormat="false" ht="15" hidden="false" customHeight="false" outlineLevel="0" collapsed="false">
      <c r="A263" s="74"/>
      <c r="B263" s="74"/>
      <c r="C263" s="74"/>
      <c r="D263" s="74"/>
      <c r="E263" s="74"/>
      <c r="F263" s="74"/>
      <c r="G263" s="74"/>
      <c r="H263" s="74"/>
      <c r="I263" s="74"/>
      <c r="J263" s="74"/>
      <c r="K263" s="74"/>
      <c r="L263" s="74"/>
      <c r="M263" s="74"/>
      <c r="N263" s="74"/>
      <c r="O263" s="74"/>
      <c r="P263" s="74"/>
      <c r="Q263" s="74"/>
      <c r="R263" s="74"/>
      <c r="S263" s="74"/>
      <c r="T263" s="74"/>
      <c r="U263" s="74"/>
      <c r="V263" s="74"/>
      <c r="W263" s="74"/>
      <c r="X263" s="74"/>
      <c r="Y263" s="74"/>
      <c r="Z263" s="74"/>
      <c r="AA263" s="74"/>
      <c r="AB263" s="74"/>
      <c r="AC263" s="74"/>
      <c r="AD263" s="74"/>
      <c r="AE263" s="74"/>
      <c r="AF263" s="74"/>
      <c r="AG263" s="74"/>
      <c r="AH263" s="74"/>
    </row>
    <row r="264" customFormat="false" ht="15" hidden="false" customHeight="false" outlineLevel="0" collapsed="false">
      <c r="A264" s="74"/>
      <c r="B264" s="74"/>
      <c r="C264" s="74"/>
      <c r="D264" s="74"/>
      <c r="E264" s="74"/>
      <c r="F264" s="74"/>
      <c r="G264" s="74"/>
      <c r="H264" s="74"/>
      <c r="I264" s="74"/>
      <c r="J264" s="74"/>
      <c r="K264" s="74"/>
      <c r="L264" s="74"/>
      <c r="M264" s="74"/>
      <c r="N264" s="74"/>
      <c r="O264" s="74"/>
      <c r="P264" s="74"/>
      <c r="Q264" s="74"/>
      <c r="R264" s="74"/>
      <c r="S264" s="74"/>
      <c r="T264" s="74"/>
      <c r="U264" s="74"/>
      <c r="V264" s="74"/>
      <c r="W264" s="74"/>
      <c r="X264" s="74"/>
      <c r="Y264" s="74"/>
      <c r="Z264" s="74"/>
      <c r="AA264" s="74"/>
      <c r="AB264" s="74"/>
      <c r="AC264" s="74"/>
      <c r="AD264" s="74"/>
      <c r="AE264" s="74"/>
      <c r="AF264" s="74"/>
      <c r="AG264" s="74"/>
      <c r="AH264" s="74"/>
    </row>
    <row r="265" customFormat="false" ht="15" hidden="false" customHeight="false" outlineLevel="0" collapsed="false">
      <c r="A265" s="74"/>
      <c r="B265" s="74"/>
      <c r="C265" s="74"/>
      <c r="D265" s="74"/>
      <c r="E265" s="74"/>
      <c r="F265" s="74"/>
      <c r="G265" s="74"/>
      <c r="H265" s="74"/>
      <c r="I265" s="74"/>
      <c r="J265" s="74"/>
      <c r="K265" s="74"/>
      <c r="L265" s="74"/>
      <c r="M265" s="74"/>
      <c r="N265" s="74"/>
      <c r="O265" s="74"/>
      <c r="P265" s="74"/>
      <c r="Q265" s="74"/>
      <c r="R265" s="74"/>
      <c r="S265" s="74"/>
      <c r="T265" s="74"/>
      <c r="U265" s="74"/>
      <c r="V265" s="74"/>
      <c r="W265" s="74"/>
      <c r="X265" s="74"/>
      <c r="Y265" s="74"/>
      <c r="Z265" s="74"/>
      <c r="AA265" s="74"/>
      <c r="AB265" s="74"/>
      <c r="AC265" s="74"/>
      <c r="AD265" s="74"/>
      <c r="AE265" s="74"/>
      <c r="AF265" s="74"/>
      <c r="AG265" s="74"/>
      <c r="AH265" s="74"/>
    </row>
    <row r="266" customFormat="false" ht="15" hidden="false" customHeight="false" outlineLevel="0" collapsed="false">
      <c r="A266" s="74"/>
      <c r="B266" s="74"/>
      <c r="C266" s="74"/>
      <c r="D266" s="74"/>
      <c r="E266" s="74"/>
      <c r="F266" s="74"/>
      <c r="G266" s="74"/>
      <c r="H266" s="74"/>
      <c r="I266" s="74"/>
      <c r="J266" s="74"/>
      <c r="K266" s="74"/>
      <c r="L266" s="74"/>
      <c r="M266" s="74"/>
      <c r="N266" s="74"/>
      <c r="O266" s="74"/>
      <c r="P266" s="74"/>
      <c r="Q266" s="74"/>
      <c r="R266" s="74"/>
      <c r="S266" s="74"/>
      <c r="T266" s="74"/>
      <c r="U266" s="74"/>
      <c r="V266" s="74"/>
      <c r="W266" s="74"/>
      <c r="X266" s="74"/>
      <c r="Y266" s="74"/>
      <c r="Z266" s="74"/>
      <c r="AA266" s="74"/>
      <c r="AB266" s="74"/>
      <c r="AC266" s="74"/>
      <c r="AD266" s="74"/>
      <c r="AE266" s="74"/>
      <c r="AF266" s="74"/>
      <c r="AG266" s="74"/>
      <c r="AH266" s="74"/>
    </row>
    <row r="267" customFormat="false" ht="15" hidden="false" customHeight="false" outlineLevel="0" collapsed="false">
      <c r="A267" s="74"/>
      <c r="B267" s="74"/>
      <c r="C267" s="74"/>
      <c r="D267" s="74"/>
      <c r="E267" s="74"/>
      <c r="F267" s="74"/>
      <c r="G267" s="74"/>
      <c r="H267" s="74"/>
      <c r="I267" s="74"/>
      <c r="J267" s="74"/>
      <c r="K267" s="74"/>
      <c r="L267" s="74"/>
      <c r="M267" s="74"/>
      <c r="N267" s="74"/>
      <c r="O267" s="74"/>
      <c r="P267" s="74"/>
      <c r="Q267" s="74"/>
      <c r="R267" s="74"/>
      <c r="S267" s="74"/>
      <c r="T267" s="74"/>
      <c r="U267" s="74"/>
      <c r="V267" s="74"/>
      <c r="W267" s="74"/>
      <c r="X267" s="74"/>
      <c r="Y267" s="74"/>
      <c r="Z267" s="74"/>
      <c r="AA267" s="74"/>
      <c r="AB267" s="74"/>
      <c r="AC267" s="74"/>
      <c r="AD267" s="74"/>
      <c r="AE267" s="74"/>
      <c r="AF267" s="74"/>
      <c r="AG267" s="74"/>
      <c r="AH267" s="74"/>
    </row>
    <row r="268" customFormat="false" ht="15" hidden="false" customHeight="false" outlineLevel="0" collapsed="false">
      <c r="A268" s="74"/>
      <c r="B268" s="74"/>
      <c r="C268" s="74"/>
      <c r="D268" s="74"/>
      <c r="E268" s="74"/>
      <c r="F268" s="74"/>
      <c r="G268" s="74"/>
      <c r="H268" s="74"/>
      <c r="I268" s="74"/>
      <c r="J268" s="74"/>
      <c r="K268" s="74"/>
      <c r="L268" s="74"/>
      <c r="M268" s="74"/>
      <c r="N268" s="74"/>
      <c r="O268" s="74"/>
      <c r="P268" s="74"/>
      <c r="Q268" s="74"/>
      <c r="R268" s="74"/>
      <c r="S268" s="74"/>
      <c r="T268" s="74"/>
      <c r="U268" s="74"/>
      <c r="V268" s="74"/>
      <c r="W268" s="74"/>
      <c r="X268" s="74"/>
      <c r="Y268" s="74"/>
      <c r="Z268" s="74"/>
      <c r="AA268" s="74"/>
      <c r="AB268" s="74"/>
      <c r="AC268" s="74"/>
      <c r="AD268" s="74"/>
      <c r="AE268" s="74"/>
      <c r="AF268" s="74"/>
      <c r="AG268" s="74"/>
      <c r="AH268" s="74"/>
    </row>
    <row r="269" customFormat="false" ht="15" hidden="false" customHeight="false" outlineLevel="0" collapsed="false">
      <c r="A269" s="74"/>
      <c r="B269" s="74"/>
      <c r="C269" s="74"/>
      <c r="D269" s="74"/>
      <c r="E269" s="74"/>
      <c r="F269" s="74"/>
      <c r="G269" s="74"/>
      <c r="H269" s="74"/>
      <c r="I269" s="74"/>
      <c r="J269" s="74"/>
      <c r="K269" s="74"/>
      <c r="L269" s="74"/>
      <c r="M269" s="74"/>
      <c r="N269" s="74"/>
      <c r="O269" s="74"/>
      <c r="P269" s="74"/>
      <c r="Q269" s="74"/>
      <c r="R269" s="74"/>
      <c r="S269" s="74"/>
      <c r="T269" s="74"/>
      <c r="U269" s="74"/>
      <c r="V269" s="74"/>
      <c r="W269" s="74"/>
      <c r="X269" s="74"/>
      <c r="Y269" s="74"/>
      <c r="Z269" s="74"/>
      <c r="AA269" s="74"/>
      <c r="AB269" s="74"/>
      <c r="AC269" s="74"/>
      <c r="AD269" s="74"/>
      <c r="AE269" s="74"/>
      <c r="AF269" s="74"/>
      <c r="AG269" s="74"/>
      <c r="AH269" s="74"/>
    </row>
    <row r="270" customFormat="false" ht="15" hidden="false" customHeight="false" outlineLevel="0" collapsed="false">
      <c r="A270" s="74"/>
      <c r="B270" s="74"/>
      <c r="C270" s="74"/>
      <c r="D270" s="74"/>
      <c r="E270" s="74"/>
      <c r="F270" s="74"/>
      <c r="G270" s="74"/>
      <c r="H270" s="74"/>
      <c r="I270" s="74"/>
      <c r="J270" s="74"/>
      <c r="K270" s="74"/>
      <c r="L270" s="74"/>
      <c r="M270" s="74"/>
      <c r="N270" s="74"/>
      <c r="O270" s="74"/>
      <c r="P270" s="74"/>
      <c r="Q270" s="74"/>
      <c r="R270" s="74"/>
      <c r="S270" s="74"/>
      <c r="T270" s="74"/>
      <c r="U270" s="74"/>
      <c r="V270" s="74"/>
      <c r="W270" s="74"/>
      <c r="X270" s="74"/>
      <c r="Y270" s="74"/>
      <c r="Z270" s="74"/>
      <c r="AA270" s="74"/>
      <c r="AB270" s="74"/>
      <c r="AC270" s="74"/>
      <c r="AD270" s="74"/>
      <c r="AE270" s="74"/>
      <c r="AF270" s="74"/>
      <c r="AG270" s="74"/>
      <c r="AH270" s="74"/>
    </row>
    <row r="271" customFormat="false" ht="15" hidden="false" customHeight="false" outlineLevel="0" collapsed="false">
      <c r="A271" s="74"/>
      <c r="B271" s="74"/>
      <c r="C271" s="74"/>
      <c r="D271" s="74"/>
      <c r="E271" s="74"/>
      <c r="F271" s="74"/>
      <c r="G271" s="74"/>
      <c r="H271" s="74"/>
      <c r="I271" s="74"/>
      <c r="J271" s="74"/>
      <c r="K271" s="74"/>
      <c r="L271" s="74"/>
      <c r="M271" s="74"/>
      <c r="N271" s="74"/>
      <c r="O271" s="74"/>
      <c r="P271" s="74"/>
      <c r="Q271" s="74"/>
      <c r="R271" s="74"/>
      <c r="S271" s="74"/>
      <c r="T271" s="74"/>
      <c r="U271" s="74"/>
      <c r="V271" s="74"/>
      <c r="W271" s="74"/>
      <c r="X271" s="74"/>
      <c r="Y271" s="74"/>
      <c r="Z271" s="74"/>
      <c r="AA271" s="74"/>
      <c r="AB271" s="74"/>
      <c r="AC271" s="74"/>
      <c r="AD271" s="74"/>
      <c r="AE271" s="74"/>
      <c r="AF271" s="74"/>
      <c r="AG271" s="74"/>
      <c r="AH271" s="74"/>
    </row>
    <row r="272" customFormat="false" ht="15" hidden="false" customHeight="false" outlineLevel="0" collapsed="false">
      <c r="A272" s="74"/>
      <c r="B272" s="74"/>
      <c r="C272" s="74"/>
      <c r="D272" s="74"/>
      <c r="E272" s="74"/>
      <c r="F272" s="74"/>
      <c r="G272" s="74"/>
      <c r="H272" s="74"/>
      <c r="I272" s="74"/>
      <c r="J272" s="74"/>
      <c r="K272" s="74"/>
      <c r="L272" s="74"/>
      <c r="M272" s="74"/>
      <c r="N272" s="74"/>
      <c r="O272" s="74"/>
      <c r="P272" s="74"/>
      <c r="Q272" s="74"/>
      <c r="R272" s="74"/>
      <c r="S272" s="74"/>
      <c r="T272" s="74"/>
      <c r="U272" s="74"/>
      <c r="V272" s="74"/>
      <c r="W272" s="74"/>
      <c r="X272" s="74"/>
      <c r="Y272" s="74"/>
      <c r="Z272" s="74"/>
      <c r="AA272" s="74"/>
      <c r="AB272" s="74"/>
      <c r="AC272" s="74"/>
      <c r="AD272" s="74"/>
      <c r="AE272" s="74"/>
      <c r="AF272" s="74"/>
      <c r="AG272" s="74"/>
      <c r="AH272" s="74"/>
    </row>
    <row r="273" customFormat="false" ht="15" hidden="false" customHeight="false" outlineLevel="0" collapsed="false">
      <c r="A273" s="74"/>
      <c r="B273" s="74"/>
      <c r="C273" s="74"/>
      <c r="D273" s="74"/>
      <c r="E273" s="74"/>
      <c r="F273" s="74"/>
      <c r="G273" s="74"/>
      <c r="H273" s="74"/>
      <c r="I273" s="74"/>
      <c r="J273" s="74"/>
      <c r="K273" s="74"/>
      <c r="L273" s="74"/>
      <c r="M273" s="74"/>
      <c r="N273" s="74"/>
      <c r="O273" s="74"/>
      <c r="P273" s="74"/>
      <c r="Q273" s="74"/>
      <c r="R273" s="74"/>
      <c r="S273" s="74"/>
      <c r="T273" s="74"/>
      <c r="U273" s="74"/>
      <c r="V273" s="74"/>
      <c r="W273" s="74"/>
      <c r="X273" s="74"/>
      <c r="Y273" s="74"/>
      <c r="Z273" s="74"/>
      <c r="AA273" s="74"/>
      <c r="AB273" s="74"/>
      <c r="AC273" s="74"/>
      <c r="AD273" s="74"/>
      <c r="AE273" s="74"/>
      <c r="AF273" s="74"/>
      <c r="AG273" s="74"/>
      <c r="AH273" s="74"/>
    </row>
    <row r="274" customFormat="false" ht="15" hidden="false" customHeight="false" outlineLevel="0" collapsed="false">
      <c r="A274" s="74"/>
      <c r="B274" s="74"/>
      <c r="C274" s="74"/>
      <c r="D274" s="74"/>
      <c r="E274" s="74"/>
      <c r="F274" s="74"/>
      <c r="G274" s="74"/>
      <c r="H274" s="74"/>
      <c r="I274" s="74"/>
      <c r="J274" s="74"/>
      <c r="K274" s="74"/>
      <c r="L274" s="74"/>
      <c r="M274" s="74"/>
      <c r="N274" s="74"/>
      <c r="O274" s="74"/>
      <c r="P274" s="74"/>
      <c r="Q274" s="74"/>
      <c r="R274" s="74"/>
      <c r="S274" s="74"/>
      <c r="T274" s="74"/>
      <c r="U274" s="74"/>
      <c r="V274" s="74"/>
      <c r="W274" s="74"/>
      <c r="X274" s="74"/>
      <c r="Y274" s="74"/>
      <c r="Z274" s="74"/>
      <c r="AA274" s="74"/>
      <c r="AB274" s="74"/>
      <c r="AC274" s="74"/>
      <c r="AD274" s="74"/>
      <c r="AE274" s="74"/>
      <c r="AF274" s="74"/>
      <c r="AG274" s="74"/>
      <c r="AH274" s="74"/>
    </row>
    <row r="275" customFormat="false" ht="15" hidden="false" customHeight="false" outlineLevel="0" collapsed="false">
      <c r="A275" s="74"/>
      <c r="B275" s="74"/>
      <c r="C275" s="74"/>
      <c r="D275" s="74"/>
      <c r="E275" s="74"/>
      <c r="F275" s="74"/>
      <c r="G275" s="74"/>
      <c r="H275" s="74"/>
      <c r="I275" s="74"/>
      <c r="J275" s="74"/>
      <c r="K275" s="74"/>
      <c r="L275" s="74"/>
      <c r="M275" s="74"/>
      <c r="N275" s="74"/>
      <c r="O275" s="74"/>
      <c r="P275" s="74"/>
      <c r="Q275" s="74"/>
      <c r="R275" s="74"/>
      <c r="S275" s="74"/>
      <c r="T275" s="74"/>
      <c r="U275" s="74"/>
      <c r="V275" s="74"/>
      <c r="W275" s="74"/>
      <c r="X275" s="74"/>
      <c r="Y275" s="74"/>
      <c r="Z275" s="74"/>
      <c r="AA275" s="74"/>
      <c r="AB275" s="74"/>
      <c r="AC275" s="74"/>
      <c r="AD275" s="74"/>
      <c r="AE275" s="74"/>
      <c r="AF275" s="74"/>
      <c r="AG275" s="74"/>
      <c r="AH275" s="74"/>
    </row>
    <row r="276" customFormat="false" ht="15" hidden="false" customHeight="false" outlineLevel="0" collapsed="false">
      <c r="A276" s="74"/>
      <c r="B276" s="74"/>
      <c r="C276" s="74"/>
      <c r="D276" s="74"/>
      <c r="E276" s="74"/>
      <c r="F276" s="74"/>
      <c r="G276" s="74"/>
      <c r="H276" s="74"/>
      <c r="I276" s="74"/>
      <c r="J276" s="74"/>
      <c r="K276" s="74"/>
      <c r="L276" s="74"/>
      <c r="M276" s="74"/>
      <c r="N276" s="74"/>
      <c r="O276" s="74"/>
      <c r="P276" s="74"/>
      <c r="Q276" s="74"/>
      <c r="R276" s="74"/>
      <c r="S276" s="74"/>
      <c r="T276" s="74"/>
      <c r="U276" s="74"/>
      <c r="V276" s="74"/>
      <c r="W276" s="74"/>
      <c r="X276" s="74"/>
      <c r="Y276" s="74"/>
      <c r="Z276" s="74"/>
      <c r="AA276" s="74"/>
      <c r="AB276" s="74"/>
      <c r="AC276" s="74"/>
      <c r="AD276" s="74"/>
      <c r="AE276" s="74"/>
      <c r="AF276" s="74"/>
      <c r="AG276" s="74"/>
      <c r="AH276" s="74"/>
    </row>
    <row r="277" customFormat="false" ht="15" hidden="false" customHeight="false" outlineLevel="0" collapsed="false">
      <c r="A277" s="74"/>
      <c r="B277" s="74"/>
      <c r="C277" s="74"/>
      <c r="D277" s="74"/>
      <c r="E277" s="74"/>
      <c r="F277" s="74"/>
      <c r="G277" s="74"/>
      <c r="H277" s="74"/>
      <c r="I277" s="74"/>
      <c r="J277" s="74"/>
      <c r="K277" s="74"/>
      <c r="L277" s="74"/>
      <c r="M277" s="74"/>
      <c r="N277" s="74"/>
      <c r="O277" s="74"/>
      <c r="P277" s="74"/>
      <c r="Q277" s="74"/>
      <c r="R277" s="74"/>
      <c r="S277" s="74"/>
      <c r="T277" s="74"/>
      <c r="U277" s="74"/>
      <c r="V277" s="74"/>
      <c r="W277" s="74"/>
      <c r="X277" s="74"/>
      <c r="Y277" s="74"/>
      <c r="Z277" s="74"/>
      <c r="AA277" s="74"/>
      <c r="AB277" s="74"/>
      <c r="AC277" s="74"/>
      <c r="AD277" s="74"/>
      <c r="AE277" s="74"/>
      <c r="AF277" s="74"/>
      <c r="AG277" s="74"/>
      <c r="AH277" s="74"/>
    </row>
    <row r="278" customFormat="false" ht="15" hidden="false" customHeight="false" outlineLevel="0" collapsed="false">
      <c r="A278" s="74"/>
      <c r="B278" s="74"/>
      <c r="C278" s="74"/>
      <c r="D278" s="74"/>
      <c r="E278" s="74"/>
      <c r="F278" s="74"/>
      <c r="G278" s="74"/>
      <c r="H278" s="74"/>
      <c r="I278" s="74"/>
      <c r="J278" s="74"/>
      <c r="K278" s="74"/>
      <c r="L278" s="74"/>
      <c r="M278" s="74"/>
      <c r="N278" s="74"/>
      <c r="O278" s="74"/>
      <c r="P278" s="74"/>
      <c r="Q278" s="74"/>
      <c r="R278" s="74"/>
      <c r="S278" s="74"/>
      <c r="T278" s="74"/>
      <c r="U278" s="74"/>
      <c r="V278" s="74"/>
      <c r="W278" s="74"/>
      <c r="X278" s="74"/>
      <c r="Y278" s="74"/>
      <c r="Z278" s="74"/>
      <c r="AA278" s="74"/>
      <c r="AB278" s="74"/>
      <c r="AC278" s="74"/>
      <c r="AD278" s="74"/>
      <c r="AE278" s="74"/>
      <c r="AF278" s="74"/>
      <c r="AG278" s="74"/>
      <c r="AH278" s="74"/>
    </row>
    <row r="279" customFormat="false" ht="15" hidden="false" customHeight="false" outlineLevel="0" collapsed="false">
      <c r="A279" s="74"/>
      <c r="B279" s="74"/>
      <c r="C279" s="74"/>
      <c r="D279" s="74"/>
      <c r="E279" s="74"/>
      <c r="F279" s="74"/>
      <c r="G279" s="74"/>
      <c r="H279" s="74"/>
      <c r="I279" s="74"/>
      <c r="J279" s="74"/>
      <c r="K279" s="74"/>
      <c r="L279" s="74"/>
      <c r="M279" s="74"/>
      <c r="N279" s="74"/>
      <c r="O279" s="74"/>
      <c r="P279" s="74"/>
      <c r="Q279" s="74"/>
      <c r="R279" s="74"/>
      <c r="S279" s="74"/>
      <c r="T279" s="74"/>
      <c r="U279" s="74"/>
      <c r="V279" s="74"/>
      <c r="W279" s="74"/>
      <c r="X279" s="74"/>
      <c r="Y279" s="74"/>
      <c r="Z279" s="74"/>
      <c r="AA279" s="74"/>
      <c r="AB279" s="74"/>
      <c r="AC279" s="74"/>
      <c r="AD279" s="74"/>
      <c r="AE279" s="74"/>
      <c r="AF279" s="74"/>
      <c r="AG279" s="74"/>
      <c r="AH279" s="74"/>
    </row>
    <row r="280" customFormat="false" ht="15" hidden="false" customHeight="false" outlineLevel="0" collapsed="false">
      <c r="A280" s="74"/>
      <c r="B280" s="74"/>
      <c r="C280" s="74"/>
      <c r="D280" s="74"/>
      <c r="E280" s="74"/>
      <c r="F280" s="74"/>
      <c r="G280" s="74"/>
      <c r="H280" s="74"/>
      <c r="I280" s="74"/>
      <c r="J280" s="74"/>
      <c r="K280" s="74"/>
      <c r="L280" s="74"/>
      <c r="M280" s="74"/>
      <c r="N280" s="74"/>
      <c r="O280" s="74"/>
      <c r="P280" s="74"/>
      <c r="Q280" s="74"/>
      <c r="R280" s="74"/>
      <c r="S280" s="74"/>
      <c r="T280" s="74"/>
      <c r="U280" s="74"/>
      <c r="V280" s="74"/>
      <c r="W280" s="74"/>
      <c r="X280" s="74"/>
      <c r="Y280" s="74"/>
      <c r="Z280" s="74"/>
      <c r="AA280" s="74"/>
      <c r="AB280" s="74"/>
      <c r="AC280" s="74"/>
      <c r="AD280" s="74"/>
      <c r="AE280" s="74"/>
      <c r="AF280" s="74"/>
      <c r="AG280" s="74"/>
      <c r="AH280" s="74"/>
    </row>
    <row r="281" customFormat="false" ht="15" hidden="false" customHeight="false" outlineLevel="0" collapsed="false">
      <c r="A281" s="74"/>
      <c r="B281" s="74"/>
      <c r="C281" s="74"/>
      <c r="D281" s="74"/>
      <c r="E281" s="74"/>
      <c r="F281" s="74"/>
      <c r="G281" s="74"/>
      <c r="H281" s="74"/>
      <c r="I281" s="74"/>
      <c r="J281" s="74"/>
      <c r="K281" s="74"/>
      <c r="L281" s="74"/>
      <c r="M281" s="74"/>
      <c r="N281" s="74"/>
      <c r="O281" s="74"/>
      <c r="P281" s="74"/>
      <c r="Q281" s="74"/>
      <c r="R281" s="74"/>
      <c r="S281" s="74"/>
      <c r="T281" s="74"/>
      <c r="U281" s="74"/>
      <c r="V281" s="74"/>
      <c r="W281" s="74"/>
      <c r="X281" s="74"/>
      <c r="Y281" s="74"/>
      <c r="Z281" s="74"/>
      <c r="AA281" s="74"/>
      <c r="AB281" s="74"/>
      <c r="AC281" s="74"/>
      <c r="AD281" s="74"/>
      <c r="AE281" s="74"/>
      <c r="AF281" s="74"/>
      <c r="AG281" s="74"/>
      <c r="AH281" s="74"/>
    </row>
    <row r="282" customFormat="false" ht="15" hidden="false" customHeight="false" outlineLevel="0" collapsed="false">
      <c r="A282" s="74"/>
      <c r="B282" s="74"/>
      <c r="C282" s="74"/>
      <c r="D282" s="74"/>
      <c r="E282" s="74"/>
      <c r="F282" s="74"/>
      <c r="G282" s="74"/>
      <c r="H282" s="74"/>
      <c r="I282" s="74"/>
      <c r="J282" s="74"/>
      <c r="K282" s="74"/>
      <c r="L282" s="74"/>
      <c r="M282" s="74"/>
      <c r="N282" s="74"/>
      <c r="O282" s="74"/>
      <c r="P282" s="74"/>
      <c r="Q282" s="74"/>
      <c r="R282" s="74"/>
      <c r="S282" s="74"/>
      <c r="T282" s="74"/>
      <c r="U282" s="74"/>
      <c r="V282" s="74"/>
      <c r="W282" s="74"/>
      <c r="X282" s="74"/>
      <c r="Y282" s="74"/>
      <c r="Z282" s="74"/>
      <c r="AA282" s="74"/>
      <c r="AB282" s="74"/>
      <c r="AC282" s="74"/>
      <c r="AD282" s="74"/>
      <c r="AE282" s="74"/>
      <c r="AF282" s="74"/>
      <c r="AG282" s="74"/>
      <c r="AH282" s="74"/>
    </row>
    <row r="283" customFormat="false" ht="15" hidden="false" customHeight="false" outlineLevel="0" collapsed="false">
      <c r="A283" s="74"/>
      <c r="B283" s="74"/>
      <c r="C283" s="74"/>
      <c r="D283" s="74"/>
      <c r="E283" s="74"/>
      <c r="F283" s="74"/>
      <c r="G283" s="74"/>
      <c r="H283" s="74"/>
      <c r="I283" s="74"/>
      <c r="J283" s="74"/>
      <c r="K283" s="74"/>
      <c r="L283" s="74"/>
      <c r="M283" s="74"/>
      <c r="N283" s="74"/>
      <c r="O283" s="74"/>
      <c r="P283" s="74"/>
      <c r="Q283" s="74"/>
      <c r="R283" s="74"/>
      <c r="S283" s="74"/>
      <c r="T283" s="74"/>
      <c r="U283" s="74"/>
      <c r="V283" s="74"/>
      <c r="W283" s="74"/>
      <c r="X283" s="74"/>
      <c r="Y283" s="74"/>
      <c r="Z283" s="74"/>
      <c r="AA283" s="74"/>
      <c r="AB283" s="74"/>
      <c r="AC283" s="74"/>
      <c r="AD283" s="74"/>
      <c r="AE283" s="74"/>
      <c r="AF283" s="74"/>
      <c r="AG283" s="74"/>
      <c r="AH283" s="74"/>
    </row>
    <row r="284" customFormat="false" ht="15" hidden="false" customHeight="false" outlineLevel="0" collapsed="false">
      <c r="A284" s="74"/>
      <c r="B284" s="74"/>
      <c r="C284" s="74"/>
      <c r="D284" s="74"/>
      <c r="E284" s="74"/>
      <c r="F284" s="74"/>
      <c r="G284" s="74"/>
      <c r="H284" s="74"/>
      <c r="I284" s="74"/>
      <c r="J284" s="74"/>
      <c r="K284" s="74"/>
      <c r="L284" s="74"/>
      <c r="M284" s="74"/>
      <c r="N284" s="74"/>
      <c r="O284" s="74"/>
      <c r="P284" s="74"/>
      <c r="Q284" s="74"/>
      <c r="R284" s="74"/>
      <c r="S284" s="74"/>
      <c r="T284" s="74"/>
      <c r="U284" s="74"/>
      <c r="V284" s="74"/>
      <c r="W284" s="74"/>
      <c r="X284" s="74"/>
      <c r="Y284" s="74"/>
      <c r="Z284" s="74"/>
      <c r="AA284" s="74"/>
      <c r="AB284" s="74"/>
      <c r="AC284" s="74"/>
      <c r="AD284" s="74"/>
      <c r="AE284" s="74"/>
      <c r="AF284" s="74"/>
      <c r="AG284" s="74"/>
      <c r="AH284" s="74"/>
    </row>
    <row r="285" customFormat="false" ht="15" hidden="false" customHeight="false" outlineLevel="0" collapsed="false">
      <c r="A285" s="74"/>
      <c r="B285" s="74"/>
      <c r="C285" s="74"/>
      <c r="D285" s="74"/>
      <c r="E285" s="74"/>
      <c r="F285" s="74"/>
      <c r="G285" s="74"/>
      <c r="H285" s="74"/>
      <c r="I285" s="74"/>
      <c r="J285" s="74"/>
      <c r="K285" s="74"/>
      <c r="L285" s="74"/>
      <c r="M285" s="74"/>
      <c r="N285" s="74"/>
      <c r="O285" s="74"/>
      <c r="P285" s="74"/>
      <c r="Q285" s="74"/>
      <c r="R285" s="74"/>
      <c r="S285" s="74"/>
      <c r="T285" s="74"/>
      <c r="U285" s="74"/>
      <c r="V285" s="74"/>
      <c r="W285" s="74"/>
      <c r="X285" s="74"/>
      <c r="Y285" s="74"/>
      <c r="Z285" s="74"/>
      <c r="AA285" s="74"/>
      <c r="AB285" s="74"/>
      <c r="AC285" s="74"/>
      <c r="AD285" s="74"/>
      <c r="AE285" s="74"/>
      <c r="AF285" s="74"/>
      <c r="AG285" s="74"/>
      <c r="AH285" s="74"/>
    </row>
    <row r="286" customFormat="false" ht="15" hidden="false" customHeight="false" outlineLevel="0" collapsed="false">
      <c r="A286" s="74"/>
      <c r="B286" s="74"/>
      <c r="C286" s="74"/>
      <c r="D286" s="74"/>
      <c r="E286" s="74"/>
      <c r="F286" s="74"/>
      <c r="G286" s="74"/>
      <c r="H286" s="74"/>
      <c r="I286" s="74"/>
      <c r="J286" s="74"/>
      <c r="K286" s="74"/>
      <c r="L286" s="74"/>
      <c r="M286" s="74"/>
      <c r="N286" s="74"/>
      <c r="O286" s="74"/>
      <c r="P286" s="74"/>
      <c r="Q286" s="74"/>
      <c r="R286" s="74"/>
      <c r="S286" s="74"/>
      <c r="T286" s="74"/>
      <c r="U286" s="74"/>
      <c r="V286" s="74"/>
      <c r="W286" s="74"/>
      <c r="X286" s="74"/>
      <c r="Y286" s="74"/>
      <c r="Z286" s="74"/>
      <c r="AA286" s="74"/>
      <c r="AB286" s="74"/>
      <c r="AC286" s="74"/>
      <c r="AD286" s="74"/>
      <c r="AE286" s="74"/>
      <c r="AF286" s="74"/>
      <c r="AG286" s="74"/>
      <c r="AH286" s="74"/>
    </row>
    <row r="287" customFormat="false" ht="15" hidden="false" customHeight="false" outlineLevel="0" collapsed="false">
      <c r="A287" s="74"/>
      <c r="B287" s="74"/>
      <c r="C287" s="74"/>
      <c r="D287" s="74"/>
      <c r="E287" s="74"/>
      <c r="F287" s="74"/>
      <c r="G287" s="74"/>
      <c r="H287" s="74"/>
      <c r="I287" s="74"/>
      <c r="J287" s="74"/>
      <c r="K287" s="74"/>
      <c r="L287" s="74"/>
      <c r="M287" s="74"/>
      <c r="N287" s="74"/>
      <c r="O287" s="74"/>
      <c r="P287" s="74"/>
      <c r="Q287" s="74"/>
      <c r="R287" s="74"/>
      <c r="S287" s="74"/>
      <c r="T287" s="74"/>
      <c r="U287" s="74"/>
      <c r="V287" s="74"/>
      <c r="W287" s="74"/>
      <c r="X287" s="74"/>
      <c r="Y287" s="74"/>
      <c r="Z287" s="74"/>
      <c r="AA287" s="74"/>
      <c r="AB287" s="74"/>
      <c r="AC287" s="74"/>
      <c r="AD287" s="74"/>
      <c r="AE287" s="74"/>
      <c r="AF287" s="74"/>
      <c r="AG287" s="74"/>
      <c r="AH287" s="74"/>
    </row>
    <row r="288" customFormat="false" ht="15" hidden="false" customHeight="false" outlineLevel="0" collapsed="false">
      <c r="A288" s="74"/>
      <c r="B288" s="74"/>
      <c r="C288" s="74"/>
      <c r="D288" s="74"/>
      <c r="E288" s="74"/>
      <c r="F288" s="74"/>
      <c r="G288" s="74"/>
      <c r="H288" s="74"/>
      <c r="I288" s="74"/>
      <c r="J288" s="74"/>
      <c r="K288" s="74"/>
      <c r="L288" s="74"/>
      <c r="M288" s="74"/>
      <c r="N288" s="74"/>
      <c r="O288" s="74"/>
      <c r="P288" s="74"/>
      <c r="Q288" s="74"/>
      <c r="R288" s="74"/>
      <c r="S288" s="74"/>
      <c r="T288" s="74"/>
      <c r="U288" s="74"/>
      <c r="V288" s="74"/>
      <c r="W288" s="74"/>
      <c r="X288" s="74"/>
      <c r="Y288" s="74"/>
      <c r="Z288" s="74"/>
      <c r="AA288" s="74"/>
      <c r="AB288" s="74"/>
      <c r="AC288" s="74"/>
      <c r="AD288" s="74"/>
      <c r="AE288" s="74"/>
      <c r="AF288" s="74"/>
      <c r="AG288" s="74"/>
      <c r="AH288" s="74"/>
    </row>
    <row r="289" customFormat="false" ht="15" hidden="false" customHeight="false" outlineLevel="0" collapsed="false">
      <c r="A289" s="74"/>
      <c r="B289" s="74"/>
      <c r="C289" s="74"/>
      <c r="D289" s="74"/>
      <c r="E289" s="74"/>
      <c r="F289" s="74"/>
      <c r="G289" s="74"/>
      <c r="H289" s="74"/>
      <c r="I289" s="74"/>
      <c r="J289" s="74"/>
      <c r="K289" s="74"/>
      <c r="L289" s="74"/>
      <c r="M289" s="74"/>
      <c r="N289" s="74"/>
      <c r="O289" s="74"/>
      <c r="P289" s="74"/>
      <c r="Q289" s="74"/>
      <c r="R289" s="74"/>
      <c r="S289" s="74"/>
      <c r="T289" s="74"/>
      <c r="U289" s="74"/>
      <c r="V289" s="74"/>
      <c r="W289" s="74"/>
      <c r="X289" s="74"/>
      <c r="Y289" s="74"/>
      <c r="Z289" s="74"/>
      <c r="AA289" s="74"/>
      <c r="AB289" s="74"/>
      <c r="AC289" s="74"/>
      <c r="AD289" s="74"/>
      <c r="AE289" s="74"/>
      <c r="AF289" s="74"/>
      <c r="AG289" s="74"/>
      <c r="AH289" s="74"/>
    </row>
    <row r="290" customFormat="false" ht="15" hidden="false" customHeight="false" outlineLevel="0" collapsed="false">
      <c r="A290" s="74"/>
      <c r="B290" s="74"/>
      <c r="C290" s="74"/>
      <c r="D290" s="74"/>
      <c r="E290" s="74"/>
      <c r="F290" s="74"/>
      <c r="G290" s="74"/>
      <c r="H290" s="74"/>
      <c r="I290" s="74"/>
      <c r="J290" s="74"/>
      <c r="K290" s="74"/>
      <c r="L290" s="74"/>
      <c r="M290" s="74"/>
      <c r="N290" s="74"/>
      <c r="O290" s="74"/>
      <c r="P290" s="74"/>
      <c r="Q290" s="74"/>
      <c r="R290" s="74"/>
      <c r="S290" s="74"/>
      <c r="T290" s="74"/>
      <c r="U290" s="74"/>
      <c r="V290" s="74"/>
      <c r="W290" s="74"/>
      <c r="X290" s="74"/>
      <c r="Y290" s="74"/>
      <c r="Z290" s="74"/>
      <c r="AA290" s="74"/>
      <c r="AB290" s="74"/>
      <c r="AC290" s="74"/>
      <c r="AD290" s="74"/>
      <c r="AE290" s="74"/>
      <c r="AF290" s="74"/>
      <c r="AG290" s="74"/>
      <c r="AH290" s="74"/>
    </row>
    <row r="291" customFormat="false" ht="15" hidden="false" customHeight="false" outlineLevel="0" collapsed="false">
      <c r="A291" s="74"/>
      <c r="B291" s="74"/>
      <c r="C291" s="74"/>
      <c r="D291" s="74"/>
      <c r="E291" s="74"/>
      <c r="F291" s="74"/>
      <c r="G291" s="74"/>
      <c r="H291" s="74"/>
      <c r="I291" s="74"/>
      <c r="J291" s="74"/>
      <c r="K291" s="74"/>
      <c r="L291" s="74"/>
      <c r="M291" s="74"/>
      <c r="N291" s="74"/>
      <c r="O291" s="74"/>
      <c r="P291" s="74"/>
      <c r="Q291" s="74"/>
      <c r="R291" s="74"/>
      <c r="S291" s="74"/>
      <c r="T291" s="74"/>
      <c r="U291" s="74"/>
      <c r="V291" s="74"/>
      <c r="W291" s="74"/>
      <c r="X291" s="74"/>
      <c r="Y291" s="74"/>
      <c r="Z291" s="74"/>
      <c r="AA291" s="74"/>
      <c r="AB291" s="74"/>
      <c r="AC291" s="74"/>
      <c r="AD291" s="74"/>
      <c r="AE291" s="74"/>
      <c r="AF291" s="74"/>
      <c r="AG291" s="74"/>
      <c r="AH291" s="74"/>
    </row>
    <row r="292" customFormat="false" ht="15" hidden="false" customHeight="false" outlineLevel="0" collapsed="false">
      <c r="A292" s="74"/>
      <c r="B292" s="74"/>
      <c r="C292" s="74"/>
      <c r="D292" s="74"/>
      <c r="E292" s="74"/>
      <c r="F292" s="74"/>
      <c r="G292" s="74"/>
      <c r="H292" s="74"/>
      <c r="I292" s="74"/>
      <c r="J292" s="74"/>
      <c r="K292" s="74"/>
      <c r="L292" s="74"/>
      <c r="M292" s="74"/>
      <c r="N292" s="74"/>
      <c r="O292" s="74"/>
      <c r="P292" s="74"/>
      <c r="Q292" s="74"/>
      <c r="R292" s="74"/>
      <c r="S292" s="74"/>
      <c r="T292" s="74"/>
      <c r="U292" s="74"/>
      <c r="V292" s="74"/>
      <c r="W292" s="74"/>
      <c r="X292" s="74"/>
      <c r="Y292" s="74"/>
      <c r="Z292" s="74"/>
      <c r="AA292" s="74"/>
      <c r="AB292" s="74"/>
      <c r="AC292" s="74"/>
      <c r="AD292" s="74"/>
      <c r="AE292" s="74"/>
      <c r="AF292" s="74"/>
      <c r="AG292" s="74"/>
      <c r="AH292" s="74"/>
    </row>
    <row r="293" customFormat="false" ht="15" hidden="false" customHeight="false" outlineLevel="0" collapsed="false">
      <c r="A293" s="74"/>
      <c r="B293" s="74"/>
      <c r="C293" s="74"/>
      <c r="D293" s="74"/>
      <c r="E293" s="74"/>
      <c r="F293" s="74"/>
      <c r="G293" s="74"/>
      <c r="H293" s="74"/>
      <c r="I293" s="74"/>
      <c r="J293" s="74"/>
      <c r="K293" s="74"/>
      <c r="L293" s="74"/>
      <c r="M293" s="74"/>
      <c r="N293" s="74"/>
      <c r="O293" s="74"/>
      <c r="P293" s="74"/>
      <c r="Q293" s="74"/>
      <c r="R293" s="74"/>
      <c r="S293" s="74"/>
      <c r="T293" s="74"/>
      <c r="U293" s="74"/>
      <c r="V293" s="74"/>
      <c r="W293" s="74"/>
      <c r="X293" s="74"/>
      <c r="Y293" s="74"/>
      <c r="Z293" s="74"/>
      <c r="AA293" s="74"/>
      <c r="AB293" s="74"/>
      <c r="AC293" s="74"/>
      <c r="AD293" s="74"/>
      <c r="AE293" s="74"/>
      <c r="AF293" s="74"/>
      <c r="AG293" s="74"/>
      <c r="AH293" s="74"/>
    </row>
    <row r="294" customFormat="false" ht="15" hidden="false" customHeight="false" outlineLevel="0" collapsed="false">
      <c r="A294" s="74"/>
      <c r="B294" s="74"/>
      <c r="C294" s="74"/>
      <c r="D294" s="74"/>
      <c r="E294" s="74"/>
      <c r="F294" s="74"/>
      <c r="G294" s="74"/>
      <c r="H294" s="74"/>
      <c r="I294" s="74"/>
      <c r="J294" s="74"/>
      <c r="K294" s="74"/>
      <c r="L294" s="74"/>
      <c r="M294" s="74"/>
      <c r="N294" s="74"/>
      <c r="O294" s="74"/>
      <c r="P294" s="74"/>
      <c r="Q294" s="74"/>
      <c r="R294" s="74"/>
      <c r="S294" s="74"/>
      <c r="T294" s="74"/>
      <c r="U294" s="74"/>
      <c r="V294" s="74"/>
      <c r="W294" s="74"/>
      <c r="X294" s="74"/>
      <c r="Y294" s="74"/>
      <c r="Z294" s="74"/>
      <c r="AA294" s="74"/>
      <c r="AB294" s="74"/>
      <c r="AC294" s="74"/>
      <c r="AD294" s="74"/>
      <c r="AE294" s="74"/>
      <c r="AF294" s="74"/>
      <c r="AG294" s="74"/>
      <c r="AH294" s="74"/>
    </row>
    <row r="295" customFormat="false" ht="15" hidden="false" customHeight="false" outlineLevel="0" collapsed="false">
      <c r="A295" s="74"/>
      <c r="B295" s="74"/>
      <c r="C295" s="74"/>
      <c r="D295" s="74"/>
      <c r="E295" s="74"/>
      <c r="F295" s="74"/>
      <c r="G295" s="74"/>
      <c r="H295" s="74"/>
      <c r="I295" s="74"/>
      <c r="J295" s="74"/>
      <c r="K295" s="74"/>
      <c r="L295" s="74"/>
      <c r="M295" s="74"/>
      <c r="N295" s="74"/>
      <c r="O295" s="74"/>
      <c r="P295" s="74"/>
      <c r="Q295" s="74"/>
      <c r="R295" s="74"/>
      <c r="S295" s="74"/>
      <c r="T295" s="74"/>
      <c r="U295" s="74"/>
      <c r="V295" s="74"/>
      <c r="W295" s="74"/>
      <c r="X295" s="74"/>
      <c r="Y295" s="74"/>
      <c r="Z295" s="74"/>
      <c r="AA295" s="74"/>
      <c r="AB295" s="74"/>
      <c r="AC295" s="74"/>
      <c r="AD295" s="74"/>
      <c r="AE295" s="74"/>
      <c r="AF295" s="74"/>
      <c r="AG295" s="74"/>
      <c r="AH295" s="74"/>
    </row>
    <row r="296" customFormat="false" ht="15" hidden="false" customHeight="false" outlineLevel="0" collapsed="false">
      <c r="A296" s="74"/>
      <c r="B296" s="74"/>
      <c r="C296" s="74"/>
      <c r="D296" s="74"/>
      <c r="E296" s="74"/>
      <c r="F296" s="74"/>
      <c r="G296" s="74"/>
      <c r="H296" s="74"/>
      <c r="I296" s="74"/>
      <c r="J296" s="74"/>
      <c r="K296" s="74"/>
      <c r="L296" s="74"/>
      <c r="M296" s="74"/>
      <c r="N296" s="74"/>
      <c r="O296" s="74"/>
      <c r="P296" s="74"/>
      <c r="Q296" s="74"/>
      <c r="R296" s="74"/>
      <c r="S296" s="74"/>
      <c r="T296" s="74"/>
      <c r="U296" s="74"/>
      <c r="V296" s="74"/>
      <c r="W296" s="74"/>
      <c r="X296" s="74"/>
      <c r="Y296" s="74"/>
      <c r="Z296" s="74"/>
      <c r="AA296" s="74"/>
      <c r="AB296" s="74"/>
      <c r="AC296" s="74"/>
      <c r="AD296" s="74"/>
      <c r="AE296" s="74"/>
      <c r="AF296" s="74"/>
      <c r="AG296" s="74"/>
      <c r="AH296" s="74"/>
    </row>
    <row r="297" customFormat="false" ht="15" hidden="false" customHeight="false" outlineLevel="0" collapsed="false">
      <c r="A297" s="74"/>
      <c r="B297" s="74"/>
      <c r="C297" s="74"/>
      <c r="D297" s="74"/>
      <c r="E297" s="74"/>
      <c r="F297" s="74"/>
      <c r="G297" s="74"/>
      <c r="H297" s="74"/>
      <c r="I297" s="74"/>
      <c r="J297" s="74"/>
      <c r="K297" s="74"/>
      <c r="L297" s="74"/>
      <c r="M297" s="74"/>
      <c r="N297" s="74"/>
      <c r="O297" s="74"/>
      <c r="P297" s="74"/>
      <c r="Q297" s="74"/>
      <c r="R297" s="74"/>
      <c r="S297" s="74"/>
      <c r="T297" s="74"/>
      <c r="U297" s="74"/>
      <c r="V297" s="74"/>
      <c r="W297" s="74"/>
      <c r="X297" s="74"/>
      <c r="Y297" s="74"/>
      <c r="Z297" s="74"/>
      <c r="AA297" s="74"/>
      <c r="AB297" s="74"/>
      <c r="AC297" s="74"/>
      <c r="AD297" s="74"/>
      <c r="AE297" s="74"/>
      <c r="AF297" s="74"/>
      <c r="AG297" s="74"/>
      <c r="AH297" s="74"/>
    </row>
    <row r="298" customFormat="false" ht="15" hidden="false" customHeight="false" outlineLevel="0" collapsed="false">
      <c r="A298" s="74"/>
      <c r="B298" s="74"/>
      <c r="C298" s="74"/>
      <c r="D298" s="74"/>
      <c r="E298" s="74"/>
      <c r="F298" s="74"/>
      <c r="G298" s="74"/>
      <c r="H298" s="74"/>
      <c r="I298" s="74"/>
      <c r="J298" s="74"/>
      <c r="K298" s="74"/>
      <c r="L298" s="74"/>
      <c r="M298" s="74"/>
      <c r="N298" s="74"/>
      <c r="O298" s="74"/>
      <c r="P298" s="74"/>
      <c r="Q298" s="74"/>
      <c r="R298" s="74"/>
      <c r="S298" s="74"/>
      <c r="T298" s="74"/>
      <c r="U298" s="74"/>
      <c r="V298" s="74"/>
      <c r="W298" s="74"/>
      <c r="X298" s="74"/>
      <c r="Y298" s="74"/>
      <c r="Z298" s="74"/>
      <c r="AA298" s="74"/>
      <c r="AB298" s="74"/>
      <c r="AC298" s="74"/>
      <c r="AD298" s="74"/>
      <c r="AE298" s="74"/>
      <c r="AF298" s="74"/>
      <c r="AG298" s="74"/>
      <c r="AH298" s="74"/>
    </row>
    <row r="299" customFormat="false" ht="15" hidden="false" customHeight="false" outlineLevel="0" collapsed="false">
      <c r="A299" s="74"/>
      <c r="B299" s="74"/>
      <c r="C299" s="74"/>
      <c r="D299" s="74"/>
      <c r="E299" s="74"/>
      <c r="F299" s="74"/>
      <c r="G299" s="74"/>
      <c r="H299" s="74"/>
      <c r="I299" s="74"/>
      <c r="J299" s="74"/>
      <c r="K299" s="74"/>
      <c r="L299" s="74"/>
      <c r="M299" s="74"/>
      <c r="N299" s="74"/>
      <c r="O299" s="74"/>
      <c r="P299" s="74"/>
      <c r="Q299" s="74"/>
      <c r="R299" s="74"/>
      <c r="S299" s="74"/>
      <c r="T299" s="74"/>
      <c r="U299" s="74"/>
      <c r="V299" s="74"/>
      <c r="W299" s="74"/>
      <c r="X299" s="74"/>
      <c r="Y299" s="74"/>
      <c r="Z299" s="74"/>
      <c r="AA299" s="74"/>
      <c r="AB299" s="74"/>
      <c r="AC299" s="74"/>
      <c r="AD299" s="74"/>
      <c r="AE299" s="74"/>
      <c r="AF299" s="74"/>
      <c r="AG299" s="74"/>
      <c r="AH299" s="74"/>
    </row>
    <row r="300" customFormat="false" ht="15" hidden="false" customHeight="false" outlineLevel="0" collapsed="false">
      <c r="A300" s="74"/>
      <c r="B300" s="74"/>
      <c r="C300" s="74"/>
      <c r="D300" s="74"/>
      <c r="E300" s="74"/>
      <c r="F300" s="74"/>
      <c r="G300" s="74"/>
      <c r="H300" s="74"/>
      <c r="I300" s="74"/>
      <c r="J300" s="74"/>
      <c r="K300" s="74"/>
      <c r="L300" s="74"/>
      <c r="M300" s="74"/>
      <c r="N300" s="74"/>
      <c r="O300" s="74"/>
      <c r="P300" s="74"/>
      <c r="Q300" s="74"/>
      <c r="R300" s="74"/>
      <c r="S300" s="74"/>
      <c r="T300" s="74"/>
      <c r="U300" s="74"/>
      <c r="V300" s="74"/>
      <c r="W300" s="74"/>
      <c r="X300" s="74"/>
      <c r="Y300" s="74"/>
      <c r="Z300" s="74"/>
      <c r="AA300" s="74"/>
      <c r="AB300" s="74"/>
      <c r="AC300" s="74"/>
      <c r="AD300" s="74"/>
      <c r="AE300" s="74"/>
      <c r="AF300" s="74"/>
      <c r="AG300" s="74"/>
      <c r="AH300" s="74"/>
    </row>
    <row r="301" customFormat="false" ht="15" hidden="false" customHeight="false" outlineLevel="0" collapsed="false">
      <c r="A301" s="74"/>
      <c r="B301" s="74"/>
      <c r="C301" s="74"/>
      <c r="D301" s="74"/>
      <c r="E301" s="74"/>
      <c r="F301" s="74"/>
      <c r="G301" s="74"/>
      <c r="H301" s="74"/>
      <c r="I301" s="74"/>
      <c r="J301" s="74"/>
      <c r="K301" s="74"/>
      <c r="L301" s="74"/>
      <c r="M301" s="74"/>
      <c r="N301" s="74"/>
      <c r="O301" s="74"/>
      <c r="P301" s="74"/>
      <c r="Q301" s="74"/>
      <c r="R301" s="74"/>
      <c r="S301" s="74"/>
      <c r="T301" s="74"/>
      <c r="U301" s="74"/>
      <c r="V301" s="74"/>
      <c r="W301" s="74"/>
      <c r="X301" s="74"/>
      <c r="Y301" s="74"/>
      <c r="Z301" s="74"/>
      <c r="AA301" s="74"/>
      <c r="AB301" s="74"/>
      <c r="AC301" s="74"/>
      <c r="AD301" s="74"/>
      <c r="AE301" s="74"/>
      <c r="AF301" s="74"/>
      <c r="AG301" s="74"/>
      <c r="AH301" s="74"/>
    </row>
    <row r="302" customFormat="false" ht="15" hidden="false" customHeight="false" outlineLevel="0" collapsed="false">
      <c r="A302" s="74"/>
      <c r="B302" s="74"/>
      <c r="C302" s="74"/>
      <c r="D302" s="74"/>
      <c r="E302" s="74"/>
      <c r="F302" s="74"/>
      <c r="G302" s="74"/>
      <c r="H302" s="74"/>
      <c r="I302" s="74"/>
      <c r="J302" s="74"/>
      <c r="K302" s="74"/>
      <c r="L302" s="74"/>
      <c r="M302" s="74"/>
      <c r="N302" s="74"/>
      <c r="O302" s="74"/>
      <c r="P302" s="74"/>
      <c r="Q302" s="74"/>
      <c r="R302" s="74"/>
      <c r="S302" s="74"/>
      <c r="T302" s="74"/>
      <c r="U302" s="74"/>
      <c r="V302" s="74"/>
      <c r="W302" s="74"/>
      <c r="X302" s="74"/>
      <c r="Y302" s="74"/>
      <c r="Z302" s="74"/>
      <c r="AA302" s="74"/>
      <c r="AB302" s="74"/>
      <c r="AC302" s="74"/>
      <c r="AD302" s="74"/>
      <c r="AE302" s="74"/>
      <c r="AF302" s="74"/>
      <c r="AG302" s="74"/>
      <c r="AH302" s="74"/>
    </row>
    <row r="303" customFormat="false" ht="15" hidden="false" customHeight="false" outlineLevel="0" collapsed="false">
      <c r="A303" s="74"/>
      <c r="B303" s="74"/>
      <c r="C303" s="74"/>
      <c r="D303" s="74"/>
      <c r="E303" s="74"/>
      <c r="F303" s="74"/>
      <c r="G303" s="74"/>
      <c r="H303" s="74"/>
      <c r="I303" s="74"/>
      <c r="J303" s="74"/>
      <c r="K303" s="74"/>
      <c r="L303" s="74"/>
      <c r="M303" s="74"/>
      <c r="N303" s="74"/>
      <c r="O303" s="74"/>
      <c r="P303" s="74"/>
      <c r="Q303" s="74"/>
      <c r="R303" s="74"/>
      <c r="S303" s="74"/>
      <c r="T303" s="74"/>
      <c r="U303" s="74"/>
      <c r="V303" s="74"/>
      <c r="W303" s="74"/>
      <c r="X303" s="74"/>
      <c r="Y303" s="74"/>
      <c r="Z303" s="74"/>
      <c r="AA303" s="74"/>
      <c r="AB303" s="74"/>
      <c r="AC303" s="74"/>
      <c r="AD303" s="74"/>
      <c r="AE303" s="74"/>
      <c r="AF303" s="74"/>
      <c r="AG303" s="74"/>
      <c r="AH303" s="74"/>
    </row>
    <row r="304" customFormat="false" ht="15" hidden="false" customHeight="false" outlineLevel="0" collapsed="false">
      <c r="A304" s="74"/>
      <c r="B304" s="74"/>
      <c r="C304" s="74"/>
      <c r="D304" s="74"/>
      <c r="E304" s="74"/>
      <c r="F304" s="74"/>
      <c r="G304" s="74"/>
      <c r="H304" s="74"/>
      <c r="I304" s="74"/>
      <c r="J304" s="74"/>
      <c r="K304" s="74"/>
      <c r="L304" s="74"/>
      <c r="M304" s="74"/>
      <c r="N304" s="74"/>
      <c r="O304" s="74"/>
      <c r="P304" s="74"/>
      <c r="Q304" s="74"/>
      <c r="R304" s="74"/>
      <c r="S304" s="74"/>
      <c r="T304" s="74"/>
      <c r="U304" s="74"/>
      <c r="V304" s="74"/>
      <c r="W304" s="74"/>
      <c r="X304" s="74"/>
      <c r="Y304" s="74"/>
      <c r="Z304" s="74"/>
      <c r="AA304" s="74"/>
      <c r="AB304" s="74"/>
      <c r="AC304" s="74"/>
      <c r="AD304" s="74"/>
      <c r="AE304" s="74"/>
      <c r="AF304" s="74"/>
      <c r="AG304" s="74"/>
      <c r="AH304" s="74"/>
    </row>
    <row r="305" customFormat="false" ht="15" hidden="false" customHeight="false" outlineLevel="0" collapsed="false">
      <c r="A305" s="74"/>
      <c r="B305" s="74"/>
      <c r="C305" s="74"/>
      <c r="D305" s="74"/>
      <c r="E305" s="74"/>
      <c r="F305" s="74"/>
      <c r="G305" s="74"/>
      <c r="H305" s="74"/>
      <c r="I305" s="74"/>
      <c r="J305" s="74"/>
      <c r="K305" s="74"/>
      <c r="L305" s="74"/>
      <c r="M305" s="74"/>
      <c r="N305" s="74"/>
      <c r="O305" s="74"/>
      <c r="P305" s="74"/>
      <c r="Q305" s="74"/>
      <c r="R305" s="74"/>
      <c r="S305" s="74"/>
      <c r="T305" s="74"/>
      <c r="U305" s="74"/>
      <c r="V305" s="74"/>
      <c r="W305" s="74"/>
      <c r="X305" s="74"/>
      <c r="Y305" s="74"/>
      <c r="Z305" s="74"/>
      <c r="AA305" s="74"/>
      <c r="AB305" s="74"/>
      <c r="AC305" s="74"/>
      <c r="AD305" s="74"/>
      <c r="AE305" s="74"/>
      <c r="AF305" s="74"/>
      <c r="AG305" s="74"/>
      <c r="AH305" s="74"/>
    </row>
    <row r="306" customFormat="false" ht="15" hidden="false" customHeight="false" outlineLevel="0" collapsed="false">
      <c r="A306" s="74"/>
      <c r="B306" s="74"/>
      <c r="C306" s="74"/>
      <c r="D306" s="74"/>
      <c r="E306" s="74"/>
      <c r="F306" s="74"/>
      <c r="G306" s="74"/>
      <c r="H306" s="74"/>
      <c r="I306" s="74"/>
      <c r="J306" s="74"/>
      <c r="K306" s="74"/>
      <c r="L306" s="74"/>
      <c r="M306" s="74"/>
      <c r="N306" s="74"/>
      <c r="O306" s="74"/>
      <c r="P306" s="74"/>
      <c r="Q306" s="74"/>
      <c r="R306" s="74"/>
      <c r="S306" s="74"/>
      <c r="T306" s="74"/>
      <c r="U306" s="74"/>
      <c r="V306" s="74"/>
      <c r="W306" s="74"/>
      <c r="X306" s="74"/>
      <c r="Y306" s="74"/>
      <c r="Z306" s="74"/>
      <c r="AA306" s="74"/>
      <c r="AB306" s="74"/>
      <c r="AC306" s="74"/>
      <c r="AD306" s="74"/>
      <c r="AE306" s="74"/>
      <c r="AF306" s="74"/>
      <c r="AG306" s="74"/>
      <c r="AH306" s="74"/>
    </row>
    <row r="307" customFormat="false" ht="15" hidden="false" customHeight="false" outlineLevel="0" collapsed="false">
      <c r="A307" s="74"/>
      <c r="B307" s="74"/>
      <c r="C307" s="74"/>
      <c r="D307" s="74"/>
      <c r="E307" s="74"/>
      <c r="F307" s="74"/>
      <c r="G307" s="74"/>
      <c r="H307" s="74"/>
      <c r="I307" s="74"/>
      <c r="J307" s="74"/>
      <c r="K307" s="74"/>
      <c r="L307" s="74"/>
      <c r="M307" s="74"/>
      <c r="N307" s="74"/>
      <c r="O307" s="74"/>
      <c r="P307" s="74"/>
      <c r="Q307" s="74"/>
      <c r="R307" s="74"/>
      <c r="S307" s="74"/>
      <c r="T307" s="74"/>
      <c r="U307" s="74"/>
      <c r="V307" s="74"/>
      <c r="W307" s="74"/>
      <c r="X307" s="74"/>
      <c r="Y307" s="74"/>
      <c r="Z307" s="74"/>
      <c r="AA307" s="74"/>
      <c r="AB307" s="74"/>
      <c r="AC307" s="74"/>
      <c r="AD307" s="74"/>
      <c r="AE307" s="74"/>
      <c r="AF307" s="74"/>
      <c r="AG307" s="74"/>
      <c r="AH307" s="74"/>
    </row>
    <row r="308" customFormat="false" ht="15" hidden="false" customHeight="false" outlineLevel="0" collapsed="false">
      <c r="A308" s="74"/>
      <c r="B308" s="74"/>
      <c r="C308" s="74"/>
      <c r="D308" s="74"/>
      <c r="E308" s="74"/>
      <c r="F308" s="74"/>
      <c r="G308" s="74"/>
      <c r="H308" s="74"/>
      <c r="I308" s="74"/>
      <c r="J308" s="74"/>
      <c r="K308" s="74"/>
      <c r="L308" s="74"/>
      <c r="M308" s="74"/>
      <c r="N308" s="74"/>
      <c r="O308" s="74"/>
      <c r="P308" s="74"/>
      <c r="Q308" s="74"/>
      <c r="R308" s="74"/>
      <c r="S308" s="74"/>
      <c r="T308" s="74"/>
      <c r="U308" s="74"/>
      <c r="V308" s="74"/>
      <c r="W308" s="74"/>
      <c r="X308" s="74"/>
      <c r="Y308" s="74"/>
      <c r="Z308" s="74"/>
      <c r="AA308" s="74"/>
      <c r="AB308" s="74"/>
      <c r="AC308" s="74"/>
      <c r="AD308" s="74"/>
      <c r="AE308" s="74"/>
      <c r="AF308" s="74"/>
      <c r="AG308" s="74"/>
      <c r="AH308" s="74"/>
    </row>
    <row r="309" customFormat="false" ht="15" hidden="false" customHeight="false" outlineLevel="0" collapsed="false">
      <c r="A309" s="74"/>
      <c r="B309" s="74"/>
      <c r="C309" s="74"/>
      <c r="D309" s="74"/>
      <c r="E309" s="74"/>
      <c r="F309" s="74"/>
      <c r="G309" s="74"/>
      <c r="H309" s="74"/>
      <c r="I309" s="74"/>
      <c r="J309" s="74"/>
      <c r="K309" s="74"/>
      <c r="L309" s="74"/>
      <c r="M309" s="74"/>
      <c r="N309" s="74"/>
      <c r="O309" s="74"/>
      <c r="P309" s="74"/>
      <c r="Q309" s="74"/>
      <c r="R309" s="74"/>
      <c r="S309" s="74"/>
      <c r="T309" s="74"/>
      <c r="U309" s="74"/>
      <c r="V309" s="74"/>
      <c r="W309" s="74"/>
      <c r="X309" s="74"/>
      <c r="Y309" s="74"/>
      <c r="Z309" s="74"/>
      <c r="AA309" s="74"/>
      <c r="AB309" s="74"/>
      <c r="AC309" s="74"/>
      <c r="AD309" s="74"/>
      <c r="AE309" s="74"/>
      <c r="AF309" s="74"/>
      <c r="AG309" s="74"/>
      <c r="AH309" s="74"/>
    </row>
    <row r="310" customFormat="false" ht="15" hidden="false" customHeight="false" outlineLevel="0" collapsed="false">
      <c r="A310" s="74"/>
      <c r="B310" s="74"/>
      <c r="C310" s="74"/>
      <c r="D310" s="74"/>
      <c r="E310" s="74"/>
      <c r="F310" s="74"/>
      <c r="G310" s="74"/>
      <c r="H310" s="74"/>
      <c r="I310" s="74"/>
      <c r="J310" s="74"/>
      <c r="K310" s="74"/>
      <c r="L310" s="74"/>
      <c r="M310" s="74"/>
      <c r="N310" s="74"/>
      <c r="O310" s="74"/>
      <c r="P310" s="74"/>
      <c r="Q310" s="74"/>
      <c r="R310" s="74"/>
      <c r="S310" s="74"/>
      <c r="T310" s="74"/>
      <c r="U310" s="74"/>
      <c r="V310" s="74"/>
      <c r="W310" s="74"/>
      <c r="X310" s="74"/>
      <c r="Y310" s="74"/>
      <c r="Z310" s="74"/>
      <c r="AA310" s="74"/>
      <c r="AB310" s="74"/>
      <c r="AC310" s="74"/>
      <c r="AD310" s="74"/>
      <c r="AE310" s="74"/>
      <c r="AF310" s="74"/>
      <c r="AG310" s="74"/>
      <c r="AH310" s="74"/>
    </row>
    <row r="311" customFormat="false" ht="15" hidden="false" customHeight="false" outlineLevel="0" collapsed="false">
      <c r="A311" s="74"/>
      <c r="B311" s="74"/>
      <c r="C311" s="74"/>
      <c r="D311" s="74"/>
      <c r="E311" s="74"/>
      <c r="F311" s="74"/>
      <c r="G311" s="74"/>
      <c r="H311" s="74"/>
      <c r="I311" s="74"/>
      <c r="J311" s="74"/>
      <c r="K311" s="74"/>
      <c r="L311" s="74"/>
      <c r="M311" s="74"/>
      <c r="N311" s="74"/>
      <c r="O311" s="74"/>
      <c r="P311" s="74"/>
      <c r="Q311" s="74"/>
      <c r="R311" s="74"/>
      <c r="S311" s="74"/>
      <c r="T311" s="74"/>
      <c r="U311" s="74"/>
      <c r="V311" s="74"/>
      <c r="W311" s="74"/>
      <c r="X311" s="74"/>
      <c r="Y311" s="74"/>
      <c r="Z311" s="74"/>
      <c r="AA311" s="74"/>
      <c r="AB311" s="74"/>
      <c r="AC311" s="74"/>
      <c r="AD311" s="74"/>
      <c r="AE311" s="74"/>
      <c r="AF311" s="74"/>
      <c r="AG311" s="74"/>
      <c r="AH311" s="74"/>
    </row>
    <row r="312" customFormat="false" ht="15" hidden="false" customHeight="false" outlineLevel="0" collapsed="false">
      <c r="A312" s="74"/>
      <c r="B312" s="74"/>
      <c r="C312" s="74"/>
      <c r="D312" s="74"/>
      <c r="E312" s="74"/>
      <c r="F312" s="74"/>
      <c r="G312" s="74"/>
      <c r="H312" s="74"/>
      <c r="I312" s="74"/>
      <c r="J312" s="74"/>
      <c r="K312" s="74"/>
      <c r="L312" s="74"/>
      <c r="M312" s="74"/>
      <c r="N312" s="74"/>
      <c r="O312" s="74"/>
      <c r="P312" s="74"/>
      <c r="Q312" s="74"/>
      <c r="R312" s="74"/>
      <c r="S312" s="74"/>
      <c r="T312" s="74"/>
      <c r="U312" s="74"/>
      <c r="V312" s="74"/>
      <c r="W312" s="74"/>
      <c r="X312" s="74"/>
      <c r="Y312" s="74"/>
      <c r="Z312" s="74"/>
      <c r="AA312" s="74"/>
      <c r="AB312" s="74"/>
      <c r="AC312" s="74"/>
      <c r="AD312" s="74"/>
      <c r="AE312" s="74"/>
      <c r="AF312" s="74"/>
      <c r="AG312" s="74"/>
      <c r="AH312" s="74"/>
    </row>
    <row r="313" customFormat="false" ht="15" hidden="false" customHeight="false" outlineLevel="0" collapsed="false">
      <c r="A313" s="74"/>
      <c r="B313" s="74"/>
      <c r="C313" s="74"/>
      <c r="D313" s="74"/>
      <c r="E313" s="74"/>
      <c r="F313" s="74"/>
      <c r="G313" s="74"/>
      <c r="H313" s="74"/>
      <c r="I313" s="74"/>
      <c r="J313" s="74"/>
      <c r="K313" s="74"/>
      <c r="L313" s="74"/>
      <c r="M313" s="74"/>
      <c r="N313" s="74"/>
      <c r="O313" s="74"/>
      <c r="P313" s="74"/>
      <c r="Q313" s="74"/>
      <c r="R313" s="74"/>
      <c r="S313" s="74"/>
      <c r="T313" s="74"/>
      <c r="U313" s="74"/>
      <c r="V313" s="74"/>
      <c r="W313" s="74"/>
      <c r="X313" s="74"/>
      <c r="Y313" s="74"/>
      <c r="Z313" s="74"/>
      <c r="AA313" s="74"/>
      <c r="AB313" s="74"/>
      <c r="AC313" s="74"/>
      <c r="AD313" s="74"/>
      <c r="AE313" s="74"/>
      <c r="AF313" s="74"/>
      <c r="AG313" s="74"/>
      <c r="AH313" s="74"/>
    </row>
    <row r="314" customFormat="false" ht="15" hidden="false" customHeight="false" outlineLevel="0" collapsed="false">
      <c r="A314" s="74"/>
      <c r="B314" s="74"/>
      <c r="C314" s="74"/>
      <c r="D314" s="74"/>
      <c r="E314" s="74"/>
      <c r="F314" s="74"/>
      <c r="G314" s="74"/>
      <c r="H314" s="74"/>
      <c r="I314" s="74"/>
      <c r="J314" s="74"/>
      <c r="K314" s="74"/>
      <c r="L314" s="74"/>
      <c r="M314" s="74"/>
      <c r="N314" s="74"/>
      <c r="O314" s="74"/>
      <c r="P314" s="74"/>
      <c r="Q314" s="74"/>
      <c r="R314" s="74"/>
      <c r="S314" s="74"/>
      <c r="T314" s="74"/>
      <c r="U314" s="74"/>
      <c r="V314" s="74"/>
      <c r="W314" s="74"/>
      <c r="X314" s="74"/>
      <c r="Y314" s="74"/>
      <c r="Z314" s="74"/>
      <c r="AA314" s="74"/>
      <c r="AB314" s="74"/>
      <c r="AC314" s="74"/>
      <c r="AD314" s="74"/>
      <c r="AE314" s="74"/>
      <c r="AF314" s="74"/>
      <c r="AG314" s="74"/>
      <c r="AH314" s="74"/>
    </row>
    <row r="315" customFormat="false" ht="15" hidden="false" customHeight="false" outlineLevel="0" collapsed="false">
      <c r="A315" s="74"/>
      <c r="B315" s="74"/>
      <c r="C315" s="74"/>
      <c r="D315" s="74"/>
      <c r="E315" s="74"/>
      <c r="F315" s="74"/>
      <c r="G315" s="74"/>
      <c r="H315" s="74"/>
      <c r="I315" s="74"/>
      <c r="J315" s="74"/>
      <c r="K315" s="74"/>
      <c r="L315" s="74"/>
      <c r="M315" s="74"/>
      <c r="N315" s="74"/>
      <c r="O315" s="74"/>
      <c r="P315" s="74"/>
      <c r="Q315" s="74"/>
      <c r="R315" s="74"/>
      <c r="S315" s="74"/>
      <c r="T315" s="74"/>
      <c r="U315" s="74"/>
      <c r="V315" s="74"/>
      <c r="W315" s="74"/>
      <c r="X315" s="74"/>
      <c r="Y315" s="74"/>
      <c r="Z315" s="74"/>
      <c r="AA315" s="74"/>
      <c r="AB315" s="74"/>
      <c r="AC315" s="74"/>
      <c r="AD315" s="74"/>
      <c r="AE315" s="74"/>
      <c r="AF315" s="74"/>
      <c r="AG315" s="74"/>
      <c r="AH315" s="74"/>
    </row>
    <row r="316" customFormat="false" ht="15" hidden="false" customHeight="false" outlineLevel="0" collapsed="false">
      <c r="A316" s="74"/>
      <c r="B316" s="74"/>
      <c r="C316" s="74"/>
      <c r="D316" s="74"/>
      <c r="E316" s="74"/>
      <c r="F316" s="74"/>
      <c r="G316" s="74"/>
      <c r="H316" s="74"/>
      <c r="I316" s="74"/>
      <c r="J316" s="74"/>
      <c r="K316" s="74"/>
      <c r="L316" s="74"/>
      <c r="M316" s="74"/>
      <c r="N316" s="74"/>
      <c r="O316" s="74"/>
      <c r="P316" s="74"/>
      <c r="Q316" s="74"/>
      <c r="R316" s="74"/>
      <c r="S316" s="74"/>
      <c r="T316" s="74"/>
      <c r="U316" s="74"/>
      <c r="V316" s="74"/>
      <c r="W316" s="74"/>
      <c r="X316" s="74"/>
      <c r="Y316" s="74"/>
      <c r="Z316" s="74"/>
      <c r="AA316" s="74"/>
      <c r="AB316" s="74"/>
      <c r="AC316" s="74"/>
      <c r="AD316" s="74"/>
      <c r="AE316" s="74"/>
      <c r="AF316" s="74"/>
      <c r="AG316" s="74"/>
      <c r="AH316" s="74"/>
    </row>
    <row r="317" customFormat="false" ht="15" hidden="false" customHeight="false" outlineLevel="0" collapsed="false">
      <c r="A317" s="74"/>
      <c r="B317" s="74"/>
      <c r="C317" s="74"/>
      <c r="D317" s="74"/>
      <c r="E317" s="74"/>
      <c r="F317" s="74"/>
      <c r="G317" s="74"/>
      <c r="H317" s="74"/>
      <c r="I317" s="74"/>
      <c r="J317" s="74"/>
      <c r="K317" s="74"/>
      <c r="L317" s="74"/>
      <c r="M317" s="74"/>
      <c r="N317" s="74"/>
      <c r="O317" s="74"/>
      <c r="P317" s="74"/>
      <c r="Q317" s="74"/>
      <c r="R317" s="74"/>
      <c r="S317" s="74"/>
      <c r="T317" s="74"/>
      <c r="U317" s="74"/>
      <c r="V317" s="74"/>
      <c r="W317" s="74"/>
      <c r="X317" s="74"/>
      <c r="Y317" s="74"/>
      <c r="Z317" s="74"/>
      <c r="AA317" s="74"/>
      <c r="AB317" s="74"/>
      <c r="AC317" s="74"/>
      <c r="AD317" s="74"/>
      <c r="AE317" s="74"/>
      <c r="AF317" s="74"/>
      <c r="AG317" s="74"/>
      <c r="AH317" s="74"/>
    </row>
    <row r="318" customFormat="false" ht="15" hidden="false" customHeight="false" outlineLevel="0" collapsed="false">
      <c r="A318" s="74"/>
      <c r="B318" s="74"/>
      <c r="C318" s="74"/>
      <c r="D318" s="74"/>
      <c r="E318" s="74"/>
      <c r="F318" s="74"/>
      <c r="G318" s="74"/>
      <c r="H318" s="74"/>
      <c r="I318" s="74"/>
      <c r="J318" s="74"/>
      <c r="K318" s="74"/>
      <c r="L318" s="74"/>
      <c r="M318" s="74"/>
      <c r="N318" s="74"/>
      <c r="O318" s="74"/>
      <c r="P318" s="74"/>
      <c r="Q318" s="74"/>
      <c r="R318" s="74"/>
      <c r="S318" s="74"/>
      <c r="T318" s="74"/>
      <c r="U318" s="74"/>
      <c r="V318" s="74"/>
      <c r="W318" s="74"/>
      <c r="X318" s="74"/>
      <c r="Y318" s="74"/>
      <c r="Z318" s="74"/>
      <c r="AA318" s="74"/>
      <c r="AB318" s="74"/>
      <c r="AC318" s="74"/>
      <c r="AD318" s="74"/>
      <c r="AE318" s="74"/>
      <c r="AF318" s="74"/>
      <c r="AG318" s="74"/>
      <c r="AH318" s="74"/>
    </row>
    <row r="319" customFormat="false" ht="15" hidden="false" customHeight="false" outlineLevel="0" collapsed="false">
      <c r="A319" s="74"/>
      <c r="B319" s="74"/>
      <c r="C319" s="74"/>
      <c r="D319" s="74"/>
      <c r="E319" s="74"/>
      <c r="F319" s="74"/>
      <c r="G319" s="74"/>
      <c r="H319" s="74"/>
      <c r="I319" s="74"/>
      <c r="J319" s="74"/>
      <c r="K319" s="74"/>
      <c r="L319" s="74"/>
      <c r="M319" s="74"/>
      <c r="N319" s="74"/>
      <c r="O319" s="74"/>
      <c r="P319" s="74"/>
      <c r="Q319" s="74"/>
      <c r="R319" s="74"/>
      <c r="S319" s="74"/>
      <c r="T319" s="74"/>
      <c r="U319" s="74"/>
      <c r="V319" s="74"/>
      <c r="W319" s="74"/>
      <c r="X319" s="74"/>
      <c r="Y319" s="74"/>
      <c r="Z319" s="74"/>
      <c r="AA319" s="74"/>
      <c r="AB319" s="74"/>
      <c r="AC319" s="74"/>
      <c r="AD319" s="74"/>
      <c r="AE319" s="74"/>
      <c r="AF319" s="74"/>
      <c r="AG319" s="74"/>
      <c r="AH319" s="74"/>
    </row>
    <row r="320" customFormat="false" ht="15" hidden="false" customHeight="false" outlineLevel="0" collapsed="false">
      <c r="A320" s="74"/>
      <c r="B320" s="74"/>
      <c r="C320" s="74"/>
      <c r="D320" s="74"/>
      <c r="E320" s="74"/>
      <c r="F320" s="74"/>
      <c r="G320" s="74"/>
      <c r="H320" s="74"/>
      <c r="I320" s="74"/>
      <c r="J320" s="74"/>
      <c r="K320" s="74"/>
      <c r="L320" s="74"/>
      <c r="M320" s="74"/>
      <c r="N320" s="74"/>
      <c r="O320" s="74"/>
      <c r="P320" s="74"/>
      <c r="Q320" s="74"/>
      <c r="R320" s="74"/>
      <c r="S320" s="74"/>
      <c r="T320" s="74"/>
      <c r="U320" s="74"/>
      <c r="V320" s="74"/>
      <c r="W320" s="74"/>
      <c r="X320" s="74"/>
      <c r="Y320" s="74"/>
      <c r="Z320" s="74"/>
      <c r="AA320" s="74"/>
      <c r="AB320" s="74"/>
      <c r="AC320" s="74"/>
      <c r="AD320" s="74"/>
      <c r="AE320" s="74"/>
      <c r="AF320" s="74"/>
      <c r="AG320" s="74"/>
      <c r="AH320" s="74"/>
    </row>
    <row r="321" customFormat="false" ht="15" hidden="false" customHeight="false" outlineLevel="0" collapsed="false">
      <c r="A321" s="74"/>
      <c r="B321" s="74"/>
      <c r="C321" s="74"/>
      <c r="D321" s="74"/>
      <c r="E321" s="74"/>
      <c r="F321" s="74"/>
      <c r="G321" s="74"/>
      <c r="H321" s="74"/>
      <c r="I321" s="74"/>
      <c r="J321" s="74"/>
      <c r="K321" s="74"/>
      <c r="L321" s="74"/>
      <c r="M321" s="74"/>
      <c r="N321" s="74"/>
      <c r="O321" s="74"/>
      <c r="P321" s="74"/>
      <c r="Q321" s="74"/>
      <c r="R321" s="74"/>
      <c r="S321" s="74"/>
      <c r="T321" s="74"/>
      <c r="U321" s="74"/>
      <c r="V321" s="74"/>
      <c r="W321" s="74"/>
      <c r="X321" s="74"/>
      <c r="Y321" s="74"/>
      <c r="Z321" s="74"/>
      <c r="AA321" s="74"/>
      <c r="AB321" s="74"/>
      <c r="AC321" s="74"/>
      <c r="AD321" s="74"/>
      <c r="AE321" s="74"/>
      <c r="AF321" s="74"/>
      <c r="AG321" s="74"/>
      <c r="AH321" s="74"/>
    </row>
    <row r="322" customFormat="false" ht="15" hidden="false" customHeight="false" outlineLevel="0" collapsed="false">
      <c r="A322" s="74"/>
      <c r="B322" s="74"/>
      <c r="C322" s="74"/>
      <c r="D322" s="74"/>
      <c r="E322" s="74"/>
      <c r="F322" s="74"/>
      <c r="G322" s="74"/>
      <c r="H322" s="74"/>
      <c r="I322" s="74"/>
      <c r="J322" s="74"/>
      <c r="K322" s="74"/>
      <c r="L322" s="74"/>
      <c r="M322" s="74"/>
      <c r="N322" s="74"/>
      <c r="O322" s="74"/>
      <c r="P322" s="74"/>
      <c r="Q322" s="74"/>
      <c r="R322" s="74"/>
      <c r="S322" s="74"/>
      <c r="T322" s="74"/>
      <c r="U322" s="74"/>
      <c r="V322" s="74"/>
      <c r="W322" s="74"/>
      <c r="X322" s="74"/>
      <c r="Y322" s="74"/>
      <c r="Z322" s="74"/>
      <c r="AA322" s="74"/>
      <c r="AB322" s="74"/>
      <c r="AC322" s="74"/>
      <c r="AD322" s="74"/>
      <c r="AE322" s="74"/>
      <c r="AF322" s="74"/>
      <c r="AG322" s="74"/>
      <c r="AH322" s="74"/>
    </row>
    <row r="323" customFormat="false" ht="15" hidden="false" customHeight="false" outlineLevel="0" collapsed="false">
      <c r="A323" s="74"/>
      <c r="B323" s="74"/>
      <c r="C323" s="74"/>
      <c r="D323" s="74"/>
      <c r="E323" s="74"/>
      <c r="F323" s="74"/>
      <c r="G323" s="74"/>
      <c r="H323" s="74"/>
      <c r="I323" s="74"/>
      <c r="J323" s="74"/>
      <c r="K323" s="74"/>
      <c r="L323" s="74"/>
      <c r="M323" s="74"/>
      <c r="N323" s="74"/>
      <c r="O323" s="74"/>
      <c r="P323" s="74"/>
      <c r="Q323" s="74"/>
      <c r="R323" s="74"/>
      <c r="S323" s="74"/>
      <c r="T323" s="74"/>
      <c r="U323" s="74"/>
      <c r="V323" s="74"/>
      <c r="W323" s="74"/>
      <c r="X323" s="74"/>
      <c r="Y323" s="74"/>
      <c r="Z323" s="74"/>
      <c r="AA323" s="74"/>
      <c r="AB323" s="74"/>
      <c r="AC323" s="74"/>
      <c r="AD323" s="74"/>
      <c r="AE323" s="74"/>
      <c r="AF323" s="74"/>
      <c r="AG323" s="74"/>
      <c r="AH323" s="74"/>
    </row>
    <row r="324" customFormat="false" ht="15" hidden="false" customHeight="false" outlineLevel="0" collapsed="false">
      <c r="A324" s="74"/>
      <c r="B324" s="74"/>
      <c r="C324" s="74"/>
      <c r="D324" s="74"/>
      <c r="E324" s="74"/>
      <c r="F324" s="74"/>
      <c r="G324" s="74"/>
      <c r="H324" s="74"/>
      <c r="I324" s="74"/>
      <c r="J324" s="74"/>
      <c r="K324" s="74"/>
      <c r="L324" s="74"/>
      <c r="M324" s="74"/>
      <c r="N324" s="74"/>
      <c r="O324" s="74"/>
      <c r="P324" s="74"/>
      <c r="Q324" s="74"/>
      <c r="R324" s="74"/>
      <c r="S324" s="74"/>
      <c r="T324" s="74"/>
      <c r="U324" s="74"/>
      <c r="V324" s="74"/>
      <c r="W324" s="74"/>
      <c r="X324" s="74"/>
      <c r="Y324" s="74"/>
      <c r="Z324" s="74"/>
      <c r="AA324" s="74"/>
      <c r="AB324" s="74"/>
      <c r="AC324" s="74"/>
      <c r="AD324" s="74"/>
      <c r="AE324" s="74"/>
      <c r="AF324" s="74"/>
      <c r="AG324" s="74"/>
      <c r="AH324" s="74"/>
    </row>
    <row r="325" customFormat="false" ht="15" hidden="false" customHeight="false" outlineLevel="0" collapsed="false">
      <c r="A325" s="74"/>
      <c r="B325" s="74"/>
      <c r="C325" s="74"/>
      <c r="D325" s="74"/>
      <c r="E325" s="74"/>
      <c r="F325" s="74"/>
      <c r="G325" s="74"/>
      <c r="H325" s="74"/>
      <c r="I325" s="74"/>
      <c r="J325" s="74"/>
      <c r="K325" s="74"/>
      <c r="L325" s="74"/>
      <c r="M325" s="74"/>
      <c r="N325" s="74"/>
      <c r="O325" s="74"/>
      <c r="P325" s="74"/>
      <c r="Q325" s="74"/>
      <c r="R325" s="74"/>
      <c r="S325" s="74"/>
      <c r="T325" s="74"/>
      <c r="U325" s="74"/>
      <c r="V325" s="74"/>
      <c r="W325" s="74"/>
      <c r="X325" s="74"/>
      <c r="Y325" s="74"/>
      <c r="Z325" s="74"/>
      <c r="AA325" s="74"/>
      <c r="AB325" s="74"/>
      <c r="AC325" s="74"/>
      <c r="AD325" s="74"/>
      <c r="AE325" s="74"/>
      <c r="AF325" s="74"/>
      <c r="AG325" s="74"/>
      <c r="AH325" s="74"/>
    </row>
    <row r="326" customFormat="false" ht="15" hidden="false" customHeight="false" outlineLevel="0" collapsed="false">
      <c r="A326" s="74"/>
      <c r="B326" s="74"/>
      <c r="C326" s="74"/>
      <c r="D326" s="74"/>
      <c r="E326" s="74"/>
      <c r="F326" s="74"/>
      <c r="G326" s="74"/>
      <c r="H326" s="74"/>
      <c r="I326" s="74"/>
      <c r="J326" s="74"/>
      <c r="K326" s="74"/>
      <c r="L326" s="74"/>
      <c r="M326" s="74"/>
      <c r="N326" s="74"/>
      <c r="O326" s="74"/>
      <c r="P326" s="74"/>
      <c r="Q326" s="74"/>
      <c r="R326" s="74"/>
      <c r="S326" s="74"/>
      <c r="T326" s="74"/>
      <c r="U326" s="74"/>
      <c r="V326" s="74"/>
      <c r="W326" s="74"/>
      <c r="X326" s="74"/>
      <c r="Y326" s="74"/>
      <c r="Z326" s="74"/>
      <c r="AA326" s="74"/>
      <c r="AB326" s="74"/>
      <c r="AC326" s="74"/>
      <c r="AD326" s="74"/>
      <c r="AE326" s="74"/>
      <c r="AF326" s="74"/>
      <c r="AG326" s="74"/>
      <c r="AH326" s="74"/>
    </row>
    <row r="327" customFormat="false" ht="15" hidden="false" customHeight="false" outlineLevel="0" collapsed="false">
      <c r="A327" s="74"/>
      <c r="B327" s="74"/>
      <c r="C327" s="74"/>
      <c r="D327" s="74"/>
      <c r="E327" s="74"/>
      <c r="F327" s="74"/>
      <c r="G327" s="74"/>
      <c r="H327" s="74"/>
      <c r="I327" s="74"/>
      <c r="J327" s="74"/>
      <c r="K327" s="74"/>
      <c r="L327" s="74"/>
      <c r="M327" s="74"/>
      <c r="N327" s="74"/>
      <c r="O327" s="74"/>
      <c r="P327" s="74"/>
      <c r="Q327" s="74"/>
      <c r="R327" s="74"/>
      <c r="S327" s="74"/>
      <c r="T327" s="74"/>
      <c r="U327" s="74"/>
      <c r="V327" s="74"/>
      <c r="W327" s="74"/>
      <c r="X327" s="74"/>
      <c r="Y327" s="74"/>
      <c r="Z327" s="74"/>
      <c r="AA327" s="74"/>
      <c r="AB327" s="74"/>
      <c r="AC327" s="74"/>
      <c r="AD327" s="74"/>
      <c r="AE327" s="74"/>
      <c r="AF327" s="74"/>
      <c r="AG327" s="74"/>
      <c r="AH327" s="74"/>
    </row>
    <row r="328" customFormat="false" ht="15" hidden="false" customHeight="false" outlineLevel="0" collapsed="false">
      <c r="A328" s="74"/>
      <c r="B328" s="74"/>
      <c r="C328" s="74"/>
      <c r="D328" s="74"/>
      <c r="E328" s="74"/>
      <c r="F328" s="74"/>
      <c r="G328" s="74"/>
      <c r="H328" s="74"/>
      <c r="I328" s="74"/>
      <c r="J328" s="74"/>
      <c r="K328" s="74"/>
      <c r="L328" s="74"/>
      <c r="M328" s="74"/>
      <c r="N328" s="74"/>
      <c r="O328" s="74"/>
      <c r="P328" s="74"/>
      <c r="Q328" s="74"/>
      <c r="R328" s="74"/>
      <c r="S328" s="74"/>
      <c r="T328" s="74"/>
      <c r="U328" s="74"/>
      <c r="V328" s="74"/>
      <c r="W328" s="74"/>
      <c r="X328" s="74"/>
      <c r="Y328" s="74"/>
      <c r="Z328" s="74"/>
      <c r="AA328" s="74"/>
      <c r="AB328" s="74"/>
      <c r="AC328" s="74"/>
      <c r="AD328" s="74"/>
      <c r="AE328" s="74"/>
      <c r="AF328" s="74"/>
      <c r="AG328" s="74"/>
      <c r="AH328" s="74"/>
    </row>
    <row r="329" customFormat="false" ht="15" hidden="false" customHeight="false" outlineLevel="0" collapsed="false">
      <c r="A329" s="74"/>
      <c r="B329" s="74"/>
      <c r="C329" s="74"/>
      <c r="D329" s="74"/>
      <c r="E329" s="74"/>
      <c r="F329" s="74"/>
      <c r="G329" s="74"/>
      <c r="H329" s="74"/>
      <c r="I329" s="74"/>
      <c r="J329" s="74"/>
      <c r="K329" s="74"/>
      <c r="L329" s="74"/>
      <c r="M329" s="74"/>
      <c r="N329" s="74"/>
      <c r="O329" s="74"/>
      <c r="P329" s="74"/>
      <c r="Q329" s="74"/>
      <c r="R329" s="74"/>
      <c r="S329" s="74"/>
      <c r="T329" s="74"/>
      <c r="U329" s="74"/>
      <c r="V329" s="74"/>
      <c r="W329" s="74"/>
      <c r="X329" s="74"/>
      <c r="Y329" s="74"/>
      <c r="Z329" s="74"/>
      <c r="AA329" s="74"/>
      <c r="AB329" s="74"/>
      <c r="AC329" s="74"/>
      <c r="AD329" s="74"/>
      <c r="AE329" s="74"/>
      <c r="AF329" s="74"/>
      <c r="AG329" s="74"/>
      <c r="AH329" s="74"/>
    </row>
    <row r="330" customFormat="false" ht="15" hidden="false" customHeight="false" outlineLevel="0" collapsed="false">
      <c r="A330" s="74"/>
      <c r="B330" s="74"/>
      <c r="C330" s="74"/>
      <c r="D330" s="74"/>
      <c r="E330" s="74"/>
      <c r="F330" s="74"/>
      <c r="G330" s="74"/>
      <c r="H330" s="74"/>
      <c r="I330" s="74"/>
      <c r="J330" s="74"/>
      <c r="K330" s="74"/>
      <c r="L330" s="74"/>
      <c r="M330" s="74"/>
      <c r="N330" s="74"/>
      <c r="O330" s="74"/>
      <c r="P330" s="74"/>
      <c r="Q330" s="74"/>
      <c r="R330" s="74"/>
      <c r="S330" s="74"/>
      <c r="T330" s="74"/>
      <c r="U330" s="74"/>
      <c r="V330" s="74"/>
      <c r="W330" s="74"/>
      <c r="X330" s="74"/>
      <c r="Y330" s="74"/>
      <c r="Z330" s="74"/>
      <c r="AA330" s="74"/>
      <c r="AB330" s="74"/>
      <c r="AC330" s="74"/>
      <c r="AD330" s="74"/>
      <c r="AE330" s="74"/>
      <c r="AF330" s="74"/>
      <c r="AG330" s="74"/>
      <c r="AH330" s="74"/>
    </row>
    <row r="331" customFormat="false" ht="15" hidden="false" customHeight="false" outlineLevel="0" collapsed="false">
      <c r="A331" s="74"/>
      <c r="B331" s="74"/>
      <c r="C331" s="74"/>
      <c r="D331" s="74"/>
      <c r="E331" s="74"/>
      <c r="F331" s="74"/>
      <c r="G331" s="74"/>
      <c r="H331" s="74"/>
      <c r="I331" s="74"/>
      <c r="J331" s="74"/>
      <c r="K331" s="74"/>
      <c r="L331" s="74"/>
      <c r="M331" s="74"/>
      <c r="N331" s="74"/>
      <c r="O331" s="74"/>
      <c r="P331" s="74"/>
      <c r="Q331" s="74"/>
      <c r="R331" s="74"/>
      <c r="S331" s="74"/>
      <c r="T331" s="74"/>
      <c r="U331" s="74"/>
      <c r="V331" s="74"/>
      <c r="W331" s="74"/>
      <c r="X331" s="74"/>
      <c r="Y331" s="74"/>
      <c r="Z331" s="74"/>
      <c r="AA331" s="74"/>
      <c r="AB331" s="74"/>
      <c r="AC331" s="74"/>
      <c r="AD331" s="74"/>
      <c r="AE331" s="74"/>
      <c r="AF331" s="74"/>
      <c r="AG331" s="74"/>
      <c r="AH331" s="74"/>
    </row>
    <row r="332" customFormat="false" ht="15" hidden="false" customHeight="false" outlineLevel="0" collapsed="false">
      <c r="A332" s="74"/>
      <c r="B332" s="74"/>
      <c r="C332" s="74"/>
      <c r="D332" s="74"/>
      <c r="E332" s="74"/>
      <c r="F332" s="74"/>
      <c r="G332" s="74"/>
      <c r="H332" s="74"/>
      <c r="I332" s="74"/>
      <c r="J332" s="74"/>
      <c r="K332" s="74"/>
      <c r="L332" s="74"/>
      <c r="M332" s="74"/>
      <c r="N332" s="74"/>
      <c r="O332" s="74"/>
      <c r="P332" s="74"/>
      <c r="Q332" s="74"/>
      <c r="R332" s="74"/>
      <c r="S332" s="74"/>
      <c r="T332" s="74"/>
      <c r="U332" s="74"/>
      <c r="V332" s="74"/>
      <c r="W332" s="74"/>
      <c r="X332" s="74"/>
      <c r="Y332" s="74"/>
      <c r="Z332" s="74"/>
      <c r="AA332" s="74"/>
      <c r="AB332" s="74"/>
      <c r="AC332" s="74"/>
      <c r="AD332" s="74"/>
      <c r="AE332" s="74"/>
      <c r="AF332" s="74"/>
      <c r="AG332" s="74"/>
      <c r="AH332" s="74"/>
    </row>
    <row r="333" customFormat="false" ht="15" hidden="false" customHeight="false" outlineLevel="0" collapsed="false">
      <c r="A333" s="74"/>
      <c r="B333" s="74"/>
      <c r="C333" s="74"/>
      <c r="D333" s="74"/>
      <c r="E333" s="74"/>
      <c r="F333" s="74"/>
      <c r="G333" s="74"/>
      <c r="H333" s="74"/>
      <c r="I333" s="74"/>
      <c r="J333" s="74"/>
      <c r="K333" s="74"/>
      <c r="L333" s="74"/>
      <c r="M333" s="74"/>
      <c r="N333" s="74"/>
      <c r="O333" s="74"/>
      <c r="P333" s="74"/>
      <c r="Q333" s="74"/>
      <c r="R333" s="74"/>
      <c r="S333" s="74"/>
      <c r="T333" s="74"/>
      <c r="U333" s="74"/>
      <c r="V333" s="74"/>
      <c r="W333" s="74"/>
      <c r="X333" s="74"/>
      <c r="Y333" s="74"/>
      <c r="Z333" s="74"/>
      <c r="AA333" s="74"/>
      <c r="AB333" s="74"/>
      <c r="AC333" s="74"/>
      <c r="AD333" s="74"/>
      <c r="AE333" s="74"/>
      <c r="AF333" s="74"/>
      <c r="AG333" s="74"/>
      <c r="AH333" s="74"/>
    </row>
    <row r="334" customFormat="false" ht="15" hidden="false" customHeight="false" outlineLevel="0" collapsed="false">
      <c r="A334" s="74"/>
      <c r="B334" s="74"/>
      <c r="C334" s="74"/>
      <c r="D334" s="74"/>
      <c r="E334" s="74"/>
      <c r="F334" s="74"/>
      <c r="G334" s="74"/>
      <c r="H334" s="74"/>
      <c r="I334" s="74"/>
      <c r="J334" s="74"/>
      <c r="K334" s="74"/>
      <c r="L334" s="74"/>
      <c r="M334" s="74"/>
      <c r="N334" s="74"/>
      <c r="O334" s="74"/>
      <c r="P334" s="74"/>
      <c r="Q334" s="74"/>
      <c r="R334" s="74"/>
      <c r="S334" s="74"/>
      <c r="T334" s="74"/>
      <c r="U334" s="74"/>
      <c r="V334" s="74"/>
      <c r="W334" s="74"/>
      <c r="X334" s="74"/>
      <c r="Y334" s="74"/>
      <c r="Z334" s="74"/>
      <c r="AA334" s="74"/>
      <c r="AB334" s="74"/>
      <c r="AC334" s="74"/>
      <c r="AD334" s="74"/>
      <c r="AE334" s="74"/>
      <c r="AF334" s="74"/>
      <c r="AG334" s="74"/>
      <c r="AH334" s="74"/>
    </row>
    <row r="335" customFormat="false" ht="15" hidden="false" customHeight="false" outlineLevel="0" collapsed="false">
      <c r="A335" s="74"/>
      <c r="B335" s="74"/>
      <c r="C335" s="74"/>
      <c r="D335" s="74"/>
      <c r="E335" s="74"/>
      <c r="F335" s="74"/>
      <c r="G335" s="74"/>
      <c r="H335" s="74"/>
      <c r="I335" s="74"/>
      <c r="J335" s="74"/>
      <c r="K335" s="74"/>
      <c r="L335" s="74"/>
      <c r="M335" s="74"/>
      <c r="N335" s="74"/>
      <c r="O335" s="74"/>
      <c r="P335" s="74"/>
      <c r="Q335" s="74"/>
      <c r="R335" s="74"/>
      <c r="S335" s="74"/>
      <c r="T335" s="74"/>
      <c r="U335" s="74"/>
      <c r="V335" s="74"/>
      <c r="W335" s="74"/>
      <c r="X335" s="74"/>
      <c r="Y335" s="74"/>
      <c r="Z335" s="74"/>
      <c r="AA335" s="74"/>
      <c r="AB335" s="74"/>
      <c r="AC335" s="74"/>
      <c r="AD335" s="74"/>
      <c r="AE335" s="74"/>
      <c r="AF335" s="74"/>
      <c r="AG335" s="74"/>
      <c r="AH335" s="74"/>
    </row>
    <row r="336" customFormat="false" ht="15" hidden="false" customHeight="false" outlineLevel="0" collapsed="false">
      <c r="A336" s="74"/>
      <c r="B336" s="74"/>
      <c r="C336" s="74"/>
      <c r="D336" s="74"/>
      <c r="E336" s="74"/>
      <c r="F336" s="74"/>
      <c r="G336" s="74"/>
      <c r="H336" s="74"/>
      <c r="I336" s="74"/>
      <c r="J336" s="74"/>
      <c r="K336" s="74"/>
      <c r="L336" s="74"/>
      <c r="M336" s="74"/>
      <c r="N336" s="74"/>
      <c r="O336" s="74"/>
      <c r="P336" s="74"/>
      <c r="Q336" s="74"/>
      <c r="R336" s="74"/>
      <c r="S336" s="74"/>
      <c r="T336" s="74"/>
      <c r="U336" s="74"/>
      <c r="V336" s="74"/>
      <c r="W336" s="74"/>
      <c r="X336" s="74"/>
      <c r="Y336" s="74"/>
      <c r="Z336" s="74"/>
      <c r="AA336" s="74"/>
      <c r="AB336" s="74"/>
      <c r="AC336" s="74"/>
      <c r="AD336" s="74"/>
      <c r="AE336" s="74"/>
      <c r="AF336" s="74"/>
      <c r="AG336" s="74"/>
      <c r="AH336" s="74"/>
    </row>
    <row r="337" customFormat="false" ht="15" hidden="false" customHeight="false" outlineLevel="0" collapsed="false">
      <c r="A337" s="74"/>
      <c r="B337" s="74"/>
      <c r="C337" s="74"/>
      <c r="D337" s="74"/>
      <c r="E337" s="74"/>
      <c r="F337" s="74"/>
      <c r="G337" s="74"/>
      <c r="H337" s="74"/>
      <c r="I337" s="74"/>
      <c r="J337" s="74"/>
      <c r="K337" s="74"/>
      <c r="L337" s="74"/>
      <c r="M337" s="74"/>
      <c r="N337" s="74"/>
      <c r="O337" s="74"/>
      <c r="P337" s="74"/>
      <c r="Q337" s="74"/>
      <c r="R337" s="74"/>
      <c r="S337" s="74"/>
      <c r="T337" s="74"/>
      <c r="U337" s="74"/>
      <c r="V337" s="74"/>
      <c r="W337" s="74"/>
      <c r="X337" s="74"/>
      <c r="Y337" s="74"/>
      <c r="Z337" s="74"/>
      <c r="AA337" s="74"/>
      <c r="AB337" s="74"/>
      <c r="AC337" s="74"/>
      <c r="AD337" s="74"/>
      <c r="AE337" s="74"/>
      <c r="AF337" s="74"/>
      <c r="AG337" s="74"/>
      <c r="AH337" s="74"/>
    </row>
    <row r="338" customFormat="false" ht="15" hidden="false" customHeight="false" outlineLevel="0" collapsed="false">
      <c r="A338" s="74"/>
      <c r="B338" s="74"/>
      <c r="C338" s="74"/>
      <c r="D338" s="74"/>
      <c r="E338" s="74"/>
      <c r="F338" s="74"/>
      <c r="G338" s="74"/>
      <c r="H338" s="74"/>
      <c r="I338" s="74"/>
      <c r="J338" s="74"/>
      <c r="K338" s="74"/>
      <c r="L338" s="74"/>
      <c r="M338" s="74"/>
      <c r="N338" s="74"/>
      <c r="O338" s="74"/>
      <c r="P338" s="74"/>
      <c r="Q338" s="74"/>
      <c r="R338" s="74"/>
      <c r="S338" s="74"/>
      <c r="T338" s="74"/>
      <c r="U338" s="74"/>
      <c r="V338" s="74"/>
      <c r="W338" s="74"/>
      <c r="X338" s="74"/>
      <c r="Y338" s="74"/>
      <c r="Z338" s="74"/>
      <c r="AA338" s="74"/>
      <c r="AB338" s="74"/>
      <c r="AC338" s="74"/>
      <c r="AD338" s="74"/>
      <c r="AE338" s="74"/>
      <c r="AF338" s="74"/>
      <c r="AG338" s="74"/>
      <c r="AH338" s="74"/>
    </row>
    <row r="339" customFormat="false" ht="15" hidden="false" customHeight="false" outlineLevel="0" collapsed="false">
      <c r="A339" s="74"/>
      <c r="B339" s="74"/>
      <c r="C339" s="74"/>
      <c r="D339" s="74"/>
      <c r="E339" s="74"/>
      <c r="F339" s="74"/>
      <c r="G339" s="74"/>
      <c r="H339" s="74"/>
      <c r="I339" s="74"/>
      <c r="J339" s="74"/>
      <c r="K339" s="74"/>
      <c r="L339" s="74"/>
      <c r="M339" s="74"/>
      <c r="N339" s="74"/>
      <c r="O339" s="74"/>
      <c r="P339" s="74"/>
      <c r="Q339" s="74"/>
      <c r="R339" s="74"/>
      <c r="S339" s="74"/>
      <c r="T339" s="74"/>
      <c r="U339" s="74"/>
      <c r="V339" s="74"/>
      <c r="W339" s="74"/>
      <c r="X339" s="74"/>
      <c r="Y339" s="74"/>
      <c r="Z339" s="74"/>
      <c r="AA339" s="74"/>
      <c r="AB339" s="74"/>
      <c r="AC339" s="74"/>
      <c r="AD339" s="74"/>
      <c r="AE339" s="74"/>
      <c r="AF339" s="74"/>
      <c r="AG339" s="74"/>
      <c r="AH339" s="74"/>
    </row>
    <row r="340" customFormat="false" ht="15" hidden="false" customHeight="false" outlineLevel="0" collapsed="false">
      <c r="A340" s="74"/>
      <c r="B340" s="74"/>
      <c r="C340" s="74"/>
      <c r="D340" s="74"/>
      <c r="E340" s="74"/>
      <c r="F340" s="74"/>
      <c r="G340" s="74"/>
      <c r="H340" s="74"/>
      <c r="I340" s="74"/>
      <c r="J340" s="74"/>
      <c r="K340" s="74"/>
      <c r="L340" s="74"/>
      <c r="M340" s="74"/>
      <c r="N340" s="74"/>
      <c r="O340" s="74"/>
      <c r="P340" s="74"/>
      <c r="Q340" s="74"/>
      <c r="R340" s="74"/>
      <c r="S340" s="74"/>
      <c r="T340" s="74"/>
      <c r="U340" s="74"/>
      <c r="V340" s="74"/>
      <c r="W340" s="74"/>
      <c r="X340" s="74"/>
      <c r="Y340" s="74"/>
      <c r="Z340" s="74"/>
      <c r="AA340" s="74"/>
      <c r="AB340" s="74"/>
      <c r="AC340" s="74"/>
      <c r="AD340" s="74"/>
      <c r="AE340" s="74"/>
      <c r="AF340" s="74"/>
      <c r="AG340" s="74"/>
      <c r="AH340" s="74"/>
    </row>
    <row r="341" customFormat="false" ht="15" hidden="false" customHeight="false" outlineLevel="0" collapsed="false">
      <c r="A341" s="74"/>
      <c r="B341" s="74"/>
      <c r="C341" s="74"/>
      <c r="D341" s="74"/>
      <c r="E341" s="74"/>
      <c r="F341" s="74"/>
      <c r="G341" s="74"/>
      <c r="H341" s="74"/>
      <c r="I341" s="74"/>
      <c r="J341" s="74"/>
      <c r="K341" s="74"/>
      <c r="L341" s="74"/>
      <c r="M341" s="74"/>
      <c r="N341" s="74"/>
      <c r="O341" s="74"/>
      <c r="P341" s="74"/>
      <c r="Q341" s="74"/>
      <c r="R341" s="74"/>
      <c r="S341" s="74"/>
      <c r="T341" s="74"/>
      <c r="U341" s="74"/>
      <c r="V341" s="74"/>
      <c r="W341" s="74"/>
      <c r="X341" s="74"/>
      <c r="Y341" s="74"/>
      <c r="Z341" s="74"/>
      <c r="AA341" s="74"/>
      <c r="AB341" s="74"/>
      <c r="AC341" s="74"/>
      <c r="AD341" s="74"/>
      <c r="AE341" s="74"/>
      <c r="AF341" s="74"/>
      <c r="AG341" s="74"/>
      <c r="AH341" s="74"/>
    </row>
    <row r="342" customFormat="false" ht="15" hidden="false" customHeight="false" outlineLevel="0" collapsed="false">
      <c r="A342" s="74"/>
      <c r="B342" s="74"/>
      <c r="C342" s="74"/>
      <c r="D342" s="74"/>
      <c r="E342" s="74"/>
      <c r="F342" s="74"/>
      <c r="G342" s="74"/>
      <c r="H342" s="74"/>
      <c r="I342" s="74"/>
      <c r="J342" s="74"/>
      <c r="K342" s="74"/>
      <c r="L342" s="74"/>
      <c r="M342" s="74"/>
      <c r="N342" s="74"/>
      <c r="O342" s="74"/>
      <c r="P342" s="74"/>
      <c r="Q342" s="74"/>
      <c r="R342" s="74"/>
      <c r="S342" s="74"/>
      <c r="T342" s="74"/>
      <c r="U342" s="74"/>
      <c r="V342" s="74"/>
      <c r="W342" s="74"/>
      <c r="X342" s="74"/>
      <c r="Y342" s="74"/>
      <c r="Z342" s="74"/>
      <c r="AA342" s="74"/>
      <c r="AB342" s="74"/>
      <c r="AC342" s="74"/>
      <c r="AD342" s="74"/>
      <c r="AE342" s="74"/>
      <c r="AF342" s="74"/>
      <c r="AG342" s="74"/>
      <c r="AH342" s="74"/>
    </row>
    <row r="343" customFormat="false" ht="15" hidden="false" customHeight="false" outlineLevel="0" collapsed="false">
      <c r="A343" s="74"/>
      <c r="B343" s="74"/>
      <c r="C343" s="74"/>
      <c r="D343" s="74"/>
      <c r="E343" s="74"/>
      <c r="F343" s="74"/>
      <c r="G343" s="74"/>
      <c r="H343" s="74"/>
      <c r="I343" s="74"/>
      <c r="J343" s="74"/>
      <c r="K343" s="74"/>
      <c r="L343" s="74"/>
      <c r="M343" s="74"/>
      <c r="N343" s="74"/>
      <c r="O343" s="74"/>
      <c r="P343" s="74"/>
      <c r="Q343" s="74"/>
      <c r="R343" s="74"/>
      <c r="S343" s="74"/>
      <c r="T343" s="74"/>
      <c r="U343" s="74"/>
      <c r="V343" s="74"/>
      <c r="W343" s="74"/>
      <c r="X343" s="74"/>
      <c r="Y343" s="74"/>
      <c r="Z343" s="74"/>
      <c r="AA343" s="74"/>
      <c r="AB343" s="74"/>
      <c r="AC343" s="74"/>
      <c r="AD343" s="74"/>
      <c r="AE343" s="74"/>
      <c r="AF343" s="74"/>
      <c r="AG343" s="74"/>
      <c r="AH343" s="74"/>
    </row>
    <row r="344" customFormat="false" ht="15" hidden="false" customHeight="false" outlineLevel="0" collapsed="false">
      <c r="A344" s="74"/>
      <c r="B344" s="74"/>
      <c r="C344" s="74"/>
      <c r="D344" s="74"/>
      <c r="E344" s="74"/>
      <c r="F344" s="74"/>
      <c r="G344" s="74"/>
      <c r="H344" s="74"/>
      <c r="I344" s="74"/>
      <c r="J344" s="74"/>
      <c r="K344" s="74"/>
      <c r="L344" s="74"/>
      <c r="M344" s="74"/>
      <c r="N344" s="74"/>
      <c r="O344" s="74"/>
      <c r="P344" s="74"/>
      <c r="Q344" s="74"/>
      <c r="R344" s="74"/>
      <c r="S344" s="74"/>
      <c r="T344" s="74"/>
      <c r="U344" s="74"/>
      <c r="V344" s="74"/>
      <c r="W344" s="74"/>
      <c r="X344" s="74"/>
      <c r="Y344" s="74"/>
      <c r="Z344" s="74"/>
      <c r="AA344" s="74"/>
      <c r="AB344" s="74"/>
      <c r="AC344" s="74"/>
      <c r="AD344" s="74"/>
      <c r="AE344" s="74"/>
      <c r="AF344" s="74"/>
      <c r="AG344" s="74"/>
      <c r="AH344" s="74"/>
    </row>
    <row r="345" customFormat="false" ht="15" hidden="false" customHeight="false" outlineLevel="0" collapsed="false">
      <c r="A345" s="74"/>
      <c r="B345" s="74"/>
      <c r="C345" s="74"/>
      <c r="D345" s="74"/>
      <c r="E345" s="74"/>
      <c r="F345" s="74"/>
      <c r="G345" s="74"/>
      <c r="H345" s="74"/>
      <c r="I345" s="74"/>
      <c r="J345" s="74"/>
      <c r="K345" s="74"/>
      <c r="L345" s="74"/>
      <c r="M345" s="74"/>
      <c r="N345" s="74"/>
      <c r="O345" s="74"/>
      <c r="P345" s="74"/>
      <c r="Q345" s="74"/>
      <c r="R345" s="74"/>
      <c r="S345" s="74"/>
      <c r="T345" s="74"/>
      <c r="U345" s="74"/>
      <c r="V345" s="74"/>
      <c r="W345" s="74"/>
      <c r="X345" s="74"/>
      <c r="Y345" s="74"/>
      <c r="Z345" s="74"/>
      <c r="AA345" s="74"/>
      <c r="AB345" s="74"/>
      <c r="AC345" s="74"/>
      <c r="AD345" s="74"/>
      <c r="AE345" s="74"/>
      <c r="AF345" s="74"/>
      <c r="AG345" s="74"/>
      <c r="AH345" s="74"/>
    </row>
    <row r="346" customFormat="false" ht="15" hidden="false" customHeight="false" outlineLevel="0" collapsed="false">
      <c r="A346" s="74"/>
      <c r="B346" s="74"/>
      <c r="C346" s="74"/>
      <c r="D346" s="74"/>
      <c r="E346" s="74"/>
      <c r="F346" s="74"/>
      <c r="G346" s="74"/>
      <c r="H346" s="74"/>
      <c r="I346" s="74"/>
      <c r="J346" s="74"/>
      <c r="K346" s="74"/>
      <c r="L346" s="74"/>
      <c r="M346" s="74"/>
      <c r="N346" s="74"/>
      <c r="O346" s="74"/>
      <c r="P346" s="74"/>
      <c r="Q346" s="74"/>
      <c r="R346" s="74"/>
      <c r="S346" s="74"/>
      <c r="T346" s="74"/>
      <c r="U346" s="74"/>
      <c r="V346" s="74"/>
      <c r="W346" s="74"/>
      <c r="X346" s="74"/>
      <c r="Y346" s="74"/>
      <c r="Z346" s="74"/>
      <c r="AA346" s="74"/>
      <c r="AB346" s="74"/>
      <c r="AC346" s="74"/>
      <c r="AD346" s="74"/>
      <c r="AE346" s="74"/>
      <c r="AF346" s="74"/>
      <c r="AG346" s="74"/>
      <c r="AH346" s="74"/>
    </row>
    <row r="347" customFormat="false" ht="15" hidden="false" customHeight="false" outlineLevel="0" collapsed="false">
      <c r="A347" s="74"/>
      <c r="B347" s="74"/>
      <c r="C347" s="74"/>
      <c r="D347" s="74"/>
      <c r="E347" s="74"/>
      <c r="F347" s="74"/>
      <c r="G347" s="74"/>
      <c r="H347" s="74"/>
      <c r="I347" s="74"/>
      <c r="J347" s="74"/>
      <c r="K347" s="74"/>
      <c r="L347" s="74"/>
      <c r="M347" s="74"/>
      <c r="N347" s="74"/>
      <c r="O347" s="74"/>
      <c r="P347" s="74"/>
      <c r="Q347" s="74"/>
      <c r="R347" s="74"/>
      <c r="S347" s="74"/>
      <c r="T347" s="74"/>
      <c r="U347" s="74"/>
      <c r="V347" s="74"/>
      <c r="W347" s="74"/>
      <c r="X347" s="74"/>
      <c r="Y347" s="74"/>
      <c r="Z347" s="74"/>
      <c r="AA347" s="74"/>
      <c r="AB347" s="74"/>
      <c r="AC347" s="74"/>
      <c r="AD347" s="74"/>
      <c r="AE347" s="74"/>
      <c r="AF347" s="74"/>
      <c r="AG347" s="74"/>
      <c r="AH347" s="74"/>
    </row>
    <row r="348" customFormat="false" ht="15" hidden="false" customHeight="false" outlineLevel="0" collapsed="false">
      <c r="A348" s="74"/>
      <c r="B348" s="74"/>
      <c r="C348" s="74"/>
      <c r="D348" s="74"/>
      <c r="E348" s="74"/>
      <c r="F348" s="74"/>
      <c r="G348" s="74"/>
      <c r="H348" s="74"/>
      <c r="I348" s="74"/>
      <c r="J348" s="74"/>
      <c r="K348" s="74"/>
      <c r="L348" s="74"/>
      <c r="M348" s="74"/>
      <c r="N348" s="74"/>
      <c r="O348" s="74"/>
      <c r="P348" s="74"/>
      <c r="Q348" s="74"/>
      <c r="R348" s="74"/>
      <c r="S348" s="74"/>
      <c r="T348" s="74"/>
      <c r="U348" s="74"/>
      <c r="V348" s="74"/>
      <c r="W348" s="74"/>
      <c r="X348" s="74"/>
      <c r="Y348" s="74"/>
      <c r="Z348" s="74"/>
      <c r="AA348" s="74"/>
      <c r="AB348" s="74"/>
      <c r="AC348" s="74"/>
      <c r="AD348" s="74"/>
      <c r="AE348" s="74"/>
      <c r="AF348" s="74"/>
      <c r="AG348" s="74"/>
      <c r="AH348" s="74"/>
    </row>
    <row r="349" customFormat="false" ht="15" hidden="false" customHeight="false" outlineLevel="0" collapsed="false">
      <c r="A349" s="74"/>
      <c r="B349" s="74"/>
      <c r="C349" s="74"/>
      <c r="D349" s="74"/>
      <c r="E349" s="74"/>
      <c r="F349" s="74"/>
      <c r="G349" s="74"/>
      <c r="H349" s="74"/>
      <c r="I349" s="74"/>
      <c r="J349" s="74"/>
      <c r="K349" s="74"/>
      <c r="L349" s="74"/>
      <c r="M349" s="74"/>
      <c r="N349" s="74"/>
      <c r="O349" s="74"/>
      <c r="P349" s="74"/>
      <c r="Q349" s="74"/>
      <c r="R349" s="74"/>
      <c r="S349" s="74"/>
      <c r="T349" s="74"/>
      <c r="U349" s="74"/>
      <c r="V349" s="74"/>
      <c r="W349" s="74"/>
      <c r="X349" s="74"/>
      <c r="Y349" s="74"/>
      <c r="Z349" s="74"/>
      <c r="AA349" s="74"/>
      <c r="AB349" s="74"/>
      <c r="AC349" s="74"/>
      <c r="AD349" s="74"/>
      <c r="AE349" s="74"/>
      <c r="AF349" s="74"/>
      <c r="AG349" s="74"/>
      <c r="AH349" s="74"/>
    </row>
    <row r="350" customFormat="false" ht="15" hidden="false" customHeight="false" outlineLevel="0" collapsed="false">
      <c r="A350" s="74"/>
      <c r="B350" s="74"/>
      <c r="C350" s="74"/>
      <c r="D350" s="74"/>
      <c r="E350" s="74"/>
      <c r="F350" s="74"/>
      <c r="G350" s="74"/>
      <c r="H350" s="74"/>
      <c r="I350" s="74"/>
      <c r="J350" s="74"/>
      <c r="K350" s="74"/>
      <c r="L350" s="74"/>
      <c r="M350" s="74"/>
      <c r="N350" s="74"/>
      <c r="O350" s="74"/>
      <c r="P350" s="74"/>
      <c r="Q350" s="74"/>
      <c r="R350" s="74"/>
      <c r="S350" s="74"/>
      <c r="T350" s="74"/>
      <c r="U350" s="74"/>
      <c r="V350" s="74"/>
      <c r="W350" s="74"/>
      <c r="X350" s="74"/>
      <c r="Y350" s="74"/>
      <c r="Z350" s="74"/>
      <c r="AA350" s="74"/>
      <c r="AB350" s="74"/>
      <c r="AC350" s="74"/>
      <c r="AD350" s="74"/>
      <c r="AE350" s="74"/>
      <c r="AF350" s="74"/>
      <c r="AG350" s="74"/>
      <c r="AH350" s="74"/>
    </row>
    <row r="351" customFormat="false" ht="15" hidden="false" customHeight="false" outlineLevel="0" collapsed="false">
      <c r="A351" s="74"/>
      <c r="B351" s="74"/>
      <c r="C351" s="74"/>
      <c r="D351" s="74"/>
      <c r="E351" s="74"/>
      <c r="F351" s="74"/>
      <c r="G351" s="74"/>
      <c r="H351" s="74"/>
      <c r="I351" s="74"/>
      <c r="J351" s="74"/>
      <c r="K351" s="74"/>
      <c r="L351" s="74"/>
      <c r="M351" s="74"/>
      <c r="N351" s="74"/>
      <c r="O351" s="74"/>
      <c r="P351" s="74"/>
      <c r="Q351" s="74"/>
      <c r="R351" s="74"/>
      <c r="S351" s="74"/>
      <c r="T351" s="74"/>
      <c r="U351" s="74"/>
      <c r="V351" s="74"/>
      <c r="W351" s="74"/>
      <c r="X351" s="74"/>
      <c r="Y351" s="74"/>
      <c r="Z351" s="74"/>
      <c r="AA351" s="74"/>
      <c r="AB351" s="74"/>
      <c r="AC351" s="74"/>
      <c r="AD351" s="74"/>
      <c r="AE351" s="74"/>
      <c r="AF351" s="74"/>
      <c r="AG351" s="74"/>
      <c r="AH351" s="74"/>
    </row>
    <row r="352" customFormat="false" ht="15" hidden="false" customHeight="false" outlineLevel="0" collapsed="false">
      <c r="A352" s="74"/>
      <c r="B352" s="74"/>
      <c r="C352" s="74"/>
      <c r="D352" s="74"/>
      <c r="E352" s="74"/>
      <c r="F352" s="74"/>
      <c r="G352" s="74"/>
      <c r="H352" s="74"/>
      <c r="I352" s="74"/>
      <c r="J352" s="74"/>
      <c r="K352" s="74"/>
      <c r="L352" s="74"/>
      <c r="M352" s="74"/>
      <c r="N352" s="74"/>
      <c r="O352" s="74"/>
      <c r="P352" s="74"/>
      <c r="Q352" s="74"/>
      <c r="R352" s="74"/>
      <c r="S352" s="74"/>
      <c r="T352" s="74"/>
      <c r="U352" s="74"/>
      <c r="V352" s="74"/>
      <c r="W352" s="74"/>
      <c r="X352" s="74"/>
      <c r="Y352" s="74"/>
      <c r="Z352" s="74"/>
      <c r="AA352" s="74"/>
      <c r="AB352" s="74"/>
      <c r="AC352" s="74"/>
      <c r="AD352" s="74"/>
      <c r="AE352" s="74"/>
      <c r="AF352" s="74"/>
      <c r="AG352" s="74"/>
      <c r="AH352" s="74"/>
    </row>
    <row r="353" customFormat="false" ht="15" hidden="false" customHeight="false" outlineLevel="0" collapsed="false">
      <c r="A353" s="74"/>
      <c r="B353" s="74"/>
      <c r="C353" s="74"/>
      <c r="D353" s="74"/>
      <c r="E353" s="74"/>
      <c r="F353" s="74"/>
      <c r="G353" s="74"/>
      <c r="H353" s="74"/>
      <c r="I353" s="74"/>
      <c r="J353" s="74"/>
      <c r="K353" s="74"/>
      <c r="L353" s="74"/>
      <c r="M353" s="74"/>
      <c r="N353" s="74"/>
      <c r="O353" s="74"/>
      <c r="P353" s="74"/>
      <c r="Q353" s="74"/>
      <c r="R353" s="74"/>
      <c r="S353" s="74"/>
      <c r="T353" s="74"/>
      <c r="U353" s="74"/>
      <c r="V353" s="74"/>
      <c r="W353" s="74"/>
      <c r="X353" s="74"/>
      <c r="Y353" s="74"/>
      <c r="Z353" s="74"/>
      <c r="AA353" s="74"/>
      <c r="AB353" s="74"/>
      <c r="AC353" s="74"/>
      <c r="AD353" s="74"/>
      <c r="AE353" s="74"/>
      <c r="AF353" s="74"/>
      <c r="AG353" s="74"/>
      <c r="AH353" s="74"/>
    </row>
    <row r="354" customFormat="false" ht="15" hidden="false" customHeight="false" outlineLevel="0" collapsed="false">
      <c r="A354" s="74"/>
      <c r="B354" s="74"/>
      <c r="C354" s="74"/>
      <c r="D354" s="74"/>
      <c r="E354" s="74"/>
      <c r="F354" s="74"/>
      <c r="G354" s="74"/>
      <c r="H354" s="74"/>
      <c r="I354" s="74"/>
      <c r="J354" s="74"/>
      <c r="K354" s="74"/>
      <c r="L354" s="74"/>
      <c r="M354" s="74"/>
      <c r="N354" s="74"/>
      <c r="O354" s="74"/>
      <c r="P354" s="74"/>
      <c r="Q354" s="74"/>
      <c r="R354" s="74"/>
      <c r="S354" s="74"/>
      <c r="T354" s="74"/>
      <c r="U354" s="74"/>
      <c r="V354" s="74"/>
      <c r="W354" s="74"/>
      <c r="X354" s="74"/>
      <c r="Y354" s="74"/>
      <c r="Z354" s="74"/>
      <c r="AA354" s="74"/>
      <c r="AB354" s="74"/>
      <c r="AC354" s="74"/>
      <c r="AD354" s="74"/>
      <c r="AE354" s="74"/>
      <c r="AF354" s="74"/>
      <c r="AG354" s="74"/>
      <c r="AH354" s="74"/>
    </row>
  </sheetData>
  <mergeCells count="3">
    <mergeCell ref="A1:AH1"/>
    <mergeCell ref="A2:J2"/>
    <mergeCell ref="A3:J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2026-08-27T04:28:58Z</dcterms:created>
  <dc:creator>TOHOシネマズ新宿 コンセッション</dc:creator>
  <dc:description/>
  <dc:language>en-US</dc:language>
  <cp:lastModifiedBy/>
  <dcterms:modified xsi:type="dcterms:W3CDTF">2026-08-27T04:28:59Z</dcterms:modified>
  <cp:revision>0</cp:revision>
  <dc:subject/>
  <dc:title>コンセッション事前準備数ツール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