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準備数計算" sheetId="2" state="visible" r:id="rId4"/>
    <sheet name="印刷用" sheetId="3" state="visible" r:id="rId5"/>
    <sheet name="期間データ" sheetId="4" state="visible" r:id="rId6"/>
    <sheet name="CSV貼付A" sheetId="5" state="visible" r:id="rId7"/>
    <sheet name="CSV貼付B" sheetId="6" state="visible" r:id="rId8"/>
  </sheets>
  <definedNames>
    <definedName function="false" hidden="false" localSheetId="4" name="_xlnm.Print_Area" vbProcedure="false">CSV貼付A!$A$1:$N$45</definedName>
    <definedName function="false" hidden="false" localSheetId="5" name="_xlnm.Print_Area" vbProcedure="false">CSV貼付B!$A$1:$N$45</definedName>
    <definedName function="false" hidden="false" localSheetId="2" name="_xlnm.Print_Area" vbProcedure="false">印刷用!$A$1:$F$28</definedName>
    <definedName function="false" hidden="false" localSheetId="3" name="_xlnm.Print_Area" vbProcedure="false">期間データ!$A$1:$K$34</definedName>
    <definedName function="false" hidden="false" localSheetId="1" name="_xlnm.Print_Area" vbProcedure="false">準備数計算!$A$1:$H$31</definedName>
    <definedName function="false" hidden="false" name="商品リスト" vbProcedure="false">OFFSET(期間データ!$Q$5,0,0,MAX(MAX(期間データ!$M$5:$M$1004)+MAX(期間データ!$O$5:$O$1004),1),1)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0" authorId="0">
      <text>
        <r>
          <rPr>
            <sz val="10"/>
            <rFont val="WenQuanYi Zen Hei"/>
            <family val="2"/>
          </rPr>
          <t xml:space="preserve">商品の選択・入れ替えは「期間データ」シートの商品名欄</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のプルダウンで行ってください。ここは自動表示です。</t>
        </r>
      </text>
    </comment>
    <comment ref="D5" authorId="0">
      <text>
        <r>
          <rPr>
            <sz val="10"/>
            <rFont val="WenQuanYi Zen Hei"/>
            <family val="2"/>
          </rPr>
          <t xml:space="preserve">これから準備する回（例：</t>
        </r>
        <r>
          <rPr>
            <sz val="10"/>
            <rFont val="Arial"/>
            <family val="2"/>
          </rPr>
          <t xml:space="preserve">1</t>
        </r>
        <r>
          <rPr>
            <sz val="10"/>
            <rFont val="WenQuanYi Zen Hei"/>
            <family val="2"/>
          </rPr>
          <t xml:space="preserve">時間後のピークの回）の合計動員数を入力してください。</t>
        </r>
      </text>
    </comment>
    <comment ref="D7" authorId="0">
      <text>
        <r>
          <rPr>
            <sz val="10"/>
            <rFont val="WenQuanYi Zen Hei"/>
            <family val="2"/>
          </rPr>
          <t xml:space="preserve">その日の状況（大作初日・雨・イベント等）に合わせた上乗せ</t>
        </r>
        <r>
          <rPr>
            <sz val="10"/>
            <rFont val="Arial"/>
            <family val="2"/>
          </rPr>
          <t xml:space="preserve">/</t>
        </r>
        <r>
          <rPr>
            <sz val="10"/>
            <rFont val="WenQuanYi Zen Hei"/>
            <family val="2"/>
          </rPr>
          <t xml:space="preserve">控えめの調整です。時間帯係数に掛け合わされます。</t>
        </r>
        <r>
          <rPr>
            <sz val="10"/>
            <rFont val="Arial"/>
            <family val="2"/>
          </rPr>
          <t xml:space="preserve">1.1 </t>
        </r>
        <r>
          <rPr>
            <sz val="10"/>
            <rFont val="WenQuanYi Zen Hei"/>
            <family val="2"/>
          </rPr>
          <t xml:space="preserve">＝ </t>
        </r>
        <r>
          <rPr>
            <sz val="10"/>
            <rFont val="Arial"/>
            <family val="2"/>
          </rPr>
          <t xml:space="preserve">1.1</t>
        </r>
        <r>
          <rPr>
            <sz val="10"/>
            <rFont val="WenQuanYi Zen Hei"/>
            <family val="2"/>
          </rPr>
          <t xml:space="preserve">倍</t>
        </r>
        <r>
          <rPr>
            <sz val="10"/>
            <rFont val="Arial"/>
            <family val="2"/>
          </rPr>
          <t xml:space="preserve">(×110%) </t>
        </r>
        <r>
          <rPr>
            <sz val="10"/>
            <rFont val="WenQuanYi Zen Hei"/>
            <family val="2"/>
          </rPr>
          <t xml:space="preserve">の形で入力してください。</t>
        </r>
      </text>
    </comment>
    <comment ref="I4" authorId="0">
      <text>
        <r>
          <rPr>
            <sz val="10"/>
            <rFont val="WenQuanYi Zen Hei"/>
            <family val="2"/>
          </rPr>
          <t xml:space="preserve">時間帯の高低差は</t>
        </r>
        <r>
          <rPr>
            <sz val="10"/>
            <rFont val="Arial"/>
            <family val="2"/>
          </rPr>
          <t xml:space="preserve">5</t>
        </r>
        <r>
          <rPr>
            <sz val="10"/>
            <rFont val="WenQuanYi Zen Hei"/>
            <family val="2"/>
          </rPr>
          <t xml:space="preserve">段階</t>
        </r>
        <r>
          <rPr>
            <sz val="10"/>
            <rFont val="Arial"/>
            <family val="2"/>
          </rPr>
          <t xml:space="preserve">(</t>
        </r>
        <r>
          <rPr>
            <sz val="10"/>
            <rFont val="WenQuanYi Zen Hei"/>
            <family val="2"/>
          </rPr>
          <t xml:space="preserve">朝一→昼ピーク→夕方→夜ピーク→レイト</t>
        </r>
        <r>
          <rPr>
            <sz val="10"/>
            <rFont val="Arial"/>
            <family val="2"/>
          </rPr>
          <t xml:space="preserve">)+</t>
        </r>
        <r>
          <rPr>
            <sz val="10"/>
            <rFont val="WenQuanYi Zen Hei"/>
            <family val="2"/>
          </rPr>
          <t xml:space="preserve">基準の平常で管理します。名前・時刻の目安・係数とも自由に書き換えでき、空き枠に追加もできます</t>
        </r>
        <r>
          <rPr>
            <sz val="10"/>
            <rFont val="Arial"/>
            <family val="2"/>
          </rPr>
          <t xml:space="preserve">(</t>
        </r>
        <r>
          <rPr>
            <sz val="10"/>
            <rFont val="WenQuanYi Zen Hei"/>
            <family val="2"/>
          </rPr>
          <t xml:space="preserve">最大</t>
        </r>
        <r>
          <rPr>
            <sz val="10"/>
            <rFont val="Arial"/>
            <family val="2"/>
          </rPr>
          <t xml:space="preserve">7</t>
        </r>
        <r>
          <rPr>
            <sz val="10"/>
            <rFont val="WenQuanYi Zen Hei"/>
            <family val="2"/>
          </rPr>
          <t xml:space="preserve">枠</t>
        </r>
        <r>
          <rPr>
            <sz val="10"/>
            <rFont val="Arial"/>
            <family val="2"/>
          </rPr>
          <t xml:space="preserve">)</t>
        </r>
        <r>
          <rPr>
            <sz val="10"/>
            <rFont val="WenQuanYi Zen Hei"/>
            <family val="2"/>
          </rPr>
          <t xml:space="preserve">。係数は </t>
        </r>
        <r>
          <rPr>
            <sz val="10"/>
            <rFont val="Arial"/>
            <family val="2"/>
          </rPr>
          <t xml:space="preserve">1.2 </t>
        </r>
        <r>
          <rPr>
            <sz val="10"/>
            <rFont val="WenQuanYi Zen Hei"/>
            <family val="2"/>
          </rPr>
          <t xml:space="preserve">＝ </t>
        </r>
        <r>
          <rPr>
            <sz val="10"/>
            <rFont val="Arial"/>
            <family val="2"/>
          </rPr>
          <t xml:space="preserve">1.2</t>
        </r>
        <r>
          <rPr>
            <sz val="10"/>
            <rFont val="WenQuanYi Zen Hei"/>
            <family val="2"/>
          </rPr>
          <t xml:space="preserve">倍</t>
        </r>
        <r>
          <rPr>
            <sz val="10"/>
            <rFont val="Arial"/>
            <family val="2"/>
          </rPr>
          <t xml:space="preserve">(×120%) </t>
        </r>
        <r>
          <rPr>
            <sz val="10"/>
            <rFont val="WenQuanYi Zen Hei"/>
            <family val="2"/>
          </rPr>
          <t xml:space="preserve">の形で入力してください。</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14" authorId="0">
      <text>
        <r>
          <rPr>
            <sz val="10"/>
            <rFont val="WenQuanYi Zen Hei"/>
            <family val="2"/>
          </rPr>
          <t xml:space="preserve">商品は最大</t>
        </r>
        <r>
          <rPr>
            <sz val="10"/>
            <rFont val="Arial"/>
            <family val="2"/>
          </rPr>
          <t xml:space="preserve">20</t>
        </r>
        <r>
          <rPr>
            <sz val="10"/>
            <rFont val="WenQuanYi Zen Hei"/>
            <family val="2"/>
          </rPr>
          <t xml:space="preserve">枠</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まで登録できます。プルダウンには</t>
        </r>
        <r>
          <rPr>
            <sz val="10"/>
            <rFont val="Arial"/>
            <family val="2"/>
          </rPr>
          <t xml:space="preserve">CSV</t>
        </r>
        <r>
          <rPr>
            <sz val="10"/>
            <rFont val="WenQuanYi Zen Hei"/>
            <family val="2"/>
          </rPr>
          <t xml:space="preserve">貼付</t>
        </r>
        <r>
          <rPr>
            <sz val="10"/>
            <rFont val="Arial"/>
            <family val="2"/>
          </rPr>
          <t xml:space="preserve">A/B</t>
        </r>
        <r>
          <rPr>
            <sz val="10"/>
            <rFont val="WenQuanYi Zen Hei"/>
            <family val="2"/>
          </rPr>
          <t xml:space="preserve">の商品名が自動で並びます</t>
        </r>
        <r>
          <rPr>
            <sz val="10"/>
            <rFont val="Arial"/>
            <family val="2"/>
          </rPr>
          <t xml:space="preserve">(</t>
        </r>
        <r>
          <rPr>
            <sz val="10"/>
            <rFont val="WenQuanYi Zen Hei"/>
            <family val="2"/>
          </rPr>
          <t xml:space="preserve">項目数の上限はありません</t>
        </r>
        <r>
          <rPr>
            <sz val="10"/>
            <rFont val="Arial"/>
            <family val="2"/>
          </rPr>
          <t xml:space="preserve">)</t>
        </r>
        <r>
          <rPr>
            <sz val="10"/>
            <rFont val="WenQuanYi Zen Hei"/>
            <family val="2"/>
          </rPr>
          <t xml:space="preserve">。ドリンク・包材などはシート下部の除外リストで検索対象外です。手入力する場合は</t>
        </r>
        <r>
          <rPr>
            <sz val="10"/>
            <rFont val="Arial"/>
            <family val="2"/>
          </rPr>
          <t xml:space="preserve">CSV</t>
        </r>
        <r>
          <rPr>
            <sz val="10"/>
            <rFont val="WenQuanYi Zen Hei"/>
            <family val="2"/>
          </rPr>
          <t xml:space="preserve">の商品名と完全一致させてください。</t>
        </r>
      </text>
    </comment>
    <comment ref="B37" authorId="0">
      <text>
        <r>
          <rPr>
            <sz val="10"/>
            <rFont val="WenQuanYi Zen Hei"/>
            <family val="2"/>
          </rPr>
          <t xml:space="preserve">既定</t>
        </r>
        <r>
          <rPr>
            <sz val="10"/>
            <rFont val="Arial"/>
            <family val="2"/>
          </rPr>
          <t xml:space="preserve">: </t>
        </r>
        <r>
          <rPr>
            <sz val="10"/>
            <rFont val="WenQuanYi Zen Hei"/>
            <family val="2"/>
          </rPr>
          <t xml:space="preserve">ドリンク類</t>
        </r>
        <r>
          <rPr>
            <sz val="10"/>
            <rFont val="Arial"/>
            <family val="2"/>
          </rPr>
          <t xml:space="preserve">(</t>
        </r>
        <r>
          <rPr>
            <sz val="10"/>
            <rFont val="WenQuanYi Zen Hei"/>
            <family val="2"/>
          </rPr>
          <t xml:space="preserve">コールド</t>
        </r>
        <r>
          <rPr>
            <sz val="10"/>
            <rFont val="Arial"/>
            <family val="2"/>
          </rPr>
          <t xml:space="preserve">/</t>
        </r>
        <r>
          <rPr>
            <sz val="10"/>
            <rFont val="WenQuanYi Zen Hei"/>
            <family val="2"/>
          </rPr>
          <t xml:space="preserve">コーヒー</t>
        </r>
        <r>
          <rPr>
            <sz val="10"/>
            <rFont val="Arial"/>
            <family val="2"/>
          </rPr>
          <t xml:space="preserve">/</t>
        </r>
        <r>
          <rPr>
            <sz val="10"/>
            <rFont val="WenQuanYi Zen Hei"/>
            <family val="2"/>
          </rPr>
          <t xml:space="preserve">アルコール</t>
        </r>
        <r>
          <rPr>
            <sz val="10"/>
            <rFont val="Arial"/>
            <family val="2"/>
          </rPr>
          <t xml:space="preserve">/</t>
        </r>
        <r>
          <rPr>
            <sz val="10"/>
            <rFont val="WenQuanYi Zen Hei"/>
            <family val="2"/>
          </rPr>
          <t xml:space="preserve">その他ドリンク</t>
        </r>
        <r>
          <rPr>
            <sz val="10"/>
            <rFont val="Arial"/>
            <family val="2"/>
          </rPr>
          <t xml:space="preserve">/</t>
        </r>
        <r>
          <rPr>
            <sz val="10"/>
            <rFont val="WenQuanYi Zen Hei"/>
            <family val="2"/>
          </rPr>
          <t xml:space="preserve">ホット</t>
        </r>
        <r>
          <rPr>
            <sz val="10"/>
            <rFont val="Arial"/>
            <family val="2"/>
          </rPr>
          <t xml:space="preserve">)</t>
        </r>
        <r>
          <rPr>
            <sz val="10"/>
            <rFont val="WenQuanYi Zen Hei"/>
            <family val="2"/>
          </rPr>
          <t xml:space="preserve">、調味料類、ＳＥＴ作品コンボ、引換券、コンセ包材。</t>
        </r>
      </text>
    </comment>
    <comment ref="C4" authorId="0">
      <text>
        <r>
          <rPr>
            <sz val="10"/>
            <rFont val="WenQuanYi Zen Hei"/>
            <family val="2"/>
          </rPr>
          <t xml:space="preserve">貼られた</t>
        </r>
        <r>
          <rPr>
            <sz val="10"/>
            <rFont val="Arial"/>
            <family val="2"/>
          </rPr>
          <t xml:space="preserve">CSV</t>
        </r>
        <r>
          <rPr>
            <sz val="10"/>
            <rFont val="WenQuanYi Zen Hei"/>
            <family val="2"/>
          </rPr>
          <t xml:space="preserve">の対象期間から自動表示されます（入力不要）。</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5" authorId="0">
      <text>
        <r>
          <rPr>
            <sz val="10"/>
            <rFont val="WenQuanYi Zen Hei"/>
            <family val="2"/>
          </rPr>
          <t xml:space="preserve">ここに集計</t>
        </r>
        <r>
          <rPr>
            <sz val="10"/>
            <rFont val="Arial"/>
            <family val="2"/>
          </rPr>
          <t xml:space="preserve">CSV</t>
        </r>
        <r>
          <rPr>
            <sz val="10"/>
            <rFont val="WenQuanYi Zen Hei"/>
            <family val="2"/>
          </rPr>
          <t xml:space="preserve">のデータ部分を貼り付けます。</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5" authorId="0">
      <text>
        <r>
          <rPr>
            <sz val="10"/>
            <rFont val="WenQuanYi Zen Hei"/>
            <family val="2"/>
          </rPr>
          <t xml:space="preserve">ここに集計</t>
        </r>
        <r>
          <rPr>
            <sz val="10"/>
            <rFont val="Arial"/>
            <family val="2"/>
          </rPr>
          <t xml:space="preserve">CSV</t>
        </r>
        <r>
          <rPr>
            <sz val="10"/>
            <rFont val="WenQuanYi Zen Hei"/>
            <family val="2"/>
          </rPr>
          <t xml:space="preserve">のデータ部分を貼り付けます。</t>
        </r>
      </text>
    </comment>
  </commentList>
</comments>
</file>

<file path=xl/sharedStrings.xml><?xml version="1.0" encoding="utf-8"?>
<sst xmlns="http://schemas.openxmlformats.org/spreadsheetml/2006/main" count="193" uniqueCount="151">
  <si>
    <t xml:space="preserve">　🍿 コンセッション 事前準備数ツール</t>
  </si>
  <si>
    <r>
      <rPr>
        <sz val="9.5"/>
        <color rgb="FF8A93A3"/>
        <rFont val="BIZ UDPゴシック"/>
        <family val="0"/>
        <charset val="1"/>
      </rPr>
      <t xml:space="preserve">TOHO</t>
    </r>
    <r>
      <rPr>
        <sz val="9.5"/>
        <color rgb="FF8A93A3"/>
        <rFont val="WenQuanYi Zen Hei"/>
        <family val="2"/>
      </rPr>
      <t xml:space="preserve">シネマズ新宿｜期間</t>
    </r>
    <r>
      <rPr>
        <sz val="9.5"/>
        <color rgb="FF8A93A3"/>
        <rFont val="BIZ UDPゴシック"/>
        <family val="0"/>
        <charset val="1"/>
      </rPr>
      <t xml:space="preserve">A(</t>
    </r>
    <r>
      <rPr>
        <sz val="9.5"/>
        <color rgb="FF8A93A3"/>
        <rFont val="WenQuanYi Zen Hei"/>
        <family val="2"/>
      </rPr>
      <t xml:space="preserve">直近 金土日</t>
    </r>
    <r>
      <rPr>
        <sz val="9.5"/>
        <color rgb="FF8A93A3"/>
        <rFont val="BIZ UDPゴシック"/>
        <family val="0"/>
        <charset val="1"/>
      </rPr>
      <t xml:space="preserve">)</t>
    </r>
    <r>
      <rPr>
        <sz val="9.5"/>
        <color rgb="FF8A93A3"/>
        <rFont val="WenQuanYi Zen Hei"/>
        <family val="2"/>
      </rPr>
      <t xml:space="preserve">・期間</t>
    </r>
    <r>
      <rPr>
        <sz val="9.5"/>
        <color rgb="FF8A93A3"/>
        <rFont val="BIZ UDPゴシック"/>
        <family val="0"/>
        <charset val="1"/>
      </rPr>
      <t xml:space="preserve">B(</t>
    </r>
    <r>
      <rPr>
        <sz val="9.5"/>
        <color rgb="FF8A93A3"/>
        <rFont val="WenQuanYi Zen Hei"/>
        <family val="2"/>
      </rPr>
      <t xml:space="preserve">前週 金〜木</t>
    </r>
    <r>
      <rPr>
        <sz val="9.5"/>
        <color rgb="FF8A93A3"/>
        <rFont val="BIZ UDPゴシック"/>
        <family val="0"/>
        <charset val="1"/>
      </rPr>
      <t xml:space="preserve">)</t>
    </r>
    <r>
      <rPr>
        <sz val="9.5"/>
        <color rgb="FF8A93A3"/>
        <rFont val="WenQuanYi Zen Hei"/>
        <family val="2"/>
      </rPr>
      <t xml:space="preserve">の購買率から、ピーク前の仕込み数を自動計算</t>
    </r>
  </si>
  <si>
    <r>
      <rPr>
        <b val="true"/>
        <sz val="10"/>
        <color rgb="FF2E3A59"/>
        <rFont val="WenQuanYi Zen Hei"/>
        <family val="2"/>
      </rPr>
      <t xml:space="preserve">  つかいかた（</t>
    </r>
    <r>
      <rPr>
        <b val="true"/>
        <sz val="10"/>
        <color rgb="FF2E3A59"/>
        <rFont val="BIZ UDPゴシック"/>
        <family val="0"/>
        <charset val="1"/>
      </rPr>
      <t xml:space="preserve">3</t>
    </r>
    <r>
      <rPr>
        <b val="true"/>
        <sz val="10"/>
        <color rgb="FF2E3A59"/>
        <rFont val="WenQuanYi Zen Hei"/>
        <family val="2"/>
      </rPr>
      <t xml:space="preserve">ステップ）</t>
    </r>
  </si>
  <si>
    <t xml:space="preserve">①</t>
  </si>
  <si>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A</t>
    </r>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B</t>
    </r>
    <r>
      <rPr>
        <b val="true"/>
        <sz val="11"/>
        <color rgb="FF333B4A"/>
        <rFont val="WenQuanYi Zen Hei"/>
        <family val="2"/>
      </rPr>
      <t xml:space="preserve">」に 売上・在庫・原価</t>
    </r>
    <r>
      <rPr>
        <b val="true"/>
        <sz val="11"/>
        <color rgb="FF333B4A"/>
        <rFont val="BIZ UDPゴシック"/>
        <family val="0"/>
        <charset val="1"/>
      </rPr>
      <t xml:space="preserve">CSV </t>
    </r>
    <r>
      <rPr>
        <b val="true"/>
        <sz val="11"/>
        <color rgb="FF333B4A"/>
        <rFont val="WenQuanYi Zen Hei"/>
        <family val="2"/>
      </rPr>
      <t xml:space="preserve">を貼り付け</t>
    </r>
  </si>
  <si>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＝直近の金土日、期間</t>
    </r>
    <r>
      <rPr>
        <sz val="9"/>
        <color rgb="FF8A93A3"/>
        <rFont val="BIZ UDPゴシック"/>
        <family val="0"/>
        <charset val="1"/>
      </rPr>
      <t xml:space="preserve">B</t>
    </r>
    <r>
      <rPr>
        <sz val="9"/>
        <color rgb="FF8A93A3"/>
        <rFont val="WenQuanYi Zen Hei"/>
        <family val="2"/>
      </rPr>
      <t xml:space="preserve">＝前週の金〜木で出力した</t>
    </r>
    <r>
      <rPr>
        <sz val="9"/>
        <color rgb="FF8A93A3"/>
        <rFont val="BIZ UDPゴシック"/>
        <family val="0"/>
        <charset val="1"/>
      </rPr>
      <t xml:space="preserve">CSV</t>
    </r>
    <r>
      <rPr>
        <sz val="9"/>
        <color rgb="FF8A93A3"/>
        <rFont val="WenQuanYi Zen Hei"/>
        <family val="2"/>
      </rPr>
      <t xml:space="preserve">を、</t>
    </r>
    <r>
      <rPr>
        <sz val="9"/>
        <color rgb="FF8A93A3"/>
        <rFont val="BIZ UDPゴシック"/>
        <family val="0"/>
        <charset val="1"/>
      </rPr>
      <t xml:space="preserve">5</t>
    </r>
    <r>
      <rPr>
        <sz val="9"/>
        <color rgb="FF8A93A3"/>
        <rFont val="WenQuanYi Zen Hei"/>
        <family val="2"/>
      </rPr>
      <t xml:space="preserve">行目の</t>
    </r>
    <r>
      <rPr>
        <sz val="9"/>
        <color rgb="FF8A93A3"/>
        <rFont val="BIZ UDPゴシック"/>
        <family val="0"/>
        <charset val="1"/>
      </rPr>
      <t xml:space="preserve">A</t>
    </r>
    <r>
      <rPr>
        <sz val="9"/>
        <color rgb="FF8A93A3"/>
        <rFont val="WenQuanYi Zen Hei"/>
        <family val="2"/>
      </rPr>
      <t xml:space="preserve">列からそのまま貼り付け（</t>
    </r>
    <r>
      <rPr>
        <sz val="9"/>
        <color rgb="FF8A93A3"/>
        <rFont val="BIZ UDPゴシック"/>
        <family val="0"/>
        <charset val="1"/>
      </rPr>
      <t xml:space="preserve">1</t>
    </r>
    <r>
      <rPr>
        <sz val="9"/>
        <color rgb="FF8A93A3"/>
        <rFont val="WenQuanYi Zen Hei"/>
        <family val="2"/>
      </rPr>
      <t xml:space="preserve">行目のヘッダーは不要）。日付は自動で入ります。｜担当：社員</t>
    </r>
  </si>
  <si>
    <t xml:space="preserve">②</t>
  </si>
  <si>
    <t xml:space="preserve">「期間データ」シートに 動員数 を入力</t>
  </si>
  <si>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t>
    </r>
    <r>
      <rPr>
        <sz val="9"/>
        <color rgb="FF8A93A3"/>
        <rFont val="BIZ UDPゴシック"/>
        <family val="0"/>
        <charset val="1"/>
      </rPr>
      <t xml:space="preserve">3</t>
    </r>
    <r>
      <rPr>
        <sz val="9"/>
        <color rgb="FF8A93A3"/>
        <rFont val="WenQuanYi Zen Hei"/>
        <family val="2"/>
      </rPr>
      <t xml:space="preserve">日分、期間</t>
    </r>
    <r>
      <rPr>
        <sz val="9"/>
        <color rgb="FF8A93A3"/>
        <rFont val="BIZ UDPゴシック"/>
        <family val="0"/>
        <charset val="1"/>
      </rPr>
      <t xml:space="preserve">B</t>
    </r>
    <r>
      <rPr>
        <sz val="9"/>
        <color rgb="FF8A93A3"/>
        <rFont val="WenQuanYi Zen Hei"/>
        <family val="2"/>
      </rPr>
      <t xml:space="preserve">＝</t>
    </r>
    <r>
      <rPr>
        <sz val="9"/>
        <color rgb="FF8A93A3"/>
        <rFont val="BIZ UDPゴシック"/>
        <family val="0"/>
        <charset val="1"/>
      </rPr>
      <t xml:space="preserve">7</t>
    </r>
    <r>
      <rPr>
        <sz val="9"/>
        <color rgb="FF8A93A3"/>
        <rFont val="WenQuanYi Zen Hei"/>
        <family val="2"/>
      </rPr>
      <t xml:space="preserve">日分の動員数。日付・販売数は自動表示。</t>
    </r>
    <r>
      <rPr>
        <sz val="9"/>
        <color rgb="FF8A93A3"/>
        <rFont val="BIZ UDPゴシック"/>
        <family val="0"/>
        <charset val="1"/>
      </rPr>
      <t xml:space="preserve">CSV</t>
    </r>
    <r>
      <rPr>
        <sz val="9"/>
        <color rgb="FF8A93A3"/>
        <rFont val="WenQuanYi Zen Hei"/>
        <family val="2"/>
      </rPr>
      <t xml:space="preserve">の行数・日数チェック（✔／⚠）も確認。｜担当：社員</t>
    </r>
  </si>
  <si>
    <t xml:space="preserve">③</t>
  </si>
  <si>
    <t xml:space="preserve">「準備数計算」で 参照期間・ピーク動員数・時間帯・調整倍率 を選ぶ</t>
  </si>
  <si>
    <r>
      <rPr>
        <sz val="9"/>
        <color rgb="FF8A93A3"/>
        <rFont val="WenQuanYi Zen Hei"/>
        <family val="2"/>
      </rPr>
      <t xml:space="preserve">ピーク動員数＝これから準備する回（例：</t>
    </r>
    <r>
      <rPr>
        <sz val="9"/>
        <color rgb="FF8A93A3"/>
        <rFont val="BIZ UDPゴシック"/>
        <family val="0"/>
        <charset val="1"/>
      </rPr>
      <t xml:space="preserve">1</t>
    </r>
    <r>
      <rPr>
        <sz val="9"/>
        <color rgb="FF8A93A3"/>
        <rFont val="WenQuanYi Zen Hei"/>
        <family val="2"/>
      </rPr>
      <t xml:space="preserve">時間後のピーク）の合計動員数。「印刷用」を</t>
    </r>
    <r>
      <rPr>
        <sz val="9"/>
        <color rgb="FF8A93A3"/>
        <rFont val="BIZ UDPゴシック"/>
        <family val="0"/>
        <charset val="1"/>
      </rPr>
      <t xml:space="preserve">A4</t>
    </r>
    <r>
      <rPr>
        <sz val="9"/>
        <color rgb="FF8A93A3"/>
        <rFont val="WenQuanYi Zen Hei"/>
        <family val="2"/>
      </rPr>
      <t xml:space="preserve">で刷って現場へ。｜担当：社員（確認：スタッフ）</t>
    </r>
  </si>
  <si>
    <t xml:space="preserve">  セルの色のルール</t>
  </si>
  <si>
    <t xml:space="preserve">✏️ 黄色 ＝ 入力するセル</t>
  </si>
  <si>
    <t xml:space="preserve">🔒 グレー ＝ 自動計算</t>
  </si>
  <si>
    <t xml:space="preserve">  計算のしくみ</t>
  </si>
  <si>
    <r>
      <rPr>
        <sz val="10"/>
        <color rgb="FF333B4A"/>
        <rFont val="WenQuanYi Zen Hei"/>
        <family val="2"/>
      </rPr>
      <t xml:space="preserve">購買率 ＝ 参照期間の販売数（</t>
    </r>
    <r>
      <rPr>
        <sz val="10"/>
        <color rgb="FF333B4A"/>
        <rFont val="BIZ UDPゴシック"/>
        <family val="0"/>
        <charset val="1"/>
      </rPr>
      <t xml:space="preserve">CSV</t>
    </r>
    <r>
      <rPr>
        <sz val="10"/>
        <color rgb="FF333B4A"/>
        <rFont val="WenQuanYi Zen Hei"/>
        <family val="2"/>
      </rPr>
      <t xml:space="preserve">の「売上数」列） </t>
    </r>
    <r>
      <rPr>
        <sz val="10"/>
        <color rgb="FF333B4A"/>
        <rFont val="BIZ UDPゴシック"/>
        <family val="0"/>
        <charset val="1"/>
      </rPr>
      <t xml:space="preserve">÷ </t>
    </r>
    <r>
      <rPr>
        <sz val="10"/>
        <color rgb="FF333B4A"/>
        <rFont val="WenQuanYi Zen Hei"/>
        <family val="2"/>
      </rPr>
      <t xml:space="preserve">参照期間の動員数合計</t>
    </r>
  </si>
  <si>
    <r>
      <rPr>
        <sz val="10"/>
        <color rgb="FF333B4A"/>
        <rFont val="WenQuanYi Zen Hei"/>
        <family val="2"/>
      </rPr>
      <t xml:space="preserve">作る数 ＝ ピーク動員数 </t>
    </r>
    <r>
      <rPr>
        <sz val="10"/>
        <color rgb="FF333B4A"/>
        <rFont val="BIZ UDPゴシック"/>
        <family val="0"/>
        <charset val="1"/>
      </rPr>
      <t xml:space="preserve">× </t>
    </r>
    <r>
      <rPr>
        <sz val="10"/>
        <color rgb="FF333B4A"/>
        <rFont val="WenQuanYi Zen Hei"/>
        <family val="2"/>
      </rPr>
      <t xml:space="preserve">購買率 </t>
    </r>
    <r>
      <rPr>
        <sz val="10"/>
        <color rgb="FF333B4A"/>
        <rFont val="BIZ UDPゴシック"/>
        <family val="0"/>
        <charset val="1"/>
      </rPr>
      <t xml:space="preserve">× </t>
    </r>
    <r>
      <rPr>
        <sz val="10"/>
        <color rgb="FF333B4A"/>
        <rFont val="WenQuanYi Zen Hei"/>
        <family val="2"/>
      </rPr>
      <t xml:space="preserve">時間帯係数 </t>
    </r>
    <r>
      <rPr>
        <sz val="10"/>
        <color rgb="FF333B4A"/>
        <rFont val="BIZ UDPゴシック"/>
        <family val="0"/>
        <charset val="1"/>
      </rPr>
      <t xml:space="preserve">× </t>
    </r>
    <r>
      <rPr>
        <sz val="10"/>
        <color rgb="FF333B4A"/>
        <rFont val="WenQuanYi Zen Hei"/>
        <family val="2"/>
      </rPr>
      <t xml:space="preserve">調整倍率（小数点以下は切り上げ）</t>
    </r>
  </si>
  <si>
    <t xml:space="preserve">  注意メモ</t>
  </si>
  <si>
    <r>
      <rPr>
        <sz val="9.5"/>
        <color rgb="FF333B4A"/>
        <rFont val="WenQuanYi Zen Hei"/>
        <family val="2"/>
      </rPr>
      <t xml:space="preserve">・商品の選択・入れ替えは「期間データ」シートの商品名欄（</t>
    </r>
    <r>
      <rPr>
        <sz val="9.5"/>
        <color rgb="FF333B4A"/>
        <rFont val="BIZ UDPゴシック"/>
        <family val="0"/>
        <charset val="1"/>
      </rPr>
      <t xml:space="preserve">B14</t>
    </r>
    <r>
      <rPr>
        <sz val="9.5"/>
        <color rgb="FF333B4A"/>
        <rFont val="WenQuanYi Zen Hei"/>
        <family val="2"/>
      </rPr>
      <t xml:space="preserve">〜</t>
    </r>
    <r>
      <rPr>
        <sz val="9.5"/>
        <color rgb="FF333B4A"/>
        <rFont val="BIZ UDPゴシック"/>
        <family val="0"/>
        <charset val="1"/>
      </rPr>
      <t xml:space="preserve">B33</t>
    </r>
    <r>
      <rPr>
        <sz val="9.5"/>
        <color rgb="FF333B4A"/>
        <rFont val="WenQuanYi Zen Hei"/>
        <family val="2"/>
      </rPr>
      <t xml:space="preserve">）のプルダウンで行います（貼られた</t>
    </r>
    <r>
      <rPr>
        <sz val="9.5"/>
        <color rgb="FF333B4A"/>
        <rFont val="BIZ UDPゴシック"/>
        <family val="0"/>
        <charset val="1"/>
      </rPr>
      <t xml:space="preserve">CSV</t>
    </r>
    <r>
      <rPr>
        <sz val="9.5"/>
        <color rgb="FF333B4A"/>
        <rFont val="WenQuanYi Zen Hei"/>
        <family val="2"/>
      </rPr>
      <t xml:space="preserve">の商品名から自動でリスト化）。手入力も可能ですが完全一致が必要です。</t>
    </r>
  </si>
  <si>
    <t xml:space="preserve">・ドリンク類・調味料・ＳＥＴ作品コンボ・引換券・包材はプルダウンに出ません（期間データシート下部の除外リストで自由に変更できます）。</t>
  </si>
  <si>
    <r>
      <rPr>
        <sz val="9.5"/>
        <color rgb="FF333B4A"/>
        <rFont val="WenQuanYi Zen Hei"/>
        <family val="2"/>
      </rPr>
      <t xml:space="preserve">・ピーク動員数には「これから準備する回」の合計動員数を入れます（例：</t>
    </r>
    <r>
      <rPr>
        <sz val="9.5"/>
        <color rgb="FF333B4A"/>
        <rFont val="BIZ UDPゴシック"/>
        <family val="0"/>
        <charset val="1"/>
      </rPr>
      <t xml:space="preserve">1</t>
    </r>
    <r>
      <rPr>
        <sz val="9.5"/>
        <color rgb="FF333B4A"/>
        <rFont val="WenQuanYi Zen Hei"/>
        <family val="2"/>
      </rPr>
      <t xml:space="preserve">時間後のピークの回の計）。</t>
    </r>
  </si>
  <si>
    <r>
      <rPr>
        <sz val="9.5"/>
        <color rgb="FF333B4A"/>
        <rFont val="WenQuanYi Zen Hei"/>
        <family val="2"/>
      </rPr>
      <t xml:space="preserve">・倍率は二段構えです：時間帯係数（朝一</t>
    </r>
    <r>
      <rPr>
        <sz val="9.5"/>
        <color rgb="FF333B4A"/>
        <rFont val="BIZ UDPゴシック"/>
        <family val="0"/>
        <charset val="1"/>
      </rPr>
      <t xml:space="preserve">0.8</t>
    </r>
    <r>
      <rPr>
        <sz val="9.5"/>
        <color rgb="FF333B4A"/>
        <rFont val="WenQuanYi Zen Hei"/>
        <family val="2"/>
      </rPr>
      <t xml:space="preserve">倍→昼ピーク</t>
    </r>
    <r>
      <rPr>
        <sz val="9.5"/>
        <color rgb="FF333B4A"/>
        <rFont val="BIZ UDPゴシック"/>
        <family val="0"/>
        <charset val="1"/>
      </rPr>
      <t xml:space="preserve">1.2</t>
    </r>
    <r>
      <rPr>
        <sz val="9.5"/>
        <color rgb="FF333B4A"/>
        <rFont val="WenQuanYi Zen Hei"/>
        <family val="2"/>
      </rPr>
      <t xml:space="preserve">倍→夕方</t>
    </r>
    <r>
      <rPr>
        <sz val="9.5"/>
        <color rgb="FF333B4A"/>
        <rFont val="BIZ UDPゴシック"/>
        <family val="0"/>
        <charset val="1"/>
      </rPr>
      <t xml:space="preserve">1.1</t>
    </r>
    <r>
      <rPr>
        <sz val="9.5"/>
        <color rgb="FF333B4A"/>
        <rFont val="WenQuanYi Zen Hei"/>
        <family val="2"/>
      </rPr>
      <t xml:space="preserve">倍→夜ピーク</t>
    </r>
    <r>
      <rPr>
        <sz val="9.5"/>
        <color rgb="FF333B4A"/>
        <rFont val="BIZ UDPゴシック"/>
        <family val="0"/>
        <charset val="1"/>
      </rPr>
      <t xml:space="preserve">1.3</t>
    </r>
    <r>
      <rPr>
        <sz val="9.5"/>
        <color rgb="FF333B4A"/>
        <rFont val="WenQuanYi Zen Hei"/>
        <family val="2"/>
      </rPr>
      <t xml:space="preserve">倍→レイト</t>
    </r>
    <r>
      <rPr>
        <sz val="9.5"/>
        <color rgb="FF333B4A"/>
        <rFont val="BIZ UDPゴシック"/>
        <family val="0"/>
        <charset val="1"/>
      </rPr>
      <t xml:space="preserve">0.9</t>
    </r>
    <r>
      <rPr>
        <sz val="9.5"/>
        <color rgb="FF333B4A"/>
        <rFont val="WenQuanYi Zen Hei"/>
        <family val="2"/>
      </rPr>
      <t xml:space="preserve">倍の</t>
    </r>
    <r>
      <rPr>
        <sz val="9.5"/>
        <color rgb="FF333B4A"/>
        <rFont val="BIZ UDPゴシック"/>
        <family val="0"/>
        <charset val="1"/>
      </rPr>
      <t xml:space="preserve">5</t>
    </r>
    <r>
      <rPr>
        <sz val="9.5"/>
        <color rgb="FF333B4A"/>
        <rFont val="WenQuanYi Zen Hei"/>
        <family val="2"/>
      </rPr>
      <t xml:space="preserve">段階＋平常・右上の表で編集）</t>
    </r>
    <r>
      <rPr>
        <sz val="9.5"/>
        <color rgb="FF333B4A"/>
        <rFont val="BIZ UDPゴシック"/>
        <family val="0"/>
        <charset val="1"/>
      </rPr>
      <t xml:space="preserve">×</t>
    </r>
    <r>
      <rPr>
        <sz val="9.5"/>
        <color rgb="FF333B4A"/>
        <rFont val="WenQuanYi Zen Hei"/>
        <family val="2"/>
      </rPr>
      <t xml:space="preserve">調整倍率（大作初日や雨など、その日の状況での上乗せ</t>
    </r>
    <r>
      <rPr>
        <sz val="9.5"/>
        <color rgb="FF333B4A"/>
        <rFont val="BIZ UDPゴシック"/>
        <family val="0"/>
        <charset val="1"/>
      </rPr>
      <t xml:space="preserve">/</t>
    </r>
    <r>
      <rPr>
        <sz val="9.5"/>
        <color rgb="FF333B4A"/>
        <rFont val="WenQuanYi Zen Hei"/>
        <family val="2"/>
      </rPr>
      <t xml:space="preserve">控えめ）。どちらも </t>
    </r>
    <r>
      <rPr>
        <sz val="9.5"/>
        <color rgb="FF333B4A"/>
        <rFont val="BIZ UDPゴシック"/>
        <family val="0"/>
        <charset val="1"/>
      </rPr>
      <t xml:space="preserve">1.2 </t>
    </r>
    <r>
      <rPr>
        <sz val="9.5"/>
        <color rgb="FF333B4A"/>
        <rFont val="WenQuanYi Zen Hei"/>
        <family val="2"/>
      </rPr>
      <t xml:space="preserve">＝ </t>
    </r>
    <r>
      <rPr>
        <sz val="9.5"/>
        <color rgb="FF333B4A"/>
        <rFont val="BIZ UDPゴシック"/>
        <family val="0"/>
        <charset val="1"/>
      </rPr>
      <t xml:space="preserve">1.2</t>
    </r>
    <r>
      <rPr>
        <sz val="9.5"/>
        <color rgb="FF333B4A"/>
        <rFont val="WenQuanYi Zen Hei"/>
        <family val="2"/>
      </rPr>
      <t xml:space="preserve">倍 の形で入力します。</t>
    </r>
  </si>
  <si>
    <r>
      <rPr>
        <sz val="9.5"/>
        <color rgb="FF333B4A"/>
        <rFont val="WenQuanYi Zen Hei"/>
        <family val="2"/>
      </rPr>
      <t xml:space="preserve">・</t>
    </r>
    <r>
      <rPr>
        <sz val="9.5"/>
        <color rgb="FF333B4A"/>
        <rFont val="BIZ UDPゴシック"/>
        <family val="0"/>
        <charset val="1"/>
      </rPr>
      <t xml:space="preserve">CSV</t>
    </r>
    <r>
      <rPr>
        <sz val="9.5"/>
        <color rgb="FF333B4A"/>
        <rFont val="WenQuanYi Zen Hei"/>
        <family val="2"/>
      </rPr>
      <t xml:space="preserve">は各期間 最大</t>
    </r>
    <r>
      <rPr>
        <sz val="9.5"/>
        <color rgb="FF333B4A"/>
        <rFont val="BIZ UDPゴシック"/>
        <family val="0"/>
        <charset val="1"/>
      </rPr>
      <t xml:space="preserve">1000</t>
    </r>
    <r>
      <rPr>
        <sz val="9.5"/>
        <color rgb="FF333B4A"/>
        <rFont val="WenQuanYi Zen Hei"/>
        <family val="2"/>
      </rPr>
      <t xml:space="preserve">行。貼り替える前に、</t>
    </r>
    <r>
      <rPr>
        <sz val="9.5"/>
        <color rgb="FF333B4A"/>
        <rFont val="BIZ UDPゴシック"/>
        <family val="0"/>
        <charset val="1"/>
      </rPr>
      <t xml:space="preserve">5</t>
    </r>
    <r>
      <rPr>
        <sz val="9.5"/>
        <color rgb="FF333B4A"/>
        <rFont val="WenQuanYi Zen Hei"/>
        <family val="2"/>
      </rPr>
      <t xml:space="preserve">行目以降のデータだけを選択して削除してください（</t>
    </r>
    <r>
      <rPr>
        <sz val="9.5"/>
        <color rgb="FF333B4A"/>
        <rFont val="BIZ UDPゴシック"/>
        <family val="0"/>
        <charset val="1"/>
      </rPr>
      <t xml:space="preserve">1</t>
    </r>
    <r>
      <rPr>
        <sz val="9.5"/>
        <color rgb="FF333B4A"/>
        <rFont val="WenQuanYi Zen Hei"/>
        <family val="2"/>
      </rPr>
      <t xml:space="preserve">〜</t>
    </r>
    <r>
      <rPr>
        <sz val="9.5"/>
        <color rgb="FF333B4A"/>
        <rFont val="BIZ UDPゴシック"/>
        <family val="0"/>
        <charset val="1"/>
      </rPr>
      <t xml:space="preserve">4</t>
    </r>
    <r>
      <rPr>
        <sz val="9.5"/>
        <color rgb="FF333B4A"/>
        <rFont val="WenQuanYi Zen Hei"/>
        <family val="2"/>
      </rPr>
      <t xml:space="preserve">行目の見出し・状態表示は消さないこと）。</t>
    </r>
  </si>
  <si>
    <r>
      <rPr>
        <sz val="9.5"/>
        <color rgb="FF333B4A"/>
        <rFont val="WenQuanYi Zen Hei"/>
        <family val="2"/>
      </rPr>
      <t xml:space="preserve">・期間の日付は貼られた</t>
    </r>
    <r>
      <rPr>
        <sz val="9.5"/>
        <color rgb="FF333B4A"/>
        <rFont val="BIZ UDPゴシック"/>
        <family val="0"/>
        <charset val="1"/>
      </rPr>
      <t xml:space="preserve">CSV</t>
    </r>
    <r>
      <rPr>
        <sz val="9.5"/>
        <color rgb="FF333B4A"/>
        <rFont val="WenQuanYi Zen Hei"/>
        <family val="2"/>
      </rPr>
      <t xml:space="preserve">の「対象期間」から自動表示されます。貼付後は「期間データ」の</t>
    </r>
    <r>
      <rPr>
        <sz val="9.5"/>
        <color rgb="FF333B4A"/>
        <rFont val="BIZ UDPゴシック"/>
        <family val="0"/>
        <charset val="1"/>
      </rPr>
      <t xml:space="preserve">CSV</t>
    </r>
    <r>
      <rPr>
        <sz val="9.5"/>
        <color rgb="FF333B4A"/>
        <rFont val="WenQuanYi Zen Hei"/>
        <family val="2"/>
      </rPr>
      <t xml:space="preserve">行数・日数チェック（✔／⚠）を確認してください。日数違い・貼付位置ズレ・旧データ残存は⚠が出ます。</t>
    </r>
  </si>
  <si>
    <r>
      <rPr>
        <sz val="9.5"/>
        <color rgb="FF333B4A"/>
        <rFont val="WenQuanYi Zen Hei"/>
        <family val="2"/>
      </rPr>
      <t xml:space="preserve">・別の期間（連休比較など）を見たいときは、その期間で出力した</t>
    </r>
    <r>
      <rPr>
        <sz val="9.5"/>
        <color rgb="FF333B4A"/>
        <rFont val="BIZ UDPゴシック"/>
        <family val="0"/>
        <charset val="1"/>
      </rPr>
      <t xml:space="preserve">CSV</t>
    </r>
    <r>
      <rPr>
        <sz val="9.5"/>
        <color rgb="FF333B4A"/>
        <rFont val="WenQuanYi Zen Hei"/>
        <family val="2"/>
      </rPr>
      <t xml:space="preserve">を貼り替えてください。日付は自動で切り替わります（期間</t>
    </r>
    <r>
      <rPr>
        <sz val="9.5"/>
        <color rgb="FF333B4A"/>
        <rFont val="BIZ UDPゴシック"/>
        <family val="0"/>
        <charset val="1"/>
      </rPr>
      <t xml:space="preserve">A=3</t>
    </r>
    <r>
      <rPr>
        <sz val="9.5"/>
        <color rgb="FF333B4A"/>
        <rFont val="WenQuanYi Zen Hei"/>
        <family val="2"/>
      </rPr>
      <t xml:space="preserve">日・期間</t>
    </r>
    <r>
      <rPr>
        <sz val="9.5"/>
        <color rgb="FF333B4A"/>
        <rFont val="BIZ UDPゴシック"/>
        <family val="0"/>
        <charset val="1"/>
      </rPr>
      <t xml:space="preserve">B=7</t>
    </r>
    <r>
      <rPr>
        <sz val="9.5"/>
        <color rgb="FF333B4A"/>
        <rFont val="WenQuanYi Zen Hei"/>
        <family val="2"/>
      </rPr>
      <t xml:space="preserve">日の枠。日付セルは数式のため手入力しないこと）。</t>
    </r>
  </si>
  <si>
    <t xml:space="preserve">・販売数を手入力したい場合は「期間データ」の販売数セルに直接数値を入れても使えます（数式は上書きされます）。</t>
  </si>
  <si>
    <r>
      <rPr>
        <sz val="9.5"/>
        <color rgb="FF333B4A"/>
        <rFont val="WenQuanYi Zen Hei"/>
        <family val="2"/>
      </rPr>
      <t xml:space="preserve">・時間帯別の購買率（朝昼夕夜で率を変える）は、</t>
    </r>
    <r>
      <rPr>
        <sz val="9.5"/>
        <color rgb="FF333B4A"/>
        <rFont val="BIZ UDPゴシック"/>
        <family val="0"/>
        <charset val="1"/>
      </rPr>
      <t xml:space="preserve">CSV</t>
    </r>
    <r>
      <rPr>
        <sz val="9.5"/>
        <color rgb="FF333B4A"/>
        <rFont val="WenQuanYi Zen Hei"/>
        <family val="2"/>
      </rPr>
      <t xml:space="preserve">に時刻情報が無いため今後の課題です。当面は時間帯係数で調整します。</t>
    </r>
  </si>
  <si>
    <r>
      <rPr>
        <sz val="9.5"/>
        <color rgb="FF333B4A"/>
        <rFont val="WenQuanYi Zen Hei"/>
        <family val="2"/>
      </rPr>
      <t xml:space="preserve">・毎週の作業は「</t>
    </r>
    <r>
      <rPr>
        <sz val="9.5"/>
        <color rgb="FF333B4A"/>
        <rFont val="BIZ UDPゴシック"/>
        <family val="0"/>
        <charset val="1"/>
      </rPr>
      <t xml:space="preserve">CSV2</t>
    </r>
    <r>
      <rPr>
        <sz val="9.5"/>
        <color rgb="FF333B4A"/>
        <rFont val="WenQuanYi Zen Hei"/>
        <family val="2"/>
      </rPr>
      <t xml:space="preserve">本の貼り替え」と「動員数の入力」だけです。日付・商品リストは自動で追随します。</t>
    </r>
  </si>
  <si>
    <r>
      <rPr>
        <sz val="8.5"/>
        <color rgb="FF8A93A3"/>
        <rFont val="WenQuanYi Zen Hei"/>
        <family val="2"/>
      </rPr>
      <t xml:space="preserve">雛形版 </t>
    </r>
    <r>
      <rPr>
        <sz val="8.5"/>
        <color rgb="FF8A93A3"/>
        <rFont val="BIZ UDPゴシック"/>
        <family val="0"/>
        <charset val="1"/>
      </rPr>
      <t xml:space="preserve">v4.0</t>
    </r>
    <r>
      <rPr>
        <sz val="8.5"/>
        <color rgb="FF8A93A3"/>
        <rFont val="WenQuanYi Zen Hei"/>
        <family val="2"/>
      </rPr>
      <t xml:space="preserve">（</t>
    </r>
    <r>
      <rPr>
        <sz val="8.5"/>
        <color rgb="FF8A93A3"/>
        <rFont val="BIZ UDPゴシック"/>
        <family val="0"/>
        <charset val="1"/>
      </rPr>
      <t xml:space="preserve">2026/8</t>
    </r>
    <r>
      <rPr>
        <sz val="8.5"/>
        <color rgb="FF8A93A3"/>
        <rFont val="WenQuanYi Zen Hei"/>
        <family val="2"/>
      </rPr>
      <t xml:space="preserve">）｜数式・レイアウトは自由に調整してください</t>
    </r>
  </si>
  <si>
    <t xml:space="preserve">　🍿 準備数計算｜ピーク前の仕込み数</t>
  </si>
  <si>
    <r>
      <rPr>
        <sz val="9"/>
        <color rgb="FF8A93A3"/>
        <rFont val="WenQuanYi Zen Hei"/>
        <family val="2"/>
      </rPr>
      <t xml:space="preserve">参照期間</t>
    </r>
    <r>
      <rPr>
        <sz val="9"/>
        <color rgb="FF8A93A3"/>
        <rFont val="BIZ UDPゴシック"/>
        <family val="0"/>
        <charset val="1"/>
      </rPr>
      <t xml:space="preserve">(A/B)</t>
    </r>
    <r>
      <rPr>
        <sz val="9"/>
        <color rgb="FF8A93A3"/>
        <rFont val="WenQuanYi Zen Hei"/>
        <family val="2"/>
      </rPr>
      <t xml:space="preserve">の購買率 </t>
    </r>
    <r>
      <rPr>
        <sz val="9"/>
        <color rgb="FF8A93A3"/>
        <rFont val="BIZ UDPゴシック"/>
        <family val="0"/>
        <charset val="1"/>
      </rPr>
      <t xml:space="preserve">× </t>
    </r>
    <r>
      <rPr>
        <sz val="9"/>
        <color rgb="FF8A93A3"/>
        <rFont val="WenQuanYi Zen Hei"/>
        <family val="2"/>
      </rPr>
      <t xml:space="preserve">ピーク動員数 </t>
    </r>
    <r>
      <rPr>
        <sz val="9"/>
        <color rgb="FF8A93A3"/>
        <rFont val="BIZ UDPゴシック"/>
        <family val="0"/>
        <charset val="1"/>
      </rPr>
      <t xml:space="preserve">× </t>
    </r>
    <r>
      <rPr>
        <sz val="9"/>
        <color rgb="FF8A93A3"/>
        <rFont val="WenQuanYi Zen Hei"/>
        <family val="2"/>
      </rPr>
      <t xml:space="preserve">時間帯係数 </t>
    </r>
    <r>
      <rPr>
        <sz val="9"/>
        <color rgb="FF8A93A3"/>
        <rFont val="BIZ UDPゴシック"/>
        <family val="0"/>
        <charset val="1"/>
      </rPr>
      <t xml:space="preserve">× </t>
    </r>
    <r>
      <rPr>
        <sz val="9"/>
        <color rgb="FF8A93A3"/>
        <rFont val="WenQuanYi Zen Hei"/>
        <family val="2"/>
      </rPr>
      <t xml:space="preserve">調整倍率 で「作る数」を自動計算します</t>
    </r>
  </si>
  <si>
    <r>
      <rPr>
        <b val="true"/>
        <sz val="8.5"/>
        <color rgb="FF333B4A"/>
        <rFont val="WenQuanYi Zen Hei"/>
        <family val="2"/>
      </rPr>
      <t xml:space="preserve"> ⏰ 時間帯プリセット（</t>
    </r>
    <r>
      <rPr>
        <b val="true"/>
        <sz val="8.5"/>
        <color rgb="FF333B4A"/>
        <rFont val="BIZ UDPゴシック"/>
        <family val="0"/>
        <charset val="1"/>
      </rPr>
      <t xml:space="preserve">5</t>
    </r>
    <r>
      <rPr>
        <b val="true"/>
        <sz val="8.5"/>
        <color rgb="FF333B4A"/>
        <rFont val="WenQuanYi Zen Hei"/>
        <family val="2"/>
      </rPr>
      <t xml:space="preserve">段階・編集</t>
    </r>
    <r>
      <rPr>
        <b val="true"/>
        <sz val="8.5"/>
        <color rgb="FF333B4A"/>
        <rFont val="BIZ UDPゴシック"/>
        <family val="0"/>
        <charset val="1"/>
      </rPr>
      <t xml:space="preserve">OK</t>
    </r>
    <r>
      <rPr>
        <b val="true"/>
        <sz val="8.5"/>
        <color rgb="FF333B4A"/>
        <rFont val="WenQuanYi Zen Hei"/>
        <family val="2"/>
      </rPr>
      <t xml:space="preserve">）</t>
    </r>
  </si>
  <si>
    <t xml:space="preserve"> ⚙ 計算用（さわらない）</t>
  </si>
  <si>
    <t xml:space="preserve">  ① 参照期間</t>
  </si>
  <si>
    <r>
      <rPr>
        <b val="true"/>
        <sz val="10.5"/>
        <color rgb="FF333B4A"/>
        <rFont val="WenQuanYi Zen Hei"/>
        <family val="2"/>
      </rPr>
      <t xml:space="preserve">期間</t>
    </r>
    <r>
      <rPr>
        <b val="true"/>
        <sz val="10.5"/>
        <color rgb="FF333B4A"/>
        <rFont val="BIZ UDPゴシック"/>
        <family val="0"/>
        <charset val="1"/>
      </rPr>
      <t xml:space="preserve">A</t>
    </r>
    <r>
      <rPr>
        <b val="true"/>
        <sz val="10.5"/>
        <color rgb="FF333B4A"/>
        <rFont val="WenQuanYi Zen Hei"/>
        <family val="2"/>
      </rPr>
      <t xml:space="preserve">（金土日）</t>
    </r>
  </si>
  <si>
    <r>
      <rPr>
        <b val="true"/>
        <sz val="9"/>
        <color rgb="FF333B4A"/>
        <rFont val="WenQuanYi Zen Hei"/>
        <family val="2"/>
      </rPr>
      <t xml:space="preserve">① 朝一（〜</t>
    </r>
    <r>
      <rPr>
        <b val="true"/>
        <sz val="9"/>
        <color rgb="FF333B4A"/>
        <rFont val="BIZ UDPゴシック"/>
        <family val="0"/>
        <charset val="1"/>
      </rPr>
      <t xml:space="preserve">11</t>
    </r>
    <r>
      <rPr>
        <b val="true"/>
        <sz val="9"/>
        <color rgb="FF333B4A"/>
        <rFont val="WenQuanYi Zen Hei"/>
        <family val="2"/>
      </rPr>
      <t xml:space="preserve">時）</t>
    </r>
  </si>
  <si>
    <t xml:space="preserve">選択期間</t>
  </si>
  <si>
    <t xml:space="preserve">  ② ピーク動員数</t>
  </si>
  <si>
    <r>
      <rPr>
        <sz val="9"/>
        <color rgb="FF8A93A3"/>
        <rFont val="WenQuanYi Zen Hei"/>
        <family val="2"/>
      </rPr>
      <t xml:space="preserve">← これから準備する回の合計動員数（例：</t>
    </r>
    <r>
      <rPr>
        <sz val="9"/>
        <color rgb="FF8A93A3"/>
        <rFont val="BIZ UDPゴシック"/>
        <family val="0"/>
        <charset val="1"/>
      </rPr>
      <t xml:space="preserve">1</t>
    </r>
    <r>
      <rPr>
        <sz val="9"/>
        <color rgb="FF8A93A3"/>
        <rFont val="WenQuanYi Zen Hei"/>
        <family val="2"/>
      </rPr>
      <t xml:space="preserve">時間後のピークの回の計）</t>
    </r>
  </si>
  <si>
    <r>
      <rPr>
        <b val="true"/>
        <sz val="9"/>
        <color rgb="FF333B4A"/>
        <rFont val="WenQuanYi Zen Hei"/>
        <family val="2"/>
      </rPr>
      <t xml:space="preserve">② 昼ピーク（</t>
    </r>
    <r>
      <rPr>
        <b val="true"/>
        <sz val="9"/>
        <color rgb="FF333B4A"/>
        <rFont val="BIZ UDPゴシック"/>
        <family val="0"/>
        <charset val="1"/>
      </rPr>
      <t xml:space="preserve">11</t>
    </r>
    <r>
      <rPr>
        <b val="true"/>
        <sz val="9"/>
        <color rgb="FF333B4A"/>
        <rFont val="WenQuanYi Zen Hei"/>
        <family val="2"/>
      </rPr>
      <t xml:space="preserve">〜</t>
    </r>
    <r>
      <rPr>
        <b val="true"/>
        <sz val="9"/>
        <color rgb="FF333B4A"/>
        <rFont val="BIZ UDPゴシック"/>
        <family val="0"/>
        <charset val="1"/>
      </rPr>
      <t xml:space="preserve">15</t>
    </r>
    <r>
      <rPr>
        <b val="true"/>
        <sz val="9"/>
        <color rgb="FF333B4A"/>
        <rFont val="WenQuanYi Zen Hei"/>
        <family val="2"/>
      </rPr>
      <t xml:space="preserve">時）</t>
    </r>
  </si>
  <si>
    <t xml:space="preserve">動員合計</t>
  </si>
  <si>
    <t xml:space="preserve">  ③ 時間帯</t>
  </si>
  <si>
    <t xml:space="preserve">平常（基準）</t>
  </si>
  <si>
    <r>
      <rPr>
        <b val="true"/>
        <sz val="9"/>
        <color rgb="FF333B4A"/>
        <rFont val="WenQuanYi Zen Hei"/>
        <family val="2"/>
      </rPr>
      <t xml:space="preserve">③ 夕方（</t>
    </r>
    <r>
      <rPr>
        <b val="true"/>
        <sz val="9"/>
        <color rgb="FF333B4A"/>
        <rFont val="BIZ UDPゴシック"/>
        <family val="0"/>
        <charset val="1"/>
      </rPr>
      <t xml:space="preserve">15</t>
    </r>
    <r>
      <rPr>
        <b val="true"/>
        <sz val="9"/>
        <color rgb="FF333B4A"/>
        <rFont val="WenQuanYi Zen Hei"/>
        <family val="2"/>
      </rPr>
      <t xml:space="preserve">〜</t>
    </r>
    <r>
      <rPr>
        <b val="true"/>
        <sz val="9"/>
        <color rgb="FF333B4A"/>
        <rFont val="BIZ UDPゴシック"/>
        <family val="0"/>
        <charset val="1"/>
      </rPr>
      <t xml:space="preserve">18</t>
    </r>
    <r>
      <rPr>
        <b val="true"/>
        <sz val="9"/>
        <color rgb="FF333B4A"/>
        <rFont val="WenQuanYi Zen Hei"/>
        <family val="2"/>
      </rPr>
      <t xml:space="preserve">時）</t>
    </r>
  </si>
  <si>
    <t xml:space="preserve">他方動員</t>
  </si>
  <si>
    <t xml:space="preserve">  ④ 調整倍率</t>
  </si>
  <si>
    <r>
      <rPr>
        <b val="true"/>
        <sz val="9"/>
        <color rgb="FF333B4A"/>
        <rFont val="WenQuanYi Zen Hei"/>
        <family val="2"/>
      </rPr>
      <t xml:space="preserve">④ 夜ピーク（</t>
    </r>
    <r>
      <rPr>
        <b val="true"/>
        <sz val="9"/>
        <color rgb="FF333B4A"/>
        <rFont val="BIZ UDPゴシック"/>
        <family val="0"/>
        <charset val="1"/>
      </rPr>
      <t xml:space="preserve">18</t>
    </r>
    <r>
      <rPr>
        <b val="true"/>
        <sz val="9"/>
        <color rgb="FF333B4A"/>
        <rFont val="WenQuanYi Zen Hei"/>
        <family val="2"/>
      </rPr>
      <t xml:space="preserve">〜</t>
    </r>
    <r>
      <rPr>
        <b val="true"/>
        <sz val="9"/>
        <color rgb="FF333B4A"/>
        <rFont val="BIZ UDPゴシック"/>
        <family val="0"/>
        <charset val="1"/>
      </rPr>
      <t xml:space="preserve">21</t>
    </r>
    <r>
      <rPr>
        <b val="true"/>
        <sz val="9"/>
        <color rgb="FF333B4A"/>
        <rFont val="WenQuanYi Zen Hei"/>
        <family val="2"/>
      </rPr>
      <t xml:space="preserve">時）</t>
    </r>
  </si>
  <si>
    <t xml:space="preserve">時間帯係数</t>
  </si>
  <si>
    <r>
      <rPr>
        <b val="true"/>
        <sz val="9"/>
        <color rgb="FF333B4A"/>
        <rFont val="WenQuanYi Zen Hei"/>
        <family val="2"/>
      </rPr>
      <t xml:space="preserve">⑤ レイト（</t>
    </r>
    <r>
      <rPr>
        <b val="true"/>
        <sz val="9"/>
        <color rgb="FF333B4A"/>
        <rFont val="BIZ UDPゴシック"/>
        <family val="0"/>
        <charset val="1"/>
      </rPr>
      <t xml:space="preserve">21</t>
    </r>
    <r>
      <rPr>
        <b val="true"/>
        <sz val="9"/>
        <color rgb="FF333B4A"/>
        <rFont val="WenQuanYi Zen Hei"/>
        <family val="2"/>
      </rPr>
      <t xml:space="preserve">時〜）</t>
    </r>
  </si>
  <si>
    <t xml:space="preserve">No.</t>
  </si>
  <si>
    <t xml:space="preserve">商品名</t>
  </si>
  <si>
    <t xml:space="preserve">期間販売数</t>
  </si>
  <si>
    <t xml:space="preserve">購買率</t>
  </si>
  <si>
    <r>
      <rPr>
        <b val="true"/>
        <sz val="11"/>
        <color rgb="FFFFFFFF"/>
        <rFont val="WenQuanYi Zen Hei"/>
        <family val="2"/>
      </rPr>
      <t xml:space="preserve">👉 作る数
</t>
    </r>
    <r>
      <rPr>
        <b val="true"/>
        <sz val="11"/>
        <color rgb="FFFFFFFF"/>
        <rFont val="BIZ UDPゴシック"/>
        <family val="0"/>
        <charset val="1"/>
      </rPr>
      <t xml:space="preserve">(</t>
    </r>
    <r>
      <rPr>
        <b val="true"/>
        <sz val="11"/>
        <color rgb="FFFFFFFF"/>
        <rFont val="WenQuanYi Zen Hei"/>
        <family val="2"/>
      </rPr>
      <t xml:space="preserve">この数を準備</t>
    </r>
    <r>
      <rPr>
        <b val="true"/>
        <sz val="11"/>
        <color rgb="FFFFFFFF"/>
        <rFont val="BIZ UDPゴシック"/>
        <family val="0"/>
        <charset val="1"/>
      </rPr>
      <t xml:space="preserve">)</t>
    </r>
  </si>
  <si>
    <t xml:space="preserve">（参考）
もう一方の期間</t>
  </si>
  <si>
    <r>
      <rPr>
        <sz val="8.5"/>
        <color rgb="FF8A93A3"/>
        <rFont val="WenQuanYi Zen Hei"/>
        <family val="2"/>
      </rPr>
      <t xml:space="preserve">※ 作る数 ＝ ピーク動員数 </t>
    </r>
    <r>
      <rPr>
        <sz val="8.5"/>
        <color rgb="FF8A93A3"/>
        <rFont val="BIZ UDPゴシック"/>
        <family val="0"/>
        <charset val="1"/>
      </rPr>
      <t xml:space="preserve">× </t>
    </r>
    <r>
      <rPr>
        <sz val="8.5"/>
        <color rgb="FF8A93A3"/>
        <rFont val="WenQuanYi Zen Hei"/>
        <family val="2"/>
      </rPr>
      <t xml:space="preserve">購買率 </t>
    </r>
    <r>
      <rPr>
        <sz val="8.5"/>
        <color rgb="FF8A93A3"/>
        <rFont val="BIZ UDPゴシック"/>
        <family val="0"/>
        <charset val="1"/>
      </rPr>
      <t xml:space="preserve">× </t>
    </r>
    <r>
      <rPr>
        <sz val="8.5"/>
        <color rgb="FF8A93A3"/>
        <rFont val="WenQuanYi Zen Hei"/>
        <family val="2"/>
      </rPr>
      <t xml:space="preserve">時間帯係数 </t>
    </r>
    <r>
      <rPr>
        <sz val="8.5"/>
        <color rgb="FF8A93A3"/>
        <rFont val="BIZ UDPゴシック"/>
        <family val="0"/>
        <charset val="1"/>
      </rPr>
      <t xml:space="preserve">× </t>
    </r>
    <r>
      <rPr>
        <sz val="8.5"/>
        <color rgb="FF8A93A3"/>
        <rFont val="WenQuanYi Zen Hei"/>
        <family val="2"/>
      </rPr>
      <t xml:space="preserve">調整倍率（小数点以下切り上げ）｜購買率 ＝ 参照期間の販売数 </t>
    </r>
    <r>
      <rPr>
        <sz val="8.5"/>
        <color rgb="FF8A93A3"/>
        <rFont val="BIZ UDPゴシック"/>
        <family val="0"/>
        <charset val="1"/>
      </rPr>
      <t xml:space="preserve">÷ </t>
    </r>
    <r>
      <rPr>
        <sz val="8.5"/>
        <color rgb="FF8A93A3"/>
        <rFont val="WenQuanYi Zen Hei"/>
        <family val="2"/>
      </rPr>
      <t xml:space="preserve">動員数合計</t>
    </r>
  </si>
  <si>
    <t xml:space="preserve">　🍿 仕込み指示書（コンセッション）</t>
  </si>
  <si>
    <t xml:space="preserve">  👇 この数を作ってください</t>
  </si>
  <si>
    <t xml:space="preserve">日付・回：＿＿＿＿＿＿＿＿＿＿　　作成者：＿＿＿＿＿＿　　確認者：＿＿＿＿＿＿</t>
  </si>
  <si>
    <t xml:space="preserve">作る数</t>
  </si>
  <si>
    <t xml:space="preserve">できたら✓</t>
  </si>
  <si>
    <r>
      <rPr>
        <sz val="8"/>
        <color rgb="FF8A93A3"/>
        <rFont val="WenQuanYi Zen Hei"/>
        <family val="2"/>
      </rPr>
      <t xml:space="preserve">※ 数字は「準備数計算」シートから自動で入ります｜</t>
    </r>
    <r>
      <rPr>
        <sz val="8"/>
        <color rgb="FF8A93A3"/>
        <rFont val="BIZ UDPゴシック"/>
        <family val="0"/>
        <charset val="1"/>
      </rPr>
      <t xml:space="preserve">A4</t>
    </r>
    <r>
      <rPr>
        <sz val="8"/>
        <color rgb="FF8A93A3"/>
        <rFont val="WenQuanYi Zen Hei"/>
        <family val="2"/>
      </rPr>
      <t xml:space="preserve">縦・</t>
    </r>
    <r>
      <rPr>
        <sz val="8"/>
        <color rgb="FF8A93A3"/>
        <rFont val="BIZ UDPゴシック"/>
        <family val="0"/>
        <charset val="1"/>
      </rPr>
      <t xml:space="preserve">1</t>
    </r>
    <r>
      <rPr>
        <sz val="8"/>
        <color rgb="FF8A93A3"/>
        <rFont val="WenQuanYi Zen Hei"/>
        <family val="2"/>
      </rPr>
      <t xml:space="preserve">ページ印刷</t>
    </r>
  </si>
  <si>
    <t xml:space="preserve">　📅 期間データ（動員数・販売実績）</t>
  </si>
  <si>
    <r>
      <rPr>
        <sz val="8.5"/>
        <color rgb="FF8A93A3"/>
        <rFont val="WenQuanYi Zen Hei"/>
        <family val="2"/>
      </rPr>
      <t xml:space="preserve">凡例</t>
    </r>
    <r>
      <rPr>
        <sz val="8.5"/>
        <color rgb="FF8A93A3"/>
        <rFont val="BIZ UDPゴシック"/>
        <family val="0"/>
        <charset val="1"/>
      </rPr>
      <t xml:space="preserve">:</t>
    </r>
  </si>
  <si>
    <t xml:space="preserve">✏️ 入力セル</t>
  </si>
  <si>
    <t xml:space="preserve">🔒 自動計算</t>
  </si>
  <si>
    <r>
      <rPr>
        <sz val="8.5"/>
        <color rgb="FF8A93A3"/>
        <rFont val="WenQuanYi Zen Hei"/>
        <family val="2"/>
      </rPr>
      <t xml:space="preserve">販売数は「</t>
    </r>
    <r>
      <rPr>
        <sz val="8.5"/>
        <color rgb="FF8A93A3"/>
        <rFont val="BIZ UDPゴシック"/>
        <family val="0"/>
        <charset val="1"/>
      </rPr>
      <t xml:space="preserve">CSV</t>
    </r>
    <r>
      <rPr>
        <sz val="8.5"/>
        <color rgb="FF8A93A3"/>
        <rFont val="WenQuanYi Zen Hei"/>
        <family val="2"/>
      </rPr>
      <t xml:space="preserve">貼付</t>
    </r>
    <r>
      <rPr>
        <sz val="8.5"/>
        <color rgb="FF8A93A3"/>
        <rFont val="BIZ UDPゴシック"/>
        <family val="0"/>
        <charset val="1"/>
      </rPr>
      <t xml:space="preserve">A/B</t>
    </r>
    <r>
      <rPr>
        <sz val="8.5"/>
        <color rgb="FF8A93A3"/>
        <rFont val="WenQuanYi Zen Hei"/>
        <family val="2"/>
      </rPr>
      <t xml:space="preserve">」から自動集計。商品名はプルダウンで選択（手入力も可）。</t>
    </r>
  </si>
  <si>
    <r>
      <rPr>
        <b val="true"/>
        <sz val="10"/>
        <color rgb="FF333B4A"/>
        <rFont val="WenQuanYi Zen Hei"/>
        <family val="2"/>
      </rPr>
      <t xml:space="preserve">  期間</t>
    </r>
    <r>
      <rPr>
        <b val="true"/>
        <sz val="10"/>
        <color rgb="FF333B4A"/>
        <rFont val="BIZ UDPゴシック"/>
        <family val="0"/>
        <charset val="1"/>
      </rPr>
      <t xml:space="preserve">A</t>
    </r>
    <r>
      <rPr>
        <b val="true"/>
        <sz val="10"/>
        <color rgb="FF333B4A"/>
        <rFont val="WenQuanYi Zen Hei"/>
        <family val="2"/>
      </rPr>
      <t xml:space="preserve">（直近 金土日）｜日付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</si>
  <si>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⚙A</t>
    </r>
    <r>
      <rPr>
        <sz val="8"/>
        <color rgb="FF8A93A3"/>
        <rFont val="WenQuanYi Zen Hei"/>
        <family val="2"/>
      </rPr>
      <t xml:space="preserve">順</t>
    </r>
  </si>
  <si>
    <r>
      <rPr>
        <sz val="8"/>
        <color rgb="FF8A93A3"/>
        <rFont val="BIZ UDPゴシック"/>
        <family val="0"/>
        <charset val="1"/>
      </rPr>
      <t xml:space="preserve">⚙A</t>
    </r>
    <r>
      <rPr>
        <sz val="8"/>
        <color rgb="FF8A93A3"/>
        <rFont val="WenQuanYi Zen Hei"/>
        <family val="2"/>
      </rPr>
      <t xml:space="preserve">リスト</t>
    </r>
  </si>
  <si>
    <r>
      <rPr>
        <sz val="8"/>
        <color rgb="FF8A93A3"/>
        <rFont val="BIZ UDPゴシック"/>
        <family val="0"/>
        <charset val="1"/>
      </rPr>
      <t xml:space="preserve">⚙B</t>
    </r>
    <r>
      <rPr>
        <sz val="8"/>
        <color rgb="FF8A93A3"/>
        <rFont val="WenQuanYi Zen Hei"/>
        <family val="2"/>
      </rPr>
      <t xml:space="preserve">順</t>
    </r>
  </si>
  <si>
    <r>
      <rPr>
        <sz val="8"/>
        <color rgb="FF8A93A3"/>
        <rFont val="BIZ UDPゴシック"/>
        <family val="0"/>
        <charset val="1"/>
      </rPr>
      <t xml:space="preserve">⚙B</t>
    </r>
    <r>
      <rPr>
        <sz val="8"/>
        <color rgb="FF8A93A3"/>
        <rFont val="WenQuanYi Zen Hei"/>
        <family val="2"/>
      </rPr>
      <t xml:space="preserve">リスト</t>
    </r>
  </si>
  <si>
    <t xml:space="preserve">⚙商品リスト</t>
  </si>
  <si>
    <t xml:space="preserve">  曜日</t>
  </si>
  <si>
    <r>
      <rPr>
        <sz val="8"/>
        <color rgb="FF8A93A3"/>
        <rFont val="BIZ UDPゴシック"/>
        <family val="0"/>
        <charset val="1"/>
      </rPr>
      <t xml:space="preserve">A</t>
    </r>
    <r>
      <rPr>
        <sz val="8"/>
        <color rgb="FF8A93A3"/>
        <rFont val="WenQuanYi Zen Hei"/>
        <family val="2"/>
      </rPr>
      <t xml:space="preserve">計</t>
    </r>
  </si>
  <si>
    <t xml:space="preserve">  動員数（人）</t>
  </si>
  <si>
    <r>
      <rPr>
        <b val="true"/>
        <sz val="10"/>
        <color rgb="FF333B4A"/>
        <rFont val="WenQuanYi Zen Hei"/>
        <family val="2"/>
      </rPr>
      <t xml:space="preserve">  期間</t>
    </r>
    <r>
      <rPr>
        <b val="true"/>
        <sz val="10"/>
        <color rgb="FF333B4A"/>
        <rFont val="BIZ UDPゴシック"/>
        <family val="0"/>
        <charset val="1"/>
      </rPr>
      <t xml:space="preserve">B</t>
    </r>
    <r>
      <rPr>
        <b val="true"/>
        <sz val="10"/>
        <color rgb="FF333B4A"/>
        <rFont val="WenQuanYi Zen Hei"/>
        <family val="2"/>
      </rPr>
      <t xml:space="preserve">（前週 金〜木）｜日付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</si>
  <si>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B</t>
    </r>
    <r>
      <rPr>
        <sz val="8"/>
        <color rgb="FF8A93A3"/>
        <rFont val="WenQuanYi Zen Hei"/>
        <family val="2"/>
      </rPr>
      <t xml:space="preserve">計</t>
    </r>
  </si>
  <si>
    <t xml:space="preserve">商品名（プルダウンで選択）</t>
  </si>
  <si>
    <r>
      <rPr>
        <b val="true"/>
        <sz val="9.5"/>
        <color rgb="FFFFFFFF"/>
        <rFont val="WenQuanYi Zen Hei"/>
        <family val="2"/>
      </rPr>
      <t xml:space="preserve">期間</t>
    </r>
    <r>
      <rPr>
        <b val="true"/>
        <sz val="9.5"/>
        <color rgb="FFFFFFFF"/>
        <rFont val="BIZ UDPゴシック"/>
        <family val="0"/>
        <charset val="1"/>
      </rPr>
      <t xml:space="preserve">A
</t>
    </r>
    <r>
      <rPr>
        <b val="true"/>
        <sz val="9.5"/>
        <color rgb="FFFFFFFF"/>
        <rFont val="WenQuanYi Zen Hei"/>
        <family val="2"/>
      </rPr>
      <t xml:space="preserve">販売数</t>
    </r>
  </si>
  <si>
    <r>
      <rPr>
        <b val="true"/>
        <sz val="9.5"/>
        <color rgb="FFFFFFFF"/>
        <rFont val="WenQuanYi Zen Hei"/>
        <family val="2"/>
      </rPr>
      <t xml:space="preserve">期間</t>
    </r>
    <r>
      <rPr>
        <b val="true"/>
        <sz val="9.5"/>
        <color rgb="FFFFFFFF"/>
        <rFont val="BIZ UDPゴシック"/>
        <family val="0"/>
        <charset val="1"/>
      </rPr>
      <t xml:space="preserve">B
</t>
    </r>
    <r>
      <rPr>
        <b val="true"/>
        <sz val="9.5"/>
        <color rgb="FFFFFFFF"/>
        <rFont val="WenQuanYi Zen Hei"/>
        <family val="2"/>
      </rPr>
      <t xml:space="preserve">販売数</t>
    </r>
  </si>
  <si>
    <t xml:space="preserve">メモ</t>
  </si>
  <si>
    <t xml:space="preserve">ハーフ＆ハーフ（塩／キャラメル）</t>
  </si>
  <si>
    <t xml:space="preserve">ポップコーン　キャラメルＭ</t>
  </si>
  <si>
    <t xml:space="preserve">ポップコーン　塩Ｍ</t>
  </si>
  <si>
    <t xml:space="preserve">ポップコーン　キャラメルＳ</t>
  </si>
  <si>
    <t xml:space="preserve">ポップコーン　塩Ｓ</t>
  </si>
  <si>
    <t xml:space="preserve">ポップコーン　キャラメルＬ</t>
  </si>
  <si>
    <t xml:space="preserve">ポップコーン　塩Ｌ</t>
  </si>
  <si>
    <t xml:space="preserve">北海道濃厚バターしょうゆ味</t>
  </si>
  <si>
    <t xml:space="preserve">トリュフソルト＆バター味</t>
  </si>
  <si>
    <t xml:space="preserve">シネマイク　ハッピーターン味</t>
  </si>
  <si>
    <t xml:space="preserve">パーティーポップ　キャラメル</t>
  </si>
  <si>
    <t xml:space="preserve">スパイシー！ポップチキン</t>
  </si>
  <si>
    <t xml:space="preserve">スナックじゃがトリュフソルトバタ</t>
  </si>
  <si>
    <t xml:space="preserve">スナックじゃが　シチリアハーブ</t>
  </si>
  <si>
    <t xml:space="preserve">ケチャップ＆マスタード</t>
  </si>
  <si>
    <t xml:space="preserve">４種のチーズ</t>
  </si>
  <si>
    <t xml:space="preserve">プレミアム　ハラペーニョ</t>
  </si>
  <si>
    <t xml:space="preserve">チュリトス　シナモンシュガー</t>
  </si>
  <si>
    <t xml:space="preserve">チュリトス　チョコクリーム</t>
  </si>
  <si>
    <r>
      <rPr>
        <sz val="8.5"/>
        <color rgb="FF8A93A3"/>
        <rFont val="WenQuanYi Zen Hei"/>
        <family val="2"/>
      </rPr>
      <t xml:space="preserve">※ 販売数のセルは自動計算です（</t>
    </r>
    <r>
      <rPr>
        <sz val="8.5"/>
        <color rgb="FF8A93A3"/>
        <rFont val="BIZ UDPゴシック"/>
        <family val="0"/>
        <charset val="1"/>
      </rPr>
      <t xml:space="preserve">CSV</t>
    </r>
    <r>
      <rPr>
        <sz val="8.5"/>
        <color rgb="FF8A93A3"/>
        <rFont val="WenQuanYi Zen Hei"/>
        <family val="2"/>
      </rPr>
      <t xml:space="preserve">の「売上数」列を商品名で集計）。</t>
    </r>
    <r>
      <rPr>
        <sz val="8.5"/>
        <color rgb="FF8A93A3"/>
        <rFont val="BIZ UDPゴシック"/>
        <family val="0"/>
        <charset val="1"/>
      </rPr>
      <t xml:space="preserve">CSV</t>
    </r>
    <r>
      <rPr>
        <sz val="8.5"/>
        <color rgb="FF8A93A3"/>
        <rFont val="WenQuanYi Zen Hei"/>
        <family val="2"/>
      </rPr>
      <t xml:space="preserve">を使わず手入力したい場合は、数値を直接入力しても使えます（自動集計に戻すには、同じ列の上下のセルの数式をコピーしてください。となりの列はもう一方の期間を参照しているため使わないでください）。</t>
    </r>
  </si>
  <si>
    <r>
      <rPr>
        <b val="true"/>
        <sz val="9.5"/>
        <color rgb="FF2E3A59"/>
        <rFont val="WenQuanYi Zen Hei"/>
        <family val="2"/>
      </rPr>
      <t xml:space="preserve">  🔎 プルダウン検索から除外する小分類（編集</t>
    </r>
    <r>
      <rPr>
        <b val="true"/>
        <sz val="9.5"/>
        <color rgb="FF2E3A59"/>
        <rFont val="BIZ UDPゴシック"/>
        <family val="0"/>
        <charset val="1"/>
      </rPr>
      <t xml:space="preserve">OK</t>
    </r>
    <r>
      <rPr>
        <b val="true"/>
        <sz val="9.5"/>
        <color rgb="FF2E3A59"/>
        <rFont val="WenQuanYi Zen Hei"/>
        <family val="2"/>
      </rPr>
      <t xml:space="preserve">）</t>
    </r>
  </si>
  <si>
    <t xml:space="preserve">コールド</t>
  </si>
  <si>
    <r>
      <rPr>
        <sz val="8.5"/>
        <color rgb="FF8A93A3"/>
        <rFont val="WenQuanYi Zen Hei"/>
        <family val="2"/>
      </rPr>
      <t xml:space="preserve">← ここに書いた小分類（</t>
    </r>
    <r>
      <rPr>
        <sz val="8.5"/>
        <color rgb="FF8A93A3"/>
        <rFont val="BIZ UDPゴシック"/>
        <family val="0"/>
        <charset val="1"/>
      </rPr>
      <t xml:space="preserve">CSV</t>
    </r>
    <r>
      <rPr>
        <sz val="8.5"/>
        <color rgb="FF8A93A3"/>
        <rFont val="WenQuanYi Zen Hei"/>
        <family val="2"/>
      </rPr>
      <t xml:space="preserve">の</t>
    </r>
    <r>
      <rPr>
        <sz val="8.5"/>
        <color rgb="FF8A93A3"/>
        <rFont val="BIZ UDPゴシック"/>
        <family val="0"/>
        <charset val="1"/>
      </rPr>
      <t xml:space="preserve">H</t>
    </r>
    <r>
      <rPr>
        <sz val="8.5"/>
        <color rgb="FF8A93A3"/>
        <rFont val="WenQuanYi Zen Hei"/>
        <family val="2"/>
      </rPr>
      <t xml:space="preserve">列「小分類名」と完全一致）の商品は、商品名プルダウンに出なくなります。集計からは除外されないため、手入力すれば集計できます。不要になった名前はセルの値を</t>
    </r>
    <r>
      <rPr>
        <sz val="8.5"/>
        <color rgb="FF8A93A3"/>
        <rFont val="BIZ UDPゴシック"/>
        <family val="0"/>
        <charset val="1"/>
      </rPr>
      <t xml:space="preserve">Delete</t>
    </r>
    <r>
      <rPr>
        <sz val="8.5"/>
        <color rgb="FF8A93A3"/>
        <rFont val="WenQuanYi Zen Hei"/>
        <family val="2"/>
      </rPr>
      <t xml:space="preserve">で消し、追加は空き枠に入力してください（最大</t>
    </r>
    <r>
      <rPr>
        <sz val="8.5"/>
        <color rgb="FF8A93A3"/>
        <rFont val="BIZ UDPゴシック"/>
        <family val="0"/>
        <charset val="1"/>
      </rPr>
      <t xml:space="preserve">12</t>
    </r>
    <r>
      <rPr>
        <sz val="8.5"/>
        <color rgb="FF8A93A3"/>
        <rFont val="WenQuanYi Zen Hei"/>
        <family val="2"/>
      </rPr>
      <t xml:space="preserve">件）。行そのものの挿入・削除はしないでください（内部の自動計算が壊れます）。左の✔</t>
    </r>
    <r>
      <rPr>
        <sz val="8.5"/>
        <color rgb="FF8A93A3"/>
        <rFont val="BIZ UDPゴシック"/>
        <family val="0"/>
        <charset val="1"/>
      </rPr>
      <t xml:space="preserve">/⚠</t>
    </r>
    <r>
      <rPr>
        <sz val="8.5"/>
        <color rgb="FF8A93A3"/>
        <rFont val="WenQuanYi Zen Hei"/>
        <family val="2"/>
      </rPr>
      <t xml:space="preserve">は、</t>
    </r>
    <r>
      <rPr>
        <sz val="8.5"/>
        <color rgb="FF8A93A3"/>
        <rFont val="BIZ UDPゴシック"/>
        <family val="0"/>
        <charset val="1"/>
      </rPr>
      <t xml:space="preserve">CSV</t>
    </r>
    <r>
      <rPr>
        <sz val="8.5"/>
        <color rgb="FF8A93A3"/>
        <rFont val="WenQuanYi Zen Hei"/>
        <family val="2"/>
      </rPr>
      <t xml:space="preserve">に実在する小分類名かの照合結果です。</t>
    </r>
  </si>
  <si>
    <t xml:space="preserve">コーヒー</t>
  </si>
  <si>
    <t xml:space="preserve">アルコール</t>
  </si>
  <si>
    <t xml:space="preserve">その他ドリンク</t>
  </si>
  <si>
    <t xml:space="preserve">ホット</t>
  </si>
  <si>
    <t xml:space="preserve">ドリンク調味料</t>
  </si>
  <si>
    <t xml:space="preserve">フード調味料</t>
  </si>
  <si>
    <t xml:space="preserve">ＳＥＴ作品コンボ</t>
  </si>
  <si>
    <t xml:space="preserve">引換券</t>
  </si>
  <si>
    <t xml:space="preserve">コンセ包材</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</si>
  <si>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A</t>
    </r>
    <r>
      <rPr>
        <b val="true"/>
        <sz val="14"/>
        <color rgb="FFFFFFFF"/>
        <rFont val="WenQuanYi Zen Hei"/>
        <family val="2"/>
      </rPr>
      <t xml:space="preserve">｜期間</t>
    </r>
    <r>
      <rPr>
        <b val="true"/>
        <sz val="14"/>
        <color rgb="FFFFFFFF"/>
        <rFont val="BIZ UDPゴシック"/>
        <family val="0"/>
        <charset val="1"/>
      </rPr>
      <t xml:space="preserve">A</t>
    </r>
    <r>
      <rPr>
        <b val="true"/>
        <sz val="14"/>
        <color rgb="FFFFFFFF"/>
        <rFont val="WenQuanYi Zen Hei"/>
        <family val="2"/>
      </rPr>
      <t xml:space="preserve">（直近 金土日）の「売上・在庫・原価」</t>
    </r>
    <r>
      <rPr>
        <b val="true"/>
        <sz val="14"/>
        <color rgb="FFFFFFFF"/>
        <rFont val="BIZ UDPゴシック"/>
        <family val="0"/>
        <charset val="1"/>
      </rPr>
      <t xml:space="preserve">CSV</t>
    </r>
  </si>
  <si>
    <r>
      <rPr>
        <sz val="9"/>
        <color rgb="FF8A93A3"/>
        <rFont val="WenQuanYi Zen Hei"/>
        <family val="2"/>
      </rPr>
      <t xml:space="preserve">本社集計ソフトの「売上・在庫・原価」</t>
    </r>
    <r>
      <rPr>
        <sz val="9"/>
        <color rgb="FF8A93A3"/>
        <rFont val="BIZ UDPゴシック"/>
        <family val="0"/>
        <charset val="1"/>
      </rPr>
      <t xml:space="preserve">CSV</t>
    </r>
    <r>
      <rPr>
        <sz val="9"/>
        <color rgb="FF8A93A3"/>
        <rFont val="WenQuanYi Zen Hei"/>
        <family val="2"/>
      </rPr>
      <t xml:space="preserve">を、</t>
    </r>
    <r>
      <rPr>
        <sz val="9"/>
        <color rgb="FF8A93A3"/>
        <rFont val="BIZ UDPゴシック"/>
        <family val="0"/>
        <charset val="1"/>
      </rPr>
      <t xml:space="preserve">5</t>
    </r>
    <r>
      <rPr>
        <sz val="9"/>
        <color rgb="FF8A93A3"/>
        <rFont val="WenQuanYi Zen Hei"/>
        <family val="2"/>
      </rPr>
      <t xml:space="preserve">行目の</t>
    </r>
    <r>
      <rPr>
        <sz val="9"/>
        <color rgb="FF8A93A3"/>
        <rFont val="BIZ UDPゴシック"/>
        <family val="0"/>
        <charset val="1"/>
      </rPr>
      <t xml:space="preserve">A</t>
    </r>
    <r>
      <rPr>
        <sz val="9"/>
        <color rgb="FF8A93A3"/>
        <rFont val="WenQuanYi Zen Hei"/>
        <family val="2"/>
      </rPr>
      <t xml:space="preserve">列を選択してそのまま貼り付けてください（</t>
    </r>
    <r>
      <rPr>
        <sz val="9"/>
        <color rgb="FF8A93A3"/>
        <rFont val="BIZ UDPゴシック"/>
        <family val="0"/>
        <charset val="1"/>
      </rPr>
      <t xml:space="preserve">1</t>
    </r>
    <r>
      <rPr>
        <sz val="9"/>
        <color rgb="FF8A93A3"/>
        <rFont val="WenQuanYi Zen Hei"/>
        <family val="2"/>
      </rPr>
      <t xml:space="preserve">行目のヘッダー行は不要、最大</t>
    </r>
    <r>
      <rPr>
        <sz val="9"/>
        <color rgb="FF8A93A3"/>
        <rFont val="BIZ UDPゴシック"/>
        <family val="0"/>
        <charset val="1"/>
      </rPr>
      <t xml:space="preserve">1000</t>
    </r>
    <r>
      <rPr>
        <sz val="9"/>
        <color rgb="FF8A93A3"/>
        <rFont val="WenQuanYi Zen Hei"/>
        <family val="2"/>
      </rPr>
      <t xml:space="preserve">行）。貼り替えるときは、先に前回のデータ（</t>
    </r>
    <r>
      <rPr>
        <sz val="9"/>
        <color rgb="FF8A93A3"/>
        <rFont val="BIZ UDPゴシック"/>
        <family val="0"/>
        <charset val="1"/>
      </rPr>
      <t xml:space="preserve">5</t>
    </r>
    <r>
      <rPr>
        <sz val="9"/>
        <color rgb="FF8A93A3"/>
        <rFont val="WenQuanYi Zen Hei"/>
        <family val="2"/>
      </rPr>
      <t xml:space="preserve">行目以降）だけを選択して削除してください。</t>
    </r>
    <r>
      <rPr>
        <sz val="9"/>
        <color rgb="FF8A93A3"/>
        <rFont val="BIZ UDPゴシック"/>
        <family val="0"/>
        <charset val="1"/>
      </rPr>
      <t xml:space="preserve">1</t>
    </r>
    <r>
      <rPr>
        <sz val="9"/>
        <color rgb="FF8A93A3"/>
        <rFont val="WenQuanYi Zen Hei"/>
        <family val="2"/>
      </rPr>
      <t xml:space="preserve">〜</t>
    </r>
    <r>
      <rPr>
        <sz val="9"/>
        <color rgb="FF8A93A3"/>
        <rFont val="BIZ UDPゴシック"/>
        <family val="0"/>
        <charset val="1"/>
      </rPr>
      <t xml:space="preserve">4</t>
    </r>
    <r>
      <rPr>
        <sz val="9"/>
        <color rgb="FF8A93A3"/>
        <rFont val="WenQuanYi Zen Hei"/>
        <family val="2"/>
      </rPr>
      <t xml:space="preserve">行目は消さないこと。</t>
    </r>
  </si>
  <si>
    <t xml:space="preserve">タイトル</t>
  </si>
  <si>
    <t xml:space="preserve">劇場コード</t>
  </si>
  <si>
    <t xml:space="preserve">劇場名</t>
  </si>
  <si>
    <t xml:space="preserve">対象期間開始</t>
  </si>
  <si>
    <t xml:space="preserve">対象期間終了</t>
  </si>
  <si>
    <t xml:space="preserve">大分類コード</t>
  </si>
  <si>
    <t xml:space="preserve">小分類コード</t>
  </si>
  <si>
    <t xml:space="preserve">小分類名</t>
  </si>
  <si>
    <t xml:space="preserve">作品コード</t>
  </si>
  <si>
    <t xml:space="preserve">作品名</t>
  </si>
  <si>
    <t xml:space="preserve">支払先コード</t>
  </si>
  <si>
    <t xml:space="preserve">支払先名</t>
  </si>
  <si>
    <t xml:space="preserve">商品コード</t>
  </si>
  <si>
    <t xml:space="preserve">買取区分</t>
  </si>
  <si>
    <t xml:space="preserve">買取区分名</t>
  </si>
  <si>
    <t xml:space="preserve">前日残数</t>
  </si>
  <si>
    <t xml:space="preserve">仕入数</t>
  </si>
  <si>
    <t xml:space="preserve">移動入庫数</t>
  </si>
  <si>
    <t xml:space="preserve">返品数</t>
  </si>
  <si>
    <t xml:space="preserve">廃棄数</t>
  </si>
  <si>
    <t xml:space="preserve">移動出庫数</t>
  </si>
  <si>
    <t xml:space="preserve">差異数</t>
  </si>
  <si>
    <t xml:space="preserve">資産廃棄数</t>
  </si>
  <si>
    <t xml:space="preserve">減算数</t>
  </si>
  <si>
    <t xml:space="preserve">残数</t>
  </si>
  <si>
    <t xml:space="preserve">売上数</t>
  </si>
  <si>
    <t xml:space="preserve">売上金額（税込）</t>
  </si>
  <si>
    <t xml:space="preserve">軽減売上数</t>
  </si>
  <si>
    <t xml:space="preserve">軽減売上金額（税込）</t>
  </si>
  <si>
    <t xml:space="preserve">売上金額（税抜）</t>
  </si>
  <si>
    <t xml:space="preserve">平均単価（税抜）</t>
  </si>
  <si>
    <t xml:space="preserve">売上原価（税抜）</t>
  </si>
  <si>
    <t xml:space="preserve">仕入先商品コード</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</si>
  <si>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B</t>
    </r>
    <r>
      <rPr>
        <b val="true"/>
        <sz val="14"/>
        <color rgb="FFFFFFFF"/>
        <rFont val="WenQuanYi Zen Hei"/>
        <family val="2"/>
      </rPr>
      <t xml:space="preserve">｜期間</t>
    </r>
    <r>
      <rPr>
        <b val="true"/>
        <sz val="14"/>
        <color rgb="FFFFFFFF"/>
        <rFont val="BIZ UDPゴシック"/>
        <family val="0"/>
        <charset val="1"/>
      </rPr>
      <t xml:space="preserve">B</t>
    </r>
    <r>
      <rPr>
        <b val="true"/>
        <sz val="14"/>
        <color rgb="FFFFFFFF"/>
        <rFont val="WenQuanYi Zen Hei"/>
        <family val="2"/>
      </rPr>
      <t xml:space="preserve">（前週 金〜木）の「売上・在庫・原価」</t>
    </r>
    <r>
      <rPr>
        <b val="true"/>
        <sz val="14"/>
        <color rgb="FFFFFFFF"/>
        <rFont val="BIZ UDPゴシック"/>
        <family val="0"/>
        <charset val="1"/>
      </rPr>
      <t xml:space="preserve">CSV</t>
    </r>
  </si>
</sst>
</file>

<file path=xl/styles.xml><?xml version="1.0" encoding="utf-8"?>
<styleSheet xmlns="http://schemas.openxmlformats.org/spreadsheetml/2006/main">
  <numFmts count="6">
    <numFmt numFmtId="164" formatCode="General"/>
    <numFmt numFmtId="165" formatCode="0.0\倍"/>
    <numFmt numFmtId="166" formatCode="#,##0"/>
    <numFmt numFmtId="167" formatCode="0.0%"/>
    <numFmt numFmtId="168" formatCode="General"/>
    <numFmt numFmtId="169" formatCode="m/d"/>
  </numFmts>
  <fonts count="63">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sz val="9.5"/>
      <color rgb="FF8A93A3"/>
      <name val="BIZ UDPゴシック"/>
      <family val="0"/>
      <charset val="1"/>
    </font>
    <font>
      <sz val="9.5"/>
      <color rgb="FF8A93A3"/>
      <name val="WenQuanYi Zen Hei"/>
      <family val="2"/>
    </font>
    <font>
      <b val="true"/>
      <sz val="10"/>
      <color rgb="FF2E3A59"/>
      <name val="WenQuanYi Zen Hei"/>
      <family val="2"/>
    </font>
    <font>
      <b val="true"/>
      <sz val="10"/>
      <color rgb="FF2E3A59"/>
      <name val="BIZ UDPゴシック"/>
      <family val="0"/>
      <charset val="1"/>
    </font>
    <font>
      <b val="true"/>
      <sz val="16"/>
      <color rgb="FFE9A13B"/>
      <name val="BIZ UDPゴシック"/>
      <family val="0"/>
      <charset val="1"/>
    </font>
    <font>
      <b val="true"/>
      <sz val="11"/>
      <color rgb="FF333B4A"/>
      <name val="WenQuanYi Zen Hei"/>
      <family val="2"/>
    </font>
    <font>
      <b val="true"/>
      <sz val="11"/>
      <color rgb="FF333B4A"/>
      <name val="BIZ UDPゴシック"/>
      <family val="0"/>
      <charset val="1"/>
    </font>
    <font>
      <sz val="9"/>
      <color rgb="FF8A93A3"/>
      <name val="WenQuanYi Zen Hei"/>
      <family val="2"/>
    </font>
    <font>
      <sz val="9"/>
      <color rgb="FF8A93A3"/>
      <name val="BIZ UDPゴシック"/>
      <family val="0"/>
      <charset val="1"/>
    </font>
    <font>
      <b val="true"/>
      <sz val="16"/>
      <color rgb="FFE8604C"/>
      <name val="BIZ UDPゴシック"/>
      <family val="0"/>
      <charset val="1"/>
    </font>
    <font>
      <b val="true"/>
      <sz val="16"/>
      <color rgb="FF1F9E92"/>
      <name val="BIZ UDPゴシック"/>
      <family val="0"/>
      <charset val="1"/>
    </font>
    <font>
      <sz val="9.5"/>
      <color rgb="FF333B4A"/>
      <name val="WenQuanYi Zen Hei"/>
      <family val="2"/>
    </font>
    <font>
      <sz val="9.5"/>
      <color rgb="FF5B6472"/>
      <name val="WenQuanYi Zen Hei"/>
      <family val="2"/>
    </font>
    <font>
      <sz val="10"/>
      <color rgb="FF333B4A"/>
      <name val="WenQuanYi Zen Hei"/>
      <family val="2"/>
    </font>
    <font>
      <sz val="10"/>
      <color rgb="FF333B4A"/>
      <name val="BIZ UDPゴシック"/>
      <family val="0"/>
      <charset val="1"/>
    </font>
    <font>
      <sz val="9.5"/>
      <color rgb="FF333B4A"/>
      <name val="BIZ UDPゴシック"/>
      <family val="0"/>
      <charset val="1"/>
    </font>
    <font>
      <sz val="8.5"/>
      <color rgb="FF8A93A3"/>
      <name val="WenQuanYi Zen Hei"/>
      <family val="2"/>
    </font>
    <font>
      <sz val="8.5"/>
      <color rgb="FF8A93A3"/>
      <name val="BIZ UDPゴシック"/>
      <family val="0"/>
      <charset val="1"/>
    </font>
    <font>
      <b val="true"/>
      <sz val="8.5"/>
      <color rgb="FF333B4A"/>
      <name val="WenQuanYi Zen Hei"/>
      <family val="2"/>
    </font>
    <font>
      <b val="true"/>
      <sz val="8.5"/>
      <color rgb="FF333B4A"/>
      <name val="BIZ UDPゴシック"/>
      <family val="0"/>
      <charset val="1"/>
    </font>
    <font>
      <sz val="8"/>
      <color rgb="FF8A93A3"/>
      <name val="WenQuanYi Zen Hei"/>
      <family val="2"/>
    </font>
    <font>
      <b val="true"/>
      <sz val="10"/>
      <color rgb="FF333B4A"/>
      <name val="WenQuanYi Zen Hei"/>
      <family val="2"/>
    </font>
    <font>
      <b val="true"/>
      <sz val="10.5"/>
      <color rgb="FF333B4A"/>
      <name val="WenQuanYi Zen Hei"/>
      <family val="2"/>
    </font>
    <font>
      <b val="true"/>
      <sz val="10.5"/>
      <color rgb="FF333B4A"/>
      <name val="BIZ UDPゴシック"/>
      <family val="0"/>
      <charset val="1"/>
    </font>
    <font>
      <b val="true"/>
      <sz val="9"/>
      <color rgb="FF333B4A"/>
      <name val="WenQuanYi Zen Hei"/>
      <family val="2"/>
    </font>
    <font>
      <b val="true"/>
      <sz val="9"/>
      <color rgb="FF333B4A"/>
      <name val="BIZ UDPゴシック"/>
      <family val="0"/>
      <charset val="1"/>
    </font>
    <font>
      <b val="true"/>
      <sz val="9"/>
      <color rgb="FFE8604C"/>
      <name val="BIZ UDPゴシック"/>
      <family val="0"/>
      <charset val="1"/>
    </font>
    <font>
      <b val="true"/>
      <sz val="9"/>
      <color rgb="FF5B6472"/>
      <name val="WenQuanYi Zen Hei"/>
      <family val="2"/>
    </font>
    <font>
      <b val="true"/>
      <sz val="8.5"/>
      <color rgb="FFD14343"/>
      <name val="WenQuanYi Zen Hei"/>
      <family val="2"/>
    </font>
    <font>
      <b val="true"/>
      <sz val="9.5"/>
      <color rgb="FFFFFFFF"/>
      <name val="BIZ UDPゴシック"/>
      <family val="0"/>
      <charset val="1"/>
    </font>
    <font>
      <b val="true"/>
      <sz val="9.5"/>
      <color rgb="FFFFFFFF"/>
      <name val="WenQuanYi Zen Hei"/>
      <family val="2"/>
    </font>
    <font>
      <b val="true"/>
      <sz val="11"/>
      <color rgb="FFFFFFFF"/>
      <name val="WenQuanYi Zen Hei"/>
      <family val="2"/>
    </font>
    <font>
      <b val="true"/>
      <sz val="11"/>
      <color rgb="FFFFFFFF"/>
      <name val="BIZ UDPゴシック"/>
      <family val="0"/>
      <charset val="1"/>
    </font>
    <font>
      <sz val="10.5"/>
      <color rgb="FF333B4A"/>
      <name val="WenQuanYi Zen Hei"/>
      <family val="2"/>
    </font>
    <font>
      <sz val="10"/>
      <color rgb="FF5B6472"/>
      <name val="BIZ UDPゴシック"/>
      <family val="0"/>
      <charset val="1"/>
    </font>
    <font>
      <b val="true"/>
      <sz val="13"/>
      <color rgb="FFE8604C"/>
      <name val="BIZ UDPゴシック"/>
      <family val="0"/>
      <charset val="1"/>
    </font>
    <font>
      <sz val="10"/>
      <name val="WenQuanYi Zen Hei"/>
      <family val="2"/>
    </font>
    <font>
      <sz val="10"/>
      <name val="Arial"/>
      <family val="2"/>
    </font>
    <font>
      <b val="true"/>
      <sz val="12"/>
      <color rgb="FFE8604C"/>
      <name val="WenQuanYi Zen Hei"/>
      <family val="2"/>
    </font>
    <font>
      <b val="true"/>
      <sz val="8"/>
      <color rgb="FFD14343"/>
      <name val="WenQuanYi Zen Hei"/>
      <family val="2"/>
    </font>
    <font>
      <b val="true"/>
      <sz val="10"/>
      <color rgb="FFFFFFFF"/>
      <name val="BIZ UDPゴシック"/>
      <family val="0"/>
      <charset val="1"/>
    </font>
    <font>
      <b val="true"/>
      <sz val="10"/>
      <color rgb="FFFFFFFF"/>
      <name val="WenQuanYi Zen Hei"/>
      <family val="2"/>
    </font>
    <font>
      <sz val="11"/>
      <color rgb="FF333B4A"/>
      <name val="WenQuanYi Zen Hei"/>
      <family val="2"/>
    </font>
    <font>
      <b val="true"/>
      <sz val="14"/>
      <color rgb="FFE8604C"/>
      <name val="BIZ UDPゴシック"/>
      <family val="0"/>
      <charset val="1"/>
    </font>
    <font>
      <sz val="12"/>
      <color rgb="FFB9C0CC"/>
      <name val="BIZ UDPゴシック"/>
      <family val="0"/>
      <charset val="1"/>
    </font>
    <font>
      <sz val="8"/>
      <color rgb="FF8A93A3"/>
      <name val="BIZ UDPゴシック"/>
      <family val="0"/>
      <charset val="1"/>
    </font>
    <font>
      <sz val="8.5"/>
      <color rgb="FF333B4A"/>
      <name val="WenQuanYi Zen Hei"/>
      <family val="2"/>
    </font>
    <font>
      <sz val="8.5"/>
      <color rgb="FF5B6472"/>
      <name val="WenQuanYi Zen Hei"/>
      <family val="2"/>
    </font>
    <font>
      <b val="true"/>
      <sz val="10"/>
      <color rgb="FF333B4A"/>
      <name val="BIZ UDPゴシック"/>
      <family val="0"/>
      <charset val="1"/>
    </font>
    <font>
      <sz val="9"/>
      <color rgb="FF5B6472"/>
      <name val="WenQuanYi Zen Hei"/>
      <family val="2"/>
    </font>
    <font>
      <sz val="10.5"/>
      <color rgb="FF333B4A"/>
      <name val="BIZ UDPゴシック"/>
      <family val="0"/>
      <charset val="1"/>
    </font>
    <font>
      <b val="true"/>
      <sz val="10.5"/>
      <color rgb="FF1F9E92"/>
      <name val="BIZ UDPゴシック"/>
      <family val="0"/>
      <charset val="1"/>
    </font>
    <font>
      <sz val="9"/>
      <color rgb="FF5B6472"/>
      <name val="BIZ UDPゴシック"/>
      <family val="0"/>
      <charset val="1"/>
    </font>
    <font>
      <sz val="9"/>
      <color rgb="FF333B4A"/>
      <name val="BIZ UDPゴシック"/>
      <family val="0"/>
      <charset val="1"/>
    </font>
    <font>
      <b val="true"/>
      <sz val="9.5"/>
      <color rgb="FF2E3A59"/>
      <name val="WenQuanYi Zen Hei"/>
      <family val="2"/>
    </font>
    <font>
      <b val="true"/>
      <sz val="9.5"/>
      <color rgb="FF2E3A59"/>
      <name val="BIZ UDPゴシック"/>
      <family val="0"/>
      <charset val="1"/>
    </font>
    <font>
      <b val="true"/>
      <sz val="14"/>
      <color rgb="FFFFFFFF"/>
      <name val="BIZ UDPゴシック"/>
      <family val="0"/>
      <charset val="1"/>
    </font>
    <font>
      <b val="true"/>
      <sz val="8.5"/>
      <color rgb="FFFFFFFF"/>
      <name val="WenQuanYi Zen Hei"/>
      <family val="2"/>
    </font>
  </fonts>
  <fills count="14">
    <fill>
      <patternFill patternType="none"/>
    </fill>
    <fill>
      <patternFill patternType="gray125"/>
    </fill>
    <fill>
      <patternFill patternType="solid">
        <fgColor rgb="FF2E3A59"/>
        <bgColor rgb="FF333B4A"/>
      </patternFill>
    </fill>
    <fill>
      <patternFill patternType="solid">
        <fgColor rgb="FFE9EDF5"/>
        <bgColor rgb="FFDFF2F0"/>
      </patternFill>
    </fill>
    <fill>
      <patternFill patternType="solid">
        <fgColor rgb="FFFFFFFF"/>
        <bgColor rgb="FFF8FAFC"/>
      </patternFill>
    </fill>
    <fill>
      <patternFill patternType="solid">
        <fgColor rgb="FFFFF4D6"/>
        <bgColor rgb="FFFDF0DA"/>
      </patternFill>
    </fill>
    <fill>
      <patternFill patternType="solid">
        <fgColor rgb="FFF2F4F7"/>
        <bgColor rgb="FFF7F8FA"/>
      </patternFill>
    </fill>
    <fill>
      <patternFill patternType="solid">
        <fgColor rgb="FFFDF0DA"/>
        <bgColor rgb="FFFFF4D6"/>
      </patternFill>
    </fill>
    <fill>
      <patternFill patternType="solid">
        <fgColor rgb="FFF7F8FA"/>
        <bgColor rgb="FFF8FAFC"/>
      </patternFill>
    </fill>
    <fill>
      <patternFill patternType="solid">
        <fgColor rgb="FFFCE7E2"/>
        <bgColor rgb="FFFDECEC"/>
      </patternFill>
    </fill>
    <fill>
      <patternFill patternType="solid">
        <fgColor rgb="FFE8604C"/>
        <bgColor rgb="FFD14343"/>
      </patternFill>
    </fill>
    <fill>
      <patternFill patternType="solid">
        <fgColor rgb="FFFFF1EE"/>
        <bgColor rgb="FFFDECEC"/>
      </patternFill>
    </fill>
    <fill>
      <patternFill patternType="solid">
        <fgColor rgb="FFF8FAFC"/>
        <bgColor rgb="FFF7F8FA"/>
      </patternFill>
    </fill>
    <fill>
      <patternFill patternType="solid">
        <fgColor rgb="FFDFF2F0"/>
        <bgColor rgb="FFE9EDF5"/>
      </patternFill>
    </fill>
  </fills>
  <borders count="11">
    <border diagonalUp="false" diagonalDown="false">
      <left/>
      <right/>
      <top/>
      <bottom/>
      <diagonal/>
    </border>
    <border diagonalUp="false" diagonalDown="false">
      <left style="medium">
        <color rgb="FFE9A13B"/>
      </left>
      <right/>
      <top style="medium">
        <color rgb="FFE9A13B"/>
      </top>
      <bottom style="medium">
        <color rgb="FFE9A13B"/>
      </bottom>
      <diagonal/>
    </border>
    <border diagonalUp="false" diagonalDown="false">
      <left style="medium">
        <color rgb="FFE8604C"/>
      </left>
      <right/>
      <top style="medium">
        <color rgb="FFE8604C"/>
      </top>
      <bottom style="medium">
        <color rgb="FFE8604C"/>
      </bottom>
      <diagonal/>
    </border>
    <border diagonalUp="false" diagonalDown="false">
      <left style="medium">
        <color rgb="FF1F9E92"/>
      </left>
      <right/>
      <top style="medium">
        <color rgb="FF1F9E92"/>
      </top>
      <bottom style="medium">
        <color rgb="FF1F9E92"/>
      </bottom>
      <diagonal/>
    </border>
    <border diagonalUp="false" diagonalDown="false">
      <left style="thin">
        <color rgb="FFF0D48A"/>
      </left>
      <right style="thin">
        <color rgb="FFF0D48A"/>
      </right>
      <top style="thin">
        <color rgb="FFF0D48A"/>
      </top>
      <bottom style="thin">
        <color rgb="FFF0D48A"/>
      </bottom>
      <diagonal/>
    </border>
    <border diagonalUp="false" diagonalDown="false">
      <left style="thin">
        <color rgb="FFDFE3EA"/>
      </left>
      <right style="thin">
        <color rgb="FFDFE3EA"/>
      </right>
      <top style="thin">
        <color rgb="FFDFE3EA"/>
      </top>
      <bottom style="thin">
        <color rgb="FFDFE3EA"/>
      </bottom>
      <diagonal/>
    </border>
    <border diagonalUp="false" diagonalDown="false">
      <left style="hair">
        <color rgb="FFDFE3EA"/>
      </left>
      <right style="hair">
        <color rgb="FFDFE3EA"/>
      </right>
      <top style="hair">
        <color rgb="FFDFE3EA"/>
      </top>
      <bottom style="hair">
        <color rgb="FFDFE3EA"/>
      </bottom>
      <diagonal/>
    </border>
    <border diagonalUp="false" diagonalDown="false">
      <left style="hair">
        <color rgb="FFDFE3EA"/>
      </left>
      <right style="hair">
        <color rgb="FFDFE3EA"/>
      </right>
      <top/>
      <bottom style="hair">
        <color rgb="FFDFE3EA"/>
      </bottom>
      <diagonal/>
    </border>
    <border diagonalUp="false" diagonalDown="false">
      <left style="medium">
        <color rgb="FFE8604C"/>
      </left>
      <right style="medium">
        <color rgb="FFE8604C"/>
      </right>
      <top/>
      <bottom style="hair">
        <color rgb="FFDFE3EA"/>
      </bottom>
      <diagonal/>
    </border>
    <border diagonalUp="false" diagonalDown="false">
      <left style="medium">
        <color rgb="FFE8604C"/>
      </left>
      <right style="medium">
        <color rgb="FFE8604C"/>
      </right>
      <top/>
      <bottom style="medium">
        <color rgb="FFE8604C"/>
      </bottom>
      <diagonal/>
    </border>
    <border diagonalUp="false" diagonalDown="false">
      <left style="medium">
        <color rgb="FFE8604C"/>
      </left>
      <right style="medium">
        <color rgb="FFE8604C"/>
      </right>
      <top style="thin">
        <color rgb="FFDFE3EA"/>
      </top>
      <bottom style="thin">
        <color rgb="FFDF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4" fontId="15" fillId="4" borderId="3" xfId="0" applyFont="true" applyBorder="true" applyAlignment="true" applyProtection="false">
      <alignment horizontal="center" vertical="center" textRotation="0" wrapText="false" indent="0" shrinkToFit="false"/>
      <protection locked="true" hidden="false"/>
    </xf>
    <xf numFmtId="164" fontId="16" fillId="5" borderId="4" xfId="0" applyFont="true" applyBorder="true" applyAlignment="true" applyProtection="false">
      <alignment horizontal="center" vertical="center" textRotation="0" wrapText="false" indent="0" shrinkToFit="false"/>
      <protection locked="true" hidden="false"/>
    </xf>
    <xf numFmtId="164" fontId="17" fillId="6" borderId="5"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23" fillId="7" borderId="0" xfId="0" applyFont="true" applyBorder="true" applyAlignment="true" applyProtection="false">
      <alignment horizontal="left" vertical="center" textRotation="0" wrapText="false" indent="0" shrinkToFit="false"/>
      <protection locked="true" hidden="false"/>
    </xf>
    <xf numFmtId="164" fontId="25" fillId="8" borderId="6" xfId="0" applyFont="true" applyBorder="true" applyAlignment="true" applyProtection="false">
      <alignment horizontal="left" vertical="center" textRotation="0" wrapText="false" indent="0" shrinkToFit="false"/>
      <protection locked="true" hidden="false"/>
    </xf>
    <xf numFmtId="164" fontId="26" fillId="9" borderId="0" xfId="0" applyFont="true" applyBorder="true" applyAlignment="true" applyProtection="false">
      <alignment horizontal="left" vertical="center" textRotation="0" wrapText="false" indent="0" shrinkToFit="false"/>
      <protection locked="true" hidden="false"/>
    </xf>
    <xf numFmtId="164" fontId="27" fillId="5" borderId="4"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29" fillId="5" borderId="4" xfId="0" applyFont="true" applyBorder="true" applyAlignment="true" applyProtection="false">
      <alignment horizontal="left" vertical="center" textRotation="0" wrapText="false" indent="0" shrinkToFit="false"/>
      <protection locked="true" hidden="false"/>
    </xf>
    <xf numFmtId="165" fontId="31" fillId="5" borderId="4" xfId="0" applyFont="true" applyBorder="true" applyAlignment="true" applyProtection="false">
      <alignment horizontal="center" vertical="center" textRotation="0" wrapText="false" indent="0" shrinkToFit="false"/>
      <protection locked="true" hidden="false"/>
    </xf>
    <xf numFmtId="164" fontId="21" fillId="0" borderId="6" xfId="0" applyFont="true" applyBorder="true" applyAlignment="true" applyProtection="false">
      <alignment horizontal="right" vertical="center" textRotation="0" wrapText="false" indent="0" shrinkToFit="false"/>
      <protection locked="true" hidden="false"/>
    </xf>
    <xf numFmtId="166" fontId="22" fillId="0" borderId="6" xfId="0" applyFont="true" applyBorder="true" applyAlignment="true" applyProtection="false">
      <alignment horizontal="left" vertical="center" textRotation="0" wrapText="false" indent="0" shrinkToFit="false"/>
      <protection locked="true" hidden="false"/>
    </xf>
    <xf numFmtId="166" fontId="28" fillId="5" borderId="4" xfId="0" applyFont="true" applyBorder="true" applyAlignment="true" applyProtection="false">
      <alignment horizontal="center" vertical="center" textRotation="0" wrapText="false" indent="0" shrinkToFit="false"/>
      <protection locked="true" hidden="false"/>
    </xf>
    <xf numFmtId="165" fontId="28" fillId="5"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false" indent="0" shrinkToFit="false"/>
      <protection locked="true" hidden="false"/>
    </xf>
    <xf numFmtId="164" fontId="33" fillId="0" borderId="0" xfId="0" applyFont="true" applyBorder="true" applyAlignment="true" applyProtection="false">
      <alignment horizontal="left" vertical="center" textRotation="0" wrapText="false" indent="0" shrinkToFit="false"/>
      <protection locked="true" hidden="false"/>
    </xf>
    <xf numFmtId="164" fontId="34" fillId="2" borderId="5" xfId="0" applyFont="true" applyBorder="true" applyAlignment="true" applyProtection="false">
      <alignment horizontal="center" vertical="center" textRotation="0" wrapText="true" indent="0" shrinkToFit="false"/>
      <protection locked="true" hidden="false"/>
    </xf>
    <xf numFmtId="164" fontId="35" fillId="2" borderId="5" xfId="0" applyFont="true" applyBorder="true" applyAlignment="true" applyProtection="false">
      <alignment horizontal="center" vertical="center" textRotation="0" wrapText="true" indent="0" shrinkToFit="false"/>
      <protection locked="true" hidden="false"/>
    </xf>
    <xf numFmtId="164" fontId="36" fillId="10" borderId="5" xfId="0" applyFont="true" applyBorder="true" applyAlignment="true" applyProtection="false">
      <alignment horizontal="center" vertical="center" textRotation="0" wrapText="tru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38" fillId="0" borderId="7" xfId="0" applyFont="true" applyBorder="true" applyAlignment="true" applyProtection="false">
      <alignment horizontal="left" vertical="center" textRotation="0" wrapText="false" indent="0" shrinkToFit="false"/>
      <protection locked="true" hidden="false"/>
    </xf>
    <xf numFmtId="166" fontId="39" fillId="0" borderId="7" xfId="0" applyFont="true" applyBorder="true" applyAlignment="true" applyProtection="false">
      <alignment horizontal="center" vertical="center" textRotation="0" wrapText="false" indent="0" shrinkToFit="false"/>
      <protection locked="true" hidden="false"/>
    </xf>
    <xf numFmtId="167" fontId="39" fillId="0" borderId="7" xfId="0" applyFont="true" applyBorder="true" applyAlignment="true" applyProtection="false">
      <alignment horizontal="center" vertical="center" textRotation="0" wrapText="false" indent="0" shrinkToFit="false"/>
      <protection locked="true" hidden="false"/>
    </xf>
    <xf numFmtId="166" fontId="40" fillId="11" borderId="8" xfId="0" applyFont="true" applyBorder="true" applyAlignment="true" applyProtection="false">
      <alignment horizontal="center" vertical="center" textRotation="0" wrapText="false" indent="0" shrinkToFit="false"/>
      <protection locked="true" hidden="false"/>
    </xf>
    <xf numFmtId="167" fontId="13" fillId="0" borderId="7" xfId="0" applyFont="true" applyBorder="true" applyAlignment="true" applyProtection="false">
      <alignment horizontal="center" vertical="center" textRotation="0" wrapText="false" indent="0" shrinkToFit="false"/>
      <protection locked="true" hidden="false"/>
    </xf>
    <xf numFmtId="164" fontId="13" fillId="12" borderId="7" xfId="0" applyFont="true" applyBorder="true" applyAlignment="true" applyProtection="false">
      <alignment horizontal="center" vertical="center" textRotation="0" wrapText="false" indent="0" shrinkToFit="false"/>
      <protection locked="true" hidden="false"/>
    </xf>
    <xf numFmtId="164" fontId="38" fillId="12" borderId="7" xfId="0" applyFont="true" applyBorder="true" applyAlignment="true" applyProtection="false">
      <alignment horizontal="left" vertical="center" textRotation="0" wrapText="false" indent="0" shrinkToFit="false"/>
      <protection locked="true" hidden="false"/>
    </xf>
    <xf numFmtId="166" fontId="39" fillId="12" borderId="7" xfId="0" applyFont="true" applyBorder="true" applyAlignment="true" applyProtection="false">
      <alignment horizontal="center" vertical="center" textRotation="0" wrapText="false" indent="0" shrinkToFit="false"/>
      <protection locked="true" hidden="false"/>
    </xf>
    <xf numFmtId="167" fontId="39" fillId="12" borderId="7" xfId="0" applyFont="true" applyBorder="true" applyAlignment="true" applyProtection="false">
      <alignment horizontal="center" vertical="center" textRotation="0" wrapText="false" indent="0" shrinkToFit="false"/>
      <protection locked="true" hidden="false"/>
    </xf>
    <xf numFmtId="167" fontId="13" fillId="12" borderId="7" xfId="0" applyFont="true" applyBorder="true" applyAlignment="true" applyProtection="false">
      <alignment horizontal="center" vertical="center" textRotation="0" wrapText="false" indent="0" shrinkToFit="false"/>
      <protection locked="true" hidden="false"/>
    </xf>
    <xf numFmtId="166" fontId="40" fillId="11" borderId="9" xfId="0" applyFont="true" applyBorder="true" applyAlignment="true" applyProtection="false">
      <alignment horizontal="center" vertical="center" textRotation="0" wrapText="false" indent="0" shrinkToFit="false"/>
      <protection locked="true" hidden="false"/>
    </xf>
    <xf numFmtId="164" fontId="43" fillId="9"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4" fillId="0" borderId="0" xfId="0" applyFont="true" applyBorder="true" applyAlignment="true" applyProtection="false">
      <alignment horizontal="left" vertical="center" textRotation="0" wrapText="false" indent="0" shrinkToFit="false"/>
      <protection locked="true" hidden="false"/>
    </xf>
    <xf numFmtId="164" fontId="45" fillId="2" borderId="5" xfId="0" applyFont="true" applyBorder="true" applyAlignment="true" applyProtection="false">
      <alignment horizontal="center" vertical="center" textRotation="0" wrapText="false" indent="0" shrinkToFit="false"/>
      <protection locked="true" hidden="false"/>
    </xf>
    <xf numFmtId="164" fontId="46" fillId="2" borderId="5" xfId="0" applyFont="true" applyBorder="true" applyAlignment="true" applyProtection="false">
      <alignment horizontal="center" vertical="center" textRotation="0" wrapText="false" indent="0" shrinkToFit="false"/>
      <protection locked="true" hidden="false"/>
    </xf>
    <xf numFmtId="164" fontId="36" fillId="10" borderId="5" xfId="0" applyFont="true" applyBorder="true" applyAlignment="true" applyProtection="false">
      <alignment horizontal="center" vertical="center" textRotation="0" wrapText="false" indent="0" shrinkToFit="false"/>
      <protection locked="true" hidden="false"/>
    </xf>
    <xf numFmtId="168" fontId="5" fillId="0" borderId="5" xfId="0" applyFont="true" applyBorder="true" applyAlignment="true" applyProtection="false">
      <alignment horizontal="center" vertical="center" textRotation="0" wrapText="false" indent="0" shrinkToFit="false"/>
      <protection locked="true" hidden="false"/>
    </xf>
    <xf numFmtId="164" fontId="47" fillId="0" borderId="5" xfId="0" applyFont="true" applyBorder="true" applyAlignment="true" applyProtection="false">
      <alignment horizontal="left" vertical="center" textRotation="0" wrapText="false" indent="0" shrinkToFit="false"/>
      <protection locked="true" hidden="false"/>
    </xf>
    <xf numFmtId="166" fontId="48" fillId="11" borderId="10" xfId="0" applyFont="true" applyBorder="true" applyAlignment="true" applyProtection="false">
      <alignment horizontal="center" vertical="center" textRotation="0" wrapText="false" indent="0" shrinkToFit="false"/>
      <protection locked="true" hidden="false"/>
    </xf>
    <xf numFmtId="164" fontId="49" fillId="0" borderId="5"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51" fillId="5" borderId="4" xfId="0" applyFont="true" applyBorder="true" applyAlignment="true" applyProtection="false">
      <alignment horizontal="center" vertical="center" textRotation="0" wrapText="false" indent="0" shrinkToFit="false"/>
      <protection locked="true" hidden="false"/>
    </xf>
    <xf numFmtId="164" fontId="52" fillId="6" borderId="5" xfId="0" applyFont="true" applyBorder="true" applyAlignment="true" applyProtection="false">
      <alignment horizontal="center" vertical="center" textRotation="0" wrapText="false" indent="0" shrinkToFit="false"/>
      <protection locked="true" hidden="false"/>
    </xf>
    <xf numFmtId="164" fontId="26" fillId="13" borderId="0" xfId="0" applyFont="true" applyBorder="false" applyAlignment="true" applyProtection="false">
      <alignment horizontal="left" vertical="center" textRotation="0" wrapText="false" indent="0" shrinkToFit="false"/>
      <protection locked="true" hidden="false"/>
    </xf>
    <xf numFmtId="169" fontId="53" fillId="6" borderId="5"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tru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6" fontId="55" fillId="5" borderId="4" xfId="0" applyFont="true" applyBorder="true" applyAlignment="true" applyProtection="false">
      <alignment horizontal="center" vertical="center" textRotation="0" wrapText="false" indent="0" shrinkToFit="false"/>
      <protection locked="true" hidden="false"/>
    </xf>
    <xf numFmtId="166" fontId="56" fillId="6" borderId="5" xfId="0" applyFont="true" applyBorder="true" applyAlignment="true" applyProtection="false">
      <alignment horizontal="center" vertical="center" textRotation="0" wrapText="false" indent="0" shrinkToFit="false"/>
      <protection locked="true" hidden="false"/>
    </xf>
    <xf numFmtId="164" fontId="57" fillId="0" borderId="0" xfId="0" applyFont="true" applyBorder="true" applyAlignment="true" applyProtection="false">
      <alignment horizontal="left" vertical="center" textRotation="0" wrapText="false" indent="0" shrinkToFit="false"/>
      <protection locked="true" hidden="false"/>
    </xf>
    <xf numFmtId="164" fontId="18" fillId="5" borderId="4" xfId="0" applyFont="true" applyBorder="true" applyAlignment="true" applyProtection="false">
      <alignment horizontal="left" vertical="center" textRotation="0" wrapText="false" indent="0" shrinkToFit="false"/>
      <protection locked="true" hidden="false"/>
    </xf>
    <xf numFmtId="166" fontId="39" fillId="6" borderId="7" xfId="0" applyFont="true" applyBorder="true" applyAlignment="true" applyProtection="false">
      <alignment horizontal="center" vertical="center" textRotation="0" wrapText="false" indent="0" shrinkToFit="false"/>
      <protection locked="true" hidden="false"/>
    </xf>
    <xf numFmtId="164" fontId="58" fillId="0" borderId="7"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true" indent="0" shrinkToFit="false"/>
      <protection locked="true" hidden="false"/>
    </xf>
    <xf numFmtId="164" fontId="59" fillId="3" borderId="0" xfId="0" applyFont="true" applyBorder="true" applyAlignment="true" applyProtection="false">
      <alignment horizontal="left" vertical="center" textRotation="0" wrapText="false" indent="0" shrinkToFit="false"/>
      <protection locked="true" hidden="false"/>
    </xf>
    <xf numFmtId="164" fontId="16" fillId="5" borderId="4"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62" fillId="2" borderId="5" xfId="0" applyFont="true" applyBorder="true" applyAlignment="true" applyProtection="false">
      <alignment horizontal="center" vertical="center" textRotation="0" wrapText="false" indent="0" shrinkToFit="false"/>
      <protection locked="true" hidden="false"/>
    </xf>
    <xf numFmtId="164" fontId="58" fillId="0" borderId="6"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BIZ UDPゴシック"/>
        <charset val="1"/>
        <family val="0"/>
        <b val="1"/>
        <color rgb="FFD14343"/>
        <sz val="9"/>
      </font>
    </dxf>
    <dxf>
      <font>
        <name val="BIZ UDPゴシック"/>
        <charset val="1"/>
        <family val="0"/>
        <b val="1"/>
        <color rgb="FFD14343"/>
      </font>
    </dxf>
    <dxf>
      <font>
        <name val="BIZ UDPゴシック"/>
        <charset val="1"/>
        <family val="0"/>
        <b val="1"/>
        <color rgb="FF3B6FD4"/>
      </font>
    </dxf>
    <dxf>
      <font>
        <name val="BIZ UDPゴシック"/>
        <charset val="1"/>
        <family val="0"/>
        <b val="1"/>
        <color rgb="FFD14343"/>
      </font>
      <fill>
        <patternFill>
          <bgColor rgb="FFFDECEC"/>
        </patternFill>
      </fill>
    </dxf>
    <dxf>
      <font>
        <name val="BIZ UDPゴシック"/>
        <charset val="1"/>
        <family val="0"/>
        <color rgb="FF2E9E5B"/>
        <sz val="8"/>
      </font>
    </dxf>
    <dxf>
      <font>
        <name val="BIZ UDPゴシック"/>
        <charset val="1"/>
        <family val="0"/>
        <b val="1"/>
        <color rgb="FFD14343"/>
        <sz val="8"/>
      </font>
    </dxf>
  </dxfs>
  <colors>
    <indexedColors>
      <rgbColor rgb="FF000000"/>
      <rgbColor rgb="FFFFFFFF"/>
      <rgbColor rgb="FFFF0000"/>
      <rgbColor rgb="FF00FF00"/>
      <rgbColor rgb="FF0000FF"/>
      <rgbColor rgb="FFF7F8FA"/>
      <rgbColor rgb="FFFF00FF"/>
      <rgbColor rgb="FF00FFFF"/>
      <rgbColor rgb="FF800000"/>
      <rgbColor rgb="FF008000"/>
      <rgbColor rgb="FF000080"/>
      <rgbColor rgb="FFC77E23"/>
      <rgbColor rgb="FF800080"/>
      <rgbColor rgb="FF1F9E92"/>
      <rgbColor rgb="FFB9C0CC"/>
      <rgbColor rgb="FF808080"/>
      <rgbColor rgb="FF9999FF"/>
      <rgbColor rgb="FFD14343"/>
      <rgbColor rgb="FFFFF4D6"/>
      <rgbColor rgb="FFDFF2F0"/>
      <rgbColor rgb="FF660066"/>
      <rgbColor rgb="FFFF8080"/>
      <rgbColor rgb="FF0066CC"/>
      <rgbColor rgb="FFDFE3EA"/>
      <rgbColor rgb="FF000080"/>
      <rgbColor rgb="FFFF00FF"/>
      <rgbColor rgb="FFF8FAFC"/>
      <rgbColor rgb="FF00FFFF"/>
      <rgbColor rgb="FF800080"/>
      <rgbColor rgb="FF800000"/>
      <rgbColor rgb="FF008080"/>
      <rgbColor rgb="FF0000FF"/>
      <rgbColor rgb="FF00CCFF"/>
      <rgbColor rgb="FFE9EDF5"/>
      <rgbColor rgb="FFF2F4F7"/>
      <rgbColor rgb="FFFDF0DA"/>
      <rgbColor rgb="FFFCE7E2"/>
      <rgbColor rgb="FFFDECEC"/>
      <rgbColor rgb="FFFFF1EE"/>
      <rgbColor rgb="FFF0D48A"/>
      <rgbColor rgb="FF3B6FD4"/>
      <rgbColor rgb="FF33CCCC"/>
      <rgbColor rgb="FF99CC00"/>
      <rgbColor rgb="FFFFCC00"/>
      <rgbColor rgb="FFE9A13B"/>
      <rgbColor rgb="FFE8604C"/>
      <rgbColor rgb="FF5B6472"/>
      <rgbColor rgb="FF8A93A3"/>
      <rgbColor rgb="FF003366"/>
      <rgbColor rgb="FF2E9E5B"/>
      <rgbColor rgb="FF003300"/>
      <rgbColor rgb="FF333300"/>
      <rgbColor rgb="FF993300"/>
      <rgbColor rgb="FF993366"/>
      <rgbColor rgb="FF2E3A59"/>
      <rgbColor rgb="FF333B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3A59"/>
    <pageSetUpPr fitToPage="true"/>
  </sheetPr>
  <dimension ref="A1:J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10" min="3" style="0" width="13"/>
  </cols>
  <sheetData>
    <row r="1" customFormat="false" ht="37.5" hidden="false" customHeight="true" outlineLevel="0" collapsed="false">
      <c r="A1" s="1" t="s">
        <v>0</v>
      </c>
      <c r="B1" s="1"/>
      <c r="C1" s="1"/>
      <c r="D1" s="1"/>
      <c r="E1" s="1"/>
      <c r="F1" s="1"/>
      <c r="G1" s="1"/>
      <c r="H1" s="1"/>
      <c r="I1" s="1"/>
      <c r="J1" s="1"/>
    </row>
    <row r="2" customFormat="false" ht="19.5" hidden="false" customHeight="true" outlineLevel="0" collapsed="false">
      <c r="B2" s="2" t="s">
        <v>1</v>
      </c>
      <c r="C2" s="2"/>
      <c r="D2" s="2"/>
      <c r="E2" s="2"/>
      <c r="F2" s="2"/>
      <c r="G2" s="2"/>
      <c r="H2" s="2"/>
      <c r="I2" s="2"/>
      <c r="J2" s="2"/>
    </row>
    <row r="4" customFormat="false" ht="21.75" hidden="false" customHeight="true" outlineLevel="0" collapsed="false">
      <c r="B4" s="3" t="s">
        <v>2</v>
      </c>
      <c r="C4" s="3"/>
      <c r="D4" s="3"/>
    </row>
    <row r="6" customFormat="false" ht="24" hidden="false" customHeight="true" outlineLevel="0" collapsed="false">
      <c r="B6" s="4" t="s">
        <v>3</v>
      </c>
      <c r="C6" s="5" t="s">
        <v>4</v>
      </c>
      <c r="D6" s="5"/>
      <c r="E6" s="5"/>
      <c r="F6" s="5"/>
      <c r="G6" s="5"/>
      <c r="H6" s="5"/>
      <c r="I6" s="5"/>
      <c r="J6" s="5"/>
    </row>
    <row r="7" customFormat="false" ht="19.5" hidden="false" customHeight="true" outlineLevel="0" collapsed="false">
      <c r="B7" s="4"/>
      <c r="C7" s="6" t="s">
        <v>5</v>
      </c>
      <c r="D7" s="6"/>
      <c r="E7" s="6"/>
      <c r="F7" s="6"/>
      <c r="G7" s="6"/>
      <c r="H7" s="6"/>
      <c r="I7" s="6"/>
      <c r="J7" s="6"/>
    </row>
    <row r="9" customFormat="false" ht="24" hidden="false" customHeight="true" outlineLevel="0" collapsed="false">
      <c r="B9" s="7" t="s">
        <v>6</v>
      </c>
      <c r="C9" s="5" t="s">
        <v>7</v>
      </c>
      <c r="D9" s="5"/>
      <c r="E9" s="5"/>
      <c r="F9" s="5"/>
      <c r="G9" s="5"/>
      <c r="H9" s="5"/>
      <c r="I9" s="5"/>
      <c r="J9" s="5"/>
    </row>
    <row r="10" customFormat="false" ht="19.5" hidden="false" customHeight="true" outlineLevel="0" collapsed="false">
      <c r="B10" s="7"/>
      <c r="C10" s="6" t="s">
        <v>8</v>
      </c>
      <c r="D10" s="6"/>
      <c r="E10" s="6"/>
      <c r="F10" s="6"/>
      <c r="G10" s="6"/>
      <c r="H10" s="6"/>
      <c r="I10" s="6"/>
      <c r="J10" s="6"/>
    </row>
    <row r="12" customFormat="false" ht="24" hidden="false" customHeight="true" outlineLevel="0" collapsed="false">
      <c r="B12" s="8" t="s">
        <v>9</v>
      </c>
      <c r="C12" s="5" t="s">
        <v>10</v>
      </c>
      <c r="D12" s="5"/>
      <c r="E12" s="5"/>
      <c r="F12" s="5"/>
      <c r="G12" s="5"/>
      <c r="H12" s="5"/>
      <c r="I12" s="5"/>
      <c r="J12" s="5"/>
    </row>
    <row r="13" customFormat="false" ht="19.5" hidden="false" customHeight="true" outlineLevel="0" collapsed="false">
      <c r="B13" s="8"/>
      <c r="C13" s="6" t="s">
        <v>11</v>
      </c>
      <c r="D13" s="6"/>
      <c r="E13" s="6"/>
      <c r="F13" s="6"/>
      <c r="G13" s="6"/>
      <c r="H13" s="6"/>
      <c r="I13" s="6"/>
      <c r="J13" s="6"/>
    </row>
    <row r="16" customFormat="false" ht="21.75" hidden="false" customHeight="true" outlineLevel="0" collapsed="false">
      <c r="B16" s="3" t="s">
        <v>12</v>
      </c>
      <c r="C16" s="3"/>
      <c r="D16" s="3"/>
    </row>
    <row r="17" customFormat="false" ht="19.5" hidden="false" customHeight="true" outlineLevel="0" collapsed="false">
      <c r="C17" s="9" t="s">
        <v>13</v>
      </c>
      <c r="D17" s="9"/>
      <c r="F17" s="10" t="s">
        <v>14</v>
      </c>
      <c r="G17" s="10"/>
    </row>
    <row r="19" customFormat="false" ht="21.75" hidden="false" customHeight="true" outlineLevel="0" collapsed="false">
      <c r="B19" s="3" t="s">
        <v>15</v>
      </c>
      <c r="C19" s="3"/>
      <c r="D19" s="3"/>
    </row>
    <row r="20" customFormat="false" ht="15" hidden="false" customHeight="false" outlineLevel="0" collapsed="false">
      <c r="C20" s="11" t="s">
        <v>16</v>
      </c>
      <c r="D20" s="11"/>
      <c r="E20" s="11"/>
      <c r="F20" s="11"/>
      <c r="G20" s="11"/>
      <c r="H20" s="11"/>
      <c r="I20" s="11"/>
      <c r="J20" s="11"/>
    </row>
    <row r="21" customFormat="false" ht="15" hidden="false" customHeight="false" outlineLevel="0" collapsed="false">
      <c r="C21" s="11" t="s">
        <v>17</v>
      </c>
      <c r="D21" s="11"/>
      <c r="E21" s="11"/>
      <c r="F21" s="11"/>
      <c r="G21" s="11"/>
      <c r="H21" s="11"/>
      <c r="I21" s="11"/>
      <c r="J21" s="11"/>
    </row>
    <row r="23" customFormat="false" ht="21.75" hidden="false" customHeight="true" outlineLevel="0" collapsed="false">
      <c r="B23" s="3" t="s">
        <v>18</v>
      </c>
      <c r="C23" s="3"/>
      <c r="D23" s="3"/>
    </row>
    <row r="24" customFormat="false" ht="18" hidden="false" customHeight="true" outlineLevel="0" collapsed="false">
      <c r="C24" s="12" t="s">
        <v>19</v>
      </c>
      <c r="D24" s="12"/>
      <c r="E24" s="12"/>
      <c r="F24" s="12"/>
      <c r="G24" s="12"/>
      <c r="H24" s="12"/>
      <c r="I24" s="12"/>
      <c r="J24" s="12"/>
    </row>
    <row r="25" customFormat="false" ht="18" hidden="false" customHeight="true" outlineLevel="0" collapsed="false">
      <c r="C25" s="12" t="s">
        <v>20</v>
      </c>
      <c r="D25" s="12"/>
      <c r="E25" s="12"/>
      <c r="F25" s="12"/>
      <c r="G25" s="12"/>
      <c r="H25" s="12"/>
      <c r="I25" s="12"/>
      <c r="J25" s="12"/>
    </row>
    <row r="26" customFormat="false" ht="18" hidden="false" customHeight="true" outlineLevel="0" collapsed="false">
      <c r="C26" s="12" t="s">
        <v>21</v>
      </c>
      <c r="D26" s="12"/>
      <c r="E26" s="12"/>
      <c r="F26" s="12"/>
      <c r="G26" s="12"/>
      <c r="H26" s="12"/>
      <c r="I26" s="12"/>
      <c r="J26" s="12"/>
    </row>
    <row r="27" customFormat="false" ht="18" hidden="false" customHeight="true" outlineLevel="0" collapsed="false">
      <c r="C27" s="12" t="s">
        <v>22</v>
      </c>
      <c r="D27" s="12"/>
      <c r="E27" s="12"/>
      <c r="F27" s="12"/>
      <c r="G27" s="12"/>
      <c r="H27" s="12"/>
      <c r="I27" s="12"/>
      <c r="J27" s="12"/>
    </row>
    <row r="28" customFormat="false" ht="18" hidden="false" customHeight="true" outlineLevel="0" collapsed="false">
      <c r="C28" s="12" t="s">
        <v>23</v>
      </c>
      <c r="D28" s="12"/>
      <c r="E28" s="12"/>
      <c r="F28" s="12"/>
      <c r="G28" s="12"/>
      <c r="H28" s="12"/>
      <c r="I28" s="12"/>
      <c r="J28" s="12"/>
    </row>
    <row r="29" customFormat="false" ht="18" hidden="false" customHeight="true" outlineLevel="0" collapsed="false">
      <c r="C29" s="12" t="s">
        <v>24</v>
      </c>
      <c r="D29" s="12"/>
      <c r="E29" s="12"/>
      <c r="F29" s="12"/>
      <c r="G29" s="12"/>
      <c r="H29" s="12"/>
      <c r="I29" s="12"/>
      <c r="J29" s="12"/>
    </row>
    <row r="30" customFormat="false" ht="18" hidden="false" customHeight="true" outlineLevel="0" collapsed="false">
      <c r="C30" s="12" t="s">
        <v>25</v>
      </c>
      <c r="D30" s="12"/>
      <c r="E30" s="12"/>
      <c r="F30" s="12"/>
      <c r="G30" s="12"/>
      <c r="H30" s="12"/>
      <c r="I30" s="12"/>
      <c r="J30" s="12"/>
    </row>
    <row r="31" customFormat="false" ht="18" hidden="false" customHeight="true" outlineLevel="0" collapsed="false">
      <c r="C31" s="12" t="s">
        <v>26</v>
      </c>
      <c r="D31" s="12"/>
      <c r="E31" s="12"/>
      <c r="F31" s="12"/>
      <c r="G31" s="12"/>
      <c r="H31" s="12"/>
      <c r="I31" s="12"/>
      <c r="J31" s="12"/>
    </row>
    <row r="32" customFormat="false" ht="18" hidden="false" customHeight="true" outlineLevel="0" collapsed="false">
      <c r="C32" s="12" t="s">
        <v>27</v>
      </c>
      <c r="D32" s="12"/>
      <c r="E32" s="12"/>
      <c r="F32" s="12"/>
      <c r="G32" s="12"/>
      <c r="H32" s="12"/>
      <c r="I32" s="12"/>
      <c r="J32" s="12"/>
    </row>
    <row r="33" customFormat="false" ht="18" hidden="false" customHeight="true" outlineLevel="0" collapsed="false">
      <c r="C33" s="12" t="s">
        <v>28</v>
      </c>
      <c r="D33" s="12"/>
      <c r="E33" s="12"/>
      <c r="F33" s="12"/>
      <c r="G33" s="12"/>
      <c r="H33" s="12"/>
      <c r="I33" s="12"/>
      <c r="J33" s="12"/>
    </row>
    <row r="35" customFormat="false" ht="15" hidden="false" customHeight="false" outlineLevel="0" collapsed="false">
      <c r="C35" s="13" t="s">
        <v>29</v>
      </c>
      <c r="D35" s="13"/>
      <c r="E35" s="13"/>
      <c r="F35" s="13"/>
      <c r="G35" s="13"/>
      <c r="H35" s="13"/>
      <c r="I35" s="13"/>
      <c r="J35" s="13"/>
    </row>
  </sheetData>
  <mergeCells count="30">
    <mergeCell ref="A1:J1"/>
    <mergeCell ref="B2:J2"/>
    <mergeCell ref="B4:D4"/>
    <mergeCell ref="B6:B7"/>
    <mergeCell ref="C6:J6"/>
    <mergeCell ref="C7:J7"/>
    <mergeCell ref="B9:B10"/>
    <mergeCell ref="C9:J9"/>
    <mergeCell ref="C10:J10"/>
    <mergeCell ref="B12:B13"/>
    <mergeCell ref="C12:J12"/>
    <mergeCell ref="C13:J13"/>
    <mergeCell ref="B16:D16"/>
    <mergeCell ref="C17:D17"/>
    <mergeCell ref="F17:G17"/>
    <mergeCell ref="B19:D19"/>
    <mergeCell ref="C20:J20"/>
    <mergeCell ref="C21:J21"/>
    <mergeCell ref="B23:D23"/>
    <mergeCell ref="C24:J24"/>
    <mergeCell ref="C25:J25"/>
    <mergeCell ref="C26:J26"/>
    <mergeCell ref="C27:J27"/>
    <mergeCell ref="C28:J28"/>
    <mergeCell ref="C29:J29"/>
    <mergeCell ref="C30:J30"/>
    <mergeCell ref="C31:J31"/>
    <mergeCell ref="C32:J32"/>
    <mergeCell ref="C33:J33"/>
    <mergeCell ref="C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604C"/>
    <pageSetUpPr fitToPage="true"/>
  </sheetPr>
  <dimension ref="B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3" min="3" style="0" width="32"/>
    <col collapsed="false" customWidth="true" hidden="false" outlineLevel="0" max="4" min="4" style="0" width="22"/>
    <col collapsed="false" customWidth="true" hidden="false" outlineLevel="0" max="5" min="5" style="0" width="11"/>
    <col collapsed="false" customWidth="true" hidden="false" outlineLevel="0" max="6" min="6" style="0" width="16"/>
    <col collapsed="false" customWidth="true" hidden="false" outlineLevel="0" max="7" min="7" style="0" width="13"/>
    <col collapsed="false" customWidth="true" hidden="false" outlineLevel="0" max="8" min="8" style="0" width="8"/>
    <col collapsed="false" customWidth="true" hidden="false" outlineLevel="0" max="9" min="9" style="0" width="24"/>
    <col collapsed="false" customWidth="true" hidden="false" outlineLevel="0" max="10" min="10" style="0" width="9"/>
    <col collapsed="false" customWidth="true" hidden="false" outlineLevel="0" max="11" min="11" style="0" width="2.5"/>
    <col collapsed="false" customWidth="true" hidden="false" outlineLevel="0" max="12" min="12" style="0" width="12"/>
    <col collapsed="false" customWidth="true" hidden="false" outlineLevel="0" max="13" min="13" style="0" width="10"/>
  </cols>
  <sheetData>
    <row r="1" customFormat="false" ht="33.75" hidden="false" customHeight="true" outlineLevel="0" collapsed="false">
      <c r="B1" s="1" t="s">
        <v>30</v>
      </c>
      <c r="C1" s="1"/>
      <c r="D1" s="1"/>
      <c r="E1" s="1"/>
      <c r="F1" s="1"/>
      <c r="G1" s="1"/>
      <c r="H1" s="1"/>
    </row>
    <row r="2" customFormat="false" ht="18" hidden="false" customHeight="true" outlineLevel="0" collapsed="false">
      <c r="B2" s="6" t="s">
        <v>31</v>
      </c>
      <c r="C2" s="6"/>
      <c r="D2" s="6"/>
      <c r="E2" s="6"/>
      <c r="F2" s="6"/>
      <c r="G2" s="6"/>
      <c r="H2" s="6"/>
    </row>
    <row r="3" customFormat="false" ht="6" hidden="false" customHeight="true" outlineLevel="0" collapsed="false">
      <c r="I3" s="14" t="s">
        <v>32</v>
      </c>
      <c r="J3" s="14"/>
      <c r="L3" s="15" t="s">
        <v>33</v>
      </c>
      <c r="M3" s="15"/>
    </row>
    <row r="4" customFormat="false" ht="24" hidden="false" customHeight="true" outlineLevel="0" collapsed="false">
      <c r="B4" s="16" t="s">
        <v>34</v>
      </c>
      <c r="C4" s="16"/>
      <c r="D4" s="17" t="s">
        <v>35</v>
      </c>
      <c r="E4" s="18" t="str">
        <f aca="false">IF($M$4=2,"参照: "&amp;IF(期間データ!$C$8="","—",TEXT(期間データ!$C$8,"m/d"))&amp;"〜"&amp;IF(期間データ!$I$8="","—",TEXT(期間データ!$I$8,"m/d"))&amp;"（期間B 金〜木）","参照: "&amp;IF(期間データ!$C$4="","—",TEXT(期間データ!$C$4,"m/d"))&amp;"〜"&amp;IF(期間データ!$E$4="","—",TEXT(期間データ!$E$4,"m/d"))&amp;"（期間A 金土日）")&amp;"｜動員合計 "&amp;TEXT($M$5,"#,##0")&amp;"人"</f>
        <v>参照: —〜—（期間A 金土日）｜動員合計 0人</v>
      </c>
      <c r="F4" s="18"/>
      <c r="G4" s="18"/>
      <c r="H4" s="18"/>
      <c r="I4" s="19" t="s">
        <v>36</v>
      </c>
      <c r="J4" s="20" t="n">
        <v>0.8</v>
      </c>
      <c r="L4" s="21" t="s">
        <v>37</v>
      </c>
      <c r="M4" s="22" t="n">
        <f aca="false">IF(TRIM($D$4)="期間B（金〜木）",2,IF(TRIM($D$4)="期間A（金土日）",1,0))</f>
        <v>1</v>
      </c>
    </row>
    <row r="5" customFormat="false" ht="24" hidden="false" customHeight="true" outlineLevel="0" collapsed="false">
      <c r="B5" s="16" t="s">
        <v>38</v>
      </c>
      <c r="C5" s="16"/>
      <c r="D5" s="23"/>
      <c r="E5" s="6" t="s">
        <v>39</v>
      </c>
      <c r="F5" s="6"/>
      <c r="G5" s="6"/>
      <c r="H5" s="6"/>
      <c r="I5" s="19" t="s">
        <v>40</v>
      </c>
      <c r="J5" s="20" t="n">
        <v>1.2</v>
      </c>
      <c r="L5" s="21" t="s">
        <v>41</v>
      </c>
      <c r="M5" s="22" t="n">
        <f aca="false">IF($M$4=2,SUM(期間データ!$C$10:$I$10),SUM(期間データ!$C$6:$E$6))</f>
        <v>0</v>
      </c>
    </row>
    <row r="6" customFormat="false" ht="24" hidden="false" customHeight="true" outlineLevel="0" collapsed="false">
      <c r="B6" s="16" t="s">
        <v>42</v>
      </c>
      <c r="C6" s="16"/>
      <c r="D6" s="17" t="s">
        <v>43</v>
      </c>
      <c r="E6" s="6" t="str">
        <f aca="false">"→ 時間帯係数 ×"&amp;TEXT($M$7*100,"0")&amp;"%（右上の表で名前・係数を編集できます）"</f>
        <v>→ 時間帯係数 ×100%（右上の表で名前・係数を編集できます）</v>
      </c>
      <c r="F6" s="6"/>
      <c r="G6" s="6"/>
      <c r="H6" s="6"/>
      <c r="I6" s="19" t="s">
        <v>44</v>
      </c>
      <c r="J6" s="20" t="n">
        <v>1.1</v>
      </c>
      <c r="L6" s="21" t="s">
        <v>45</v>
      </c>
      <c r="M6" s="22" t="n">
        <f aca="false">IF($M$4=2,SUM(期間データ!$C$6:$E$6),SUM(期間データ!$C$10:$I$10))</f>
        <v>0</v>
      </c>
    </row>
    <row r="7" customFormat="false" ht="24" hidden="false" customHeight="true" outlineLevel="0" collapsed="false">
      <c r="B7" s="16" t="s">
        <v>46</v>
      </c>
      <c r="C7" s="16"/>
      <c r="D7" s="24" t="n">
        <v>1</v>
      </c>
      <c r="E7" s="25" t="str">
        <f aca="false">"→ 合計適用倍率 ×"&amp;TEXT($M$7*IF(ISNUMBER($D$7),$D$7,1)*100,"0")&amp;"%（時間帯係数 × 調整倍率）"</f>
        <v>→ 合計適用倍率 ×100%（時間帯係数 × 調整倍率）</v>
      </c>
      <c r="F7" s="25"/>
      <c r="G7" s="25"/>
      <c r="H7" s="25"/>
      <c r="I7" s="19" t="s">
        <v>47</v>
      </c>
      <c r="J7" s="20" t="n">
        <v>1.3</v>
      </c>
      <c r="L7" s="21" t="s">
        <v>48</v>
      </c>
      <c r="M7" s="22" t="n">
        <f aca="false">IFERROR(INDEX($J$4:$J$10,MATCH($D$6,$I$4:$I$10,0)),1)</f>
        <v>1</v>
      </c>
    </row>
    <row r="8" customFormat="false" ht="18" hidden="false" customHeight="true" outlineLevel="0" collapsed="false">
      <c r="B8" s="26" t="str">
        <f aca="false">TRIM(IF($M$4=0,"⚠ 参照期間の選択が不正です（現在は期間A扱い）。リストから選び直してください。","")&amp;" "&amp;IF(IF($M$4=2,CSV貼付B!$N$5,CSV貼付A!$N$5)="","⚠ 選択した期間のCSVが未貼付です（CSV貼付"&amp;IF($M$4=2,"B","A")&amp;"シート）。","")&amp;" "&amp;IF(ISNUMBER(SEARCH("⚠",IF($M$4=2,期間データ!$B$11,期間データ!$G$4))),"⚠ 選択した期間のCSVに問題があります（期間データシートの表示を確認）。","")&amp;" "&amp;IF(IF($M$4=2,COUNT(期間データ!$C$10:$I$10)&lt;7,COUNT(期間データ!$C$6:$E$6)&lt;3),"⚠ 選択した期間の動員数がそろっていません。","")&amp;" "&amp;IF(AND(IF($M$4=2,COUNT(期間データ!$C$10:$I$10)=7,COUNT(期間データ!$C$6:$E$6)=3),$M$5&lt;=0),"⚠ 参照期間の動員数合計が0です（期間データシートを確認）。","")&amp;" "&amp;IF(SUMPRODUCT((期間データ!$B$14:$B$33&lt;&gt;"")*(COUNTIF(期間データ!$B$14:$B$33,期間データ!$B$14:$B$33)&gt;1))&gt;0,"⚠ 商品名が重複しています（集計が二重になります）。","")&amp;" "&amp;IF(AND(IF($M$4=2,CSV貼付B!$N$5,CSV貼付A!$N$5)&lt;&gt;"",SUMPRODUCT((期間データ!$B$14:$B$33&lt;&gt;"")*(IF($M$4=2,COUNTIF(CSV貼付B!$N$5:$N$1004,期間データ!$B$14:$B$33),COUNTIF(CSV貼付A!$N$5:$N$1004,期間データ!$B$14:$B$33))=0))&gt;0),"⚠ 参照期間のCSVに無い商品名があります（別期間のみの商品か、表記を確認。期間販売数0扱い）。","")&amp;" "&amp;IF(COUNTIF($D$11:$D$30,"&lt;0")&gt;0,"⚠ 期間販売数がマイナスの商品があります（返品超過）。作る数は0扱いです。","")&amp;" "&amp;IF(AND($D$6&lt;&gt;"",ISNA(MATCH($D$6,$I$4:$I$10,0))),"⚠ 時間帯プリセット名が表にありません（係数100%扱い）。","")&amp;" "&amp;IF(OR($D$5="",$D$5=0,NOT(ISNUMBER($D$5))),"⚠ ピーク動員数が未入力か数値ではありません。","")&amp;" "&amp;IF($M$7=0,"⚠ 時間帯係数が0です。","")&amp;" "&amp;IF(AND($D$7&lt;&gt;"",NOT(ISNUMBER($D$7))),"⚠ 調整倍率が数値ではありません（1倍扱いで計算します）。","")&amp;" "&amp;IF(AND($D$7&lt;&gt;"",ISNUMBER($D$7),$D$7=0),"⚠ 調整倍率が0です。","")&amp;" "&amp;IF(AND($M$7*IF(ISNUMBER($D$7),$D$7,1)&gt;0,OR($M$7*IF(ISNUMBER($D$7),$D$7,1)&lt;0.5,$M$7*IF(ISNUMBER($D$7),$D$7,1)&gt;5)),"⚠ 合計適用倍率が×50%〜×500%の範囲外です。係数・調整倍率の入力を確認してください。",""))</f>
        <v>⚠ 選択した期間のCSVが未貼付です（CSV貼付Aシート）。 ⚠ 選択した期間の動員数がそろっていません。 ⚠ ピーク動員数が未入力か数値ではありません。</v>
      </c>
      <c r="C8" s="26"/>
      <c r="D8" s="26"/>
      <c r="E8" s="26"/>
      <c r="F8" s="26"/>
      <c r="G8" s="26"/>
      <c r="H8" s="26"/>
      <c r="I8" s="19" t="s">
        <v>49</v>
      </c>
      <c r="J8" s="20" t="n">
        <v>0.9</v>
      </c>
    </row>
    <row r="9" customFormat="false" ht="18" hidden="false" customHeight="true" outlineLevel="0" collapsed="false">
      <c r="I9" s="19" t="s">
        <v>43</v>
      </c>
      <c r="J9" s="20" t="n">
        <v>1</v>
      </c>
    </row>
    <row r="10" customFormat="false" ht="33.75" hidden="false" customHeight="true" outlineLevel="0" collapsed="false">
      <c r="B10" s="27" t="s">
        <v>50</v>
      </c>
      <c r="C10" s="28" t="s">
        <v>51</v>
      </c>
      <c r="D10" s="28" t="s">
        <v>52</v>
      </c>
      <c r="E10" s="28" t="s">
        <v>53</v>
      </c>
      <c r="F10" s="29" t="s">
        <v>54</v>
      </c>
      <c r="G10" s="28" t="s">
        <v>55</v>
      </c>
      <c r="I10" s="19"/>
      <c r="J10" s="20"/>
    </row>
    <row r="11" customFormat="false" ht="21" hidden="false" customHeight="true" outlineLevel="0" collapsed="false">
      <c r="B11" s="30" t="n">
        <v>1</v>
      </c>
      <c r="C11" s="31" t="str">
        <f aca="false">IF(期間データ!B14="","",期間データ!B14)</f>
        <v>ハーフ＆ハーフ（塩／キャラメル）</v>
      </c>
      <c r="D11" s="32" t="n">
        <f aca="false">IF($C11="","",IF($M$4=2,期間データ!D14,期間データ!C14))</f>
        <v>0</v>
      </c>
      <c r="E11" s="33" t="str">
        <f aca="false">IF($C11="","",IF($M$5&lt;=0,"要確認",D11/$M$5))</f>
        <v>要確認</v>
      </c>
      <c r="F11" s="34" t="str">
        <f aca="false">IF(OR($C11="",NOT(ISNUMBER($D$5))),"",IF(ISNUMBER($E11),MAX(0,ROUNDUP($D$5*$E11*$M$7*IF(ISNUMBER($D$7),$D$7,1),0)),"—"))</f>
        <v/>
      </c>
      <c r="G11" s="35" t="str">
        <f aca="false">IF($C11="","",IF(ISNUMBER(SEARCH("⚠",IF($M$4=2,期間データ!$G$4,期間データ!$B$11))),"要確認",IF($M$6&lt;=0,"－",IF($M$4=2,期間データ!C14,期間データ!D14)/$M$6)))</f>
        <v>－</v>
      </c>
    </row>
    <row r="12" customFormat="false" ht="21" hidden="false" customHeight="true" outlineLevel="0" collapsed="false">
      <c r="B12" s="36" t="n">
        <v>2</v>
      </c>
      <c r="C12" s="37" t="str">
        <f aca="false">IF(期間データ!B15="","",期間データ!B15)</f>
        <v>ポップコーン　キャラメルＭ</v>
      </c>
      <c r="D12" s="38" t="n">
        <f aca="false">IF($C12="","",IF($M$4=2,期間データ!D15,期間データ!C15))</f>
        <v>0</v>
      </c>
      <c r="E12" s="39" t="str">
        <f aca="false">IF($C12="","",IF($M$5&lt;=0,"要確認",D12/$M$5))</f>
        <v>要確認</v>
      </c>
      <c r="F12" s="34" t="str">
        <f aca="false">IF(OR($C12="",NOT(ISNUMBER($D$5))),"",IF(ISNUMBER($E12),MAX(0,ROUNDUP($D$5*$E12*$M$7*IF(ISNUMBER($D$7),$D$7,1),0)),"—"))</f>
        <v/>
      </c>
      <c r="G12" s="40" t="str">
        <f aca="false">IF($C12="","",IF(ISNUMBER(SEARCH("⚠",IF($M$4=2,期間データ!$G$4,期間データ!$B$11))),"要確認",IF($M$6&lt;=0,"－",IF($M$4=2,期間データ!C15,期間データ!D15)/$M$6)))</f>
        <v>－</v>
      </c>
    </row>
    <row r="13" customFormat="false" ht="21" hidden="false" customHeight="true" outlineLevel="0" collapsed="false">
      <c r="B13" s="30" t="n">
        <v>3</v>
      </c>
      <c r="C13" s="31" t="str">
        <f aca="false">IF(期間データ!B16="","",期間データ!B16)</f>
        <v>ポップコーン　塩Ｍ</v>
      </c>
      <c r="D13" s="32" t="n">
        <f aca="false">IF($C13="","",IF($M$4=2,期間データ!D16,期間データ!C16))</f>
        <v>0</v>
      </c>
      <c r="E13" s="33" t="str">
        <f aca="false">IF($C13="","",IF($M$5&lt;=0,"要確認",D13/$M$5))</f>
        <v>要確認</v>
      </c>
      <c r="F13" s="34" t="str">
        <f aca="false">IF(OR($C13="",NOT(ISNUMBER($D$5))),"",IF(ISNUMBER($E13),MAX(0,ROUNDUP($D$5*$E13*$M$7*IF(ISNUMBER($D$7),$D$7,1),0)),"—"))</f>
        <v/>
      </c>
      <c r="G13" s="35" t="str">
        <f aca="false">IF($C13="","",IF(ISNUMBER(SEARCH("⚠",IF($M$4=2,期間データ!$G$4,期間データ!$B$11))),"要確認",IF($M$6&lt;=0,"－",IF($M$4=2,期間データ!C16,期間データ!D16)/$M$6)))</f>
        <v>－</v>
      </c>
    </row>
    <row r="14" customFormat="false" ht="21" hidden="false" customHeight="true" outlineLevel="0" collapsed="false">
      <c r="B14" s="36" t="n">
        <v>4</v>
      </c>
      <c r="C14" s="37" t="str">
        <f aca="false">IF(期間データ!B17="","",期間データ!B17)</f>
        <v>ポップコーン　キャラメルＳ</v>
      </c>
      <c r="D14" s="38" t="n">
        <f aca="false">IF($C14="","",IF($M$4=2,期間データ!D17,期間データ!C17))</f>
        <v>0</v>
      </c>
      <c r="E14" s="39" t="str">
        <f aca="false">IF($C14="","",IF($M$5&lt;=0,"要確認",D14/$M$5))</f>
        <v>要確認</v>
      </c>
      <c r="F14" s="34" t="str">
        <f aca="false">IF(OR($C14="",NOT(ISNUMBER($D$5))),"",IF(ISNUMBER($E14),MAX(0,ROUNDUP($D$5*$E14*$M$7*IF(ISNUMBER($D$7),$D$7,1),0)),"—"))</f>
        <v/>
      </c>
      <c r="G14" s="40" t="str">
        <f aca="false">IF($C14="","",IF(ISNUMBER(SEARCH("⚠",IF($M$4=2,期間データ!$G$4,期間データ!$B$11))),"要確認",IF($M$6&lt;=0,"－",IF($M$4=2,期間データ!C17,期間データ!D17)/$M$6)))</f>
        <v>－</v>
      </c>
    </row>
    <row r="15" customFormat="false" ht="21" hidden="false" customHeight="true" outlineLevel="0" collapsed="false">
      <c r="B15" s="30" t="n">
        <v>5</v>
      </c>
      <c r="C15" s="31" t="str">
        <f aca="false">IF(期間データ!B18="","",期間データ!B18)</f>
        <v>ポップコーン　塩Ｓ</v>
      </c>
      <c r="D15" s="32" t="n">
        <f aca="false">IF($C15="","",IF($M$4=2,期間データ!D18,期間データ!C18))</f>
        <v>0</v>
      </c>
      <c r="E15" s="33" t="str">
        <f aca="false">IF($C15="","",IF($M$5&lt;=0,"要確認",D15/$M$5))</f>
        <v>要確認</v>
      </c>
      <c r="F15" s="34" t="str">
        <f aca="false">IF(OR($C15="",NOT(ISNUMBER($D$5))),"",IF(ISNUMBER($E15),MAX(0,ROUNDUP($D$5*$E15*$M$7*IF(ISNUMBER($D$7),$D$7,1),0)),"—"))</f>
        <v/>
      </c>
      <c r="G15" s="35" t="str">
        <f aca="false">IF($C15="","",IF(ISNUMBER(SEARCH("⚠",IF($M$4=2,期間データ!$G$4,期間データ!$B$11))),"要確認",IF($M$6&lt;=0,"－",IF($M$4=2,期間データ!C18,期間データ!D18)/$M$6)))</f>
        <v>－</v>
      </c>
    </row>
    <row r="16" customFormat="false" ht="21" hidden="false" customHeight="true" outlineLevel="0" collapsed="false">
      <c r="B16" s="36" t="n">
        <v>6</v>
      </c>
      <c r="C16" s="37" t="str">
        <f aca="false">IF(期間データ!B19="","",期間データ!B19)</f>
        <v>ポップコーン　キャラメルＬ</v>
      </c>
      <c r="D16" s="38" t="n">
        <f aca="false">IF($C16="","",IF($M$4=2,期間データ!D19,期間データ!C19))</f>
        <v>0</v>
      </c>
      <c r="E16" s="39" t="str">
        <f aca="false">IF($C16="","",IF($M$5&lt;=0,"要確認",D16/$M$5))</f>
        <v>要確認</v>
      </c>
      <c r="F16" s="34" t="str">
        <f aca="false">IF(OR($C16="",NOT(ISNUMBER($D$5))),"",IF(ISNUMBER($E16),MAX(0,ROUNDUP($D$5*$E16*$M$7*IF(ISNUMBER($D$7),$D$7,1),0)),"—"))</f>
        <v/>
      </c>
      <c r="G16" s="40" t="str">
        <f aca="false">IF($C16="","",IF(ISNUMBER(SEARCH("⚠",IF($M$4=2,期間データ!$G$4,期間データ!$B$11))),"要確認",IF($M$6&lt;=0,"－",IF($M$4=2,期間データ!C19,期間データ!D19)/$M$6)))</f>
        <v>－</v>
      </c>
    </row>
    <row r="17" customFormat="false" ht="21" hidden="false" customHeight="true" outlineLevel="0" collapsed="false">
      <c r="B17" s="30" t="n">
        <v>7</v>
      </c>
      <c r="C17" s="31" t="str">
        <f aca="false">IF(期間データ!B20="","",期間データ!B20)</f>
        <v>ポップコーン　塩Ｌ</v>
      </c>
      <c r="D17" s="32" t="n">
        <f aca="false">IF($C17="","",IF($M$4=2,期間データ!D20,期間データ!C20))</f>
        <v>0</v>
      </c>
      <c r="E17" s="33" t="str">
        <f aca="false">IF($C17="","",IF($M$5&lt;=0,"要確認",D17/$M$5))</f>
        <v>要確認</v>
      </c>
      <c r="F17" s="34" t="str">
        <f aca="false">IF(OR($C17="",NOT(ISNUMBER($D$5))),"",IF(ISNUMBER($E17),MAX(0,ROUNDUP($D$5*$E17*$M$7*IF(ISNUMBER($D$7),$D$7,1),0)),"—"))</f>
        <v/>
      </c>
      <c r="G17" s="35" t="str">
        <f aca="false">IF($C17="","",IF(ISNUMBER(SEARCH("⚠",IF($M$4=2,期間データ!$G$4,期間データ!$B$11))),"要確認",IF($M$6&lt;=0,"－",IF($M$4=2,期間データ!C20,期間データ!D20)/$M$6)))</f>
        <v>－</v>
      </c>
    </row>
    <row r="18" customFormat="false" ht="21" hidden="false" customHeight="true" outlineLevel="0" collapsed="false">
      <c r="B18" s="36" t="n">
        <v>8</v>
      </c>
      <c r="C18" s="37" t="str">
        <f aca="false">IF(期間データ!B21="","",期間データ!B21)</f>
        <v>北海道濃厚バターしょうゆ味</v>
      </c>
      <c r="D18" s="38" t="n">
        <f aca="false">IF($C18="","",IF($M$4=2,期間データ!D21,期間データ!C21))</f>
        <v>0</v>
      </c>
      <c r="E18" s="39" t="str">
        <f aca="false">IF($C18="","",IF($M$5&lt;=0,"要確認",D18/$M$5))</f>
        <v>要確認</v>
      </c>
      <c r="F18" s="34" t="str">
        <f aca="false">IF(OR($C18="",NOT(ISNUMBER($D$5))),"",IF(ISNUMBER($E18),MAX(0,ROUNDUP($D$5*$E18*$M$7*IF(ISNUMBER($D$7),$D$7,1),0)),"—"))</f>
        <v/>
      </c>
      <c r="G18" s="40" t="str">
        <f aca="false">IF($C18="","",IF(ISNUMBER(SEARCH("⚠",IF($M$4=2,期間データ!$G$4,期間データ!$B$11))),"要確認",IF($M$6&lt;=0,"－",IF($M$4=2,期間データ!C21,期間データ!D21)/$M$6)))</f>
        <v>－</v>
      </c>
    </row>
    <row r="19" customFormat="false" ht="21" hidden="false" customHeight="true" outlineLevel="0" collapsed="false">
      <c r="B19" s="30" t="n">
        <v>9</v>
      </c>
      <c r="C19" s="31" t="str">
        <f aca="false">IF(期間データ!B22="","",期間データ!B22)</f>
        <v>トリュフソルト＆バター味</v>
      </c>
      <c r="D19" s="32" t="n">
        <f aca="false">IF($C19="","",IF($M$4=2,期間データ!D22,期間データ!C22))</f>
        <v>0</v>
      </c>
      <c r="E19" s="33" t="str">
        <f aca="false">IF($C19="","",IF($M$5&lt;=0,"要確認",D19/$M$5))</f>
        <v>要確認</v>
      </c>
      <c r="F19" s="34" t="str">
        <f aca="false">IF(OR($C19="",NOT(ISNUMBER($D$5))),"",IF(ISNUMBER($E19),MAX(0,ROUNDUP($D$5*$E19*$M$7*IF(ISNUMBER($D$7),$D$7,1),0)),"—"))</f>
        <v/>
      </c>
      <c r="G19" s="35" t="str">
        <f aca="false">IF($C19="","",IF(ISNUMBER(SEARCH("⚠",IF($M$4=2,期間データ!$G$4,期間データ!$B$11))),"要確認",IF($M$6&lt;=0,"－",IF($M$4=2,期間データ!C22,期間データ!D22)/$M$6)))</f>
        <v>－</v>
      </c>
    </row>
    <row r="20" customFormat="false" ht="21" hidden="false" customHeight="true" outlineLevel="0" collapsed="false">
      <c r="B20" s="36" t="n">
        <v>10</v>
      </c>
      <c r="C20" s="37" t="str">
        <f aca="false">IF(期間データ!B23="","",期間データ!B23)</f>
        <v>シネマイク　ハッピーターン味</v>
      </c>
      <c r="D20" s="38" t="n">
        <f aca="false">IF($C20="","",IF($M$4=2,期間データ!D23,期間データ!C23))</f>
        <v>0</v>
      </c>
      <c r="E20" s="39" t="str">
        <f aca="false">IF($C20="","",IF($M$5&lt;=0,"要確認",D20/$M$5))</f>
        <v>要確認</v>
      </c>
      <c r="F20" s="34" t="str">
        <f aca="false">IF(OR($C20="",NOT(ISNUMBER($D$5))),"",IF(ISNUMBER($E20),MAX(0,ROUNDUP($D$5*$E20*$M$7*IF(ISNUMBER($D$7),$D$7,1),0)),"—"))</f>
        <v/>
      </c>
      <c r="G20" s="40" t="str">
        <f aca="false">IF($C20="","",IF(ISNUMBER(SEARCH("⚠",IF($M$4=2,期間データ!$G$4,期間データ!$B$11))),"要確認",IF($M$6&lt;=0,"－",IF($M$4=2,期間データ!C23,期間データ!D23)/$M$6)))</f>
        <v>－</v>
      </c>
    </row>
    <row r="21" customFormat="false" ht="21" hidden="false" customHeight="true" outlineLevel="0" collapsed="false">
      <c r="B21" s="30" t="n">
        <v>11</v>
      </c>
      <c r="C21" s="31" t="str">
        <f aca="false">IF(期間データ!B24="","",期間データ!B24)</f>
        <v>パーティーポップ　キャラメル</v>
      </c>
      <c r="D21" s="32" t="n">
        <f aca="false">IF($C21="","",IF($M$4=2,期間データ!D24,期間データ!C24))</f>
        <v>0</v>
      </c>
      <c r="E21" s="33" t="str">
        <f aca="false">IF($C21="","",IF($M$5&lt;=0,"要確認",D21/$M$5))</f>
        <v>要確認</v>
      </c>
      <c r="F21" s="34" t="str">
        <f aca="false">IF(OR($C21="",NOT(ISNUMBER($D$5))),"",IF(ISNUMBER($E21),MAX(0,ROUNDUP($D$5*$E21*$M$7*IF(ISNUMBER($D$7),$D$7,1),0)),"—"))</f>
        <v/>
      </c>
      <c r="G21" s="35" t="str">
        <f aca="false">IF($C21="","",IF(ISNUMBER(SEARCH("⚠",IF($M$4=2,期間データ!$G$4,期間データ!$B$11))),"要確認",IF($M$6&lt;=0,"－",IF($M$4=2,期間データ!C24,期間データ!D24)/$M$6)))</f>
        <v>－</v>
      </c>
    </row>
    <row r="22" customFormat="false" ht="21" hidden="false" customHeight="true" outlineLevel="0" collapsed="false">
      <c r="B22" s="36" t="n">
        <v>12</v>
      </c>
      <c r="C22" s="37" t="str">
        <f aca="false">IF(期間データ!B25="","",期間データ!B25)</f>
        <v>スパイシー！ポップチキン</v>
      </c>
      <c r="D22" s="38" t="n">
        <f aca="false">IF($C22="","",IF($M$4=2,期間データ!D25,期間データ!C25))</f>
        <v>0</v>
      </c>
      <c r="E22" s="39" t="str">
        <f aca="false">IF($C22="","",IF($M$5&lt;=0,"要確認",D22/$M$5))</f>
        <v>要確認</v>
      </c>
      <c r="F22" s="34" t="str">
        <f aca="false">IF(OR($C22="",NOT(ISNUMBER($D$5))),"",IF(ISNUMBER($E22),MAX(0,ROUNDUP($D$5*$E22*$M$7*IF(ISNUMBER($D$7),$D$7,1),0)),"—"))</f>
        <v/>
      </c>
      <c r="G22" s="40" t="str">
        <f aca="false">IF($C22="","",IF(ISNUMBER(SEARCH("⚠",IF($M$4=2,期間データ!$G$4,期間データ!$B$11))),"要確認",IF($M$6&lt;=0,"－",IF($M$4=2,期間データ!C25,期間データ!D25)/$M$6)))</f>
        <v>－</v>
      </c>
    </row>
    <row r="23" customFormat="false" ht="21" hidden="false" customHeight="true" outlineLevel="0" collapsed="false">
      <c r="B23" s="30" t="n">
        <v>13</v>
      </c>
      <c r="C23" s="31" t="str">
        <f aca="false">IF(期間データ!B26="","",期間データ!B26)</f>
        <v>スナックじゃがトリュフソルトバタ</v>
      </c>
      <c r="D23" s="32" t="n">
        <f aca="false">IF($C23="","",IF($M$4=2,期間データ!D26,期間データ!C26))</f>
        <v>0</v>
      </c>
      <c r="E23" s="33" t="str">
        <f aca="false">IF($C23="","",IF($M$5&lt;=0,"要確認",D23/$M$5))</f>
        <v>要確認</v>
      </c>
      <c r="F23" s="34" t="str">
        <f aca="false">IF(OR($C23="",NOT(ISNUMBER($D$5))),"",IF(ISNUMBER($E23),MAX(0,ROUNDUP($D$5*$E23*$M$7*IF(ISNUMBER($D$7),$D$7,1),0)),"—"))</f>
        <v/>
      </c>
      <c r="G23" s="35" t="str">
        <f aca="false">IF($C23="","",IF(ISNUMBER(SEARCH("⚠",IF($M$4=2,期間データ!$G$4,期間データ!$B$11))),"要確認",IF($M$6&lt;=0,"－",IF($M$4=2,期間データ!C26,期間データ!D26)/$M$6)))</f>
        <v>－</v>
      </c>
    </row>
    <row r="24" customFormat="false" ht="21" hidden="false" customHeight="true" outlineLevel="0" collapsed="false">
      <c r="B24" s="36" t="n">
        <v>14</v>
      </c>
      <c r="C24" s="37" t="str">
        <f aca="false">IF(期間データ!B27="","",期間データ!B27)</f>
        <v>スナックじゃが　シチリアハーブ</v>
      </c>
      <c r="D24" s="38" t="n">
        <f aca="false">IF($C24="","",IF($M$4=2,期間データ!D27,期間データ!C27))</f>
        <v>0</v>
      </c>
      <c r="E24" s="39" t="str">
        <f aca="false">IF($C24="","",IF($M$5&lt;=0,"要確認",D24/$M$5))</f>
        <v>要確認</v>
      </c>
      <c r="F24" s="34" t="str">
        <f aca="false">IF(OR($C24="",NOT(ISNUMBER($D$5))),"",IF(ISNUMBER($E24),MAX(0,ROUNDUP($D$5*$E24*$M$7*IF(ISNUMBER($D$7),$D$7,1),0)),"—"))</f>
        <v/>
      </c>
      <c r="G24" s="40" t="str">
        <f aca="false">IF($C24="","",IF(ISNUMBER(SEARCH("⚠",IF($M$4=2,期間データ!$G$4,期間データ!$B$11))),"要確認",IF($M$6&lt;=0,"－",IF($M$4=2,期間データ!C27,期間データ!D27)/$M$6)))</f>
        <v>－</v>
      </c>
    </row>
    <row r="25" customFormat="false" ht="21" hidden="false" customHeight="true" outlineLevel="0" collapsed="false">
      <c r="B25" s="30" t="n">
        <v>15</v>
      </c>
      <c r="C25" s="31" t="str">
        <f aca="false">IF(期間データ!B28="","",期間データ!B28)</f>
        <v>ケチャップ＆マスタード</v>
      </c>
      <c r="D25" s="32" t="n">
        <f aca="false">IF($C25="","",IF($M$4=2,期間データ!D28,期間データ!C28))</f>
        <v>0</v>
      </c>
      <c r="E25" s="33" t="str">
        <f aca="false">IF($C25="","",IF($M$5&lt;=0,"要確認",D25/$M$5))</f>
        <v>要確認</v>
      </c>
      <c r="F25" s="34" t="str">
        <f aca="false">IF(OR($C25="",NOT(ISNUMBER($D$5))),"",IF(ISNUMBER($E25),MAX(0,ROUNDUP($D$5*$E25*$M$7*IF(ISNUMBER($D$7),$D$7,1),0)),"—"))</f>
        <v/>
      </c>
      <c r="G25" s="35" t="str">
        <f aca="false">IF($C25="","",IF(ISNUMBER(SEARCH("⚠",IF($M$4=2,期間データ!$G$4,期間データ!$B$11))),"要確認",IF($M$6&lt;=0,"－",IF($M$4=2,期間データ!C28,期間データ!D28)/$M$6)))</f>
        <v>－</v>
      </c>
    </row>
    <row r="26" customFormat="false" ht="21" hidden="false" customHeight="true" outlineLevel="0" collapsed="false">
      <c r="B26" s="36" t="n">
        <v>16</v>
      </c>
      <c r="C26" s="37" t="str">
        <f aca="false">IF(期間データ!B29="","",期間データ!B29)</f>
        <v>４種のチーズ</v>
      </c>
      <c r="D26" s="38" t="n">
        <f aca="false">IF($C26="","",IF($M$4=2,期間データ!D29,期間データ!C29))</f>
        <v>0</v>
      </c>
      <c r="E26" s="39" t="str">
        <f aca="false">IF($C26="","",IF($M$5&lt;=0,"要確認",D26/$M$5))</f>
        <v>要確認</v>
      </c>
      <c r="F26" s="34" t="str">
        <f aca="false">IF(OR($C26="",NOT(ISNUMBER($D$5))),"",IF(ISNUMBER($E26),MAX(0,ROUNDUP($D$5*$E26*$M$7*IF(ISNUMBER($D$7),$D$7,1),0)),"—"))</f>
        <v/>
      </c>
      <c r="G26" s="40" t="str">
        <f aca="false">IF($C26="","",IF(ISNUMBER(SEARCH("⚠",IF($M$4=2,期間データ!$G$4,期間データ!$B$11))),"要確認",IF($M$6&lt;=0,"－",IF($M$4=2,期間データ!C29,期間データ!D29)/$M$6)))</f>
        <v>－</v>
      </c>
    </row>
    <row r="27" customFormat="false" ht="21" hidden="false" customHeight="true" outlineLevel="0" collapsed="false">
      <c r="B27" s="30" t="n">
        <v>17</v>
      </c>
      <c r="C27" s="31" t="str">
        <f aca="false">IF(期間データ!B30="","",期間データ!B30)</f>
        <v>プレミアム　ハラペーニョ</v>
      </c>
      <c r="D27" s="32" t="n">
        <f aca="false">IF($C27="","",IF($M$4=2,期間データ!D30,期間データ!C30))</f>
        <v>0</v>
      </c>
      <c r="E27" s="33" t="str">
        <f aca="false">IF($C27="","",IF($M$5&lt;=0,"要確認",D27/$M$5))</f>
        <v>要確認</v>
      </c>
      <c r="F27" s="34" t="str">
        <f aca="false">IF(OR($C27="",NOT(ISNUMBER($D$5))),"",IF(ISNUMBER($E27),MAX(0,ROUNDUP($D$5*$E27*$M$7*IF(ISNUMBER($D$7),$D$7,1),0)),"—"))</f>
        <v/>
      </c>
      <c r="G27" s="35" t="str">
        <f aca="false">IF($C27="","",IF(ISNUMBER(SEARCH("⚠",IF($M$4=2,期間データ!$G$4,期間データ!$B$11))),"要確認",IF($M$6&lt;=0,"－",IF($M$4=2,期間データ!C30,期間データ!D30)/$M$6)))</f>
        <v>－</v>
      </c>
    </row>
    <row r="28" customFormat="false" ht="21" hidden="false" customHeight="true" outlineLevel="0" collapsed="false">
      <c r="B28" s="36" t="n">
        <v>18</v>
      </c>
      <c r="C28" s="37" t="str">
        <f aca="false">IF(期間データ!B31="","",期間データ!B31)</f>
        <v>チュリトス　シナモンシュガー</v>
      </c>
      <c r="D28" s="38" t="n">
        <f aca="false">IF($C28="","",IF($M$4=2,期間データ!D31,期間データ!C31))</f>
        <v>0</v>
      </c>
      <c r="E28" s="39" t="str">
        <f aca="false">IF($C28="","",IF($M$5&lt;=0,"要確認",D28/$M$5))</f>
        <v>要確認</v>
      </c>
      <c r="F28" s="34" t="str">
        <f aca="false">IF(OR($C28="",NOT(ISNUMBER($D$5))),"",IF(ISNUMBER($E28),MAX(0,ROUNDUP($D$5*$E28*$M$7*IF(ISNUMBER($D$7),$D$7,1),0)),"—"))</f>
        <v/>
      </c>
      <c r="G28" s="40" t="str">
        <f aca="false">IF($C28="","",IF(ISNUMBER(SEARCH("⚠",IF($M$4=2,期間データ!$G$4,期間データ!$B$11))),"要確認",IF($M$6&lt;=0,"－",IF($M$4=2,期間データ!C31,期間データ!D31)/$M$6)))</f>
        <v>－</v>
      </c>
    </row>
    <row r="29" customFormat="false" ht="21" hidden="false" customHeight="true" outlineLevel="0" collapsed="false">
      <c r="B29" s="30" t="n">
        <v>19</v>
      </c>
      <c r="C29" s="31" t="str">
        <f aca="false">IF(期間データ!B32="","",期間データ!B32)</f>
        <v>チュリトス　チョコクリーム</v>
      </c>
      <c r="D29" s="32" t="n">
        <f aca="false">IF($C29="","",IF($M$4=2,期間データ!D32,期間データ!C32))</f>
        <v>0</v>
      </c>
      <c r="E29" s="33" t="str">
        <f aca="false">IF($C29="","",IF($M$5&lt;=0,"要確認",D29/$M$5))</f>
        <v>要確認</v>
      </c>
      <c r="F29" s="34" t="str">
        <f aca="false">IF(OR($C29="",NOT(ISNUMBER($D$5))),"",IF(ISNUMBER($E29),MAX(0,ROUNDUP($D$5*$E29*$M$7*IF(ISNUMBER($D$7),$D$7,1),0)),"—"))</f>
        <v/>
      </c>
      <c r="G29" s="35" t="str">
        <f aca="false">IF($C29="","",IF(ISNUMBER(SEARCH("⚠",IF($M$4=2,期間データ!$G$4,期間データ!$B$11))),"要確認",IF($M$6&lt;=0,"－",IF($M$4=2,期間データ!C32,期間データ!D32)/$M$6)))</f>
        <v>－</v>
      </c>
    </row>
    <row r="30" customFormat="false" ht="21" hidden="false" customHeight="true" outlineLevel="0" collapsed="false">
      <c r="B30" s="36" t="n">
        <v>20</v>
      </c>
      <c r="C30" s="37" t="str">
        <f aca="false">IF(期間データ!B33="","",期間データ!B33)</f>
        <v/>
      </c>
      <c r="D30" s="38" t="str">
        <f aca="false">IF($C30="","",IF($M$4=2,期間データ!D33,期間データ!C33))</f>
        <v/>
      </c>
      <c r="E30" s="39" t="str">
        <f aca="false">IF($C30="","",IF($M$5&lt;=0,"要確認",D30/$M$5))</f>
        <v/>
      </c>
      <c r="F30" s="41" t="str">
        <f aca="false">IF(OR($C30="",NOT(ISNUMBER($D$5))),"",IF(ISNUMBER($E30),MAX(0,ROUNDUP($D$5*$E30*$M$7*IF(ISNUMBER($D$7),$D$7,1),0)),"—"))</f>
        <v/>
      </c>
      <c r="G30" s="40" t="str">
        <f aca="false">IF($C30="","",IF(ISNUMBER(SEARCH("⚠",IF($M$4=2,期間データ!$G$4,期間データ!$B$11))),"要確認",IF($M$6&lt;=0,"－",IF($M$4=2,期間データ!C33,期間データ!D33)/$M$6)))</f>
        <v/>
      </c>
    </row>
    <row r="31" customFormat="false" ht="18" hidden="false" customHeight="true" outlineLevel="0" collapsed="false">
      <c r="B31" s="13" t="s">
        <v>56</v>
      </c>
      <c r="C31" s="13"/>
      <c r="D31" s="13"/>
      <c r="E31" s="13"/>
      <c r="F31" s="13"/>
      <c r="G31" s="13"/>
      <c r="H31" s="13"/>
    </row>
  </sheetData>
  <mergeCells count="14">
    <mergeCell ref="B1:H1"/>
    <mergeCell ref="B2:H2"/>
    <mergeCell ref="I3:J3"/>
    <mergeCell ref="L3:M3"/>
    <mergeCell ref="B4:C4"/>
    <mergeCell ref="E4:H4"/>
    <mergeCell ref="B5:C5"/>
    <mergeCell ref="E5:H5"/>
    <mergeCell ref="B6:C6"/>
    <mergeCell ref="E6:H6"/>
    <mergeCell ref="B7:C7"/>
    <mergeCell ref="E7:H7"/>
    <mergeCell ref="B8:H8"/>
    <mergeCell ref="B31:H31"/>
  </mergeCells>
  <conditionalFormatting sqref="F11:F30">
    <cfRule type="dataBar" priority="2">
      <dataBar showValue="1" minLength="10" maxLength="90">
        <cfvo type="num" val="0"/>
        <cfvo type="max" val="0"/>
        <color rgb="FFE8604C"/>
      </dataBar>
      <extLst>
        <ext xmlns:x14="http://schemas.microsoft.com/office/spreadsheetml/2009/9/main" uri="{B025F937-C7B1-47D3-B67F-A62EFF666E3E}">
          <x14:id>{A29DCE75-2247-423A-9491-D853489E32C2}</x14:id>
        </ext>
      </extLst>
    </cfRule>
  </conditionalFormatting>
  <conditionalFormatting sqref="E11:E30">
    <cfRule type="expression" priority="3" aboveAverage="0" equalAverage="0" bottom="0" percent="0" rank="0" text="" dxfId="0">
      <formula>ISTEXT(E11)</formula>
    </cfRule>
  </conditionalFormatting>
  <conditionalFormatting sqref="G11:G30">
    <cfRule type="expression" priority="4" aboveAverage="0" equalAverage="0" bottom="0" percent="0" rank="0" text="" dxfId="0">
      <formula>ISNUMBER(SEARCH("要確認",G11))</formula>
    </cfRule>
  </conditionalFormatting>
  <dataValidations count="4">
    <dataValidation allowBlank="false" error="リストから選んでください（期間A（金土日）／期間B（金〜木））" errorStyle="stop" errorTitle="参照期間" operator="between" showDropDown="false" showErrorMessage="true" showInputMessage="false" sqref="D4" type="list">
      <formula1>"期間A（金土日）,期間B（金〜木）"</formula1>
      <formula2>0</formula2>
    </dataValidation>
    <dataValidation allowBlank="false" error="ピーク動員数は 0〜999,999 の整数で入力してください" errorStyle="stop" errorTitle="ピーク動員数" operator="between" showDropDown="false" showErrorMessage="true" showInputMessage="false" sqref="D5" type="whole">
      <formula1>0</formula1>
      <formula2>999999</formula2>
    </dataValidation>
    <dataValidation allowBlank="true" errorStyle="stop" operator="between" showDropDown="false" showErrorMessage="false" showInputMessage="false" sqref="D6" type="list">
      <formula1>$I$4:$I$10</formula1>
      <formula2>0</formula2>
    </dataValidation>
    <dataValidation allowBlank="false" error="調整倍率は 0〜5 の数値で入力してください（1.1 ＝ 1.1倍・×110%）" errorStyle="stop" errorTitle="調整倍率" operator="between" showDropDown="false" showErrorMessage="true" showInputMessage="false" sqref="D7"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extLst>
    <ext xmlns:x14="http://schemas.microsoft.com/office/spreadsheetml/2009/9/main" uri="{78C0D931-6437-407d-A8EE-F0AAD7539E65}">
      <x14:conditionalFormattings>
        <x14:conditionalFormatting xmlns:xm="http://schemas.microsoft.com/office/excel/2006/main">
          <x14:cfRule type="dataBar" id="{A29DCE75-2247-423A-9491-D853489E32C2}">
            <x14:dataBar minLength="10" maxLength="90" axisPosition="none" gradient="true">
              <x14:cfvo type="num">
                <xm:f>0</xm:f>
              </x14:cfvo>
              <x14:cfvo type="max"/>
              <x14:negativeFillColor rgb="FFE8604C"/>
              <x14:axisColor rgb="FF000000"/>
            </x14:dataBar>
          </x14:cfRule>
          <xm:sqref>F11:F30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E5B"/>
    <pageSetUpPr fitToPage="true"/>
  </sheetPr>
  <dimension ref="B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7"/>
    <col collapsed="false" customWidth="true" hidden="false" outlineLevel="0" max="3" min="3" style="0" width="32"/>
    <col collapsed="false" customWidth="true" hidden="false" outlineLevel="0" max="4" min="4" style="0" width="16"/>
    <col collapsed="false" customWidth="true" hidden="false" outlineLevel="0" max="5" min="5" style="0" width="13"/>
    <col collapsed="false" customWidth="true" hidden="false" outlineLevel="0" max="6" min="6" style="0" width="2.5"/>
  </cols>
  <sheetData>
    <row r="1" customFormat="false" ht="36" hidden="false" customHeight="true" outlineLevel="0" collapsed="false">
      <c r="B1" s="1" t="s">
        <v>57</v>
      </c>
      <c r="C1" s="1"/>
      <c r="D1" s="1"/>
      <c r="E1" s="1"/>
    </row>
    <row r="2" customFormat="false" ht="24" hidden="false" customHeight="true" outlineLevel="0" collapsed="false">
      <c r="B2" s="42" t="s">
        <v>58</v>
      </c>
      <c r="C2" s="42"/>
      <c r="D2" s="42"/>
      <c r="E2" s="42"/>
    </row>
    <row r="3" customFormat="false" ht="21.75" hidden="false" customHeight="true" outlineLevel="0" collapsed="false">
      <c r="B3" s="43" t="str">
        <f aca="false">"参照期間: "&amp;IF(準備数計算!$M$4=2,"期間B（金〜木）","期間A（金土日）")&amp;"　｜　ピーク動員数: "&amp;IF(準備数計算!$D$5="","（未入力）",TEXT(準備数計算!$D$5,"#,##0")&amp;"人")</f>
        <v>参照期間: 期間A（金土日）　｜　ピーク動員数: （未入力）</v>
      </c>
      <c r="C3" s="43"/>
      <c r="D3" s="43"/>
      <c r="E3" s="43"/>
    </row>
    <row r="4" customFormat="false" ht="19.5" hidden="false" customHeight="true" outlineLevel="0" collapsed="false">
      <c r="B4" s="18" t="str">
        <f aca="false">"時間帯: "&amp;準備数計算!$D$6&amp;"（係数 ×"&amp;TEXT(準備数計算!$M$7*100,"0")&amp;"% × 調整 ×"&amp;TEXT(IF(ISNUMBER(準備数計算!$D$7),準備数計算!$D$7,1)*100,"0")&amp;"% ＝ ×"&amp;TEXT(準備数計算!$M$7*IF(ISNUMBER(準備数計算!$D$7),準備数計算!$D$7,1)*100,"0")&amp;"%）　｜　"&amp;準備数計算!$E$4</f>
        <v>時間帯: 平常（基準）（係数 ×100% × 調整 ×100% ＝ ×100%）　｜　参照: —〜—（期間A 金土日）｜動員合計 0人</v>
      </c>
      <c r="C4" s="18"/>
      <c r="D4" s="18"/>
      <c r="E4" s="18"/>
    </row>
    <row r="5" customFormat="false" ht="21.75" hidden="false" customHeight="true" outlineLevel="0" collapsed="false">
      <c r="B5" s="11" t="s">
        <v>59</v>
      </c>
      <c r="C5" s="11"/>
      <c r="D5" s="11"/>
      <c r="E5" s="11"/>
    </row>
    <row r="6" customFormat="false" ht="13.5" hidden="false" customHeight="true" outlineLevel="0" collapsed="false">
      <c r="B6" s="44" t="str">
        <f aca="false">準備数計算!$B$8</f>
        <v>⚠ 選択した期間のCSVが未貼付です（CSV貼付Aシート）。 ⚠ 選択した期間の動員数がそろっていません。 ⚠ ピーク動員数が未入力か数値ではありません。</v>
      </c>
      <c r="C6" s="44"/>
      <c r="D6" s="44"/>
      <c r="E6" s="44"/>
    </row>
    <row r="7" customFormat="false" ht="25.5" hidden="false" customHeight="true" outlineLevel="0" collapsed="false">
      <c r="B7" s="45" t="s">
        <v>50</v>
      </c>
      <c r="C7" s="46" t="s">
        <v>51</v>
      </c>
      <c r="D7" s="47" t="s">
        <v>60</v>
      </c>
      <c r="E7" s="46" t="s">
        <v>61</v>
      </c>
    </row>
    <row r="8" customFormat="false" ht="24" hidden="false" customHeight="true" outlineLevel="0" collapsed="false">
      <c r="B8" s="48" t="n">
        <f aca="false">IF(準備数計算!$C11="","",1)</f>
        <v>1</v>
      </c>
      <c r="C8" s="49" t="str">
        <f aca="false">IF(準備数計算!$C11="","",準備数計算!$C11)</f>
        <v>ハーフ＆ハーフ（塩／キャラメル）</v>
      </c>
      <c r="D8" s="50" t="str">
        <f aca="false">IF(準備数計算!$C11="","",準備数計算!$F11)</f>
        <v/>
      </c>
      <c r="E8" s="51" t="str">
        <f aca="false">IF(準備数計算!$C11="","","☐")</f>
        <v>☐</v>
      </c>
    </row>
    <row r="9" customFormat="false" ht="24" hidden="false" customHeight="true" outlineLevel="0" collapsed="false">
      <c r="B9" s="48" t="n">
        <f aca="false">IF(準備数計算!$C12="","",2)</f>
        <v>2</v>
      </c>
      <c r="C9" s="49" t="str">
        <f aca="false">IF(準備数計算!$C12="","",準備数計算!$C12)</f>
        <v>ポップコーン　キャラメルＭ</v>
      </c>
      <c r="D9" s="50" t="str">
        <f aca="false">IF(準備数計算!$C12="","",準備数計算!$F12)</f>
        <v/>
      </c>
      <c r="E9" s="51" t="str">
        <f aca="false">IF(準備数計算!$C12="","","☐")</f>
        <v>☐</v>
      </c>
    </row>
    <row r="10" customFormat="false" ht="24" hidden="false" customHeight="true" outlineLevel="0" collapsed="false">
      <c r="B10" s="48" t="n">
        <f aca="false">IF(準備数計算!$C13="","",3)</f>
        <v>3</v>
      </c>
      <c r="C10" s="49" t="str">
        <f aca="false">IF(準備数計算!$C13="","",準備数計算!$C13)</f>
        <v>ポップコーン　塩Ｍ</v>
      </c>
      <c r="D10" s="50" t="str">
        <f aca="false">IF(準備数計算!$C13="","",準備数計算!$F13)</f>
        <v/>
      </c>
      <c r="E10" s="51" t="str">
        <f aca="false">IF(準備数計算!$C13="","","☐")</f>
        <v>☐</v>
      </c>
    </row>
    <row r="11" customFormat="false" ht="24" hidden="false" customHeight="true" outlineLevel="0" collapsed="false">
      <c r="B11" s="48" t="n">
        <f aca="false">IF(準備数計算!$C14="","",4)</f>
        <v>4</v>
      </c>
      <c r="C11" s="49" t="str">
        <f aca="false">IF(準備数計算!$C14="","",準備数計算!$C14)</f>
        <v>ポップコーン　キャラメルＳ</v>
      </c>
      <c r="D11" s="50" t="str">
        <f aca="false">IF(準備数計算!$C14="","",準備数計算!$F14)</f>
        <v/>
      </c>
      <c r="E11" s="51" t="str">
        <f aca="false">IF(準備数計算!$C14="","","☐")</f>
        <v>☐</v>
      </c>
    </row>
    <row r="12" customFormat="false" ht="24" hidden="false" customHeight="true" outlineLevel="0" collapsed="false">
      <c r="B12" s="48" t="n">
        <f aca="false">IF(準備数計算!$C15="","",5)</f>
        <v>5</v>
      </c>
      <c r="C12" s="49" t="str">
        <f aca="false">IF(準備数計算!$C15="","",準備数計算!$C15)</f>
        <v>ポップコーン　塩Ｓ</v>
      </c>
      <c r="D12" s="50" t="str">
        <f aca="false">IF(準備数計算!$C15="","",準備数計算!$F15)</f>
        <v/>
      </c>
      <c r="E12" s="51" t="str">
        <f aca="false">IF(準備数計算!$C15="","","☐")</f>
        <v>☐</v>
      </c>
    </row>
    <row r="13" customFormat="false" ht="24" hidden="false" customHeight="true" outlineLevel="0" collapsed="false">
      <c r="B13" s="48" t="n">
        <f aca="false">IF(準備数計算!$C16="","",6)</f>
        <v>6</v>
      </c>
      <c r="C13" s="49" t="str">
        <f aca="false">IF(準備数計算!$C16="","",準備数計算!$C16)</f>
        <v>ポップコーン　キャラメルＬ</v>
      </c>
      <c r="D13" s="50" t="str">
        <f aca="false">IF(準備数計算!$C16="","",準備数計算!$F16)</f>
        <v/>
      </c>
      <c r="E13" s="51" t="str">
        <f aca="false">IF(準備数計算!$C16="","","☐")</f>
        <v>☐</v>
      </c>
    </row>
    <row r="14" customFormat="false" ht="24" hidden="false" customHeight="true" outlineLevel="0" collapsed="false">
      <c r="B14" s="48" t="n">
        <f aca="false">IF(準備数計算!$C17="","",7)</f>
        <v>7</v>
      </c>
      <c r="C14" s="49" t="str">
        <f aca="false">IF(準備数計算!$C17="","",準備数計算!$C17)</f>
        <v>ポップコーン　塩Ｌ</v>
      </c>
      <c r="D14" s="50" t="str">
        <f aca="false">IF(準備数計算!$C17="","",準備数計算!$F17)</f>
        <v/>
      </c>
      <c r="E14" s="51" t="str">
        <f aca="false">IF(準備数計算!$C17="","","☐")</f>
        <v>☐</v>
      </c>
    </row>
    <row r="15" customFormat="false" ht="24" hidden="false" customHeight="true" outlineLevel="0" collapsed="false">
      <c r="B15" s="48" t="n">
        <f aca="false">IF(準備数計算!$C18="","",8)</f>
        <v>8</v>
      </c>
      <c r="C15" s="49" t="str">
        <f aca="false">IF(準備数計算!$C18="","",準備数計算!$C18)</f>
        <v>北海道濃厚バターしょうゆ味</v>
      </c>
      <c r="D15" s="50" t="str">
        <f aca="false">IF(準備数計算!$C18="","",準備数計算!$F18)</f>
        <v/>
      </c>
      <c r="E15" s="51" t="str">
        <f aca="false">IF(準備数計算!$C18="","","☐")</f>
        <v>☐</v>
      </c>
    </row>
    <row r="16" customFormat="false" ht="24" hidden="false" customHeight="true" outlineLevel="0" collapsed="false">
      <c r="B16" s="48" t="n">
        <f aca="false">IF(準備数計算!$C19="","",9)</f>
        <v>9</v>
      </c>
      <c r="C16" s="49" t="str">
        <f aca="false">IF(準備数計算!$C19="","",準備数計算!$C19)</f>
        <v>トリュフソルト＆バター味</v>
      </c>
      <c r="D16" s="50" t="str">
        <f aca="false">IF(準備数計算!$C19="","",準備数計算!$F19)</f>
        <v/>
      </c>
      <c r="E16" s="51" t="str">
        <f aca="false">IF(準備数計算!$C19="","","☐")</f>
        <v>☐</v>
      </c>
    </row>
    <row r="17" customFormat="false" ht="24" hidden="false" customHeight="true" outlineLevel="0" collapsed="false">
      <c r="B17" s="48" t="n">
        <f aca="false">IF(準備数計算!$C20="","",10)</f>
        <v>10</v>
      </c>
      <c r="C17" s="49" t="str">
        <f aca="false">IF(準備数計算!$C20="","",準備数計算!$C20)</f>
        <v>シネマイク　ハッピーターン味</v>
      </c>
      <c r="D17" s="50" t="str">
        <f aca="false">IF(準備数計算!$C20="","",準備数計算!$F20)</f>
        <v/>
      </c>
      <c r="E17" s="51" t="str">
        <f aca="false">IF(準備数計算!$C20="","","☐")</f>
        <v>☐</v>
      </c>
    </row>
    <row r="18" customFormat="false" ht="24" hidden="false" customHeight="true" outlineLevel="0" collapsed="false">
      <c r="B18" s="48" t="n">
        <f aca="false">IF(準備数計算!$C21="","",11)</f>
        <v>11</v>
      </c>
      <c r="C18" s="49" t="str">
        <f aca="false">IF(準備数計算!$C21="","",準備数計算!$C21)</f>
        <v>パーティーポップ　キャラメル</v>
      </c>
      <c r="D18" s="50" t="str">
        <f aca="false">IF(準備数計算!$C21="","",準備数計算!$F21)</f>
        <v/>
      </c>
      <c r="E18" s="51" t="str">
        <f aca="false">IF(準備数計算!$C21="","","☐")</f>
        <v>☐</v>
      </c>
    </row>
    <row r="19" customFormat="false" ht="24" hidden="false" customHeight="true" outlineLevel="0" collapsed="false">
      <c r="B19" s="48" t="n">
        <f aca="false">IF(準備数計算!$C22="","",12)</f>
        <v>12</v>
      </c>
      <c r="C19" s="49" t="str">
        <f aca="false">IF(準備数計算!$C22="","",準備数計算!$C22)</f>
        <v>スパイシー！ポップチキン</v>
      </c>
      <c r="D19" s="50" t="str">
        <f aca="false">IF(準備数計算!$C22="","",準備数計算!$F22)</f>
        <v/>
      </c>
      <c r="E19" s="51" t="str">
        <f aca="false">IF(準備数計算!$C22="","","☐")</f>
        <v>☐</v>
      </c>
    </row>
    <row r="20" customFormat="false" ht="24" hidden="false" customHeight="true" outlineLevel="0" collapsed="false">
      <c r="B20" s="48" t="n">
        <f aca="false">IF(準備数計算!$C23="","",13)</f>
        <v>13</v>
      </c>
      <c r="C20" s="49" t="str">
        <f aca="false">IF(準備数計算!$C23="","",準備数計算!$C23)</f>
        <v>スナックじゃがトリュフソルトバタ</v>
      </c>
      <c r="D20" s="50" t="str">
        <f aca="false">IF(準備数計算!$C23="","",準備数計算!$F23)</f>
        <v/>
      </c>
      <c r="E20" s="51" t="str">
        <f aca="false">IF(準備数計算!$C23="","","☐")</f>
        <v>☐</v>
      </c>
    </row>
    <row r="21" customFormat="false" ht="24" hidden="false" customHeight="true" outlineLevel="0" collapsed="false">
      <c r="B21" s="48" t="n">
        <f aca="false">IF(準備数計算!$C24="","",14)</f>
        <v>14</v>
      </c>
      <c r="C21" s="49" t="str">
        <f aca="false">IF(準備数計算!$C24="","",準備数計算!$C24)</f>
        <v>スナックじゃが　シチリアハーブ</v>
      </c>
      <c r="D21" s="50" t="str">
        <f aca="false">IF(準備数計算!$C24="","",準備数計算!$F24)</f>
        <v/>
      </c>
      <c r="E21" s="51" t="str">
        <f aca="false">IF(準備数計算!$C24="","","☐")</f>
        <v>☐</v>
      </c>
    </row>
    <row r="22" customFormat="false" ht="24" hidden="false" customHeight="true" outlineLevel="0" collapsed="false">
      <c r="B22" s="48" t="n">
        <f aca="false">IF(準備数計算!$C25="","",15)</f>
        <v>15</v>
      </c>
      <c r="C22" s="49" t="str">
        <f aca="false">IF(準備数計算!$C25="","",準備数計算!$C25)</f>
        <v>ケチャップ＆マスタード</v>
      </c>
      <c r="D22" s="50" t="str">
        <f aca="false">IF(準備数計算!$C25="","",準備数計算!$F25)</f>
        <v/>
      </c>
      <c r="E22" s="51" t="str">
        <f aca="false">IF(準備数計算!$C25="","","☐")</f>
        <v>☐</v>
      </c>
    </row>
    <row r="23" customFormat="false" ht="24" hidden="false" customHeight="true" outlineLevel="0" collapsed="false">
      <c r="B23" s="48" t="n">
        <f aca="false">IF(準備数計算!$C26="","",16)</f>
        <v>16</v>
      </c>
      <c r="C23" s="49" t="str">
        <f aca="false">IF(準備数計算!$C26="","",準備数計算!$C26)</f>
        <v>４種のチーズ</v>
      </c>
      <c r="D23" s="50" t="str">
        <f aca="false">IF(準備数計算!$C26="","",準備数計算!$F26)</f>
        <v/>
      </c>
      <c r="E23" s="51" t="str">
        <f aca="false">IF(準備数計算!$C26="","","☐")</f>
        <v>☐</v>
      </c>
    </row>
    <row r="24" customFormat="false" ht="24" hidden="false" customHeight="true" outlineLevel="0" collapsed="false">
      <c r="B24" s="48" t="n">
        <f aca="false">IF(準備数計算!$C27="","",17)</f>
        <v>17</v>
      </c>
      <c r="C24" s="49" t="str">
        <f aca="false">IF(準備数計算!$C27="","",準備数計算!$C27)</f>
        <v>プレミアム　ハラペーニョ</v>
      </c>
      <c r="D24" s="50" t="str">
        <f aca="false">IF(準備数計算!$C27="","",準備数計算!$F27)</f>
        <v/>
      </c>
      <c r="E24" s="51" t="str">
        <f aca="false">IF(準備数計算!$C27="","","☐")</f>
        <v>☐</v>
      </c>
    </row>
    <row r="25" customFormat="false" ht="24" hidden="false" customHeight="true" outlineLevel="0" collapsed="false">
      <c r="B25" s="48" t="n">
        <f aca="false">IF(準備数計算!$C28="","",18)</f>
        <v>18</v>
      </c>
      <c r="C25" s="49" t="str">
        <f aca="false">IF(準備数計算!$C28="","",準備数計算!$C28)</f>
        <v>チュリトス　シナモンシュガー</v>
      </c>
      <c r="D25" s="50" t="str">
        <f aca="false">IF(準備数計算!$C28="","",準備数計算!$F28)</f>
        <v/>
      </c>
      <c r="E25" s="51" t="str">
        <f aca="false">IF(準備数計算!$C28="","","☐")</f>
        <v>☐</v>
      </c>
    </row>
    <row r="26" customFormat="false" ht="24" hidden="false" customHeight="true" outlineLevel="0" collapsed="false">
      <c r="B26" s="48" t="n">
        <f aca="false">IF(準備数計算!$C29="","",19)</f>
        <v>19</v>
      </c>
      <c r="C26" s="49" t="str">
        <f aca="false">IF(準備数計算!$C29="","",準備数計算!$C29)</f>
        <v>チュリトス　チョコクリーム</v>
      </c>
      <c r="D26" s="50" t="str">
        <f aca="false">IF(準備数計算!$C29="","",準備数計算!$F29)</f>
        <v/>
      </c>
      <c r="E26" s="51" t="str">
        <f aca="false">IF(準備数計算!$C29="","","☐")</f>
        <v>☐</v>
      </c>
    </row>
    <row r="27" customFormat="false" ht="24" hidden="false" customHeight="true" outlineLevel="0" collapsed="false">
      <c r="B27" s="48" t="str">
        <f aca="false">IF(準備数計算!$C30="","",20)</f>
        <v/>
      </c>
      <c r="C27" s="49" t="str">
        <f aca="false">IF(準備数計算!$C30="","",準備数計算!$C30)</f>
        <v/>
      </c>
      <c r="D27" s="50" t="str">
        <f aca="false">IF(準備数計算!$C30="","",準備数計算!$F30)</f>
        <v/>
      </c>
      <c r="E27" s="51" t="str">
        <f aca="false">IF(準備数計算!$C30="","","☐")</f>
        <v/>
      </c>
    </row>
    <row r="28" customFormat="false" ht="15.75" hidden="false" customHeight="true" outlineLevel="0" collapsed="false">
      <c r="B28" s="52" t="s">
        <v>62</v>
      </c>
      <c r="C28" s="52"/>
      <c r="D28" s="52"/>
      <c r="E28" s="52"/>
    </row>
  </sheetData>
  <mergeCells count="7">
    <mergeCell ref="B1:E1"/>
    <mergeCell ref="B2:E2"/>
    <mergeCell ref="B3:E3"/>
    <mergeCell ref="B4:E4"/>
    <mergeCell ref="B5:E5"/>
    <mergeCell ref="B6:E6"/>
    <mergeCell ref="B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9E92"/>
    <pageSetUpPr fitToPage="true"/>
  </sheetPr>
  <dimension ref="A1:Q10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9" min="3" style="0" width="10.5"/>
    <col collapsed="false" customWidth="true" hidden="false" outlineLevel="0" max="10" min="10" style="0" width="11"/>
    <col collapsed="false" customWidth="true" hidden="false" outlineLevel="0" max="11" min="11" style="0" width="14"/>
    <col collapsed="false" customWidth="true" hidden="false" outlineLevel="0" max="12" min="12" style="0" width="2.5"/>
    <col collapsed="false" customWidth="true" hidden="true" outlineLevel="0" max="13" min="13" style="0" width="6"/>
    <col collapsed="false" customWidth="true" hidden="true" outlineLevel="0" max="14" min="14" style="0" width="28"/>
    <col collapsed="false" customWidth="true" hidden="true" outlineLevel="0" max="15" min="15" style="0" width="6"/>
    <col collapsed="false" customWidth="true" hidden="true" outlineLevel="0" max="17" min="16" style="0" width="28"/>
  </cols>
  <sheetData>
    <row r="1" customFormat="false" ht="33.75" hidden="false" customHeight="true" outlineLevel="0" collapsed="false">
      <c r="A1" s="1" t="s">
        <v>63</v>
      </c>
      <c r="B1" s="1"/>
      <c r="C1" s="1"/>
      <c r="D1" s="1"/>
      <c r="E1" s="1"/>
      <c r="F1" s="1"/>
      <c r="G1" s="1"/>
      <c r="H1" s="1"/>
      <c r="I1" s="1"/>
      <c r="J1" s="1"/>
      <c r="K1" s="1"/>
    </row>
    <row r="2" customFormat="false" ht="19.5" hidden="false" customHeight="true" outlineLevel="0" collapsed="false">
      <c r="A2" s="53" t="s">
        <v>64</v>
      </c>
      <c r="B2" s="54" t="s">
        <v>65</v>
      </c>
      <c r="C2" s="55" t="s">
        <v>66</v>
      </c>
      <c r="D2" s="55"/>
      <c r="F2" s="13" t="s">
        <v>67</v>
      </c>
      <c r="G2" s="13"/>
      <c r="H2" s="13"/>
      <c r="I2" s="13"/>
      <c r="J2" s="13"/>
      <c r="K2" s="13"/>
    </row>
    <row r="3" customFormat="false" ht="6" hidden="false" customHeight="true" outlineLevel="0" collapsed="false"/>
    <row r="4" customFormat="false" ht="21.75" hidden="false" customHeight="true" outlineLevel="0" collapsed="false">
      <c r="B4" s="56" t="s">
        <v>68</v>
      </c>
      <c r="C4" s="57" t="str">
        <f aca="false">IF(CSV貼付A!$N$5="","",IF(IFERROR(IF(AND(IF(VALUE(CSV貼付A!$D$5)&lt;19000101,INT(VALUE(CSV貼付A!$D$5)),DATEVALUE(TEXT(VALUE(CSV貼付A!$D$5),"0000-00-00")))&gt;=36526,IF(VALUE(CSV貼付A!$D$5)&lt;19000101,INT(VALUE(CSV貼付A!$D$5)),DATEVALUE(TEXT(VALUE(CSV貼付A!$D$5),"0000-00-00")))&lt;=73415),IF(VALUE(CSV貼付A!$D$5)&lt;19000101,INT(VALUE(CSV貼付A!$D$5)),DATEVALUE(TEXT(VALUE(CSV貼付A!$D$5),"0000-00-00"))),-1),-1)=-1,"",IFERROR(IF(AND(IF(VALUE(CSV貼付A!$D$5)&lt;19000101,INT(VALUE(CSV貼付A!$D$5)),DATEVALUE(TEXT(VALUE(CSV貼付A!$D$5),"0000-00-00")))&gt;=36526,IF(VALUE(CSV貼付A!$D$5)&lt;19000101,INT(VALUE(CSV貼付A!$D$5)),DATEVALUE(TEXT(VALUE(CSV貼付A!$D$5),"0000-00-00")))&lt;=73415),IF(VALUE(CSV貼付A!$D$5)&lt;19000101,INT(VALUE(CSV貼付A!$D$5)),DATEVALUE(TEXT(VALUE(CSV貼付A!$D$5),"0000-00-00"))),-1),-1)))</f>
        <v/>
      </c>
      <c r="D4" s="57" t="str">
        <f aca="false">IF(OR($C$4="",$E$4="",$E$4&lt;$C$4),"",$C$4+1)</f>
        <v/>
      </c>
      <c r="E4" s="57" t="str">
        <f aca="false">IF(CSV貼付A!$N$5="","",IF(IFERROR(IF(AND(IF(VALUE(CSV貼付A!$E$5)&lt;19000101,INT(VALUE(CSV貼付A!$E$5)),DATEVALUE(TEXT(VALUE(CSV貼付A!$E$5),"0000-00-00")))&gt;=36526,IF(VALUE(CSV貼付A!$E$5)&lt;19000101,INT(VALUE(CSV貼付A!$E$5)),DATEVALUE(TEXT(VALUE(CSV貼付A!$E$5),"0000-00-00")))&lt;=73415),IF(VALUE(CSV貼付A!$E$5)&lt;19000101,INT(VALUE(CSV貼付A!$E$5)),DATEVALUE(TEXT(VALUE(CSV貼付A!$E$5),"0000-00-00"))),-1),-1)=-1,"",IFERROR(IF(AND(IF(VALUE(CSV貼付A!$E$5)&lt;19000101,INT(VALUE(CSV貼付A!$E$5)),DATEVALUE(TEXT(VALUE(CSV貼付A!$E$5),"0000-00-00")))&gt;=36526,IF(VALUE(CSV貼付A!$E$5)&lt;19000101,INT(VALUE(CSV貼付A!$E$5)),DATEVALUE(TEXT(VALUE(CSV貼付A!$E$5),"0000-00-00")))&lt;=73415),IF(VALUE(CSV貼付A!$E$5)&lt;19000101,INT(VALUE(CSV貼付A!$E$5)),DATEVALUE(TEXT(VALUE(CSV貼付A!$E$5),"0000-00-00"))),-1),-1)))</f>
        <v/>
      </c>
      <c r="G4" s="58" t="str">
        <f aca="false">IF(CSV貼付A!$N$5="","（CSV貼付Aにデータを貼り付けてください）","CSV "&amp;COUNTA(CSV貼付A!$N$5:$N$1004)&amp;"行｜"&amp;IF(CSV貼付A!$N$4&lt;&gt;"商品名","⚠ 貼付位置ズレ（5行目のA列から貼り直し）",IF(CSV貼付A!$A$5="タイトル","⚠ ヘッダー行ごと貼付（1行目を除いて貼り直し）",IF(OR($C$4="",$E$4=""),"⚠ 対象期間を読み取れません（CSVのD/E列を確認）",IF($E$4&lt;$C$4,"⚠ 対象期間が逆転しています（CSVのD/E列を確認）",TRIM(IF($E$4-$C$4&lt;&gt;2,"⚠ "&amp;($E$4-$C$4+1)&amp;"日分のCSVです（期間Aは金土日3日想定）","✔ "&amp;($E$4-$C$4+1)&amp;"日間")&amp;" "&amp;IF(SUMPRODUCT((CSV貼付A!$D$5:$D$1004&lt;&gt;"")*(CSV貼付A!$D$5:$D$1004&lt;&gt;CSV貼付A!$D$5))+SUMPRODUCT((CSV貼付A!$E$5:$E$1004&lt;&gt;"")*(CSV貼付A!$E$5:$E$1004&lt;&gt;CSV貼付A!$E$5))&gt;0,"⚠ 別期間の行が混ざっています（前回分を削除して貼り直し）","")&amp;" "&amp;IF(WEEKDAY($C$4)&lt;&gt;6,"※開始が金曜以外","")))))))</f>
        <v>（CSV貼付Aにデータを貼り付けてください）</v>
      </c>
      <c r="H4" s="58"/>
      <c r="I4" s="58"/>
      <c r="J4" s="58"/>
      <c r="K4" s="58"/>
      <c r="M4" s="59" t="s">
        <v>69</v>
      </c>
      <c r="N4" s="59" t="s">
        <v>70</v>
      </c>
      <c r="O4" s="59" t="s">
        <v>71</v>
      </c>
      <c r="P4" s="59" t="s">
        <v>72</v>
      </c>
      <c r="Q4" s="60" t="s">
        <v>73</v>
      </c>
    </row>
    <row r="5" customFormat="false" ht="15.75" hidden="false" customHeight="true" outlineLevel="0" collapsed="false">
      <c r="B5" s="61" t="s">
        <v>74</v>
      </c>
      <c r="C5" s="62" t="str">
        <f aca="false">IF(C$4="","",CHOOSE(WEEKDAY(C$4),"日","月","火","水","木","金","土"))</f>
        <v/>
      </c>
      <c r="D5" s="62" t="str">
        <f aca="false">IF(D$4="","",CHOOSE(WEEKDAY(D$4),"日","月","火","水","木","金","土"))</f>
        <v/>
      </c>
      <c r="E5" s="62" t="str">
        <f aca="false">IF(E$4="","",CHOOSE(WEEKDAY(E$4),"日","月","火","水","木","金","土"))</f>
        <v/>
      </c>
      <c r="F5" s="63" t="s">
        <v>75</v>
      </c>
      <c r="M5" s="0" t="str">
        <f aca="false">IF(CSV貼付A!$N5="","",IF(COUNTIF($B$37:$B$48,CSV貼付A!$H5)&gt;0,"",IF(SUMPRODUCT((CSV貼付A!$N$5:$N5=CSV貼付A!$N5)*(COUNTIF($B$37:$B$48,CSV貼付A!$H$5:$H5)=0))&gt;1,"",MAX($M$4:M4)+1)))</f>
        <v/>
      </c>
      <c r="N5" s="0" t="str">
        <f aca="false">IFERROR(INDEX(CSV貼付A!$N$5:$N$1004,MATCH(ROW()-4,$M$5:$M$1004,0)),"")</f>
        <v/>
      </c>
      <c r="O5" s="0" t="str">
        <f aca="false">IF(CSV貼付B!$N5="","",IF(COUNTIF($B$37:$B$48,CSV貼付B!$H5)&gt;0,"",IF(SUMPRODUCT((CSV貼付B!$N$5:$N5=CSV貼付B!$N5)*(COUNTIF($B$37:$B$48,CSV貼付B!$H$5:$H5)=0))&gt;1,"",MAX($O$4:O4)+1)))</f>
        <v/>
      </c>
      <c r="P5" s="0" t="str">
        <f aca="false">IFERROR(INDEX(CSV貼付B!$N$5:$N$1004,MATCH(ROW()-4,$O$5:$O$1004,0)),"")</f>
        <v/>
      </c>
      <c r="Q5" s="0" t="str">
        <f aca="false">IF(ROW()-4&lt;=MAX($M$5:$M$1004),IFERROR(INDEX($N$5:$N$1004,ROW()-4),""),IFERROR(INDEX($P$5:$P$1004,ROW()-4-MAX($M$5:$M$1004)),""))</f>
        <v/>
      </c>
    </row>
    <row r="6" customFormat="false" ht="21.75" hidden="false" customHeight="true" outlineLevel="0" collapsed="false">
      <c r="B6" s="56" t="s">
        <v>76</v>
      </c>
      <c r="C6" s="64"/>
      <c r="D6" s="64"/>
      <c r="E6" s="64"/>
      <c r="F6" s="65" t="str">
        <f aca="false">IF(COUNT(C6:E6)=0,"",SUM(C6:E6))</f>
        <v/>
      </c>
      <c r="M6" s="0" t="str">
        <f aca="false">IF(CSV貼付A!$N6="","",IF(COUNTIF($B$37:$B$48,CSV貼付A!$H6)&gt;0,"",IF(SUMPRODUCT((CSV貼付A!$N$5:$N6=CSV貼付A!$N6)*(COUNTIF($B$37:$B$48,CSV貼付A!$H$5:$H6)=0))&gt;1,"",MAX($M$4:M5)+1)))</f>
        <v/>
      </c>
      <c r="N6" s="0" t="str">
        <f aca="false">IFERROR(INDEX(CSV貼付A!$N$5:$N$1004,MATCH(ROW()-4,$M$5:$M$1004,0)),"")</f>
        <v/>
      </c>
      <c r="O6" s="0" t="str">
        <f aca="false">IF(CSV貼付B!$N6="","",IF(COUNTIF($B$37:$B$48,CSV貼付B!$H6)&gt;0,"",IF(SUMPRODUCT((CSV貼付B!$N$5:$N6=CSV貼付B!$N6)*(COUNTIF($B$37:$B$48,CSV貼付B!$H$5:$H6)=0))&gt;1,"",MAX($O$4:O5)+1)))</f>
        <v/>
      </c>
      <c r="P6" s="0" t="str">
        <f aca="false">IFERROR(INDEX(CSV貼付B!$N$5:$N$1004,MATCH(ROW()-4,$O$5:$O$1004,0)),"")</f>
        <v/>
      </c>
      <c r="Q6" s="0" t="str">
        <f aca="false">IF(ROW()-4&lt;=MAX($M$5:$M$1004),IFERROR(INDEX($N$5:$N$1004,ROW()-4),""),IFERROR(INDEX($P$5:$P$1004,ROW()-4-MAX($M$5:$M$1004)),""))</f>
        <v/>
      </c>
    </row>
    <row r="7" customFormat="false" ht="6" hidden="false" customHeight="true" outlineLevel="0" collapsed="false">
      <c r="M7" s="0" t="str">
        <f aca="false">IF(CSV貼付A!$N7="","",IF(COUNTIF($B$37:$B$48,CSV貼付A!$H7)&gt;0,"",IF(SUMPRODUCT((CSV貼付A!$N$5:$N7=CSV貼付A!$N7)*(COUNTIF($B$37:$B$48,CSV貼付A!$H$5:$H7)=0))&gt;1,"",MAX($M$4:M6)+1)))</f>
        <v/>
      </c>
      <c r="N7" s="0" t="str">
        <f aca="false">IFERROR(INDEX(CSV貼付A!$N$5:$N$1004,MATCH(ROW()-4,$M$5:$M$1004,0)),"")</f>
        <v/>
      </c>
      <c r="O7" s="0" t="str">
        <f aca="false">IF(CSV貼付B!$N7="","",IF(COUNTIF($B$37:$B$48,CSV貼付B!$H7)&gt;0,"",IF(SUMPRODUCT((CSV貼付B!$N$5:$N7=CSV貼付B!$N7)*(COUNTIF($B$37:$B$48,CSV貼付B!$H$5:$H7)=0))&gt;1,"",MAX($O$4:O6)+1)))</f>
        <v/>
      </c>
      <c r="P7" s="0" t="str">
        <f aca="false">IFERROR(INDEX(CSV貼付B!$N$5:$N$1004,MATCH(ROW()-4,$O$5:$O$1004,0)),"")</f>
        <v/>
      </c>
      <c r="Q7" s="0" t="str">
        <f aca="false">IF(ROW()-4&lt;=MAX($M$5:$M$1004),IFERROR(INDEX($N$5:$N$1004,ROW()-4),""),IFERROR(INDEX($P$5:$P$1004,ROW()-4-MAX($M$5:$M$1004)),""))</f>
        <v/>
      </c>
    </row>
    <row r="8" customFormat="false" ht="21.75" hidden="false" customHeight="true" outlineLevel="0" collapsed="false">
      <c r="B8" s="56" t="s">
        <v>77</v>
      </c>
      <c r="C8" s="57" t="str">
        <f aca="false">IF(CSV貼付B!$N$5="","",IF(IFERROR(IF(AND(IF(VALUE(CSV貼付B!$D$5)&lt;19000101,INT(VALUE(CSV貼付B!$D$5)),DATEVALUE(TEXT(VALUE(CSV貼付B!$D$5),"0000-00-00")))&gt;=36526,IF(VALUE(CSV貼付B!$D$5)&lt;19000101,INT(VALUE(CSV貼付B!$D$5)),DATEVALUE(TEXT(VALUE(CSV貼付B!$D$5),"0000-00-00")))&lt;=73415),IF(VALUE(CSV貼付B!$D$5)&lt;19000101,INT(VALUE(CSV貼付B!$D$5)),DATEVALUE(TEXT(VALUE(CSV貼付B!$D$5),"0000-00-00"))),-1),-1)=-1,"",IFERROR(IF(AND(IF(VALUE(CSV貼付B!$D$5)&lt;19000101,INT(VALUE(CSV貼付B!$D$5)),DATEVALUE(TEXT(VALUE(CSV貼付B!$D$5),"0000-00-00")))&gt;=36526,IF(VALUE(CSV貼付B!$D$5)&lt;19000101,INT(VALUE(CSV貼付B!$D$5)),DATEVALUE(TEXT(VALUE(CSV貼付B!$D$5),"0000-00-00")))&lt;=73415),IF(VALUE(CSV貼付B!$D$5)&lt;19000101,INT(VALUE(CSV貼付B!$D$5)),DATEVALUE(TEXT(VALUE(CSV貼付B!$D$5),"0000-00-00"))),-1),-1)))</f>
        <v/>
      </c>
      <c r="D8" s="57" t="str">
        <f aca="false">IF(OR($C$8="",$I$8="",$I$8&lt;$C$8),"",$C$8+1)</f>
        <v/>
      </c>
      <c r="E8" s="57" t="str">
        <f aca="false">IF(OR($C$8="",$I$8="",$I$8&lt;$C$8),"",$C$8+2)</f>
        <v/>
      </c>
      <c r="F8" s="57" t="str">
        <f aca="false">IF(OR($C$8="",$I$8="",$I$8&lt;$C$8),"",$C$8+3)</f>
        <v/>
      </c>
      <c r="G8" s="57" t="str">
        <f aca="false">IF(OR($C$8="",$I$8="",$I$8&lt;$C$8),"",$C$8+4)</f>
        <v/>
      </c>
      <c r="H8" s="57" t="str">
        <f aca="false">IF(OR($C$8="",$I$8="",$I$8&lt;$C$8),"",$C$8+5)</f>
        <v/>
      </c>
      <c r="I8" s="57" t="str">
        <f aca="false">IF(CSV貼付B!$N$5="","",IF(IFERROR(IF(AND(IF(VALUE(CSV貼付B!$E$5)&lt;19000101,INT(VALUE(CSV貼付B!$E$5)),DATEVALUE(TEXT(VALUE(CSV貼付B!$E$5),"0000-00-00")))&gt;=36526,IF(VALUE(CSV貼付B!$E$5)&lt;19000101,INT(VALUE(CSV貼付B!$E$5)),DATEVALUE(TEXT(VALUE(CSV貼付B!$E$5),"0000-00-00")))&lt;=73415),IF(VALUE(CSV貼付B!$E$5)&lt;19000101,INT(VALUE(CSV貼付B!$E$5)),DATEVALUE(TEXT(VALUE(CSV貼付B!$E$5),"0000-00-00"))),-1),-1)=-1,"",IFERROR(IF(AND(IF(VALUE(CSV貼付B!$E$5)&lt;19000101,INT(VALUE(CSV貼付B!$E$5)),DATEVALUE(TEXT(VALUE(CSV貼付B!$E$5),"0000-00-00")))&gt;=36526,IF(VALUE(CSV貼付B!$E$5)&lt;19000101,INT(VALUE(CSV貼付B!$E$5)),DATEVALUE(TEXT(VALUE(CSV貼付B!$E$5),"0000-00-00")))&lt;=73415),IF(VALUE(CSV貼付B!$E$5)&lt;19000101,INT(VALUE(CSV貼付B!$E$5)),DATEVALUE(TEXT(VALUE(CSV貼付B!$E$5),"0000-00-00"))),-1),-1)))</f>
        <v/>
      </c>
      <c r="M8" s="0" t="str">
        <f aca="false">IF(CSV貼付A!$N8="","",IF(COUNTIF($B$37:$B$48,CSV貼付A!$H8)&gt;0,"",IF(SUMPRODUCT((CSV貼付A!$N$5:$N8=CSV貼付A!$N8)*(COUNTIF($B$37:$B$48,CSV貼付A!$H$5:$H8)=0))&gt;1,"",MAX($M$4:M7)+1)))</f>
        <v/>
      </c>
      <c r="N8" s="0" t="str">
        <f aca="false">IFERROR(INDEX(CSV貼付A!$N$5:$N$1004,MATCH(ROW()-4,$M$5:$M$1004,0)),"")</f>
        <v/>
      </c>
      <c r="O8" s="0" t="str">
        <f aca="false">IF(CSV貼付B!$N8="","",IF(COUNTIF($B$37:$B$48,CSV貼付B!$H8)&gt;0,"",IF(SUMPRODUCT((CSV貼付B!$N$5:$N8=CSV貼付B!$N8)*(COUNTIF($B$37:$B$48,CSV貼付B!$H$5:$H8)=0))&gt;1,"",MAX($O$4:O7)+1)))</f>
        <v/>
      </c>
      <c r="P8" s="0" t="str">
        <f aca="false">IFERROR(INDEX(CSV貼付B!$N$5:$N$1004,MATCH(ROW()-4,$O$5:$O$1004,0)),"")</f>
        <v/>
      </c>
      <c r="Q8" s="0" t="str">
        <f aca="false">IF(ROW()-4&lt;=MAX($M$5:$M$1004),IFERROR(INDEX($N$5:$N$1004,ROW()-4),""),IFERROR(INDEX($P$5:$P$1004,ROW()-4-MAX($M$5:$M$1004)),""))</f>
        <v/>
      </c>
    </row>
    <row r="9" customFormat="false" ht="15.75" hidden="false" customHeight="true" outlineLevel="0" collapsed="false">
      <c r="B9" s="61" t="s">
        <v>74</v>
      </c>
      <c r="C9" s="62" t="str">
        <f aca="false">IF(C$8="","",CHOOSE(WEEKDAY(C$8),"日","月","火","水","木","金","土"))</f>
        <v/>
      </c>
      <c r="D9" s="62" t="str">
        <f aca="false">IF(D$8="","",CHOOSE(WEEKDAY(D$8),"日","月","火","水","木","金","土"))</f>
        <v/>
      </c>
      <c r="E9" s="62" t="str">
        <f aca="false">IF(E$8="","",CHOOSE(WEEKDAY(E$8),"日","月","火","水","木","金","土"))</f>
        <v/>
      </c>
      <c r="F9" s="62" t="str">
        <f aca="false">IF(F$8="","",CHOOSE(WEEKDAY(F$8),"日","月","火","水","木","金","土"))</f>
        <v/>
      </c>
      <c r="G9" s="62" t="str">
        <f aca="false">IF(G$8="","",CHOOSE(WEEKDAY(G$8),"日","月","火","水","木","金","土"))</f>
        <v/>
      </c>
      <c r="H9" s="62" t="str">
        <f aca="false">IF(H$8="","",CHOOSE(WEEKDAY(H$8),"日","月","火","水","木","金","土"))</f>
        <v/>
      </c>
      <c r="I9" s="62" t="str">
        <f aca="false">IF(I$8="","",CHOOSE(WEEKDAY(I$8),"日","月","火","水","木","金","土"))</f>
        <v/>
      </c>
      <c r="J9" s="63" t="s">
        <v>78</v>
      </c>
      <c r="M9" s="0" t="str">
        <f aca="false">IF(CSV貼付A!$N9="","",IF(COUNTIF($B$37:$B$48,CSV貼付A!$H9)&gt;0,"",IF(SUMPRODUCT((CSV貼付A!$N$5:$N9=CSV貼付A!$N9)*(COUNTIF($B$37:$B$48,CSV貼付A!$H$5:$H9)=0))&gt;1,"",MAX($M$4:M8)+1)))</f>
        <v/>
      </c>
      <c r="N9" s="0" t="str">
        <f aca="false">IFERROR(INDEX(CSV貼付A!$N$5:$N$1004,MATCH(ROW()-4,$M$5:$M$1004,0)),"")</f>
        <v/>
      </c>
      <c r="O9" s="0" t="str">
        <f aca="false">IF(CSV貼付B!$N9="","",IF(COUNTIF($B$37:$B$48,CSV貼付B!$H9)&gt;0,"",IF(SUMPRODUCT((CSV貼付B!$N$5:$N9=CSV貼付B!$N9)*(COUNTIF($B$37:$B$48,CSV貼付B!$H$5:$H9)=0))&gt;1,"",MAX($O$4:O8)+1)))</f>
        <v/>
      </c>
      <c r="P9" s="0" t="str">
        <f aca="false">IFERROR(INDEX(CSV貼付B!$N$5:$N$1004,MATCH(ROW()-4,$O$5:$O$1004,0)),"")</f>
        <v/>
      </c>
      <c r="Q9" s="0" t="str">
        <f aca="false">IF(ROW()-4&lt;=MAX($M$5:$M$1004),IFERROR(INDEX($N$5:$N$1004,ROW()-4),""),IFERROR(INDEX($P$5:$P$1004,ROW()-4-MAX($M$5:$M$1004)),""))</f>
        <v/>
      </c>
    </row>
    <row r="10" customFormat="false" ht="21.75" hidden="false" customHeight="true" outlineLevel="0" collapsed="false">
      <c r="B10" s="56" t="s">
        <v>76</v>
      </c>
      <c r="C10" s="64"/>
      <c r="D10" s="64"/>
      <c r="E10" s="64"/>
      <c r="F10" s="64"/>
      <c r="G10" s="64"/>
      <c r="H10" s="64"/>
      <c r="I10" s="64"/>
      <c r="J10" s="65" t="str">
        <f aca="false">IF(COUNT(C10:I10)=0,"",SUM(C10:I10))</f>
        <v/>
      </c>
      <c r="M10" s="0" t="str">
        <f aca="false">IF(CSV貼付A!$N10="","",IF(COUNTIF($B$37:$B$48,CSV貼付A!$H10)&gt;0,"",IF(SUMPRODUCT((CSV貼付A!$N$5:$N10=CSV貼付A!$N10)*(COUNTIF($B$37:$B$48,CSV貼付A!$H$5:$H10)=0))&gt;1,"",MAX($M$4:M9)+1)))</f>
        <v/>
      </c>
      <c r="N10" s="0" t="str">
        <f aca="false">IFERROR(INDEX(CSV貼付A!$N$5:$N$1004,MATCH(ROW()-4,$M$5:$M$1004,0)),"")</f>
        <v/>
      </c>
      <c r="O10" s="0" t="str">
        <f aca="false">IF(CSV貼付B!$N10="","",IF(COUNTIF($B$37:$B$48,CSV貼付B!$H10)&gt;0,"",IF(SUMPRODUCT((CSV貼付B!$N$5:$N10=CSV貼付B!$N10)*(COUNTIF($B$37:$B$48,CSV貼付B!$H$5:$H10)=0))&gt;1,"",MAX($O$4:O9)+1)))</f>
        <v/>
      </c>
      <c r="P10" s="0" t="str">
        <f aca="false">IFERROR(INDEX(CSV貼付B!$N$5:$N$1004,MATCH(ROW()-4,$O$5:$O$1004,0)),"")</f>
        <v/>
      </c>
      <c r="Q10" s="0" t="str">
        <f aca="false">IF(ROW()-4&lt;=MAX($M$5:$M$1004),IFERROR(INDEX($N$5:$N$1004,ROW()-4),""),IFERROR(INDEX($P$5:$P$1004,ROW()-4-MAX($M$5:$M$1004)),""))</f>
        <v/>
      </c>
    </row>
    <row r="11" customFormat="false" ht="15.75" hidden="false" customHeight="true" outlineLevel="0" collapsed="false">
      <c r="B11" s="66" t="str">
        <f aca="false">IF(CSV貼付B!$N$5="","CSV貼付B:（未貼付）","CSV貼付B: "&amp;COUNTA(CSV貼付B!$N$5:$N$1004)&amp;"行｜"&amp;IF(CSV貼付B!$N$4&lt;&gt;"商品名","⚠ 貼付位置ズレ（5行目のA列から貼り直し）",IF(CSV貼付B!$A$5="タイトル","⚠ ヘッダー行ごと貼付（1行目を除いて貼り直し）",IF(OR($C$8="",$I$8=""),"⚠ 対象期間を読み取れません（CSVのD/E列を確認）",IF($I$8&lt;$C$8,"⚠ 対象期間が逆転しています（CSVのD/E列を確認）",TRIM(IF($I$8-$C$8&lt;&gt;6,"⚠ "&amp;($I$8-$C$8+1)&amp;"日分のCSVです（期間Bは金〜木7日想定）","✔ "&amp;($I$8-$C$8+1)&amp;"日間")&amp;" "&amp;IF(SUMPRODUCT((CSV貼付B!$D$5:$D$1004&lt;&gt;"")*(CSV貼付B!$D$5:$D$1004&lt;&gt;CSV貼付B!$D$5))+SUMPRODUCT((CSV貼付B!$E$5:$E$1004&lt;&gt;"")*(CSV貼付B!$E$5:$E$1004&lt;&gt;CSV貼付B!$E$5))&gt;0,"⚠ 別期間の行が混ざっています（前回分を削除して貼り直し）","")&amp;" "&amp;IF(WEEKDAY($C$8)&lt;&gt;6,"※開始が金曜以外","")))))))</f>
        <v>CSV貼付B:（未貼付）</v>
      </c>
      <c r="C11" s="66"/>
      <c r="D11" s="66"/>
      <c r="E11" s="66"/>
      <c r="F11" s="66"/>
      <c r="G11" s="66"/>
      <c r="H11" s="66"/>
      <c r="I11" s="66"/>
      <c r="J11" s="66"/>
      <c r="K11" s="66"/>
      <c r="M11" s="0" t="str">
        <f aca="false">IF(CSV貼付A!$N11="","",IF(COUNTIF($B$37:$B$48,CSV貼付A!$H11)&gt;0,"",IF(SUMPRODUCT((CSV貼付A!$N$5:$N11=CSV貼付A!$N11)*(COUNTIF($B$37:$B$48,CSV貼付A!$H$5:$H11)=0))&gt;1,"",MAX($M$4:M10)+1)))</f>
        <v/>
      </c>
      <c r="N11" s="0" t="str">
        <f aca="false">IFERROR(INDEX(CSV貼付A!$N$5:$N$1004,MATCH(ROW()-4,$M$5:$M$1004,0)),"")</f>
        <v/>
      </c>
      <c r="O11" s="0" t="str">
        <f aca="false">IF(CSV貼付B!$N11="","",IF(COUNTIF($B$37:$B$48,CSV貼付B!$H11)&gt;0,"",IF(SUMPRODUCT((CSV貼付B!$N$5:$N11=CSV貼付B!$N11)*(COUNTIF($B$37:$B$48,CSV貼付B!$H$5:$H11)=0))&gt;1,"",MAX($O$4:O10)+1)))</f>
        <v/>
      </c>
      <c r="P11" s="0" t="str">
        <f aca="false">IFERROR(INDEX(CSV貼付B!$N$5:$N$1004,MATCH(ROW()-4,$O$5:$O$1004,0)),"")</f>
        <v/>
      </c>
      <c r="Q11" s="0" t="str">
        <f aca="false">IF(ROW()-4&lt;=MAX($M$5:$M$1004),IFERROR(INDEX($N$5:$N$1004,ROW()-4),""),IFERROR(INDEX($P$5:$P$1004,ROW()-4-MAX($M$5:$M$1004)),""))</f>
        <v/>
      </c>
    </row>
    <row r="12" customFormat="false" ht="6" hidden="false" customHeight="true" outlineLevel="0" collapsed="false">
      <c r="M12" s="0" t="str">
        <f aca="false">IF(CSV貼付A!$N12="","",IF(COUNTIF($B$37:$B$48,CSV貼付A!$H12)&gt;0,"",IF(SUMPRODUCT((CSV貼付A!$N$5:$N12=CSV貼付A!$N12)*(COUNTIF($B$37:$B$48,CSV貼付A!$H$5:$H12)=0))&gt;1,"",MAX($M$4:M11)+1)))</f>
        <v/>
      </c>
      <c r="N12" s="0" t="str">
        <f aca="false">IFERROR(INDEX(CSV貼付A!$N$5:$N$1004,MATCH(ROW()-4,$M$5:$M$1004,0)),"")</f>
        <v/>
      </c>
      <c r="O12" s="0" t="str">
        <f aca="false">IF(CSV貼付B!$N12="","",IF(COUNTIF($B$37:$B$48,CSV貼付B!$H12)&gt;0,"",IF(SUMPRODUCT((CSV貼付B!$N$5:$N12=CSV貼付B!$N12)*(COUNTIF($B$37:$B$48,CSV貼付B!$H$5:$H12)=0))&gt;1,"",MAX($O$4:O11)+1)))</f>
        <v/>
      </c>
      <c r="P12" s="0" t="str">
        <f aca="false">IFERROR(INDEX(CSV貼付B!$N$5:$N$1004,MATCH(ROW()-4,$O$5:$O$1004,0)),"")</f>
        <v/>
      </c>
      <c r="Q12" s="0" t="str">
        <f aca="false">IF(ROW()-4&lt;=MAX($M$5:$M$1004),IFERROR(INDEX($N$5:$N$1004,ROW()-4),""),IFERROR(INDEX($P$5:$P$1004,ROW()-4-MAX($M$5:$M$1004)),""))</f>
        <v/>
      </c>
    </row>
    <row r="13" customFormat="false" ht="30" hidden="false" customHeight="true" outlineLevel="0" collapsed="false">
      <c r="A13" s="27" t="s">
        <v>50</v>
      </c>
      <c r="B13" s="28" t="s">
        <v>79</v>
      </c>
      <c r="C13" s="28" t="s">
        <v>80</v>
      </c>
      <c r="D13" s="28" t="s">
        <v>81</v>
      </c>
      <c r="K13" s="28" t="s">
        <v>82</v>
      </c>
      <c r="M13" s="0" t="str">
        <f aca="false">IF(CSV貼付A!$N13="","",IF(COUNTIF($B$37:$B$48,CSV貼付A!$H13)&gt;0,"",IF(SUMPRODUCT((CSV貼付A!$N$5:$N13=CSV貼付A!$N13)*(COUNTIF($B$37:$B$48,CSV貼付A!$H$5:$H13)=0))&gt;1,"",MAX($M$4:M12)+1)))</f>
        <v/>
      </c>
      <c r="N13" s="0" t="str">
        <f aca="false">IFERROR(INDEX(CSV貼付A!$N$5:$N$1004,MATCH(ROW()-4,$M$5:$M$1004,0)),"")</f>
        <v/>
      </c>
      <c r="O13" s="0" t="str">
        <f aca="false">IF(CSV貼付B!$N13="","",IF(COUNTIF($B$37:$B$48,CSV貼付B!$H13)&gt;0,"",IF(SUMPRODUCT((CSV貼付B!$N$5:$N13=CSV貼付B!$N13)*(COUNTIF($B$37:$B$48,CSV貼付B!$H$5:$H13)=0))&gt;1,"",MAX($O$4:O12)+1)))</f>
        <v/>
      </c>
      <c r="P13" s="0" t="str">
        <f aca="false">IFERROR(INDEX(CSV貼付B!$N$5:$N$1004,MATCH(ROW()-4,$O$5:$O$1004,0)),"")</f>
        <v/>
      </c>
      <c r="Q13" s="0" t="str">
        <f aca="false">IF(ROW()-4&lt;=MAX($M$5:$M$1004),IFERROR(INDEX($N$5:$N$1004,ROW()-4),""),IFERROR(INDEX($P$5:$P$1004,ROW()-4-MAX($M$5:$M$1004)),""))</f>
        <v/>
      </c>
    </row>
    <row r="14" customFormat="false" ht="19.5" hidden="false" customHeight="true" outlineLevel="0" collapsed="false">
      <c r="A14" s="30" t="n">
        <v>1</v>
      </c>
      <c r="B14" s="67" t="s">
        <v>83</v>
      </c>
      <c r="C14" s="68" t="n">
        <f aca="false">IF($B14="","",SUMIF(CSV貼付A!$N$5:$N$1004,$B14,CSV貼付A!$AA$5:$AA$1004))</f>
        <v>0</v>
      </c>
      <c r="D14" s="68" t="n">
        <f aca="false">IF($B14="","",SUMIF(CSV貼付B!$N$5:$N$1004,$B14,CSV貼付B!$AA$5:$AA$1004))</f>
        <v>0</v>
      </c>
      <c r="K14" s="69"/>
      <c r="M14" s="0" t="str">
        <f aca="false">IF(CSV貼付A!$N14="","",IF(COUNTIF($B$37:$B$48,CSV貼付A!$H14)&gt;0,"",IF(SUMPRODUCT((CSV貼付A!$N$5:$N14=CSV貼付A!$N14)*(COUNTIF($B$37:$B$48,CSV貼付A!$H$5:$H14)=0))&gt;1,"",MAX($M$4:M13)+1)))</f>
        <v/>
      </c>
      <c r="N14" s="0" t="str">
        <f aca="false">IFERROR(INDEX(CSV貼付A!$N$5:$N$1004,MATCH(ROW()-4,$M$5:$M$1004,0)),"")</f>
        <v/>
      </c>
      <c r="O14" s="0" t="str">
        <f aca="false">IF(CSV貼付B!$N14="","",IF(COUNTIF($B$37:$B$48,CSV貼付B!$H14)&gt;0,"",IF(SUMPRODUCT((CSV貼付B!$N$5:$N14=CSV貼付B!$N14)*(COUNTIF($B$37:$B$48,CSV貼付B!$H$5:$H14)=0))&gt;1,"",MAX($O$4:O13)+1)))</f>
        <v/>
      </c>
      <c r="P14" s="0" t="str">
        <f aca="false">IFERROR(INDEX(CSV貼付B!$N$5:$N$1004,MATCH(ROW()-4,$O$5:$O$1004,0)),"")</f>
        <v/>
      </c>
      <c r="Q14" s="0" t="str">
        <f aca="false">IF(ROW()-4&lt;=MAX($M$5:$M$1004),IFERROR(INDEX($N$5:$N$1004,ROW()-4),""),IFERROR(INDEX($P$5:$P$1004,ROW()-4-MAX($M$5:$M$1004)),""))</f>
        <v/>
      </c>
    </row>
    <row r="15" customFormat="false" ht="19.5" hidden="false" customHeight="true" outlineLevel="0" collapsed="false">
      <c r="A15" s="30" t="n">
        <v>2</v>
      </c>
      <c r="B15" s="67" t="s">
        <v>84</v>
      </c>
      <c r="C15" s="38" t="n">
        <f aca="false">IF($B15="","",SUMIF(CSV貼付A!$N$5:$N$1004,$B15,CSV貼付A!$AA$5:$AA$1004))</f>
        <v>0</v>
      </c>
      <c r="D15" s="38" t="n">
        <f aca="false">IF($B15="","",SUMIF(CSV貼付B!$N$5:$N$1004,$B15,CSV貼付B!$AA$5:$AA$1004))</f>
        <v>0</v>
      </c>
      <c r="K15" s="69"/>
      <c r="M15" s="0" t="str">
        <f aca="false">IF(CSV貼付A!$N15="","",IF(COUNTIF($B$37:$B$48,CSV貼付A!$H15)&gt;0,"",IF(SUMPRODUCT((CSV貼付A!$N$5:$N15=CSV貼付A!$N15)*(COUNTIF($B$37:$B$48,CSV貼付A!$H$5:$H15)=0))&gt;1,"",MAX($M$4:M14)+1)))</f>
        <v/>
      </c>
      <c r="N15" s="0" t="str">
        <f aca="false">IFERROR(INDEX(CSV貼付A!$N$5:$N$1004,MATCH(ROW()-4,$M$5:$M$1004,0)),"")</f>
        <v/>
      </c>
      <c r="O15" s="0" t="str">
        <f aca="false">IF(CSV貼付B!$N15="","",IF(COUNTIF($B$37:$B$48,CSV貼付B!$H15)&gt;0,"",IF(SUMPRODUCT((CSV貼付B!$N$5:$N15=CSV貼付B!$N15)*(COUNTIF($B$37:$B$48,CSV貼付B!$H$5:$H15)=0))&gt;1,"",MAX($O$4:O14)+1)))</f>
        <v/>
      </c>
      <c r="P15" s="0" t="str">
        <f aca="false">IFERROR(INDEX(CSV貼付B!$N$5:$N$1004,MATCH(ROW()-4,$O$5:$O$1004,0)),"")</f>
        <v/>
      </c>
      <c r="Q15" s="0" t="str">
        <f aca="false">IF(ROW()-4&lt;=MAX($M$5:$M$1004),IFERROR(INDEX($N$5:$N$1004,ROW()-4),""),IFERROR(INDEX($P$5:$P$1004,ROW()-4-MAX($M$5:$M$1004)),""))</f>
        <v/>
      </c>
    </row>
    <row r="16" customFormat="false" ht="19.5" hidden="false" customHeight="true" outlineLevel="0" collapsed="false">
      <c r="A16" s="30" t="n">
        <v>3</v>
      </c>
      <c r="B16" s="67" t="s">
        <v>85</v>
      </c>
      <c r="C16" s="68" t="n">
        <f aca="false">IF($B16="","",SUMIF(CSV貼付A!$N$5:$N$1004,$B16,CSV貼付A!$AA$5:$AA$1004))</f>
        <v>0</v>
      </c>
      <c r="D16" s="68" t="n">
        <f aca="false">IF($B16="","",SUMIF(CSV貼付B!$N$5:$N$1004,$B16,CSV貼付B!$AA$5:$AA$1004))</f>
        <v>0</v>
      </c>
      <c r="K16" s="69"/>
      <c r="M16" s="0" t="str">
        <f aca="false">IF(CSV貼付A!$N16="","",IF(COUNTIF($B$37:$B$48,CSV貼付A!$H16)&gt;0,"",IF(SUMPRODUCT((CSV貼付A!$N$5:$N16=CSV貼付A!$N16)*(COUNTIF($B$37:$B$48,CSV貼付A!$H$5:$H16)=0))&gt;1,"",MAX($M$4:M15)+1)))</f>
        <v/>
      </c>
      <c r="N16" s="0" t="str">
        <f aca="false">IFERROR(INDEX(CSV貼付A!$N$5:$N$1004,MATCH(ROW()-4,$M$5:$M$1004,0)),"")</f>
        <v/>
      </c>
      <c r="O16" s="0" t="str">
        <f aca="false">IF(CSV貼付B!$N16="","",IF(COUNTIF($B$37:$B$48,CSV貼付B!$H16)&gt;0,"",IF(SUMPRODUCT((CSV貼付B!$N$5:$N16=CSV貼付B!$N16)*(COUNTIF($B$37:$B$48,CSV貼付B!$H$5:$H16)=0))&gt;1,"",MAX($O$4:O15)+1)))</f>
        <v/>
      </c>
      <c r="P16" s="0" t="str">
        <f aca="false">IFERROR(INDEX(CSV貼付B!$N$5:$N$1004,MATCH(ROW()-4,$O$5:$O$1004,0)),"")</f>
        <v/>
      </c>
      <c r="Q16" s="0" t="str">
        <f aca="false">IF(ROW()-4&lt;=MAX($M$5:$M$1004),IFERROR(INDEX($N$5:$N$1004,ROW()-4),""),IFERROR(INDEX($P$5:$P$1004,ROW()-4-MAX($M$5:$M$1004)),""))</f>
        <v/>
      </c>
    </row>
    <row r="17" customFormat="false" ht="19.5" hidden="false" customHeight="true" outlineLevel="0" collapsed="false">
      <c r="A17" s="30" t="n">
        <v>4</v>
      </c>
      <c r="B17" s="67" t="s">
        <v>86</v>
      </c>
      <c r="C17" s="38" t="n">
        <f aca="false">IF($B17="","",SUMIF(CSV貼付A!$N$5:$N$1004,$B17,CSV貼付A!$AA$5:$AA$1004))</f>
        <v>0</v>
      </c>
      <c r="D17" s="38" t="n">
        <f aca="false">IF($B17="","",SUMIF(CSV貼付B!$N$5:$N$1004,$B17,CSV貼付B!$AA$5:$AA$1004))</f>
        <v>0</v>
      </c>
      <c r="K17" s="69"/>
      <c r="M17" s="0" t="str">
        <f aca="false">IF(CSV貼付A!$N17="","",IF(COUNTIF($B$37:$B$48,CSV貼付A!$H17)&gt;0,"",IF(SUMPRODUCT((CSV貼付A!$N$5:$N17=CSV貼付A!$N17)*(COUNTIF($B$37:$B$48,CSV貼付A!$H$5:$H17)=0))&gt;1,"",MAX($M$4:M16)+1)))</f>
        <v/>
      </c>
      <c r="N17" s="0" t="str">
        <f aca="false">IFERROR(INDEX(CSV貼付A!$N$5:$N$1004,MATCH(ROW()-4,$M$5:$M$1004,0)),"")</f>
        <v/>
      </c>
      <c r="O17" s="0" t="str">
        <f aca="false">IF(CSV貼付B!$N17="","",IF(COUNTIF($B$37:$B$48,CSV貼付B!$H17)&gt;0,"",IF(SUMPRODUCT((CSV貼付B!$N$5:$N17=CSV貼付B!$N17)*(COUNTIF($B$37:$B$48,CSV貼付B!$H$5:$H17)=0))&gt;1,"",MAX($O$4:O16)+1)))</f>
        <v/>
      </c>
      <c r="P17" s="0" t="str">
        <f aca="false">IFERROR(INDEX(CSV貼付B!$N$5:$N$1004,MATCH(ROW()-4,$O$5:$O$1004,0)),"")</f>
        <v/>
      </c>
      <c r="Q17" s="0" t="str">
        <f aca="false">IF(ROW()-4&lt;=MAX($M$5:$M$1004),IFERROR(INDEX($N$5:$N$1004,ROW()-4),""),IFERROR(INDEX($P$5:$P$1004,ROW()-4-MAX($M$5:$M$1004)),""))</f>
        <v/>
      </c>
    </row>
    <row r="18" customFormat="false" ht="19.5" hidden="false" customHeight="true" outlineLevel="0" collapsed="false">
      <c r="A18" s="30" t="n">
        <v>5</v>
      </c>
      <c r="B18" s="67" t="s">
        <v>87</v>
      </c>
      <c r="C18" s="68" t="n">
        <f aca="false">IF($B18="","",SUMIF(CSV貼付A!$N$5:$N$1004,$B18,CSV貼付A!$AA$5:$AA$1004))</f>
        <v>0</v>
      </c>
      <c r="D18" s="68" t="n">
        <f aca="false">IF($B18="","",SUMIF(CSV貼付B!$N$5:$N$1004,$B18,CSV貼付B!$AA$5:$AA$1004))</f>
        <v>0</v>
      </c>
      <c r="K18" s="69"/>
      <c r="M18" s="0" t="str">
        <f aca="false">IF(CSV貼付A!$N18="","",IF(COUNTIF($B$37:$B$48,CSV貼付A!$H18)&gt;0,"",IF(SUMPRODUCT((CSV貼付A!$N$5:$N18=CSV貼付A!$N18)*(COUNTIF($B$37:$B$48,CSV貼付A!$H$5:$H18)=0))&gt;1,"",MAX($M$4:M17)+1)))</f>
        <v/>
      </c>
      <c r="N18" s="0" t="str">
        <f aca="false">IFERROR(INDEX(CSV貼付A!$N$5:$N$1004,MATCH(ROW()-4,$M$5:$M$1004,0)),"")</f>
        <v/>
      </c>
      <c r="O18" s="0" t="str">
        <f aca="false">IF(CSV貼付B!$N18="","",IF(COUNTIF($B$37:$B$48,CSV貼付B!$H18)&gt;0,"",IF(SUMPRODUCT((CSV貼付B!$N$5:$N18=CSV貼付B!$N18)*(COUNTIF($B$37:$B$48,CSV貼付B!$H$5:$H18)=0))&gt;1,"",MAX($O$4:O17)+1)))</f>
        <v/>
      </c>
      <c r="P18" s="0" t="str">
        <f aca="false">IFERROR(INDEX(CSV貼付B!$N$5:$N$1004,MATCH(ROW()-4,$O$5:$O$1004,0)),"")</f>
        <v/>
      </c>
      <c r="Q18" s="0" t="str">
        <f aca="false">IF(ROW()-4&lt;=MAX($M$5:$M$1004),IFERROR(INDEX($N$5:$N$1004,ROW()-4),""),IFERROR(INDEX($P$5:$P$1004,ROW()-4-MAX($M$5:$M$1004)),""))</f>
        <v/>
      </c>
    </row>
    <row r="19" customFormat="false" ht="19.5" hidden="false" customHeight="true" outlineLevel="0" collapsed="false">
      <c r="A19" s="30" t="n">
        <v>6</v>
      </c>
      <c r="B19" s="67" t="s">
        <v>88</v>
      </c>
      <c r="C19" s="38" t="n">
        <f aca="false">IF($B19="","",SUMIF(CSV貼付A!$N$5:$N$1004,$B19,CSV貼付A!$AA$5:$AA$1004))</f>
        <v>0</v>
      </c>
      <c r="D19" s="38" t="n">
        <f aca="false">IF($B19="","",SUMIF(CSV貼付B!$N$5:$N$1004,$B19,CSV貼付B!$AA$5:$AA$1004))</f>
        <v>0</v>
      </c>
      <c r="K19" s="69"/>
      <c r="M19" s="0" t="str">
        <f aca="false">IF(CSV貼付A!$N19="","",IF(COUNTIF($B$37:$B$48,CSV貼付A!$H19)&gt;0,"",IF(SUMPRODUCT((CSV貼付A!$N$5:$N19=CSV貼付A!$N19)*(COUNTIF($B$37:$B$48,CSV貼付A!$H$5:$H19)=0))&gt;1,"",MAX($M$4:M18)+1)))</f>
        <v/>
      </c>
      <c r="N19" s="0" t="str">
        <f aca="false">IFERROR(INDEX(CSV貼付A!$N$5:$N$1004,MATCH(ROW()-4,$M$5:$M$1004,0)),"")</f>
        <v/>
      </c>
      <c r="O19" s="0" t="str">
        <f aca="false">IF(CSV貼付B!$N19="","",IF(COUNTIF($B$37:$B$48,CSV貼付B!$H19)&gt;0,"",IF(SUMPRODUCT((CSV貼付B!$N$5:$N19=CSV貼付B!$N19)*(COUNTIF($B$37:$B$48,CSV貼付B!$H$5:$H19)=0))&gt;1,"",MAX($O$4:O18)+1)))</f>
        <v/>
      </c>
      <c r="P19" s="0" t="str">
        <f aca="false">IFERROR(INDEX(CSV貼付B!$N$5:$N$1004,MATCH(ROW()-4,$O$5:$O$1004,0)),"")</f>
        <v/>
      </c>
      <c r="Q19" s="0" t="str">
        <f aca="false">IF(ROW()-4&lt;=MAX($M$5:$M$1004),IFERROR(INDEX($N$5:$N$1004,ROW()-4),""),IFERROR(INDEX($P$5:$P$1004,ROW()-4-MAX($M$5:$M$1004)),""))</f>
        <v/>
      </c>
    </row>
    <row r="20" customFormat="false" ht="19.5" hidden="false" customHeight="true" outlineLevel="0" collapsed="false">
      <c r="A20" s="30" t="n">
        <v>7</v>
      </c>
      <c r="B20" s="67" t="s">
        <v>89</v>
      </c>
      <c r="C20" s="68" t="n">
        <f aca="false">IF($B20="","",SUMIF(CSV貼付A!$N$5:$N$1004,$B20,CSV貼付A!$AA$5:$AA$1004))</f>
        <v>0</v>
      </c>
      <c r="D20" s="68" t="n">
        <f aca="false">IF($B20="","",SUMIF(CSV貼付B!$N$5:$N$1004,$B20,CSV貼付B!$AA$5:$AA$1004))</f>
        <v>0</v>
      </c>
      <c r="K20" s="69"/>
      <c r="M20" s="0" t="str">
        <f aca="false">IF(CSV貼付A!$N20="","",IF(COUNTIF($B$37:$B$48,CSV貼付A!$H20)&gt;0,"",IF(SUMPRODUCT((CSV貼付A!$N$5:$N20=CSV貼付A!$N20)*(COUNTIF($B$37:$B$48,CSV貼付A!$H$5:$H20)=0))&gt;1,"",MAX($M$4:M19)+1)))</f>
        <v/>
      </c>
      <c r="N20" s="0" t="str">
        <f aca="false">IFERROR(INDEX(CSV貼付A!$N$5:$N$1004,MATCH(ROW()-4,$M$5:$M$1004,0)),"")</f>
        <v/>
      </c>
      <c r="O20" s="0" t="str">
        <f aca="false">IF(CSV貼付B!$N20="","",IF(COUNTIF($B$37:$B$48,CSV貼付B!$H20)&gt;0,"",IF(SUMPRODUCT((CSV貼付B!$N$5:$N20=CSV貼付B!$N20)*(COUNTIF($B$37:$B$48,CSV貼付B!$H$5:$H20)=0))&gt;1,"",MAX($O$4:O19)+1)))</f>
        <v/>
      </c>
      <c r="P20" s="0" t="str">
        <f aca="false">IFERROR(INDEX(CSV貼付B!$N$5:$N$1004,MATCH(ROW()-4,$O$5:$O$1004,0)),"")</f>
        <v/>
      </c>
      <c r="Q20" s="0" t="str">
        <f aca="false">IF(ROW()-4&lt;=MAX($M$5:$M$1004),IFERROR(INDEX($N$5:$N$1004,ROW()-4),""),IFERROR(INDEX($P$5:$P$1004,ROW()-4-MAX($M$5:$M$1004)),""))</f>
        <v/>
      </c>
    </row>
    <row r="21" customFormat="false" ht="19.5" hidden="false" customHeight="true" outlineLevel="0" collapsed="false">
      <c r="A21" s="30" t="n">
        <v>8</v>
      </c>
      <c r="B21" s="67" t="s">
        <v>90</v>
      </c>
      <c r="C21" s="38" t="n">
        <f aca="false">IF($B21="","",SUMIF(CSV貼付A!$N$5:$N$1004,$B21,CSV貼付A!$AA$5:$AA$1004))</f>
        <v>0</v>
      </c>
      <c r="D21" s="38" t="n">
        <f aca="false">IF($B21="","",SUMIF(CSV貼付B!$N$5:$N$1004,$B21,CSV貼付B!$AA$5:$AA$1004))</f>
        <v>0</v>
      </c>
      <c r="K21" s="69"/>
      <c r="M21" s="0" t="str">
        <f aca="false">IF(CSV貼付A!$N21="","",IF(COUNTIF($B$37:$B$48,CSV貼付A!$H21)&gt;0,"",IF(SUMPRODUCT((CSV貼付A!$N$5:$N21=CSV貼付A!$N21)*(COUNTIF($B$37:$B$48,CSV貼付A!$H$5:$H21)=0))&gt;1,"",MAX($M$4:M20)+1)))</f>
        <v/>
      </c>
      <c r="N21" s="0" t="str">
        <f aca="false">IFERROR(INDEX(CSV貼付A!$N$5:$N$1004,MATCH(ROW()-4,$M$5:$M$1004,0)),"")</f>
        <v/>
      </c>
      <c r="O21" s="0" t="str">
        <f aca="false">IF(CSV貼付B!$N21="","",IF(COUNTIF($B$37:$B$48,CSV貼付B!$H21)&gt;0,"",IF(SUMPRODUCT((CSV貼付B!$N$5:$N21=CSV貼付B!$N21)*(COUNTIF($B$37:$B$48,CSV貼付B!$H$5:$H21)=0))&gt;1,"",MAX($O$4:O20)+1)))</f>
        <v/>
      </c>
      <c r="P21" s="0" t="str">
        <f aca="false">IFERROR(INDEX(CSV貼付B!$N$5:$N$1004,MATCH(ROW()-4,$O$5:$O$1004,0)),"")</f>
        <v/>
      </c>
      <c r="Q21" s="0" t="str">
        <f aca="false">IF(ROW()-4&lt;=MAX($M$5:$M$1004),IFERROR(INDEX($N$5:$N$1004,ROW()-4),""),IFERROR(INDEX($P$5:$P$1004,ROW()-4-MAX($M$5:$M$1004)),""))</f>
        <v/>
      </c>
    </row>
    <row r="22" customFormat="false" ht="19.5" hidden="false" customHeight="true" outlineLevel="0" collapsed="false">
      <c r="A22" s="30" t="n">
        <v>9</v>
      </c>
      <c r="B22" s="67" t="s">
        <v>91</v>
      </c>
      <c r="C22" s="68" t="n">
        <f aca="false">IF($B22="","",SUMIF(CSV貼付A!$N$5:$N$1004,$B22,CSV貼付A!$AA$5:$AA$1004))</f>
        <v>0</v>
      </c>
      <c r="D22" s="68" t="n">
        <f aca="false">IF($B22="","",SUMIF(CSV貼付B!$N$5:$N$1004,$B22,CSV貼付B!$AA$5:$AA$1004))</f>
        <v>0</v>
      </c>
      <c r="K22" s="69"/>
      <c r="M22" s="0" t="str">
        <f aca="false">IF(CSV貼付A!$N22="","",IF(COUNTIF($B$37:$B$48,CSV貼付A!$H22)&gt;0,"",IF(SUMPRODUCT((CSV貼付A!$N$5:$N22=CSV貼付A!$N22)*(COUNTIF($B$37:$B$48,CSV貼付A!$H$5:$H22)=0))&gt;1,"",MAX($M$4:M21)+1)))</f>
        <v/>
      </c>
      <c r="N22" s="0" t="str">
        <f aca="false">IFERROR(INDEX(CSV貼付A!$N$5:$N$1004,MATCH(ROW()-4,$M$5:$M$1004,0)),"")</f>
        <v/>
      </c>
      <c r="O22" s="0" t="str">
        <f aca="false">IF(CSV貼付B!$N22="","",IF(COUNTIF($B$37:$B$48,CSV貼付B!$H22)&gt;0,"",IF(SUMPRODUCT((CSV貼付B!$N$5:$N22=CSV貼付B!$N22)*(COUNTIF($B$37:$B$48,CSV貼付B!$H$5:$H22)=0))&gt;1,"",MAX($O$4:O21)+1)))</f>
        <v/>
      </c>
      <c r="P22" s="0" t="str">
        <f aca="false">IFERROR(INDEX(CSV貼付B!$N$5:$N$1004,MATCH(ROW()-4,$O$5:$O$1004,0)),"")</f>
        <v/>
      </c>
      <c r="Q22" s="0" t="str">
        <f aca="false">IF(ROW()-4&lt;=MAX($M$5:$M$1004),IFERROR(INDEX($N$5:$N$1004,ROW()-4),""),IFERROR(INDEX($P$5:$P$1004,ROW()-4-MAX($M$5:$M$1004)),""))</f>
        <v/>
      </c>
    </row>
    <row r="23" customFormat="false" ht="19.5" hidden="false" customHeight="true" outlineLevel="0" collapsed="false">
      <c r="A23" s="30" t="n">
        <v>10</v>
      </c>
      <c r="B23" s="67" t="s">
        <v>92</v>
      </c>
      <c r="C23" s="38" t="n">
        <f aca="false">IF($B23="","",SUMIF(CSV貼付A!$N$5:$N$1004,$B23,CSV貼付A!$AA$5:$AA$1004))</f>
        <v>0</v>
      </c>
      <c r="D23" s="38" t="n">
        <f aca="false">IF($B23="","",SUMIF(CSV貼付B!$N$5:$N$1004,$B23,CSV貼付B!$AA$5:$AA$1004))</f>
        <v>0</v>
      </c>
      <c r="K23" s="69"/>
      <c r="M23" s="0" t="str">
        <f aca="false">IF(CSV貼付A!$N23="","",IF(COUNTIF($B$37:$B$48,CSV貼付A!$H23)&gt;0,"",IF(SUMPRODUCT((CSV貼付A!$N$5:$N23=CSV貼付A!$N23)*(COUNTIF($B$37:$B$48,CSV貼付A!$H$5:$H23)=0))&gt;1,"",MAX($M$4:M22)+1)))</f>
        <v/>
      </c>
      <c r="N23" s="0" t="str">
        <f aca="false">IFERROR(INDEX(CSV貼付A!$N$5:$N$1004,MATCH(ROW()-4,$M$5:$M$1004,0)),"")</f>
        <v/>
      </c>
      <c r="O23" s="0" t="str">
        <f aca="false">IF(CSV貼付B!$N23="","",IF(COUNTIF($B$37:$B$48,CSV貼付B!$H23)&gt;0,"",IF(SUMPRODUCT((CSV貼付B!$N$5:$N23=CSV貼付B!$N23)*(COUNTIF($B$37:$B$48,CSV貼付B!$H$5:$H23)=0))&gt;1,"",MAX($O$4:O22)+1)))</f>
        <v/>
      </c>
      <c r="P23" s="0" t="str">
        <f aca="false">IFERROR(INDEX(CSV貼付B!$N$5:$N$1004,MATCH(ROW()-4,$O$5:$O$1004,0)),"")</f>
        <v/>
      </c>
      <c r="Q23" s="0" t="str">
        <f aca="false">IF(ROW()-4&lt;=MAX($M$5:$M$1004),IFERROR(INDEX($N$5:$N$1004,ROW()-4),""),IFERROR(INDEX($P$5:$P$1004,ROW()-4-MAX($M$5:$M$1004)),""))</f>
        <v/>
      </c>
    </row>
    <row r="24" customFormat="false" ht="19.5" hidden="false" customHeight="true" outlineLevel="0" collapsed="false">
      <c r="A24" s="30" t="n">
        <v>11</v>
      </c>
      <c r="B24" s="67" t="s">
        <v>93</v>
      </c>
      <c r="C24" s="68" t="n">
        <f aca="false">IF($B24="","",SUMIF(CSV貼付A!$N$5:$N$1004,$B24,CSV貼付A!$AA$5:$AA$1004))</f>
        <v>0</v>
      </c>
      <c r="D24" s="68" t="n">
        <f aca="false">IF($B24="","",SUMIF(CSV貼付B!$N$5:$N$1004,$B24,CSV貼付B!$AA$5:$AA$1004))</f>
        <v>0</v>
      </c>
      <c r="K24" s="69"/>
      <c r="M24" s="0" t="str">
        <f aca="false">IF(CSV貼付A!$N24="","",IF(COUNTIF($B$37:$B$48,CSV貼付A!$H24)&gt;0,"",IF(SUMPRODUCT((CSV貼付A!$N$5:$N24=CSV貼付A!$N24)*(COUNTIF($B$37:$B$48,CSV貼付A!$H$5:$H24)=0))&gt;1,"",MAX($M$4:M23)+1)))</f>
        <v/>
      </c>
      <c r="N24" s="0" t="str">
        <f aca="false">IFERROR(INDEX(CSV貼付A!$N$5:$N$1004,MATCH(ROW()-4,$M$5:$M$1004,0)),"")</f>
        <v/>
      </c>
      <c r="O24" s="0" t="str">
        <f aca="false">IF(CSV貼付B!$N24="","",IF(COUNTIF($B$37:$B$48,CSV貼付B!$H24)&gt;0,"",IF(SUMPRODUCT((CSV貼付B!$N$5:$N24=CSV貼付B!$N24)*(COUNTIF($B$37:$B$48,CSV貼付B!$H$5:$H24)=0))&gt;1,"",MAX($O$4:O23)+1)))</f>
        <v/>
      </c>
      <c r="P24" s="0" t="str">
        <f aca="false">IFERROR(INDEX(CSV貼付B!$N$5:$N$1004,MATCH(ROW()-4,$O$5:$O$1004,0)),"")</f>
        <v/>
      </c>
      <c r="Q24" s="0" t="str">
        <f aca="false">IF(ROW()-4&lt;=MAX($M$5:$M$1004),IFERROR(INDEX($N$5:$N$1004,ROW()-4),""),IFERROR(INDEX($P$5:$P$1004,ROW()-4-MAX($M$5:$M$1004)),""))</f>
        <v/>
      </c>
    </row>
    <row r="25" customFormat="false" ht="19.5" hidden="false" customHeight="true" outlineLevel="0" collapsed="false">
      <c r="A25" s="30" t="n">
        <v>12</v>
      </c>
      <c r="B25" s="67" t="s">
        <v>94</v>
      </c>
      <c r="C25" s="38" t="n">
        <f aca="false">IF($B25="","",SUMIF(CSV貼付A!$N$5:$N$1004,$B25,CSV貼付A!$AA$5:$AA$1004))</f>
        <v>0</v>
      </c>
      <c r="D25" s="38" t="n">
        <f aca="false">IF($B25="","",SUMIF(CSV貼付B!$N$5:$N$1004,$B25,CSV貼付B!$AA$5:$AA$1004))</f>
        <v>0</v>
      </c>
      <c r="K25" s="69"/>
      <c r="M25" s="0" t="str">
        <f aca="false">IF(CSV貼付A!$N25="","",IF(COUNTIF($B$37:$B$48,CSV貼付A!$H25)&gt;0,"",IF(SUMPRODUCT((CSV貼付A!$N$5:$N25=CSV貼付A!$N25)*(COUNTIF($B$37:$B$48,CSV貼付A!$H$5:$H25)=0))&gt;1,"",MAX($M$4:M24)+1)))</f>
        <v/>
      </c>
      <c r="N25" s="0" t="str">
        <f aca="false">IFERROR(INDEX(CSV貼付A!$N$5:$N$1004,MATCH(ROW()-4,$M$5:$M$1004,0)),"")</f>
        <v/>
      </c>
      <c r="O25" s="0" t="str">
        <f aca="false">IF(CSV貼付B!$N25="","",IF(COUNTIF($B$37:$B$48,CSV貼付B!$H25)&gt;0,"",IF(SUMPRODUCT((CSV貼付B!$N$5:$N25=CSV貼付B!$N25)*(COUNTIF($B$37:$B$48,CSV貼付B!$H$5:$H25)=0))&gt;1,"",MAX($O$4:O24)+1)))</f>
        <v/>
      </c>
      <c r="P25" s="0" t="str">
        <f aca="false">IFERROR(INDEX(CSV貼付B!$N$5:$N$1004,MATCH(ROW()-4,$O$5:$O$1004,0)),"")</f>
        <v/>
      </c>
      <c r="Q25" s="0" t="str">
        <f aca="false">IF(ROW()-4&lt;=MAX($M$5:$M$1004),IFERROR(INDEX($N$5:$N$1004,ROW()-4),""),IFERROR(INDEX($P$5:$P$1004,ROW()-4-MAX($M$5:$M$1004)),""))</f>
        <v/>
      </c>
    </row>
    <row r="26" customFormat="false" ht="19.5" hidden="false" customHeight="true" outlineLevel="0" collapsed="false">
      <c r="A26" s="30" t="n">
        <v>13</v>
      </c>
      <c r="B26" s="67" t="s">
        <v>95</v>
      </c>
      <c r="C26" s="68" t="n">
        <f aca="false">IF($B26="","",SUMIF(CSV貼付A!$N$5:$N$1004,$B26,CSV貼付A!$AA$5:$AA$1004))</f>
        <v>0</v>
      </c>
      <c r="D26" s="68" t="n">
        <f aca="false">IF($B26="","",SUMIF(CSV貼付B!$N$5:$N$1004,$B26,CSV貼付B!$AA$5:$AA$1004))</f>
        <v>0</v>
      </c>
      <c r="K26" s="69"/>
      <c r="M26" s="0" t="str">
        <f aca="false">IF(CSV貼付A!$N26="","",IF(COUNTIF($B$37:$B$48,CSV貼付A!$H26)&gt;0,"",IF(SUMPRODUCT((CSV貼付A!$N$5:$N26=CSV貼付A!$N26)*(COUNTIF($B$37:$B$48,CSV貼付A!$H$5:$H26)=0))&gt;1,"",MAX($M$4:M25)+1)))</f>
        <v/>
      </c>
      <c r="N26" s="0" t="str">
        <f aca="false">IFERROR(INDEX(CSV貼付A!$N$5:$N$1004,MATCH(ROW()-4,$M$5:$M$1004,0)),"")</f>
        <v/>
      </c>
      <c r="O26" s="0" t="str">
        <f aca="false">IF(CSV貼付B!$N26="","",IF(COUNTIF($B$37:$B$48,CSV貼付B!$H26)&gt;0,"",IF(SUMPRODUCT((CSV貼付B!$N$5:$N26=CSV貼付B!$N26)*(COUNTIF($B$37:$B$48,CSV貼付B!$H$5:$H26)=0))&gt;1,"",MAX($O$4:O25)+1)))</f>
        <v/>
      </c>
      <c r="P26" s="0" t="str">
        <f aca="false">IFERROR(INDEX(CSV貼付B!$N$5:$N$1004,MATCH(ROW()-4,$O$5:$O$1004,0)),"")</f>
        <v/>
      </c>
      <c r="Q26" s="0" t="str">
        <f aca="false">IF(ROW()-4&lt;=MAX($M$5:$M$1004),IFERROR(INDEX($N$5:$N$1004,ROW()-4),""),IFERROR(INDEX($P$5:$P$1004,ROW()-4-MAX($M$5:$M$1004)),""))</f>
        <v/>
      </c>
    </row>
    <row r="27" customFormat="false" ht="19.5" hidden="false" customHeight="true" outlineLevel="0" collapsed="false">
      <c r="A27" s="30" t="n">
        <v>14</v>
      </c>
      <c r="B27" s="67" t="s">
        <v>96</v>
      </c>
      <c r="C27" s="38" t="n">
        <f aca="false">IF($B27="","",SUMIF(CSV貼付A!$N$5:$N$1004,$B27,CSV貼付A!$AA$5:$AA$1004))</f>
        <v>0</v>
      </c>
      <c r="D27" s="38" t="n">
        <f aca="false">IF($B27="","",SUMIF(CSV貼付B!$N$5:$N$1004,$B27,CSV貼付B!$AA$5:$AA$1004))</f>
        <v>0</v>
      </c>
      <c r="K27" s="69"/>
      <c r="M27" s="0" t="str">
        <f aca="false">IF(CSV貼付A!$N27="","",IF(COUNTIF($B$37:$B$48,CSV貼付A!$H27)&gt;0,"",IF(SUMPRODUCT((CSV貼付A!$N$5:$N27=CSV貼付A!$N27)*(COUNTIF($B$37:$B$48,CSV貼付A!$H$5:$H27)=0))&gt;1,"",MAX($M$4:M26)+1)))</f>
        <v/>
      </c>
      <c r="N27" s="0" t="str">
        <f aca="false">IFERROR(INDEX(CSV貼付A!$N$5:$N$1004,MATCH(ROW()-4,$M$5:$M$1004,0)),"")</f>
        <v/>
      </c>
      <c r="O27" s="0" t="str">
        <f aca="false">IF(CSV貼付B!$N27="","",IF(COUNTIF($B$37:$B$48,CSV貼付B!$H27)&gt;0,"",IF(SUMPRODUCT((CSV貼付B!$N$5:$N27=CSV貼付B!$N27)*(COUNTIF($B$37:$B$48,CSV貼付B!$H$5:$H27)=0))&gt;1,"",MAX($O$4:O26)+1)))</f>
        <v/>
      </c>
      <c r="P27" s="0" t="str">
        <f aca="false">IFERROR(INDEX(CSV貼付B!$N$5:$N$1004,MATCH(ROW()-4,$O$5:$O$1004,0)),"")</f>
        <v/>
      </c>
      <c r="Q27" s="0" t="str">
        <f aca="false">IF(ROW()-4&lt;=MAX($M$5:$M$1004),IFERROR(INDEX($N$5:$N$1004,ROW()-4),""),IFERROR(INDEX($P$5:$P$1004,ROW()-4-MAX($M$5:$M$1004)),""))</f>
        <v/>
      </c>
    </row>
    <row r="28" customFormat="false" ht="19.5" hidden="false" customHeight="true" outlineLevel="0" collapsed="false">
      <c r="A28" s="30" t="n">
        <v>15</v>
      </c>
      <c r="B28" s="67" t="s">
        <v>97</v>
      </c>
      <c r="C28" s="68" t="n">
        <f aca="false">IF($B28="","",SUMIF(CSV貼付A!$N$5:$N$1004,$B28,CSV貼付A!$AA$5:$AA$1004))</f>
        <v>0</v>
      </c>
      <c r="D28" s="68" t="n">
        <f aca="false">IF($B28="","",SUMIF(CSV貼付B!$N$5:$N$1004,$B28,CSV貼付B!$AA$5:$AA$1004))</f>
        <v>0</v>
      </c>
      <c r="K28" s="69"/>
      <c r="M28" s="0" t="str">
        <f aca="false">IF(CSV貼付A!$N28="","",IF(COUNTIF($B$37:$B$48,CSV貼付A!$H28)&gt;0,"",IF(SUMPRODUCT((CSV貼付A!$N$5:$N28=CSV貼付A!$N28)*(COUNTIF($B$37:$B$48,CSV貼付A!$H$5:$H28)=0))&gt;1,"",MAX($M$4:M27)+1)))</f>
        <v/>
      </c>
      <c r="N28" s="0" t="str">
        <f aca="false">IFERROR(INDEX(CSV貼付A!$N$5:$N$1004,MATCH(ROW()-4,$M$5:$M$1004,0)),"")</f>
        <v/>
      </c>
      <c r="O28" s="0" t="str">
        <f aca="false">IF(CSV貼付B!$N28="","",IF(COUNTIF($B$37:$B$48,CSV貼付B!$H28)&gt;0,"",IF(SUMPRODUCT((CSV貼付B!$N$5:$N28=CSV貼付B!$N28)*(COUNTIF($B$37:$B$48,CSV貼付B!$H$5:$H28)=0))&gt;1,"",MAX($O$4:O27)+1)))</f>
        <v/>
      </c>
      <c r="P28" s="0" t="str">
        <f aca="false">IFERROR(INDEX(CSV貼付B!$N$5:$N$1004,MATCH(ROW()-4,$O$5:$O$1004,0)),"")</f>
        <v/>
      </c>
      <c r="Q28" s="0" t="str">
        <f aca="false">IF(ROW()-4&lt;=MAX($M$5:$M$1004),IFERROR(INDEX($N$5:$N$1004,ROW()-4),""),IFERROR(INDEX($P$5:$P$1004,ROW()-4-MAX($M$5:$M$1004)),""))</f>
        <v/>
      </c>
    </row>
    <row r="29" customFormat="false" ht="19.5" hidden="false" customHeight="true" outlineLevel="0" collapsed="false">
      <c r="A29" s="30" t="n">
        <v>16</v>
      </c>
      <c r="B29" s="67" t="s">
        <v>98</v>
      </c>
      <c r="C29" s="38" t="n">
        <f aca="false">IF($B29="","",SUMIF(CSV貼付A!$N$5:$N$1004,$B29,CSV貼付A!$AA$5:$AA$1004))</f>
        <v>0</v>
      </c>
      <c r="D29" s="38" t="n">
        <f aca="false">IF($B29="","",SUMIF(CSV貼付B!$N$5:$N$1004,$B29,CSV貼付B!$AA$5:$AA$1004))</f>
        <v>0</v>
      </c>
      <c r="K29" s="69"/>
      <c r="M29" s="0" t="str">
        <f aca="false">IF(CSV貼付A!$N29="","",IF(COUNTIF($B$37:$B$48,CSV貼付A!$H29)&gt;0,"",IF(SUMPRODUCT((CSV貼付A!$N$5:$N29=CSV貼付A!$N29)*(COUNTIF($B$37:$B$48,CSV貼付A!$H$5:$H29)=0))&gt;1,"",MAX($M$4:M28)+1)))</f>
        <v/>
      </c>
      <c r="N29" s="0" t="str">
        <f aca="false">IFERROR(INDEX(CSV貼付A!$N$5:$N$1004,MATCH(ROW()-4,$M$5:$M$1004,0)),"")</f>
        <v/>
      </c>
      <c r="O29" s="0" t="str">
        <f aca="false">IF(CSV貼付B!$N29="","",IF(COUNTIF($B$37:$B$48,CSV貼付B!$H29)&gt;0,"",IF(SUMPRODUCT((CSV貼付B!$N$5:$N29=CSV貼付B!$N29)*(COUNTIF($B$37:$B$48,CSV貼付B!$H$5:$H29)=0))&gt;1,"",MAX($O$4:O28)+1)))</f>
        <v/>
      </c>
      <c r="P29" s="0" t="str">
        <f aca="false">IFERROR(INDEX(CSV貼付B!$N$5:$N$1004,MATCH(ROW()-4,$O$5:$O$1004,0)),"")</f>
        <v/>
      </c>
      <c r="Q29" s="0" t="str">
        <f aca="false">IF(ROW()-4&lt;=MAX($M$5:$M$1004),IFERROR(INDEX($N$5:$N$1004,ROW()-4),""),IFERROR(INDEX($P$5:$P$1004,ROW()-4-MAX($M$5:$M$1004)),""))</f>
        <v/>
      </c>
    </row>
    <row r="30" customFormat="false" ht="19.5" hidden="false" customHeight="true" outlineLevel="0" collapsed="false">
      <c r="A30" s="30" t="n">
        <v>17</v>
      </c>
      <c r="B30" s="67" t="s">
        <v>99</v>
      </c>
      <c r="C30" s="68" t="n">
        <f aca="false">IF($B30="","",SUMIF(CSV貼付A!$N$5:$N$1004,$B30,CSV貼付A!$AA$5:$AA$1004))</f>
        <v>0</v>
      </c>
      <c r="D30" s="68" t="n">
        <f aca="false">IF($B30="","",SUMIF(CSV貼付B!$N$5:$N$1004,$B30,CSV貼付B!$AA$5:$AA$1004))</f>
        <v>0</v>
      </c>
      <c r="K30" s="69"/>
      <c r="M30" s="0" t="str">
        <f aca="false">IF(CSV貼付A!$N30="","",IF(COUNTIF($B$37:$B$48,CSV貼付A!$H30)&gt;0,"",IF(SUMPRODUCT((CSV貼付A!$N$5:$N30=CSV貼付A!$N30)*(COUNTIF($B$37:$B$48,CSV貼付A!$H$5:$H30)=0))&gt;1,"",MAX($M$4:M29)+1)))</f>
        <v/>
      </c>
      <c r="N30" s="0" t="str">
        <f aca="false">IFERROR(INDEX(CSV貼付A!$N$5:$N$1004,MATCH(ROW()-4,$M$5:$M$1004,0)),"")</f>
        <v/>
      </c>
      <c r="O30" s="0" t="str">
        <f aca="false">IF(CSV貼付B!$N30="","",IF(COUNTIF($B$37:$B$48,CSV貼付B!$H30)&gt;0,"",IF(SUMPRODUCT((CSV貼付B!$N$5:$N30=CSV貼付B!$N30)*(COUNTIF($B$37:$B$48,CSV貼付B!$H$5:$H30)=0))&gt;1,"",MAX($O$4:O29)+1)))</f>
        <v/>
      </c>
      <c r="P30" s="0" t="str">
        <f aca="false">IFERROR(INDEX(CSV貼付B!$N$5:$N$1004,MATCH(ROW()-4,$O$5:$O$1004,0)),"")</f>
        <v/>
      </c>
      <c r="Q30" s="0" t="str">
        <f aca="false">IF(ROW()-4&lt;=MAX($M$5:$M$1004),IFERROR(INDEX($N$5:$N$1004,ROW()-4),""),IFERROR(INDEX($P$5:$P$1004,ROW()-4-MAX($M$5:$M$1004)),""))</f>
        <v/>
      </c>
    </row>
    <row r="31" customFormat="false" ht="19.5" hidden="false" customHeight="true" outlineLevel="0" collapsed="false">
      <c r="A31" s="30" t="n">
        <v>18</v>
      </c>
      <c r="B31" s="67" t="s">
        <v>100</v>
      </c>
      <c r="C31" s="38" t="n">
        <f aca="false">IF($B31="","",SUMIF(CSV貼付A!$N$5:$N$1004,$B31,CSV貼付A!$AA$5:$AA$1004))</f>
        <v>0</v>
      </c>
      <c r="D31" s="38" t="n">
        <f aca="false">IF($B31="","",SUMIF(CSV貼付B!$N$5:$N$1004,$B31,CSV貼付B!$AA$5:$AA$1004))</f>
        <v>0</v>
      </c>
      <c r="K31" s="69"/>
      <c r="M31" s="0" t="str">
        <f aca="false">IF(CSV貼付A!$N31="","",IF(COUNTIF($B$37:$B$48,CSV貼付A!$H31)&gt;0,"",IF(SUMPRODUCT((CSV貼付A!$N$5:$N31=CSV貼付A!$N31)*(COUNTIF($B$37:$B$48,CSV貼付A!$H$5:$H31)=0))&gt;1,"",MAX($M$4:M30)+1)))</f>
        <v/>
      </c>
      <c r="N31" s="0" t="str">
        <f aca="false">IFERROR(INDEX(CSV貼付A!$N$5:$N$1004,MATCH(ROW()-4,$M$5:$M$1004,0)),"")</f>
        <v/>
      </c>
      <c r="O31" s="0" t="str">
        <f aca="false">IF(CSV貼付B!$N31="","",IF(COUNTIF($B$37:$B$48,CSV貼付B!$H31)&gt;0,"",IF(SUMPRODUCT((CSV貼付B!$N$5:$N31=CSV貼付B!$N31)*(COUNTIF($B$37:$B$48,CSV貼付B!$H$5:$H31)=0))&gt;1,"",MAX($O$4:O30)+1)))</f>
        <v/>
      </c>
      <c r="P31" s="0" t="str">
        <f aca="false">IFERROR(INDEX(CSV貼付B!$N$5:$N$1004,MATCH(ROW()-4,$O$5:$O$1004,0)),"")</f>
        <v/>
      </c>
      <c r="Q31" s="0" t="str">
        <f aca="false">IF(ROW()-4&lt;=MAX($M$5:$M$1004),IFERROR(INDEX($N$5:$N$1004,ROW()-4),""),IFERROR(INDEX($P$5:$P$1004,ROW()-4-MAX($M$5:$M$1004)),""))</f>
        <v/>
      </c>
    </row>
    <row r="32" customFormat="false" ht="19.5" hidden="false" customHeight="true" outlineLevel="0" collapsed="false">
      <c r="A32" s="30" t="n">
        <v>19</v>
      </c>
      <c r="B32" s="67" t="s">
        <v>101</v>
      </c>
      <c r="C32" s="68" t="n">
        <f aca="false">IF($B32="","",SUMIF(CSV貼付A!$N$5:$N$1004,$B32,CSV貼付A!$AA$5:$AA$1004))</f>
        <v>0</v>
      </c>
      <c r="D32" s="68" t="n">
        <f aca="false">IF($B32="","",SUMIF(CSV貼付B!$N$5:$N$1004,$B32,CSV貼付B!$AA$5:$AA$1004))</f>
        <v>0</v>
      </c>
      <c r="K32" s="69"/>
      <c r="M32" s="0" t="str">
        <f aca="false">IF(CSV貼付A!$N32="","",IF(COUNTIF($B$37:$B$48,CSV貼付A!$H32)&gt;0,"",IF(SUMPRODUCT((CSV貼付A!$N$5:$N32=CSV貼付A!$N32)*(COUNTIF($B$37:$B$48,CSV貼付A!$H$5:$H32)=0))&gt;1,"",MAX($M$4:M31)+1)))</f>
        <v/>
      </c>
      <c r="N32" s="0" t="str">
        <f aca="false">IFERROR(INDEX(CSV貼付A!$N$5:$N$1004,MATCH(ROW()-4,$M$5:$M$1004,0)),"")</f>
        <v/>
      </c>
      <c r="O32" s="0" t="str">
        <f aca="false">IF(CSV貼付B!$N32="","",IF(COUNTIF($B$37:$B$48,CSV貼付B!$H32)&gt;0,"",IF(SUMPRODUCT((CSV貼付B!$N$5:$N32=CSV貼付B!$N32)*(COUNTIF($B$37:$B$48,CSV貼付B!$H$5:$H32)=0))&gt;1,"",MAX($O$4:O31)+1)))</f>
        <v/>
      </c>
      <c r="P32" s="0" t="str">
        <f aca="false">IFERROR(INDEX(CSV貼付B!$N$5:$N$1004,MATCH(ROW()-4,$O$5:$O$1004,0)),"")</f>
        <v/>
      </c>
      <c r="Q32" s="0" t="str">
        <f aca="false">IF(ROW()-4&lt;=MAX($M$5:$M$1004),IFERROR(INDEX($N$5:$N$1004,ROW()-4),""),IFERROR(INDEX($P$5:$P$1004,ROW()-4-MAX($M$5:$M$1004)),""))</f>
        <v/>
      </c>
    </row>
    <row r="33" customFormat="false" ht="19.5" hidden="false" customHeight="true" outlineLevel="0" collapsed="false">
      <c r="A33" s="30" t="n">
        <v>20</v>
      </c>
      <c r="B33" s="67"/>
      <c r="C33" s="38" t="str">
        <f aca="false">IF($B33="","",SUMIF(CSV貼付A!$N$5:$N$1004,$B33,CSV貼付A!$AA$5:$AA$1004))</f>
        <v/>
      </c>
      <c r="D33" s="38" t="str">
        <f aca="false">IF($B33="","",SUMIF(CSV貼付B!$N$5:$N$1004,$B33,CSV貼付B!$AA$5:$AA$1004))</f>
        <v/>
      </c>
      <c r="K33" s="69"/>
      <c r="M33" s="0" t="str">
        <f aca="false">IF(CSV貼付A!$N33="","",IF(COUNTIF($B$37:$B$48,CSV貼付A!$H33)&gt;0,"",IF(SUMPRODUCT((CSV貼付A!$N$5:$N33=CSV貼付A!$N33)*(COUNTIF($B$37:$B$48,CSV貼付A!$H$5:$H33)=0))&gt;1,"",MAX($M$4:M32)+1)))</f>
        <v/>
      </c>
      <c r="N33" s="0" t="str">
        <f aca="false">IFERROR(INDEX(CSV貼付A!$N$5:$N$1004,MATCH(ROW()-4,$M$5:$M$1004,0)),"")</f>
        <v/>
      </c>
      <c r="O33" s="0" t="str">
        <f aca="false">IF(CSV貼付B!$N33="","",IF(COUNTIF($B$37:$B$48,CSV貼付B!$H33)&gt;0,"",IF(SUMPRODUCT((CSV貼付B!$N$5:$N33=CSV貼付B!$N33)*(COUNTIF($B$37:$B$48,CSV貼付B!$H$5:$H33)=0))&gt;1,"",MAX($O$4:O32)+1)))</f>
        <v/>
      </c>
      <c r="P33" s="0" t="str">
        <f aca="false">IFERROR(INDEX(CSV貼付B!$N$5:$N$1004,MATCH(ROW()-4,$O$5:$O$1004,0)),"")</f>
        <v/>
      </c>
      <c r="Q33" s="0" t="str">
        <f aca="false">IF(ROW()-4&lt;=MAX($M$5:$M$1004),IFERROR(INDEX($N$5:$N$1004,ROW()-4),""),IFERROR(INDEX($P$5:$P$1004,ROW()-4-MAX($M$5:$M$1004)),""))</f>
        <v/>
      </c>
    </row>
    <row r="34" customFormat="false" ht="25.5" hidden="false" customHeight="true" outlineLevel="0" collapsed="false">
      <c r="A34" s="70" t="s">
        <v>102</v>
      </c>
      <c r="B34" s="70"/>
      <c r="C34" s="70"/>
      <c r="D34" s="70"/>
      <c r="E34" s="70"/>
      <c r="F34" s="70"/>
      <c r="G34" s="70"/>
      <c r="H34" s="70"/>
      <c r="I34" s="70"/>
      <c r="J34" s="70"/>
      <c r="K34" s="70"/>
      <c r="M34" s="0" t="str">
        <f aca="false">IF(CSV貼付A!$N34="","",IF(COUNTIF($B$37:$B$48,CSV貼付A!$H34)&gt;0,"",IF(SUMPRODUCT((CSV貼付A!$N$5:$N34=CSV貼付A!$N34)*(COUNTIF($B$37:$B$48,CSV貼付A!$H$5:$H34)=0))&gt;1,"",MAX($M$4:M33)+1)))</f>
        <v/>
      </c>
      <c r="N34" s="0" t="str">
        <f aca="false">IFERROR(INDEX(CSV貼付A!$N$5:$N$1004,MATCH(ROW()-4,$M$5:$M$1004,0)),"")</f>
        <v/>
      </c>
      <c r="O34" s="0" t="str">
        <f aca="false">IF(CSV貼付B!$N34="","",IF(COUNTIF($B$37:$B$48,CSV貼付B!$H34)&gt;0,"",IF(SUMPRODUCT((CSV貼付B!$N$5:$N34=CSV貼付B!$N34)*(COUNTIF($B$37:$B$48,CSV貼付B!$H$5:$H34)=0))&gt;1,"",MAX($O$4:O33)+1)))</f>
        <v/>
      </c>
      <c r="P34" s="0" t="str">
        <f aca="false">IFERROR(INDEX(CSV貼付B!$N$5:$N$1004,MATCH(ROW()-4,$O$5:$O$1004,0)),"")</f>
        <v/>
      </c>
      <c r="Q34" s="0" t="str">
        <f aca="false">IF(ROW()-4&lt;=MAX($M$5:$M$1004),IFERROR(INDEX($N$5:$N$1004,ROW()-4),""),IFERROR(INDEX($P$5:$P$1004,ROW()-4-MAX($M$5:$M$1004)),""))</f>
        <v/>
      </c>
    </row>
    <row r="35" customFormat="false" ht="15" hidden="false" customHeight="false" outlineLevel="0" collapsed="false">
      <c r="M35" s="0" t="str">
        <f aca="false">IF(CSV貼付A!$N35="","",IF(COUNTIF($B$37:$B$48,CSV貼付A!$H35)&gt;0,"",IF(SUMPRODUCT((CSV貼付A!$N$5:$N35=CSV貼付A!$N35)*(COUNTIF($B$37:$B$48,CSV貼付A!$H$5:$H35)=0))&gt;1,"",MAX($M$4:M34)+1)))</f>
        <v/>
      </c>
      <c r="N35" s="0" t="str">
        <f aca="false">IFERROR(INDEX(CSV貼付A!$N$5:$N$1004,MATCH(ROW()-4,$M$5:$M$1004,0)),"")</f>
        <v/>
      </c>
      <c r="O35" s="0" t="str">
        <f aca="false">IF(CSV貼付B!$N35="","",IF(COUNTIF($B$37:$B$48,CSV貼付B!$H35)&gt;0,"",IF(SUMPRODUCT((CSV貼付B!$N$5:$N35=CSV貼付B!$N35)*(COUNTIF($B$37:$B$48,CSV貼付B!$H$5:$H35)=0))&gt;1,"",MAX($O$4:O34)+1)))</f>
        <v/>
      </c>
      <c r="P35" s="0" t="str">
        <f aca="false">IFERROR(INDEX(CSV貼付B!$N$5:$N$1004,MATCH(ROW()-4,$O$5:$O$1004,0)),"")</f>
        <v/>
      </c>
      <c r="Q35" s="0" t="str">
        <f aca="false">IF(ROW()-4&lt;=MAX($M$5:$M$1004),IFERROR(INDEX($N$5:$N$1004,ROW()-4),""),IFERROR(INDEX($P$5:$P$1004,ROW()-4-MAX($M$5:$M$1004)),""))</f>
        <v/>
      </c>
    </row>
    <row r="36" customFormat="false" ht="21.75" hidden="false" customHeight="true" outlineLevel="0" collapsed="false">
      <c r="B36" s="71" t="s">
        <v>103</v>
      </c>
      <c r="C36" s="71"/>
      <c r="D36" s="71"/>
      <c r="E36" s="71"/>
      <c r="M36" s="0" t="str">
        <f aca="false">IF(CSV貼付A!$N36="","",IF(COUNTIF($B$37:$B$48,CSV貼付A!$H36)&gt;0,"",IF(SUMPRODUCT((CSV貼付A!$N$5:$N36=CSV貼付A!$N36)*(COUNTIF($B$37:$B$48,CSV貼付A!$H$5:$H36)=0))&gt;1,"",MAX($M$4:M35)+1)))</f>
        <v/>
      </c>
      <c r="N36" s="0" t="str">
        <f aca="false">IFERROR(INDEX(CSV貼付A!$N$5:$N$1004,MATCH(ROW()-4,$M$5:$M$1004,0)),"")</f>
        <v/>
      </c>
      <c r="O36" s="0" t="str">
        <f aca="false">IF(CSV貼付B!$N36="","",IF(COUNTIF($B$37:$B$48,CSV貼付B!$H36)&gt;0,"",IF(SUMPRODUCT((CSV貼付B!$N$5:$N36=CSV貼付B!$N36)*(COUNTIF($B$37:$B$48,CSV貼付B!$H$5:$H36)=0))&gt;1,"",MAX($O$4:O35)+1)))</f>
        <v/>
      </c>
      <c r="P36" s="0" t="str">
        <f aca="false">IFERROR(INDEX(CSV貼付B!$N$5:$N$1004,MATCH(ROW()-4,$O$5:$O$1004,0)),"")</f>
        <v/>
      </c>
      <c r="Q36" s="0" t="str">
        <f aca="false">IF(ROW()-4&lt;=MAX($M$5:$M$1004),IFERROR(INDEX($N$5:$N$1004,ROW()-4),""),IFERROR(INDEX($P$5:$P$1004,ROW()-4-MAX($M$5:$M$1004)),""))</f>
        <v/>
      </c>
    </row>
    <row r="37" customFormat="false" ht="18" hidden="false" customHeight="true" outlineLevel="0" collapsed="false">
      <c r="B37" s="72" t="s">
        <v>104</v>
      </c>
      <c r="C37" s="62" t="str">
        <f aca="false">IF(OR(TRIM($B37)="",AND(CSV貼付A!$N$5="",CSV貼付B!$N$5="")),"",IF(COUNTIF(CSV貼付A!$H$5:$H$1004,$B37)+COUNTIF(CSV貼付B!$H$5:$H$1004,$B37)=0,"⚠該当なし","✔"))</f>
        <v/>
      </c>
      <c r="D37" s="70" t="s">
        <v>105</v>
      </c>
      <c r="E37" s="70"/>
      <c r="F37" s="70"/>
      <c r="G37" s="70"/>
      <c r="H37" s="70"/>
      <c r="I37" s="70"/>
      <c r="J37" s="70"/>
      <c r="K37" s="70"/>
      <c r="M37" s="0" t="str">
        <f aca="false">IF(CSV貼付A!$N37="","",IF(COUNTIF($B$37:$B$48,CSV貼付A!$H37)&gt;0,"",IF(SUMPRODUCT((CSV貼付A!$N$5:$N37=CSV貼付A!$N37)*(COUNTIF($B$37:$B$48,CSV貼付A!$H$5:$H37)=0))&gt;1,"",MAX($M$4:M36)+1)))</f>
        <v/>
      </c>
      <c r="N37" s="0" t="str">
        <f aca="false">IFERROR(INDEX(CSV貼付A!$N$5:$N$1004,MATCH(ROW()-4,$M$5:$M$1004,0)),"")</f>
        <v/>
      </c>
      <c r="O37" s="0" t="str">
        <f aca="false">IF(CSV貼付B!$N37="","",IF(COUNTIF($B$37:$B$48,CSV貼付B!$H37)&gt;0,"",IF(SUMPRODUCT((CSV貼付B!$N$5:$N37=CSV貼付B!$N37)*(COUNTIF($B$37:$B$48,CSV貼付B!$H$5:$H37)=0))&gt;1,"",MAX($O$4:O36)+1)))</f>
        <v/>
      </c>
      <c r="P37" s="0" t="str">
        <f aca="false">IFERROR(INDEX(CSV貼付B!$N$5:$N$1004,MATCH(ROW()-4,$O$5:$O$1004,0)),"")</f>
        <v/>
      </c>
      <c r="Q37" s="0" t="str">
        <f aca="false">IF(ROW()-4&lt;=MAX($M$5:$M$1004),IFERROR(INDEX($N$5:$N$1004,ROW()-4),""),IFERROR(INDEX($P$5:$P$1004,ROW()-4-MAX($M$5:$M$1004)),""))</f>
        <v/>
      </c>
    </row>
    <row r="38" customFormat="false" ht="18" hidden="false" customHeight="true" outlineLevel="0" collapsed="false">
      <c r="B38" s="72" t="s">
        <v>106</v>
      </c>
      <c r="C38" s="62" t="str">
        <f aca="false">IF(OR(TRIM($B38)="",AND(CSV貼付A!$N$5="",CSV貼付B!$N$5="")),"",IF(COUNTIF(CSV貼付A!$H$5:$H$1004,$B38)+COUNTIF(CSV貼付B!$H$5:$H$1004,$B38)=0,"⚠該当なし","✔"))</f>
        <v/>
      </c>
      <c r="D38" s="70"/>
      <c r="E38" s="70"/>
      <c r="F38" s="70"/>
      <c r="G38" s="70"/>
      <c r="H38" s="70"/>
      <c r="I38" s="70"/>
      <c r="J38" s="70"/>
      <c r="K38" s="70"/>
      <c r="M38" s="0" t="str">
        <f aca="false">IF(CSV貼付A!$N38="","",IF(COUNTIF($B$37:$B$48,CSV貼付A!$H38)&gt;0,"",IF(SUMPRODUCT((CSV貼付A!$N$5:$N38=CSV貼付A!$N38)*(COUNTIF($B$37:$B$48,CSV貼付A!$H$5:$H38)=0))&gt;1,"",MAX($M$4:M37)+1)))</f>
        <v/>
      </c>
      <c r="N38" s="0" t="str">
        <f aca="false">IFERROR(INDEX(CSV貼付A!$N$5:$N$1004,MATCH(ROW()-4,$M$5:$M$1004,0)),"")</f>
        <v/>
      </c>
      <c r="O38" s="0" t="str">
        <f aca="false">IF(CSV貼付B!$N38="","",IF(COUNTIF($B$37:$B$48,CSV貼付B!$H38)&gt;0,"",IF(SUMPRODUCT((CSV貼付B!$N$5:$N38=CSV貼付B!$N38)*(COUNTIF($B$37:$B$48,CSV貼付B!$H$5:$H38)=0))&gt;1,"",MAX($O$4:O37)+1)))</f>
        <v/>
      </c>
      <c r="P38" s="0" t="str">
        <f aca="false">IFERROR(INDEX(CSV貼付B!$N$5:$N$1004,MATCH(ROW()-4,$O$5:$O$1004,0)),"")</f>
        <v/>
      </c>
      <c r="Q38" s="0" t="str">
        <f aca="false">IF(ROW()-4&lt;=MAX($M$5:$M$1004),IFERROR(INDEX($N$5:$N$1004,ROW()-4),""),IFERROR(INDEX($P$5:$P$1004,ROW()-4-MAX($M$5:$M$1004)),""))</f>
        <v/>
      </c>
    </row>
    <row r="39" customFormat="false" ht="18" hidden="false" customHeight="true" outlineLevel="0" collapsed="false">
      <c r="B39" s="72" t="s">
        <v>107</v>
      </c>
      <c r="C39" s="62" t="str">
        <f aca="false">IF(OR(TRIM($B39)="",AND(CSV貼付A!$N$5="",CSV貼付B!$N$5="")),"",IF(COUNTIF(CSV貼付A!$H$5:$H$1004,$B39)+COUNTIF(CSV貼付B!$H$5:$H$1004,$B39)=0,"⚠該当なし","✔"))</f>
        <v/>
      </c>
      <c r="D39" s="70"/>
      <c r="E39" s="70"/>
      <c r="F39" s="70"/>
      <c r="G39" s="70"/>
      <c r="H39" s="70"/>
      <c r="I39" s="70"/>
      <c r="J39" s="70"/>
      <c r="K39" s="70"/>
      <c r="M39" s="0" t="str">
        <f aca="false">IF(CSV貼付A!$N39="","",IF(COUNTIF($B$37:$B$48,CSV貼付A!$H39)&gt;0,"",IF(SUMPRODUCT((CSV貼付A!$N$5:$N39=CSV貼付A!$N39)*(COUNTIF($B$37:$B$48,CSV貼付A!$H$5:$H39)=0))&gt;1,"",MAX($M$4:M38)+1)))</f>
        <v/>
      </c>
      <c r="N39" s="0" t="str">
        <f aca="false">IFERROR(INDEX(CSV貼付A!$N$5:$N$1004,MATCH(ROW()-4,$M$5:$M$1004,0)),"")</f>
        <v/>
      </c>
      <c r="O39" s="0" t="str">
        <f aca="false">IF(CSV貼付B!$N39="","",IF(COUNTIF($B$37:$B$48,CSV貼付B!$H39)&gt;0,"",IF(SUMPRODUCT((CSV貼付B!$N$5:$N39=CSV貼付B!$N39)*(COUNTIF($B$37:$B$48,CSV貼付B!$H$5:$H39)=0))&gt;1,"",MAX($O$4:O38)+1)))</f>
        <v/>
      </c>
      <c r="P39" s="0" t="str">
        <f aca="false">IFERROR(INDEX(CSV貼付B!$N$5:$N$1004,MATCH(ROW()-4,$O$5:$O$1004,0)),"")</f>
        <v/>
      </c>
      <c r="Q39" s="0" t="str">
        <f aca="false">IF(ROW()-4&lt;=MAX($M$5:$M$1004),IFERROR(INDEX($N$5:$N$1004,ROW()-4),""),IFERROR(INDEX($P$5:$P$1004,ROW()-4-MAX($M$5:$M$1004)),""))</f>
        <v/>
      </c>
    </row>
    <row r="40" customFormat="false" ht="18" hidden="false" customHeight="true" outlineLevel="0" collapsed="false">
      <c r="B40" s="72" t="s">
        <v>108</v>
      </c>
      <c r="C40" s="62" t="str">
        <f aca="false">IF(OR(TRIM($B40)="",AND(CSV貼付A!$N$5="",CSV貼付B!$N$5="")),"",IF(COUNTIF(CSV貼付A!$H$5:$H$1004,$B40)+COUNTIF(CSV貼付B!$H$5:$H$1004,$B40)=0,"⚠該当なし","✔"))</f>
        <v/>
      </c>
      <c r="D40" s="70"/>
      <c r="E40" s="70"/>
      <c r="F40" s="70"/>
      <c r="G40" s="70"/>
      <c r="H40" s="70"/>
      <c r="I40" s="70"/>
      <c r="J40" s="70"/>
      <c r="K40" s="70"/>
      <c r="M40" s="0" t="str">
        <f aca="false">IF(CSV貼付A!$N40="","",IF(COUNTIF($B$37:$B$48,CSV貼付A!$H40)&gt;0,"",IF(SUMPRODUCT((CSV貼付A!$N$5:$N40=CSV貼付A!$N40)*(COUNTIF($B$37:$B$48,CSV貼付A!$H$5:$H40)=0))&gt;1,"",MAX($M$4:M39)+1)))</f>
        <v/>
      </c>
      <c r="N40" s="0" t="str">
        <f aca="false">IFERROR(INDEX(CSV貼付A!$N$5:$N$1004,MATCH(ROW()-4,$M$5:$M$1004,0)),"")</f>
        <v/>
      </c>
      <c r="O40" s="0" t="str">
        <f aca="false">IF(CSV貼付B!$N40="","",IF(COUNTIF($B$37:$B$48,CSV貼付B!$H40)&gt;0,"",IF(SUMPRODUCT((CSV貼付B!$N$5:$N40=CSV貼付B!$N40)*(COUNTIF($B$37:$B$48,CSV貼付B!$H$5:$H40)=0))&gt;1,"",MAX($O$4:O39)+1)))</f>
        <v/>
      </c>
      <c r="P40" s="0" t="str">
        <f aca="false">IFERROR(INDEX(CSV貼付B!$N$5:$N$1004,MATCH(ROW()-4,$O$5:$O$1004,0)),"")</f>
        <v/>
      </c>
      <c r="Q40" s="0" t="str">
        <f aca="false">IF(ROW()-4&lt;=MAX($M$5:$M$1004),IFERROR(INDEX($N$5:$N$1004,ROW()-4),""),IFERROR(INDEX($P$5:$P$1004,ROW()-4-MAX($M$5:$M$1004)),""))</f>
        <v/>
      </c>
    </row>
    <row r="41" customFormat="false" ht="18" hidden="false" customHeight="true" outlineLevel="0" collapsed="false">
      <c r="B41" s="72" t="s">
        <v>109</v>
      </c>
      <c r="C41" s="62" t="str">
        <f aca="false">IF(OR(TRIM($B41)="",AND(CSV貼付A!$N$5="",CSV貼付B!$N$5="")),"",IF(COUNTIF(CSV貼付A!$H$5:$H$1004,$B41)+COUNTIF(CSV貼付B!$H$5:$H$1004,$B41)=0,"⚠該当なし","✔"))</f>
        <v/>
      </c>
      <c r="M41" s="0" t="str">
        <f aca="false">IF(CSV貼付A!$N41="","",IF(COUNTIF($B$37:$B$48,CSV貼付A!$H41)&gt;0,"",IF(SUMPRODUCT((CSV貼付A!$N$5:$N41=CSV貼付A!$N41)*(COUNTIF($B$37:$B$48,CSV貼付A!$H$5:$H41)=0))&gt;1,"",MAX($M$4:M40)+1)))</f>
        <v/>
      </c>
      <c r="N41" s="0" t="str">
        <f aca="false">IFERROR(INDEX(CSV貼付A!$N$5:$N$1004,MATCH(ROW()-4,$M$5:$M$1004,0)),"")</f>
        <v/>
      </c>
      <c r="O41" s="0" t="str">
        <f aca="false">IF(CSV貼付B!$N41="","",IF(COUNTIF($B$37:$B$48,CSV貼付B!$H41)&gt;0,"",IF(SUMPRODUCT((CSV貼付B!$N$5:$N41=CSV貼付B!$N41)*(COUNTIF($B$37:$B$48,CSV貼付B!$H$5:$H41)=0))&gt;1,"",MAX($O$4:O40)+1)))</f>
        <v/>
      </c>
      <c r="P41" s="0" t="str">
        <f aca="false">IFERROR(INDEX(CSV貼付B!$N$5:$N$1004,MATCH(ROW()-4,$O$5:$O$1004,0)),"")</f>
        <v/>
      </c>
      <c r="Q41" s="0" t="str">
        <f aca="false">IF(ROW()-4&lt;=MAX($M$5:$M$1004),IFERROR(INDEX($N$5:$N$1004,ROW()-4),""),IFERROR(INDEX($P$5:$P$1004,ROW()-4-MAX($M$5:$M$1004)),""))</f>
        <v/>
      </c>
    </row>
    <row r="42" customFormat="false" ht="18" hidden="false" customHeight="true" outlineLevel="0" collapsed="false">
      <c r="B42" s="72" t="s">
        <v>110</v>
      </c>
      <c r="C42" s="62" t="str">
        <f aca="false">IF(OR(TRIM($B42)="",AND(CSV貼付A!$N$5="",CSV貼付B!$N$5="")),"",IF(COUNTIF(CSV貼付A!$H$5:$H$1004,$B42)+COUNTIF(CSV貼付B!$H$5:$H$1004,$B42)=0,"⚠該当なし","✔"))</f>
        <v/>
      </c>
      <c r="M42" s="0" t="str">
        <f aca="false">IF(CSV貼付A!$N42="","",IF(COUNTIF($B$37:$B$48,CSV貼付A!$H42)&gt;0,"",IF(SUMPRODUCT((CSV貼付A!$N$5:$N42=CSV貼付A!$N42)*(COUNTIF($B$37:$B$48,CSV貼付A!$H$5:$H42)=0))&gt;1,"",MAX($M$4:M41)+1)))</f>
        <v/>
      </c>
      <c r="N42" s="0" t="str">
        <f aca="false">IFERROR(INDEX(CSV貼付A!$N$5:$N$1004,MATCH(ROW()-4,$M$5:$M$1004,0)),"")</f>
        <v/>
      </c>
      <c r="O42" s="0" t="str">
        <f aca="false">IF(CSV貼付B!$N42="","",IF(COUNTIF($B$37:$B$48,CSV貼付B!$H42)&gt;0,"",IF(SUMPRODUCT((CSV貼付B!$N$5:$N42=CSV貼付B!$N42)*(COUNTIF($B$37:$B$48,CSV貼付B!$H$5:$H42)=0))&gt;1,"",MAX($O$4:O41)+1)))</f>
        <v/>
      </c>
      <c r="P42" s="0" t="str">
        <f aca="false">IFERROR(INDEX(CSV貼付B!$N$5:$N$1004,MATCH(ROW()-4,$O$5:$O$1004,0)),"")</f>
        <v/>
      </c>
      <c r="Q42" s="0" t="str">
        <f aca="false">IF(ROW()-4&lt;=MAX($M$5:$M$1004),IFERROR(INDEX($N$5:$N$1004,ROW()-4),""),IFERROR(INDEX($P$5:$P$1004,ROW()-4-MAX($M$5:$M$1004)),""))</f>
        <v/>
      </c>
    </row>
    <row r="43" customFormat="false" ht="18" hidden="false" customHeight="true" outlineLevel="0" collapsed="false">
      <c r="B43" s="72" t="s">
        <v>111</v>
      </c>
      <c r="C43" s="62" t="str">
        <f aca="false">IF(OR(TRIM($B43)="",AND(CSV貼付A!$N$5="",CSV貼付B!$N$5="")),"",IF(COUNTIF(CSV貼付A!$H$5:$H$1004,$B43)+COUNTIF(CSV貼付B!$H$5:$H$1004,$B43)=0,"⚠該当なし","✔"))</f>
        <v/>
      </c>
      <c r="M43" s="0" t="str">
        <f aca="false">IF(CSV貼付A!$N43="","",IF(COUNTIF($B$37:$B$48,CSV貼付A!$H43)&gt;0,"",IF(SUMPRODUCT((CSV貼付A!$N$5:$N43=CSV貼付A!$N43)*(COUNTIF($B$37:$B$48,CSV貼付A!$H$5:$H43)=0))&gt;1,"",MAX($M$4:M42)+1)))</f>
        <v/>
      </c>
      <c r="N43" s="0" t="str">
        <f aca="false">IFERROR(INDEX(CSV貼付A!$N$5:$N$1004,MATCH(ROW()-4,$M$5:$M$1004,0)),"")</f>
        <v/>
      </c>
      <c r="O43" s="0" t="str">
        <f aca="false">IF(CSV貼付B!$N43="","",IF(COUNTIF($B$37:$B$48,CSV貼付B!$H43)&gt;0,"",IF(SUMPRODUCT((CSV貼付B!$N$5:$N43=CSV貼付B!$N43)*(COUNTIF($B$37:$B$48,CSV貼付B!$H$5:$H43)=0))&gt;1,"",MAX($O$4:O42)+1)))</f>
        <v/>
      </c>
      <c r="P43" s="0" t="str">
        <f aca="false">IFERROR(INDEX(CSV貼付B!$N$5:$N$1004,MATCH(ROW()-4,$O$5:$O$1004,0)),"")</f>
        <v/>
      </c>
      <c r="Q43" s="0" t="str">
        <f aca="false">IF(ROW()-4&lt;=MAX($M$5:$M$1004),IFERROR(INDEX($N$5:$N$1004,ROW()-4),""),IFERROR(INDEX($P$5:$P$1004,ROW()-4-MAX($M$5:$M$1004)),""))</f>
        <v/>
      </c>
    </row>
    <row r="44" customFormat="false" ht="18" hidden="false" customHeight="true" outlineLevel="0" collapsed="false">
      <c r="B44" s="72" t="s">
        <v>112</v>
      </c>
      <c r="C44" s="62" t="str">
        <f aca="false">IF(OR(TRIM($B44)="",AND(CSV貼付A!$N$5="",CSV貼付B!$N$5="")),"",IF(COUNTIF(CSV貼付A!$H$5:$H$1004,$B44)+COUNTIF(CSV貼付B!$H$5:$H$1004,$B44)=0,"⚠該当なし","✔"))</f>
        <v/>
      </c>
      <c r="M44" s="0" t="str">
        <f aca="false">IF(CSV貼付A!$N44="","",IF(COUNTIF($B$37:$B$48,CSV貼付A!$H44)&gt;0,"",IF(SUMPRODUCT((CSV貼付A!$N$5:$N44=CSV貼付A!$N44)*(COUNTIF($B$37:$B$48,CSV貼付A!$H$5:$H44)=0))&gt;1,"",MAX($M$4:M43)+1)))</f>
        <v/>
      </c>
      <c r="N44" s="0" t="str">
        <f aca="false">IFERROR(INDEX(CSV貼付A!$N$5:$N$1004,MATCH(ROW()-4,$M$5:$M$1004,0)),"")</f>
        <v/>
      </c>
      <c r="O44" s="0" t="str">
        <f aca="false">IF(CSV貼付B!$N44="","",IF(COUNTIF($B$37:$B$48,CSV貼付B!$H44)&gt;0,"",IF(SUMPRODUCT((CSV貼付B!$N$5:$N44=CSV貼付B!$N44)*(COUNTIF($B$37:$B$48,CSV貼付B!$H$5:$H44)=0))&gt;1,"",MAX($O$4:O43)+1)))</f>
        <v/>
      </c>
      <c r="P44" s="0" t="str">
        <f aca="false">IFERROR(INDEX(CSV貼付B!$N$5:$N$1004,MATCH(ROW()-4,$O$5:$O$1004,0)),"")</f>
        <v/>
      </c>
      <c r="Q44" s="0" t="str">
        <f aca="false">IF(ROW()-4&lt;=MAX($M$5:$M$1004),IFERROR(INDEX($N$5:$N$1004,ROW()-4),""),IFERROR(INDEX($P$5:$P$1004,ROW()-4-MAX($M$5:$M$1004)),""))</f>
        <v/>
      </c>
    </row>
    <row r="45" customFormat="false" ht="18" hidden="false" customHeight="true" outlineLevel="0" collapsed="false">
      <c r="B45" s="72" t="s">
        <v>113</v>
      </c>
      <c r="C45" s="62" t="str">
        <f aca="false">IF(OR(TRIM($B45)="",AND(CSV貼付A!$N$5="",CSV貼付B!$N$5="")),"",IF(COUNTIF(CSV貼付A!$H$5:$H$1004,$B45)+COUNTIF(CSV貼付B!$H$5:$H$1004,$B45)=0,"⚠該当なし","✔"))</f>
        <v/>
      </c>
      <c r="M45" s="0" t="str">
        <f aca="false">IF(CSV貼付A!$N45="","",IF(COUNTIF($B$37:$B$48,CSV貼付A!$H45)&gt;0,"",IF(SUMPRODUCT((CSV貼付A!$N$5:$N45=CSV貼付A!$N45)*(COUNTIF($B$37:$B$48,CSV貼付A!$H$5:$H45)=0))&gt;1,"",MAX($M$4:M44)+1)))</f>
        <v/>
      </c>
      <c r="N45" s="0" t="str">
        <f aca="false">IFERROR(INDEX(CSV貼付A!$N$5:$N$1004,MATCH(ROW()-4,$M$5:$M$1004,0)),"")</f>
        <v/>
      </c>
      <c r="O45" s="0" t="str">
        <f aca="false">IF(CSV貼付B!$N45="","",IF(COUNTIF($B$37:$B$48,CSV貼付B!$H45)&gt;0,"",IF(SUMPRODUCT((CSV貼付B!$N$5:$N45=CSV貼付B!$N45)*(COUNTIF($B$37:$B$48,CSV貼付B!$H$5:$H45)=0))&gt;1,"",MAX($O$4:O44)+1)))</f>
        <v/>
      </c>
      <c r="P45" s="0" t="str">
        <f aca="false">IFERROR(INDEX(CSV貼付B!$N$5:$N$1004,MATCH(ROW()-4,$O$5:$O$1004,0)),"")</f>
        <v/>
      </c>
      <c r="Q45" s="0" t="str">
        <f aca="false">IF(ROW()-4&lt;=MAX($M$5:$M$1004),IFERROR(INDEX($N$5:$N$1004,ROW()-4),""),IFERROR(INDEX($P$5:$P$1004,ROW()-4-MAX($M$5:$M$1004)),""))</f>
        <v/>
      </c>
    </row>
    <row r="46" customFormat="false" ht="18" hidden="false" customHeight="true" outlineLevel="0" collapsed="false">
      <c r="B46" s="72" t="s">
        <v>114</v>
      </c>
      <c r="C46" s="62" t="str">
        <f aca="false">IF(OR(TRIM($B46)="",AND(CSV貼付A!$N$5="",CSV貼付B!$N$5="")),"",IF(COUNTIF(CSV貼付A!$H$5:$H$1004,$B46)+COUNTIF(CSV貼付B!$H$5:$H$1004,$B46)=0,"⚠該当なし","✔"))</f>
        <v/>
      </c>
      <c r="M46" s="0" t="str">
        <f aca="false">IF(CSV貼付A!$N46="","",IF(COUNTIF($B$37:$B$48,CSV貼付A!$H46)&gt;0,"",IF(SUMPRODUCT((CSV貼付A!$N$5:$N46=CSV貼付A!$N46)*(COUNTIF($B$37:$B$48,CSV貼付A!$H$5:$H46)=0))&gt;1,"",MAX($M$4:M45)+1)))</f>
        <v/>
      </c>
      <c r="N46" s="0" t="str">
        <f aca="false">IFERROR(INDEX(CSV貼付A!$N$5:$N$1004,MATCH(ROW()-4,$M$5:$M$1004,0)),"")</f>
        <v/>
      </c>
      <c r="O46" s="0" t="str">
        <f aca="false">IF(CSV貼付B!$N46="","",IF(COUNTIF($B$37:$B$48,CSV貼付B!$H46)&gt;0,"",IF(SUMPRODUCT((CSV貼付B!$N$5:$N46=CSV貼付B!$N46)*(COUNTIF($B$37:$B$48,CSV貼付B!$H$5:$H46)=0))&gt;1,"",MAX($O$4:O45)+1)))</f>
        <v/>
      </c>
      <c r="P46" s="0" t="str">
        <f aca="false">IFERROR(INDEX(CSV貼付B!$N$5:$N$1004,MATCH(ROW()-4,$O$5:$O$1004,0)),"")</f>
        <v/>
      </c>
      <c r="Q46" s="0" t="str">
        <f aca="false">IF(ROW()-4&lt;=MAX($M$5:$M$1004),IFERROR(INDEX($N$5:$N$1004,ROW()-4),""),IFERROR(INDEX($P$5:$P$1004,ROW()-4-MAX($M$5:$M$1004)),""))</f>
        <v/>
      </c>
    </row>
    <row r="47" customFormat="false" ht="18" hidden="false" customHeight="true" outlineLevel="0" collapsed="false">
      <c r="B47" s="72"/>
      <c r="C47" s="62" t="str">
        <f aca="false">IF(OR(TRIM($B47)="",AND(CSV貼付A!$N$5="",CSV貼付B!$N$5="")),"",IF(COUNTIF(CSV貼付A!$H$5:$H$1004,$B47)+COUNTIF(CSV貼付B!$H$5:$H$1004,$B47)=0,"⚠該当なし","✔"))</f>
        <v/>
      </c>
      <c r="M47" s="0" t="str">
        <f aca="false">IF(CSV貼付A!$N47="","",IF(COUNTIF($B$37:$B$48,CSV貼付A!$H47)&gt;0,"",IF(SUMPRODUCT((CSV貼付A!$N$5:$N47=CSV貼付A!$N47)*(COUNTIF($B$37:$B$48,CSV貼付A!$H$5:$H47)=0))&gt;1,"",MAX($M$4:M46)+1)))</f>
        <v/>
      </c>
      <c r="N47" s="0" t="str">
        <f aca="false">IFERROR(INDEX(CSV貼付A!$N$5:$N$1004,MATCH(ROW()-4,$M$5:$M$1004,0)),"")</f>
        <v/>
      </c>
      <c r="O47" s="0" t="str">
        <f aca="false">IF(CSV貼付B!$N47="","",IF(COUNTIF($B$37:$B$48,CSV貼付B!$H47)&gt;0,"",IF(SUMPRODUCT((CSV貼付B!$N$5:$N47=CSV貼付B!$N47)*(COUNTIF($B$37:$B$48,CSV貼付B!$H$5:$H47)=0))&gt;1,"",MAX($O$4:O46)+1)))</f>
        <v/>
      </c>
      <c r="P47" s="0" t="str">
        <f aca="false">IFERROR(INDEX(CSV貼付B!$N$5:$N$1004,MATCH(ROW()-4,$O$5:$O$1004,0)),"")</f>
        <v/>
      </c>
      <c r="Q47" s="0" t="str">
        <f aca="false">IF(ROW()-4&lt;=MAX($M$5:$M$1004),IFERROR(INDEX($N$5:$N$1004,ROW()-4),""),IFERROR(INDEX($P$5:$P$1004,ROW()-4-MAX($M$5:$M$1004)),""))</f>
        <v/>
      </c>
    </row>
    <row r="48" customFormat="false" ht="18" hidden="false" customHeight="true" outlineLevel="0" collapsed="false">
      <c r="B48" s="72"/>
      <c r="C48" s="62" t="str">
        <f aca="false">IF(OR(TRIM($B48)="",AND(CSV貼付A!$N$5="",CSV貼付B!$N$5="")),"",IF(COUNTIF(CSV貼付A!$H$5:$H$1004,$B48)+COUNTIF(CSV貼付B!$H$5:$H$1004,$B48)=0,"⚠該当なし","✔"))</f>
        <v/>
      </c>
      <c r="M48" s="0" t="str">
        <f aca="false">IF(CSV貼付A!$N48="","",IF(COUNTIF($B$37:$B$48,CSV貼付A!$H48)&gt;0,"",IF(SUMPRODUCT((CSV貼付A!$N$5:$N48=CSV貼付A!$N48)*(COUNTIF($B$37:$B$48,CSV貼付A!$H$5:$H48)=0))&gt;1,"",MAX($M$4:M47)+1)))</f>
        <v/>
      </c>
      <c r="N48" s="0" t="str">
        <f aca="false">IFERROR(INDEX(CSV貼付A!$N$5:$N$1004,MATCH(ROW()-4,$M$5:$M$1004,0)),"")</f>
        <v/>
      </c>
      <c r="O48" s="0" t="str">
        <f aca="false">IF(CSV貼付B!$N48="","",IF(COUNTIF($B$37:$B$48,CSV貼付B!$H48)&gt;0,"",IF(SUMPRODUCT((CSV貼付B!$N$5:$N48=CSV貼付B!$N48)*(COUNTIF($B$37:$B$48,CSV貼付B!$H$5:$H48)=0))&gt;1,"",MAX($O$4:O47)+1)))</f>
        <v/>
      </c>
      <c r="P48" s="0" t="str">
        <f aca="false">IFERROR(INDEX(CSV貼付B!$N$5:$N$1004,MATCH(ROW()-4,$O$5:$O$1004,0)),"")</f>
        <v/>
      </c>
      <c r="Q48" s="0" t="str">
        <f aca="false">IF(ROW()-4&lt;=MAX($M$5:$M$1004),IFERROR(INDEX($N$5:$N$1004,ROW()-4),""),IFERROR(INDEX($P$5:$P$1004,ROW()-4-MAX($M$5:$M$1004)),""))</f>
        <v/>
      </c>
    </row>
    <row r="49" customFormat="false" ht="15" hidden="false" customHeight="false" outlineLevel="0" collapsed="false">
      <c r="M49" s="0" t="str">
        <f aca="false">IF(CSV貼付A!$N49="","",IF(COUNTIF($B$37:$B$48,CSV貼付A!$H49)&gt;0,"",IF(SUMPRODUCT((CSV貼付A!$N$5:$N49=CSV貼付A!$N49)*(COUNTIF($B$37:$B$48,CSV貼付A!$H$5:$H49)=0))&gt;1,"",MAX($M$4:M48)+1)))</f>
        <v/>
      </c>
      <c r="N49" s="0" t="str">
        <f aca="false">IFERROR(INDEX(CSV貼付A!$N$5:$N$1004,MATCH(ROW()-4,$M$5:$M$1004,0)),"")</f>
        <v/>
      </c>
      <c r="O49" s="0" t="str">
        <f aca="false">IF(CSV貼付B!$N49="","",IF(COUNTIF($B$37:$B$48,CSV貼付B!$H49)&gt;0,"",IF(SUMPRODUCT((CSV貼付B!$N$5:$N49=CSV貼付B!$N49)*(COUNTIF($B$37:$B$48,CSV貼付B!$H$5:$H49)=0))&gt;1,"",MAX($O$4:O48)+1)))</f>
        <v/>
      </c>
      <c r="P49" s="0" t="str">
        <f aca="false">IFERROR(INDEX(CSV貼付B!$N$5:$N$1004,MATCH(ROW()-4,$O$5:$O$1004,0)),"")</f>
        <v/>
      </c>
      <c r="Q49" s="0" t="str">
        <f aca="false">IF(ROW()-4&lt;=MAX($M$5:$M$1004),IFERROR(INDEX($N$5:$N$1004,ROW()-4),""),IFERROR(INDEX($P$5:$P$1004,ROW()-4-MAX($M$5:$M$1004)),""))</f>
        <v/>
      </c>
    </row>
    <row r="50" customFormat="false" ht="15" hidden="false" customHeight="false" outlineLevel="0" collapsed="false">
      <c r="M50" s="0" t="str">
        <f aca="false">IF(CSV貼付A!$N50="","",IF(COUNTIF($B$37:$B$48,CSV貼付A!$H50)&gt;0,"",IF(SUMPRODUCT((CSV貼付A!$N$5:$N50=CSV貼付A!$N50)*(COUNTIF($B$37:$B$48,CSV貼付A!$H$5:$H50)=0))&gt;1,"",MAX($M$4:M49)+1)))</f>
        <v/>
      </c>
      <c r="N50" s="0" t="str">
        <f aca="false">IFERROR(INDEX(CSV貼付A!$N$5:$N$1004,MATCH(ROW()-4,$M$5:$M$1004,0)),"")</f>
        <v/>
      </c>
      <c r="O50" s="0" t="str">
        <f aca="false">IF(CSV貼付B!$N50="","",IF(COUNTIF($B$37:$B$48,CSV貼付B!$H50)&gt;0,"",IF(SUMPRODUCT((CSV貼付B!$N$5:$N50=CSV貼付B!$N50)*(COUNTIF($B$37:$B$48,CSV貼付B!$H$5:$H50)=0))&gt;1,"",MAX($O$4:O49)+1)))</f>
        <v/>
      </c>
      <c r="P50" s="0" t="str">
        <f aca="false">IFERROR(INDEX(CSV貼付B!$N$5:$N$1004,MATCH(ROW()-4,$O$5:$O$1004,0)),"")</f>
        <v/>
      </c>
      <c r="Q50" s="0" t="str">
        <f aca="false">IF(ROW()-4&lt;=MAX($M$5:$M$1004),IFERROR(INDEX($N$5:$N$1004,ROW()-4),""),IFERROR(INDEX($P$5:$P$1004,ROW()-4-MAX($M$5:$M$1004)),""))</f>
        <v/>
      </c>
    </row>
    <row r="51" customFormat="false" ht="15" hidden="false" customHeight="false" outlineLevel="0" collapsed="false">
      <c r="M51" s="0" t="str">
        <f aca="false">IF(CSV貼付A!$N51="","",IF(COUNTIF($B$37:$B$48,CSV貼付A!$H51)&gt;0,"",IF(SUMPRODUCT((CSV貼付A!$N$5:$N51=CSV貼付A!$N51)*(COUNTIF($B$37:$B$48,CSV貼付A!$H$5:$H51)=0))&gt;1,"",MAX($M$4:M50)+1)))</f>
        <v/>
      </c>
      <c r="N51" s="0" t="str">
        <f aca="false">IFERROR(INDEX(CSV貼付A!$N$5:$N$1004,MATCH(ROW()-4,$M$5:$M$1004,0)),"")</f>
        <v/>
      </c>
      <c r="O51" s="0" t="str">
        <f aca="false">IF(CSV貼付B!$N51="","",IF(COUNTIF($B$37:$B$48,CSV貼付B!$H51)&gt;0,"",IF(SUMPRODUCT((CSV貼付B!$N$5:$N51=CSV貼付B!$N51)*(COUNTIF($B$37:$B$48,CSV貼付B!$H$5:$H51)=0))&gt;1,"",MAX($O$4:O50)+1)))</f>
        <v/>
      </c>
      <c r="P51" s="0" t="str">
        <f aca="false">IFERROR(INDEX(CSV貼付B!$N$5:$N$1004,MATCH(ROW()-4,$O$5:$O$1004,0)),"")</f>
        <v/>
      </c>
      <c r="Q51" s="0" t="str">
        <f aca="false">IF(ROW()-4&lt;=MAX($M$5:$M$1004),IFERROR(INDEX($N$5:$N$1004,ROW()-4),""),IFERROR(INDEX($P$5:$P$1004,ROW()-4-MAX($M$5:$M$1004)),""))</f>
        <v/>
      </c>
    </row>
    <row r="52" customFormat="false" ht="15" hidden="false" customHeight="false" outlineLevel="0" collapsed="false">
      <c r="M52" s="0" t="str">
        <f aca="false">IF(CSV貼付A!$N52="","",IF(COUNTIF($B$37:$B$48,CSV貼付A!$H52)&gt;0,"",IF(SUMPRODUCT((CSV貼付A!$N$5:$N52=CSV貼付A!$N52)*(COUNTIF($B$37:$B$48,CSV貼付A!$H$5:$H52)=0))&gt;1,"",MAX($M$4:M51)+1)))</f>
        <v/>
      </c>
      <c r="N52" s="0" t="str">
        <f aca="false">IFERROR(INDEX(CSV貼付A!$N$5:$N$1004,MATCH(ROW()-4,$M$5:$M$1004,0)),"")</f>
        <v/>
      </c>
      <c r="O52" s="0" t="str">
        <f aca="false">IF(CSV貼付B!$N52="","",IF(COUNTIF($B$37:$B$48,CSV貼付B!$H52)&gt;0,"",IF(SUMPRODUCT((CSV貼付B!$N$5:$N52=CSV貼付B!$N52)*(COUNTIF($B$37:$B$48,CSV貼付B!$H$5:$H52)=0))&gt;1,"",MAX($O$4:O51)+1)))</f>
        <v/>
      </c>
      <c r="P52" s="0" t="str">
        <f aca="false">IFERROR(INDEX(CSV貼付B!$N$5:$N$1004,MATCH(ROW()-4,$O$5:$O$1004,0)),"")</f>
        <v/>
      </c>
      <c r="Q52" s="0" t="str">
        <f aca="false">IF(ROW()-4&lt;=MAX($M$5:$M$1004),IFERROR(INDEX($N$5:$N$1004,ROW()-4),""),IFERROR(INDEX($P$5:$P$1004,ROW()-4-MAX($M$5:$M$1004)),""))</f>
        <v/>
      </c>
    </row>
    <row r="53" customFormat="false" ht="15" hidden="false" customHeight="false" outlineLevel="0" collapsed="false">
      <c r="M53" s="0" t="str">
        <f aca="false">IF(CSV貼付A!$N53="","",IF(COUNTIF($B$37:$B$48,CSV貼付A!$H53)&gt;0,"",IF(SUMPRODUCT((CSV貼付A!$N$5:$N53=CSV貼付A!$N53)*(COUNTIF($B$37:$B$48,CSV貼付A!$H$5:$H53)=0))&gt;1,"",MAX($M$4:M52)+1)))</f>
        <v/>
      </c>
      <c r="N53" s="0" t="str">
        <f aca="false">IFERROR(INDEX(CSV貼付A!$N$5:$N$1004,MATCH(ROW()-4,$M$5:$M$1004,0)),"")</f>
        <v/>
      </c>
      <c r="O53" s="0" t="str">
        <f aca="false">IF(CSV貼付B!$N53="","",IF(COUNTIF($B$37:$B$48,CSV貼付B!$H53)&gt;0,"",IF(SUMPRODUCT((CSV貼付B!$N$5:$N53=CSV貼付B!$N53)*(COUNTIF($B$37:$B$48,CSV貼付B!$H$5:$H53)=0))&gt;1,"",MAX($O$4:O52)+1)))</f>
        <v/>
      </c>
      <c r="P53" s="0" t="str">
        <f aca="false">IFERROR(INDEX(CSV貼付B!$N$5:$N$1004,MATCH(ROW()-4,$O$5:$O$1004,0)),"")</f>
        <v/>
      </c>
      <c r="Q53" s="0" t="str">
        <f aca="false">IF(ROW()-4&lt;=MAX($M$5:$M$1004),IFERROR(INDEX($N$5:$N$1004,ROW()-4),""),IFERROR(INDEX($P$5:$P$1004,ROW()-4-MAX($M$5:$M$1004)),""))</f>
        <v/>
      </c>
    </row>
    <row r="54" customFormat="false" ht="15" hidden="false" customHeight="false" outlineLevel="0" collapsed="false">
      <c r="M54" s="0" t="str">
        <f aca="false">IF(CSV貼付A!$N54="","",IF(COUNTIF($B$37:$B$48,CSV貼付A!$H54)&gt;0,"",IF(SUMPRODUCT((CSV貼付A!$N$5:$N54=CSV貼付A!$N54)*(COUNTIF($B$37:$B$48,CSV貼付A!$H$5:$H54)=0))&gt;1,"",MAX($M$4:M53)+1)))</f>
        <v/>
      </c>
      <c r="N54" s="0" t="str">
        <f aca="false">IFERROR(INDEX(CSV貼付A!$N$5:$N$1004,MATCH(ROW()-4,$M$5:$M$1004,0)),"")</f>
        <v/>
      </c>
      <c r="O54" s="0" t="str">
        <f aca="false">IF(CSV貼付B!$N54="","",IF(COUNTIF($B$37:$B$48,CSV貼付B!$H54)&gt;0,"",IF(SUMPRODUCT((CSV貼付B!$N$5:$N54=CSV貼付B!$N54)*(COUNTIF($B$37:$B$48,CSV貼付B!$H$5:$H54)=0))&gt;1,"",MAX($O$4:O53)+1)))</f>
        <v/>
      </c>
      <c r="P54" s="0" t="str">
        <f aca="false">IFERROR(INDEX(CSV貼付B!$N$5:$N$1004,MATCH(ROW()-4,$O$5:$O$1004,0)),"")</f>
        <v/>
      </c>
      <c r="Q54" s="0" t="str">
        <f aca="false">IF(ROW()-4&lt;=MAX($M$5:$M$1004),IFERROR(INDEX($N$5:$N$1004,ROW()-4),""),IFERROR(INDEX($P$5:$P$1004,ROW()-4-MAX($M$5:$M$1004)),""))</f>
        <v/>
      </c>
    </row>
    <row r="55" customFormat="false" ht="15" hidden="false" customHeight="false" outlineLevel="0" collapsed="false">
      <c r="M55" s="0" t="str">
        <f aca="false">IF(CSV貼付A!$N55="","",IF(COUNTIF($B$37:$B$48,CSV貼付A!$H55)&gt;0,"",IF(SUMPRODUCT((CSV貼付A!$N$5:$N55=CSV貼付A!$N55)*(COUNTIF($B$37:$B$48,CSV貼付A!$H$5:$H55)=0))&gt;1,"",MAX($M$4:M54)+1)))</f>
        <v/>
      </c>
      <c r="N55" s="0" t="str">
        <f aca="false">IFERROR(INDEX(CSV貼付A!$N$5:$N$1004,MATCH(ROW()-4,$M$5:$M$1004,0)),"")</f>
        <v/>
      </c>
      <c r="O55" s="0" t="str">
        <f aca="false">IF(CSV貼付B!$N55="","",IF(COUNTIF($B$37:$B$48,CSV貼付B!$H55)&gt;0,"",IF(SUMPRODUCT((CSV貼付B!$N$5:$N55=CSV貼付B!$N55)*(COUNTIF($B$37:$B$48,CSV貼付B!$H$5:$H55)=0))&gt;1,"",MAX($O$4:O54)+1)))</f>
        <v/>
      </c>
      <c r="P55" s="0" t="str">
        <f aca="false">IFERROR(INDEX(CSV貼付B!$N$5:$N$1004,MATCH(ROW()-4,$O$5:$O$1004,0)),"")</f>
        <v/>
      </c>
      <c r="Q55" s="0" t="str">
        <f aca="false">IF(ROW()-4&lt;=MAX($M$5:$M$1004),IFERROR(INDEX($N$5:$N$1004,ROW()-4),""),IFERROR(INDEX($P$5:$P$1004,ROW()-4-MAX($M$5:$M$1004)),""))</f>
        <v/>
      </c>
    </row>
    <row r="56" customFormat="false" ht="15" hidden="false" customHeight="false" outlineLevel="0" collapsed="false">
      <c r="M56" s="0" t="str">
        <f aca="false">IF(CSV貼付A!$N56="","",IF(COUNTIF($B$37:$B$48,CSV貼付A!$H56)&gt;0,"",IF(SUMPRODUCT((CSV貼付A!$N$5:$N56=CSV貼付A!$N56)*(COUNTIF($B$37:$B$48,CSV貼付A!$H$5:$H56)=0))&gt;1,"",MAX($M$4:M55)+1)))</f>
        <v/>
      </c>
      <c r="N56" s="0" t="str">
        <f aca="false">IFERROR(INDEX(CSV貼付A!$N$5:$N$1004,MATCH(ROW()-4,$M$5:$M$1004,0)),"")</f>
        <v/>
      </c>
      <c r="O56" s="0" t="str">
        <f aca="false">IF(CSV貼付B!$N56="","",IF(COUNTIF($B$37:$B$48,CSV貼付B!$H56)&gt;0,"",IF(SUMPRODUCT((CSV貼付B!$N$5:$N56=CSV貼付B!$N56)*(COUNTIF($B$37:$B$48,CSV貼付B!$H$5:$H56)=0))&gt;1,"",MAX($O$4:O55)+1)))</f>
        <v/>
      </c>
      <c r="P56" s="0" t="str">
        <f aca="false">IFERROR(INDEX(CSV貼付B!$N$5:$N$1004,MATCH(ROW()-4,$O$5:$O$1004,0)),"")</f>
        <v/>
      </c>
      <c r="Q56" s="0" t="str">
        <f aca="false">IF(ROW()-4&lt;=MAX($M$5:$M$1004),IFERROR(INDEX($N$5:$N$1004,ROW()-4),""),IFERROR(INDEX($P$5:$P$1004,ROW()-4-MAX($M$5:$M$1004)),""))</f>
        <v/>
      </c>
    </row>
    <row r="57" customFormat="false" ht="15" hidden="false" customHeight="false" outlineLevel="0" collapsed="false">
      <c r="M57" s="0" t="str">
        <f aca="false">IF(CSV貼付A!$N57="","",IF(COUNTIF($B$37:$B$48,CSV貼付A!$H57)&gt;0,"",IF(SUMPRODUCT((CSV貼付A!$N$5:$N57=CSV貼付A!$N57)*(COUNTIF($B$37:$B$48,CSV貼付A!$H$5:$H57)=0))&gt;1,"",MAX($M$4:M56)+1)))</f>
        <v/>
      </c>
      <c r="N57" s="0" t="str">
        <f aca="false">IFERROR(INDEX(CSV貼付A!$N$5:$N$1004,MATCH(ROW()-4,$M$5:$M$1004,0)),"")</f>
        <v/>
      </c>
      <c r="O57" s="0" t="str">
        <f aca="false">IF(CSV貼付B!$N57="","",IF(COUNTIF($B$37:$B$48,CSV貼付B!$H57)&gt;0,"",IF(SUMPRODUCT((CSV貼付B!$N$5:$N57=CSV貼付B!$N57)*(COUNTIF($B$37:$B$48,CSV貼付B!$H$5:$H57)=0))&gt;1,"",MAX($O$4:O56)+1)))</f>
        <v/>
      </c>
      <c r="P57" s="0" t="str">
        <f aca="false">IFERROR(INDEX(CSV貼付B!$N$5:$N$1004,MATCH(ROW()-4,$O$5:$O$1004,0)),"")</f>
        <v/>
      </c>
      <c r="Q57" s="0" t="str">
        <f aca="false">IF(ROW()-4&lt;=MAX($M$5:$M$1004),IFERROR(INDEX($N$5:$N$1004,ROW()-4),""),IFERROR(INDEX($P$5:$P$1004,ROW()-4-MAX($M$5:$M$1004)),""))</f>
        <v/>
      </c>
    </row>
    <row r="58" customFormat="false" ht="15" hidden="false" customHeight="false" outlineLevel="0" collapsed="false">
      <c r="M58" s="0" t="str">
        <f aca="false">IF(CSV貼付A!$N58="","",IF(COUNTIF($B$37:$B$48,CSV貼付A!$H58)&gt;0,"",IF(SUMPRODUCT((CSV貼付A!$N$5:$N58=CSV貼付A!$N58)*(COUNTIF($B$37:$B$48,CSV貼付A!$H$5:$H58)=0))&gt;1,"",MAX($M$4:M57)+1)))</f>
        <v/>
      </c>
      <c r="N58" s="0" t="str">
        <f aca="false">IFERROR(INDEX(CSV貼付A!$N$5:$N$1004,MATCH(ROW()-4,$M$5:$M$1004,0)),"")</f>
        <v/>
      </c>
      <c r="O58" s="0" t="str">
        <f aca="false">IF(CSV貼付B!$N58="","",IF(COUNTIF($B$37:$B$48,CSV貼付B!$H58)&gt;0,"",IF(SUMPRODUCT((CSV貼付B!$N$5:$N58=CSV貼付B!$N58)*(COUNTIF($B$37:$B$48,CSV貼付B!$H$5:$H58)=0))&gt;1,"",MAX($O$4:O57)+1)))</f>
        <v/>
      </c>
      <c r="P58" s="0" t="str">
        <f aca="false">IFERROR(INDEX(CSV貼付B!$N$5:$N$1004,MATCH(ROW()-4,$O$5:$O$1004,0)),"")</f>
        <v/>
      </c>
      <c r="Q58" s="0" t="str">
        <f aca="false">IF(ROW()-4&lt;=MAX($M$5:$M$1004),IFERROR(INDEX($N$5:$N$1004,ROW()-4),""),IFERROR(INDEX($P$5:$P$1004,ROW()-4-MAX($M$5:$M$1004)),""))</f>
        <v/>
      </c>
    </row>
    <row r="59" customFormat="false" ht="15" hidden="false" customHeight="false" outlineLevel="0" collapsed="false">
      <c r="M59" s="0" t="str">
        <f aca="false">IF(CSV貼付A!$N59="","",IF(COUNTIF($B$37:$B$48,CSV貼付A!$H59)&gt;0,"",IF(SUMPRODUCT((CSV貼付A!$N$5:$N59=CSV貼付A!$N59)*(COUNTIF($B$37:$B$48,CSV貼付A!$H$5:$H59)=0))&gt;1,"",MAX($M$4:M58)+1)))</f>
        <v/>
      </c>
      <c r="N59" s="0" t="str">
        <f aca="false">IFERROR(INDEX(CSV貼付A!$N$5:$N$1004,MATCH(ROW()-4,$M$5:$M$1004,0)),"")</f>
        <v/>
      </c>
      <c r="O59" s="0" t="str">
        <f aca="false">IF(CSV貼付B!$N59="","",IF(COUNTIF($B$37:$B$48,CSV貼付B!$H59)&gt;0,"",IF(SUMPRODUCT((CSV貼付B!$N$5:$N59=CSV貼付B!$N59)*(COUNTIF($B$37:$B$48,CSV貼付B!$H$5:$H59)=0))&gt;1,"",MAX($O$4:O58)+1)))</f>
        <v/>
      </c>
      <c r="P59" s="0" t="str">
        <f aca="false">IFERROR(INDEX(CSV貼付B!$N$5:$N$1004,MATCH(ROW()-4,$O$5:$O$1004,0)),"")</f>
        <v/>
      </c>
      <c r="Q59" s="0" t="str">
        <f aca="false">IF(ROW()-4&lt;=MAX($M$5:$M$1004),IFERROR(INDEX($N$5:$N$1004,ROW()-4),""),IFERROR(INDEX($P$5:$P$1004,ROW()-4-MAX($M$5:$M$1004)),""))</f>
        <v/>
      </c>
    </row>
    <row r="60" customFormat="false" ht="15" hidden="false" customHeight="false" outlineLevel="0" collapsed="false">
      <c r="M60" s="0" t="str">
        <f aca="false">IF(CSV貼付A!$N60="","",IF(COUNTIF($B$37:$B$48,CSV貼付A!$H60)&gt;0,"",IF(SUMPRODUCT((CSV貼付A!$N$5:$N60=CSV貼付A!$N60)*(COUNTIF($B$37:$B$48,CSV貼付A!$H$5:$H60)=0))&gt;1,"",MAX($M$4:M59)+1)))</f>
        <v/>
      </c>
      <c r="N60" s="0" t="str">
        <f aca="false">IFERROR(INDEX(CSV貼付A!$N$5:$N$1004,MATCH(ROW()-4,$M$5:$M$1004,0)),"")</f>
        <v/>
      </c>
      <c r="O60" s="0" t="str">
        <f aca="false">IF(CSV貼付B!$N60="","",IF(COUNTIF($B$37:$B$48,CSV貼付B!$H60)&gt;0,"",IF(SUMPRODUCT((CSV貼付B!$N$5:$N60=CSV貼付B!$N60)*(COUNTIF($B$37:$B$48,CSV貼付B!$H$5:$H60)=0))&gt;1,"",MAX($O$4:O59)+1)))</f>
        <v/>
      </c>
      <c r="P60" s="0" t="str">
        <f aca="false">IFERROR(INDEX(CSV貼付B!$N$5:$N$1004,MATCH(ROW()-4,$O$5:$O$1004,0)),"")</f>
        <v/>
      </c>
      <c r="Q60" s="0" t="str">
        <f aca="false">IF(ROW()-4&lt;=MAX($M$5:$M$1004),IFERROR(INDEX($N$5:$N$1004,ROW()-4),""),IFERROR(INDEX($P$5:$P$1004,ROW()-4-MAX($M$5:$M$1004)),""))</f>
        <v/>
      </c>
    </row>
    <row r="61" customFormat="false" ht="15" hidden="false" customHeight="false" outlineLevel="0" collapsed="false">
      <c r="M61" s="0" t="str">
        <f aca="false">IF(CSV貼付A!$N61="","",IF(COUNTIF($B$37:$B$48,CSV貼付A!$H61)&gt;0,"",IF(SUMPRODUCT((CSV貼付A!$N$5:$N61=CSV貼付A!$N61)*(COUNTIF($B$37:$B$48,CSV貼付A!$H$5:$H61)=0))&gt;1,"",MAX($M$4:M60)+1)))</f>
        <v/>
      </c>
      <c r="N61" s="0" t="str">
        <f aca="false">IFERROR(INDEX(CSV貼付A!$N$5:$N$1004,MATCH(ROW()-4,$M$5:$M$1004,0)),"")</f>
        <v/>
      </c>
      <c r="O61" s="0" t="str">
        <f aca="false">IF(CSV貼付B!$N61="","",IF(COUNTIF($B$37:$B$48,CSV貼付B!$H61)&gt;0,"",IF(SUMPRODUCT((CSV貼付B!$N$5:$N61=CSV貼付B!$N61)*(COUNTIF($B$37:$B$48,CSV貼付B!$H$5:$H61)=0))&gt;1,"",MAX($O$4:O60)+1)))</f>
        <v/>
      </c>
      <c r="P61" s="0" t="str">
        <f aca="false">IFERROR(INDEX(CSV貼付B!$N$5:$N$1004,MATCH(ROW()-4,$O$5:$O$1004,0)),"")</f>
        <v/>
      </c>
      <c r="Q61" s="0" t="str">
        <f aca="false">IF(ROW()-4&lt;=MAX($M$5:$M$1004),IFERROR(INDEX($N$5:$N$1004,ROW()-4),""),IFERROR(INDEX($P$5:$P$1004,ROW()-4-MAX($M$5:$M$1004)),""))</f>
        <v/>
      </c>
    </row>
    <row r="62" customFormat="false" ht="15" hidden="false" customHeight="false" outlineLevel="0" collapsed="false">
      <c r="M62" s="0" t="str">
        <f aca="false">IF(CSV貼付A!$N62="","",IF(COUNTIF($B$37:$B$48,CSV貼付A!$H62)&gt;0,"",IF(SUMPRODUCT((CSV貼付A!$N$5:$N62=CSV貼付A!$N62)*(COUNTIF($B$37:$B$48,CSV貼付A!$H$5:$H62)=0))&gt;1,"",MAX($M$4:M61)+1)))</f>
        <v/>
      </c>
      <c r="N62" s="0" t="str">
        <f aca="false">IFERROR(INDEX(CSV貼付A!$N$5:$N$1004,MATCH(ROW()-4,$M$5:$M$1004,0)),"")</f>
        <v/>
      </c>
      <c r="O62" s="0" t="str">
        <f aca="false">IF(CSV貼付B!$N62="","",IF(COUNTIF($B$37:$B$48,CSV貼付B!$H62)&gt;0,"",IF(SUMPRODUCT((CSV貼付B!$N$5:$N62=CSV貼付B!$N62)*(COUNTIF($B$37:$B$48,CSV貼付B!$H$5:$H62)=0))&gt;1,"",MAX($O$4:O61)+1)))</f>
        <v/>
      </c>
      <c r="P62" s="0" t="str">
        <f aca="false">IFERROR(INDEX(CSV貼付B!$N$5:$N$1004,MATCH(ROW()-4,$O$5:$O$1004,0)),"")</f>
        <v/>
      </c>
      <c r="Q62" s="0" t="str">
        <f aca="false">IF(ROW()-4&lt;=MAX($M$5:$M$1004),IFERROR(INDEX($N$5:$N$1004,ROW()-4),""),IFERROR(INDEX($P$5:$P$1004,ROW()-4-MAX($M$5:$M$1004)),""))</f>
        <v/>
      </c>
    </row>
    <row r="63" customFormat="false" ht="15" hidden="false" customHeight="false" outlineLevel="0" collapsed="false">
      <c r="M63" s="0" t="str">
        <f aca="false">IF(CSV貼付A!$N63="","",IF(COUNTIF($B$37:$B$48,CSV貼付A!$H63)&gt;0,"",IF(SUMPRODUCT((CSV貼付A!$N$5:$N63=CSV貼付A!$N63)*(COUNTIF($B$37:$B$48,CSV貼付A!$H$5:$H63)=0))&gt;1,"",MAX($M$4:M62)+1)))</f>
        <v/>
      </c>
      <c r="N63" s="0" t="str">
        <f aca="false">IFERROR(INDEX(CSV貼付A!$N$5:$N$1004,MATCH(ROW()-4,$M$5:$M$1004,0)),"")</f>
        <v/>
      </c>
      <c r="O63" s="0" t="str">
        <f aca="false">IF(CSV貼付B!$N63="","",IF(COUNTIF($B$37:$B$48,CSV貼付B!$H63)&gt;0,"",IF(SUMPRODUCT((CSV貼付B!$N$5:$N63=CSV貼付B!$N63)*(COUNTIF($B$37:$B$48,CSV貼付B!$H$5:$H63)=0))&gt;1,"",MAX($O$4:O62)+1)))</f>
        <v/>
      </c>
      <c r="P63" s="0" t="str">
        <f aca="false">IFERROR(INDEX(CSV貼付B!$N$5:$N$1004,MATCH(ROW()-4,$O$5:$O$1004,0)),"")</f>
        <v/>
      </c>
      <c r="Q63" s="0" t="str">
        <f aca="false">IF(ROW()-4&lt;=MAX($M$5:$M$1004),IFERROR(INDEX($N$5:$N$1004,ROW()-4),""),IFERROR(INDEX($P$5:$P$1004,ROW()-4-MAX($M$5:$M$1004)),""))</f>
        <v/>
      </c>
    </row>
    <row r="64" customFormat="false" ht="15" hidden="false" customHeight="false" outlineLevel="0" collapsed="false">
      <c r="M64" s="0" t="str">
        <f aca="false">IF(CSV貼付A!$N64="","",IF(COUNTIF($B$37:$B$48,CSV貼付A!$H64)&gt;0,"",IF(SUMPRODUCT((CSV貼付A!$N$5:$N64=CSV貼付A!$N64)*(COUNTIF($B$37:$B$48,CSV貼付A!$H$5:$H64)=0))&gt;1,"",MAX($M$4:M63)+1)))</f>
        <v/>
      </c>
      <c r="N64" s="0" t="str">
        <f aca="false">IFERROR(INDEX(CSV貼付A!$N$5:$N$1004,MATCH(ROW()-4,$M$5:$M$1004,0)),"")</f>
        <v/>
      </c>
      <c r="O64" s="0" t="str">
        <f aca="false">IF(CSV貼付B!$N64="","",IF(COUNTIF($B$37:$B$48,CSV貼付B!$H64)&gt;0,"",IF(SUMPRODUCT((CSV貼付B!$N$5:$N64=CSV貼付B!$N64)*(COUNTIF($B$37:$B$48,CSV貼付B!$H$5:$H64)=0))&gt;1,"",MAX($O$4:O63)+1)))</f>
        <v/>
      </c>
      <c r="P64" s="0" t="str">
        <f aca="false">IFERROR(INDEX(CSV貼付B!$N$5:$N$1004,MATCH(ROW()-4,$O$5:$O$1004,0)),"")</f>
        <v/>
      </c>
      <c r="Q64" s="0" t="str">
        <f aca="false">IF(ROW()-4&lt;=MAX($M$5:$M$1004),IFERROR(INDEX($N$5:$N$1004,ROW()-4),""),IFERROR(INDEX($P$5:$P$1004,ROW()-4-MAX($M$5:$M$1004)),""))</f>
        <v/>
      </c>
    </row>
    <row r="65" customFormat="false" ht="15" hidden="false" customHeight="false" outlineLevel="0" collapsed="false">
      <c r="M65" s="0" t="str">
        <f aca="false">IF(CSV貼付A!$N65="","",IF(COUNTIF($B$37:$B$48,CSV貼付A!$H65)&gt;0,"",IF(SUMPRODUCT((CSV貼付A!$N$5:$N65=CSV貼付A!$N65)*(COUNTIF($B$37:$B$48,CSV貼付A!$H$5:$H65)=0))&gt;1,"",MAX($M$4:M64)+1)))</f>
        <v/>
      </c>
      <c r="N65" s="0" t="str">
        <f aca="false">IFERROR(INDEX(CSV貼付A!$N$5:$N$1004,MATCH(ROW()-4,$M$5:$M$1004,0)),"")</f>
        <v/>
      </c>
      <c r="O65" s="0" t="str">
        <f aca="false">IF(CSV貼付B!$N65="","",IF(COUNTIF($B$37:$B$48,CSV貼付B!$H65)&gt;0,"",IF(SUMPRODUCT((CSV貼付B!$N$5:$N65=CSV貼付B!$N65)*(COUNTIF($B$37:$B$48,CSV貼付B!$H$5:$H65)=0))&gt;1,"",MAX($O$4:O64)+1)))</f>
        <v/>
      </c>
      <c r="P65" s="0" t="str">
        <f aca="false">IFERROR(INDEX(CSV貼付B!$N$5:$N$1004,MATCH(ROW()-4,$O$5:$O$1004,0)),"")</f>
        <v/>
      </c>
      <c r="Q65" s="0" t="str">
        <f aca="false">IF(ROW()-4&lt;=MAX($M$5:$M$1004),IFERROR(INDEX($N$5:$N$1004,ROW()-4),""),IFERROR(INDEX($P$5:$P$1004,ROW()-4-MAX($M$5:$M$1004)),""))</f>
        <v/>
      </c>
    </row>
    <row r="66" customFormat="false" ht="15" hidden="false" customHeight="false" outlineLevel="0" collapsed="false">
      <c r="M66" s="0" t="str">
        <f aca="false">IF(CSV貼付A!$N66="","",IF(COUNTIF($B$37:$B$48,CSV貼付A!$H66)&gt;0,"",IF(SUMPRODUCT((CSV貼付A!$N$5:$N66=CSV貼付A!$N66)*(COUNTIF($B$37:$B$48,CSV貼付A!$H$5:$H66)=0))&gt;1,"",MAX($M$4:M65)+1)))</f>
        <v/>
      </c>
      <c r="N66" s="0" t="str">
        <f aca="false">IFERROR(INDEX(CSV貼付A!$N$5:$N$1004,MATCH(ROW()-4,$M$5:$M$1004,0)),"")</f>
        <v/>
      </c>
      <c r="O66" s="0" t="str">
        <f aca="false">IF(CSV貼付B!$N66="","",IF(COUNTIF($B$37:$B$48,CSV貼付B!$H66)&gt;0,"",IF(SUMPRODUCT((CSV貼付B!$N$5:$N66=CSV貼付B!$N66)*(COUNTIF($B$37:$B$48,CSV貼付B!$H$5:$H66)=0))&gt;1,"",MAX($O$4:O65)+1)))</f>
        <v/>
      </c>
      <c r="P66" s="0" t="str">
        <f aca="false">IFERROR(INDEX(CSV貼付B!$N$5:$N$1004,MATCH(ROW()-4,$O$5:$O$1004,0)),"")</f>
        <v/>
      </c>
      <c r="Q66" s="0" t="str">
        <f aca="false">IF(ROW()-4&lt;=MAX($M$5:$M$1004),IFERROR(INDEX($N$5:$N$1004,ROW()-4),""),IFERROR(INDEX($P$5:$P$1004,ROW()-4-MAX($M$5:$M$1004)),""))</f>
        <v/>
      </c>
    </row>
    <row r="67" customFormat="false" ht="15" hidden="false" customHeight="false" outlineLevel="0" collapsed="false">
      <c r="M67" s="0" t="str">
        <f aca="false">IF(CSV貼付A!$N67="","",IF(COUNTIF($B$37:$B$48,CSV貼付A!$H67)&gt;0,"",IF(SUMPRODUCT((CSV貼付A!$N$5:$N67=CSV貼付A!$N67)*(COUNTIF($B$37:$B$48,CSV貼付A!$H$5:$H67)=0))&gt;1,"",MAX($M$4:M66)+1)))</f>
        <v/>
      </c>
      <c r="N67" s="0" t="str">
        <f aca="false">IFERROR(INDEX(CSV貼付A!$N$5:$N$1004,MATCH(ROW()-4,$M$5:$M$1004,0)),"")</f>
        <v/>
      </c>
      <c r="O67" s="0" t="str">
        <f aca="false">IF(CSV貼付B!$N67="","",IF(COUNTIF($B$37:$B$48,CSV貼付B!$H67)&gt;0,"",IF(SUMPRODUCT((CSV貼付B!$N$5:$N67=CSV貼付B!$N67)*(COUNTIF($B$37:$B$48,CSV貼付B!$H$5:$H67)=0))&gt;1,"",MAX($O$4:O66)+1)))</f>
        <v/>
      </c>
      <c r="P67" s="0" t="str">
        <f aca="false">IFERROR(INDEX(CSV貼付B!$N$5:$N$1004,MATCH(ROW()-4,$O$5:$O$1004,0)),"")</f>
        <v/>
      </c>
      <c r="Q67" s="0" t="str">
        <f aca="false">IF(ROW()-4&lt;=MAX($M$5:$M$1004),IFERROR(INDEX($N$5:$N$1004,ROW()-4),""),IFERROR(INDEX($P$5:$P$1004,ROW()-4-MAX($M$5:$M$1004)),""))</f>
        <v/>
      </c>
    </row>
    <row r="68" customFormat="false" ht="15" hidden="false" customHeight="false" outlineLevel="0" collapsed="false">
      <c r="M68" s="0" t="str">
        <f aca="false">IF(CSV貼付A!$N68="","",IF(COUNTIF($B$37:$B$48,CSV貼付A!$H68)&gt;0,"",IF(SUMPRODUCT((CSV貼付A!$N$5:$N68=CSV貼付A!$N68)*(COUNTIF($B$37:$B$48,CSV貼付A!$H$5:$H68)=0))&gt;1,"",MAX($M$4:M67)+1)))</f>
        <v/>
      </c>
      <c r="N68" s="0" t="str">
        <f aca="false">IFERROR(INDEX(CSV貼付A!$N$5:$N$1004,MATCH(ROW()-4,$M$5:$M$1004,0)),"")</f>
        <v/>
      </c>
      <c r="O68" s="0" t="str">
        <f aca="false">IF(CSV貼付B!$N68="","",IF(COUNTIF($B$37:$B$48,CSV貼付B!$H68)&gt;0,"",IF(SUMPRODUCT((CSV貼付B!$N$5:$N68=CSV貼付B!$N68)*(COUNTIF($B$37:$B$48,CSV貼付B!$H$5:$H68)=0))&gt;1,"",MAX($O$4:O67)+1)))</f>
        <v/>
      </c>
      <c r="P68" s="0" t="str">
        <f aca="false">IFERROR(INDEX(CSV貼付B!$N$5:$N$1004,MATCH(ROW()-4,$O$5:$O$1004,0)),"")</f>
        <v/>
      </c>
      <c r="Q68" s="0" t="str">
        <f aca="false">IF(ROW()-4&lt;=MAX($M$5:$M$1004),IFERROR(INDEX($N$5:$N$1004,ROW()-4),""),IFERROR(INDEX($P$5:$P$1004,ROW()-4-MAX($M$5:$M$1004)),""))</f>
        <v/>
      </c>
    </row>
    <row r="69" customFormat="false" ht="15" hidden="false" customHeight="false" outlineLevel="0" collapsed="false">
      <c r="M69" s="0" t="str">
        <f aca="false">IF(CSV貼付A!$N69="","",IF(COUNTIF($B$37:$B$48,CSV貼付A!$H69)&gt;0,"",IF(SUMPRODUCT((CSV貼付A!$N$5:$N69=CSV貼付A!$N69)*(COUNTIF($B$37:$B$48,CSV貼付A!$H$5:$H69)=0))&gt;1,"",MAX($M$4:M68)+1)))</f>
        <v/>
      </c>
      <c r="N69" s="0" t="str">
        <f aca="false">IFERROR(INDEX(CSV貼付A!$N$5:$N$1004,MATCH(ROW()-4,$M$5:$M$1004,0)),"")</f>
        <v/>
      </c>
      <c r="O69" s="0" t="str">
        <f aca="false">IF(CSV貼付B!$N69="","",IF(COUNTIF($B$37:$B$48,CSV貼付B!$H69)&gt;0,"",IF(SUMPRODUCT((CSV貼付B!$N$5:$N69=CSV貼付B!$N69)*(COUNTIF($B$37:$B$48,CSV貼付B!$H$5:$H69)=0))&gt;1,"",MAX($O$4:O68)+1)))</f>
        <v/>
      </c>
      <c r="P69" s="0" t="str">
        <f aca="false">IFERROR(INDEX(CSV貼付B!$N$5:$N$1004,MATCH(ROW()-4,$O$5:$O$1004,0)),"")</f>
        <v/>
      </c>
      <c r="Q69" s="0" t="str">
        <f aca="false">IF(ROW()-4&lt;=MAX($M$5:$M$1004),IFERROR(INDEX($N$5:$N$1004,ROW()-4),""),IFERROR(INDEX($P$5:$P$1004,ROW()-4-MAX($M$5:$M$1004)),""))</f>
        <v/>
      </c>
    </row>
    <row r="70" customFormat="false" ht="15" hidden="false" customHeight="false" outlineLevel="0" collapsed="false">
      <c r="M70" s="0" t="str">
        <f aca="false">IF(CSV貼付A!$N70="","",IF(COUNTIF($B$37:$B$48,CSV貼付A!$H70)&gt;0,"",IF(SUMPRODUCT((CSV貼付A!$N$5:$N70=CSV貼付A!$N70)*(COUNTIF($B$37:$B$48,CSV貼付A!$H$5:$H70)=0))&gt;1,"",MAX($M$4:M69)+1)))</f>
        <v/>
      </c>
      <c r="N70" s="0" t="str">
        <f aca="false">IFERROR(INDEX(CSV貼付A!$N$5:$N$1004,MATCH(ROW()-4,$M$5:$M$1004,0)),"")</f>
        <v/>
      </c>
      <c r="O70" s="0" t="str">
        <f aca="false">IF(CSV貼付B!$N70="","",IF(COUNTIF($B$37:$B$48,CSV貼付B!$H70)&gt;0,"",IF(SUMPRODUCT((CSV貼付B!$N$5:$N70=CSV貼付B!$N70)*(COUNTIF($B$37:$B$48,CSV貼付B!$H$5:$H70)=0))&gt;1,"",MAX($O$4:O69)+1)))</f>
        <v/>
      </c>
      <c r="P70" s="0" t="str">
        <f aca="false">IFERROR(INDEX(CSV貼付B!$N$5:$N$1004,MATCH(ROW()-4,$O$5:$O$1004,0)),"")</f>
        <v/>
      </c>
      <c r="Q70" s="0" t="str">
        <f aca="false">IF(ROW()-4&lt;=MAX($M$5:$M$1004),IFERROR(INDEX($N$5:$N$1004,ROW()-4),""),IFERROR(INDEX($P$5:$P$1004,ROW()-4-MAX($M$5:$M$1004)),""))</f>
        <v/>
      </c>
    </row>
    <row r="71" customFormat="false" ht="15" hidden="false" customHeight="false" outlineLevel="0" collapsed="false">
      <c r="M71" s="0" t="str">
        <f aca="false">IF(CSV貼付A!$N71="","",IF(COUNTIF($B$37:$B$48,CSV貼付A!$H71)&gt;0,"",IF(SUMPRODUCT((CSV貼付A!$N$5:$N71=CSV貼付A!$N71)*(COUNTIF($B$37:$B$48,CSV貼付A!$H$5:$H71)=0))&gt;1,"",MAX($M$4:M70)+1)))</f>
        <v/>
      </c>
      <c r="N71" s="0" t="str">
        <f aca="false">IFERROR(INDEX(CSV貼付A!$N$5:$N$1004,MATCH(ROW()-4,$M$5:$M$1004,0)),"")</f>
        <v/>
      </c>
      <c r="O71" s="0" t="str">
        <f aca="false">IF(CSV貼付B!$N71="","",IF(COUNTIF($B$37:$B$48,CSV貼付B!$H71)&gt;0,"",IF(SUMPRODUCT((CSV貼付B!$N$5:$N71=CSV貼付B!$N71)*(COUNTIF($B$37:$B$48,CSV貼付B!$H$5:$H71)=0))&gt;1,"",MAX($O$4:O70)+1)))</f>
        <v/>
      </c>
      <c r="P71" s="0" t="str">
        <f aca="false">IFERROR(INDEX(CSV貼付B!$N$5:$N$1004,MATCH(ROW()-4,$O$5:$O$1004,0)),"")</f>
        <v/>
      </c>
      <c r="Q71" s="0" t="str">
        <f aca="false">IF(ROW()-4&lt;=MAX($M$5:$M$1004),IFERROR(INDEX($N$5:$N$1004,ROW()-4),""),IFERROR(INDEX($P$5:$P$1004,ROW()-4-MAX($M$5:$M$1004)),""))</f>
        <v/>
      </c>
    </row>
    <row r="72" customFormat="false" ht="15" hidden="false" customHeight="false" outlineLevel="0" collapsed="false">
      <c r="M72" s="0" t="str">
        <f aca="false">IF(CSV貼付A!$N72="","",IF(COUNTIF($B$37:$B$48,CSV貼付A!$H72)&gt;0,"",IF(SUMPRODUCT((CSV貼付A!$N$5:$N72=CSV貼付A!$N72)*(COUNTIF($B$37:$B$48,CSV貼付A!$H$5:$H72)=0))&gt;1,"",MAX($M$4:M71)+1)))</f>
        <v/>
      </c>
      <c r="N72" s="0" t="str">
        <f aca="false">IFERROR(INDEX(CSV貼付A!$N$5:$N$1004,MATCH(ROW()-4,$M$5:$M$1004,0)),"")</f>
        <v/>
      </c>
      <c r="O72" s="0" t="str">
        <f aca="false">IF(CSV貼付B!$N72="","",IF(COUNTIF($B$37:$B$48,CSV貼付B!$H72)&gt;0,"",IF(SUMPRODUCT((CSV貼付B!$N$5:$N72=CSV貼付B!$N72)*(COUNTIF($B$37:$B$48,CSV貼付B!$H$5:$H72)=0))&gt;1,"",MAX($O$4:O71)+1)))</f>
        <v/>
      </c>
      <c r="P72" s="0" t="str">
        <f aca="false">IFERROR(INDEX(CSV貼付B!$N$5:$N$1004,MATCH(ROW()-4,$O$5:$O$1004,0)),"")</f>
        <v/>
      </c>
      <c r="Q72" s="0" t="str">
        <f aca="false">IF(ROW()-4&lt;=MAX($M$5:$M$1004),IFERROR(INDEX($N$5:$N$1004,ROW()-4),""),IFERROR(INDEX($P$5:$P$1004,ROW()-4-MAX($M$5:$M$1004)),""))</f>
        <v/>
      </c>
    </row>
    <row r="73" customFormat="false" ht="15" hidden="false" customHeight="false" outlineLevel="0" collapsed="false">
      <c r="M73" s="0" t="str">
        <f aca="false">IF(CSV貼付A!$N73="","",IF(COUNTIF($B$37:$B$48,CSV貼付A!$H73)&gt;0,"",IF(SUMPRODUCT((CSV貼付A!$N$5:$N73=CSV貼付A!$N73)*(COUNTIF($B$37:$B$48,CSV貼付A!$H$5:$H73)=0))&gt;1,"",MAX($M$4:M72)+1)))</f>
        <v/>
      </c>
      <c r="N73" s="0" t="str">
        <f aca="false">IFERROR(INDEX(CSV貼付A!$N$5:$N$1004,MATCH(ROW()-4,$M$5:$M$1004,0)),"")</f>
        <v/>
      </c>
      <c r="O73" s="0" t="str">
        <f aca="false">IF(CSV貼付B!$N73="","",IF(COUNTIF($B$37:$B$48,CSV貼付B!$H73)&gt;0,"",IF(SUMPRODUCT((CSV貼付B!$N$5:$N73=CSV貼付B!$N73)*(COUNTIF($B$37:$B$48,CSV貼付B!$H$5:$H73)=0))&gt;1,"",MAX($O$4:O72)+1)))</f>
        <v/>
      </c>
      <c r="P73" s="0" t="str">
        <f aca="false">IFERROR(INDEX(CSV貼付B!$N$5:$N$1004,MATCH(ROW()-4,$O$5:$O$1004,0)),"")</f>
        <v/>
      </c>
      <c r="Q73" s="0" t="str">
        <f aca="false">IF(ROW()-4&lt;=MAX($M$5:$M$1004),IFERROR(INDEX($N$5:$N$1004,ROW()-4),""),IFERROR(INDEX($P$5:$P$1004,ROW()-4-MAX($M$5:$M$1004)),""))</f>
        <v/>
      </c>
    </row>
    <row r="74" customFormat="false" ht="15" hidden="false" customHeight="false" outlineLevel="0" collapsed="false">
      <c r="M74" s="0" t="str">
        <f aca="false">IF(CSV貼付A!$N74="","",IF(COUNTIF($B$37:$B$48,CSV貼付A!$H74)&gt;0,"",IF(SUMPRODUCT((CSV貼付A!$N$5:$N74=CSV貼付A!$N74)*(COUNTIF($B$37:$B$48,CSV貼付A!$H$5:$H74)=0))&gt;1,"",MAX($M$4:M73)+1)))</f>
        <v/>
      </c>
      <c r="N74" s="0" t="str">
        <f aca="false">IFERROR(INDEX(CSV貼付A!$N$5:$N$1004,MATCH(ROW()-4,$M$5:$M$1004,0)),"")</f>
        <v/>
      </c>
      <c r="O74" s="0" t="str">
        <f aca="false">IF(CSV貼付B!$N74="","",IF(COUNTIF($B$37:$B$48,CSV貼付B!$H74)&gt;0,"",IF(SUMPRODUCT((CSV貼付B!$N$5:$N74=CSV貼付B!$N74)*(COUNTIF($B$37:$B$48,CSV貼付B!$H$5:$H74)=0))&gt;1,"",MAX($O$4:O73)+1)))</f>
        <v/>
      </c>
      <c r="P74" s="0" t="str">
        <f aca="false">IFERROR(INDEX(CSV貼付B!$N$5:$N$1004,MATCH(ROW()-4,$O$5:$O$1004,0)),"")</f>
        <v/>
      </c>
      <c r="Q74" s="0" t="str">
        <f aca="false">IF(ROW()-4&lt;=MAX($M$5:$M$1004),IFERROR(INDEX($N$5:$N$1004,ROW()-4),""),IFERROR(INDEX($P$5:$P$1004,ROW()-4-MAX($M$5:$M$1004)),""))</f>
        <v/>
      </c>
    </row>
    <row r="75" customFormat="false" ht="15" hidden="false" customHeight="false" outlineLevel="0" collapsed="false">
      <c r="M75" s="0" t="str">
        <f aca="false">IF(CSV貼付A!$N75="","",IF(COUNTIF($B$37:$B$48,CSV貼付A!$H75)&gt;0,"",IF(SUMPRODUCT((CSV貼付A!$N$5:$N75=CSV貼付A!$N75)*(COUNTIF($B$37:$B$48,CSV貼付A!$H$5:$H75)=0))&gt;1,"",MAX($M$4:M74)+1)))</f>
        <v/>
      </c>
      <c r="N75" s="0" t="str">
        <f aca="false">IFERROR(INDEX(CSV貼付A!$N$5:$N$1004,MATCH(ROW()-4,$M$5:$M$1004,0)),"")</f>
        <v/>
      </c>
      <c r="O75" s="0" t="str">
        <f aca="false">IF(CSV貼付B!$N75="","",IF(COUNTIF($B$37:$B$48,CSV貼付B!$H75)&gt;0,"",IF(SUMPRODUCT((CSV貼付B!$N$5:$N75=CSV貼付B!$N75)*(COUNTIF($B$37:$B$48,CSV貼付B!$H$5:$H75)=0))&gt;1,"",MAX($O$4:O74)+1)))</f>
        <v/>
      </c>
      <c r="P75" s="0" t="str">
        <f aca="false">IFERROR(INDEX(CSV貼付B!$N$5:$N$1004,MATCH(ROW()-4,$O$5:$O$1004,0)),"")</f>
        <v/>
      </c>
      <c r="Q75" s="0" t="str">
        <f aca="false">IF(ROW()-4&lt;=MAX($M$5:$M$1004),IFERROR(INDEX($N$5:$N$1004,ROW()-4),""),IFERROR(INDEX($P$5:$P$1004,ROW()-4-MAX($M$5:$M$1004)),""))</f>
        <v/>
      </c>
    </row>
    <row r="76" customFormat="false" ht="15" hidden="false" customHeight="false" outlineLevel="0" collapsed="false">
      <c r="M76" s="0" t="str">
        <f aca="false">IF(CSV貼付A!$N76="","",IF(COUNTIF($B$37:$B$48,CSV貼付A!$H76)&gt;0,"",IF(SUMPRODUCT((CSV貼付A!$N$5:$N76=CSV貼付A!$N76)*(COUNTIF($B$37:$B$48,CSV貼付A!$H$5:$H76)=0))&gt;1,"",MAX($M$4:M75)+1)))</f>
        <v/>
      </c>
      <c r="N76" s="0" t="str">
        <f aca="false">IFERROR(INDEX(CSV貼付A!$N$5:$N$1004,MATCH(ROW()-4,$M$5:$M$1004,0)),"")</f>
        <v/>
      </c>
      <c r="O76" s="0" t="str">
        <f aca="false">IF(CSV貼付B!$N76="","",IF(COUNTIF($B$37:$B$48,CSV貼付B!$H76)&gt;0,"",IF(SUMPRODUCT((CSV貼付B!$N$5:$N76=CSV貼付B!$N76)*(COUNTIF($B$37:$B$48,CSV貼付B!$H$5:$H76)=0))&gt;1,"",MAX($O$4:O75)+1)))</f>
        <v/>
      </c>
      <c r="P76" s="0" t="str">
        <f aca="false">IFERROR(INDEX(CSV貼付B!$N$5:$N$1004,MATCH(ROW()-4,$O$5:$O$1004,0)),"")</f>
        <v/>
      </c>
      <c r="Q76" s="0" t="str">
        <f aca="false">IF(ROW()-4&lt;=MAX($M$5:$M$1004),IFERROR(INDEX($N$5:$N$1004,ROW()-4),""),IFERROR(INDEX($P$5:$P$1004,ROW()-4-MAX($M$5:$M$1004)),""))</f>
        <v/>
      </c>
    </row>
    <row r="77" customFormat="false" ht="15" hidden="false" customHeight="false" outlineLevel="0" collapsed="false">
      <c r="M77" s="0" t="str">
        <f aca="false">IF(CSV貼付A!$N77="","",IF(COUNTIF($B$37:$B$48,CSV貼付A!$H77)&gt;0,"",IF(SUMPRODUCT((CSV貼付A!$N$5:$N77=CSV貼付A!$N77)*(COUNTIF($B$37:$B$48,CSV貼付A!$H$5:$H77)=0))&gt;1,"",MAX($M$4:M76)+1)))</f>
        <v/>
      </c>
      <c r="N77" s="0" t="str">
        <f aca="false">IFERROR(INDEX(CSV貼付A!$N$5:$N$1004,MATCH(ROW()-4,$M$5:$M$1004,0)),"")</f>
        <v/>
      </c>
      <c r="O77" s="0" t="str">
        <f aca="false">IF(CSV貼付B!$N77="","",IF(COUNTIF($B$37:$B$48,CSV貼付B!$H77)&gt;0,"",IF(SUMPRODUCT((CSV貼付B!$N$5:$N77=CSV貼付B!$N77)*(COUNTIF($B$37:$B$48,CSV貼付B!$H$5:$H77)=0))&gt;1,"",MAX($O$4:O76)+1)))</f>
        <v/>
      </c>
      <c r="P77" s="0" t="str">
        <f aca="false">IFERROR(INDEX(CSV貼付B!$N$5:$N$1004,MATCH(ROW()-4,$O$5:$O$1004,0)),"")</f>
        <v/>
      </c>
      <c r="Q77" s="0" t="str">
        <f aca="false">IF(ROW()-4&lt;=MAX($M$5:$M$1004),IFERROR(INDEX($N$5:$N$1004,ROW()-4),""),IFERROR(INDEX($P$5:$P$1004,ROW()-4-MAX($M$5:$M$1004)),""))</f>
        <v/>
      </c>
    </row>
    <row r="78" customFormat="false" ht="15" hidden="false" customHeight="false" outlineLevel="0" collapsed="false">
      <c r="M78" s="0" t="str">
        <f aca="false">IF(CSV貼付A!$N78="","",IF(COUNTIF($B$37:$B$48,CSV貼付A!$H78)&gt;0,"",IF(SUMPRODUCT((CSV貼付A!$N$5:$N78=CSV貼付A!$N78)*(COUNTIF($B$37:$B$48,CSV貼付A!$H$5:$H78)=0))&gt;1,"",MAX($M$4:M77)+1)))</f>
        <v/>
      </c>
      <c r="N78" s="0" t="str">
        <f aca="false">IFERROR(INDEX(CSV貼付A!$N$5:$N$1004,MATCH(ROW()-4,$M$5:$M$1004,0)),"")</f>
        <v/>
      </c>
      <c r="O78" s="0" t="str">
        <f aca="false">IF(CSV貼付B!$N78="","",IF(COUNTIF($B$37:$B$48,CSV貼付B!$H78)&gt;0,"",IF(SUMPRODUCT((CSV貼付B!$N$5:$N78=CSV貼付B!$N78)*(COUNTIF($B$37:$B$48,CSV貼付B!$H$5:$H78)=0))&gt;1,"",MAX($O$4:O77)+1)))</f>
        <v/>
      </c>
      <c r="P78" s="0" t="str">
        <f aca="false">IFERROR(INDEX(CSV貼付B!$N$5:$N$1004,MATCH(ROW()-4,$O$5:$O$1004,0)),"")</f>
        <v/>
      </c>
      <c r="Q78" s="0" t="str">
        <f aca="false">IF(ROW()-4&lt;=MAX($M$5:$M$1004),IFERROR(INDEX($N$5:$N$1004,ROW()-4),""),IFERROR(INDEX($P$5:$P$1004,ROW()-4-MAX($M$5:$M$1004)),""))</f>
        <v/>
      </c>
    </row>
    <row r="79" customFormat="false" ht="15" hidden="false" customHeight="false" outlineLevel="0" collapsed="false">
      <c r="M79" s="0" t="str">
        <f aca="false">IF(CSV貼付A!$N79="","",IF(COUNTIF($B$37:$B$48,CSV貼付A!$H79)&gt;0,"",IF(SUMPRODUCT((CSV貼付A!$N$5:$N79=CSV貼付A!$N79)*(COUNTIF($B$37:$B$48,CSV貼付A!$H$5:$H79)=0))&gt;1,"",MAX($M$4:M78)+1)))</f>
        <v/>
      </c>
      <c r="N79" s="0" t="str">
        <f aca="false">IFERROR(INDEX(CSV貼付A!$N$5:$N$1004,MATCH(ROW()-4,$M$5:$M$1004,0)),"")</f>
        <v/>
      </c>
      <c r="O79" s="0" t="str">
        <f aca="false">IF(CSV貼付B!$N79="","",IF(COUNTIF($B$37:$B$48,CSV貼付B!$H79)&gt;0,"",IF(SUMPRODUCT((CSV貼付B!$N$5:$N79=CSV貼付B!$N79)*(COUNTIF($B$37:$B$48,CSV貼付B!$H$5:$H79)=0))&gt;1,"",MAX($O$4:O78)+1)))</f>
        <v/>
      </c>
      <c r="P79" s="0" t="str">
        <f aca="false">IFERROR(INDEX(CSV貼付B!$N$5:$N$1004,MATCH(ROW()-4,$O$5:$O$1004,0)),"")</f>
        <v/>
      </c>
      <c r="Q79" s="0" t="str">
        <f aca="false">IF(ROW()-4&lt;=MAX($M$5:$M$1004),IFERROR(INDEX($N$5:$N$1004,ROW()-4),""),IFERROR(INDEX($P$5:$P$1004,ROW()-4-MAX($M$5:$M$1004)),""))</f>
        <v/>
      </c>
    </row>
    <row r="80" customFormat="false" ht="15" hidden="false" customHeight="false" outlineLevel="0" collapsed="false">
      <c r="M80" s="0" t="str">
        <f aca="false">IF(CSV貼付A!$N80="","",IF(COUNTIF($B$37:$B$48,CSV貼付A!$H80)&gt;0,"",IF(SUMPRODUCT((CSV貼付A!$N$5:$N80=CSV貼付A!$N80)*(COUNTIF($B$37:$B$48,CSV貼付A!$H$5:$H80)=0))&gt;1,"",MAX($M$4:M79)+1)))</f>
        <v/>
      </c>
      <c r="N80" s="0" t="str">
        <f aca="false">IFERROR(INDEX(CSV貼付A!$N$5:$N$1004,MATCH(ROW()-4,$M$5:$M$1004,0)),"")</f>
        <v/>
      </c>
      <c r="O80" s="0" t="str">
        <f aca="false">IF(CSV貼付B!$N80="","",IF(COUNTIF($B$37:$B$48,CSV貼付B!$H80)&gt;0,"",IF(SUMPRODUCT((CSV貼付B!$N$5:$N80=CSV貼付B!$N80)*(COUNTIF($B$37:$B$48,CSV貼付B!$H$5:$H80)=0))&gt;1,"",MAX($O$4:O79)+1)))</f>
        <v/>
      </c>
      <c r="P80" s="0" t="str">
        <f aca="false">IFERROR(INDEX(CSV貼付B!$N$5:$N$1004,MATCH(ROW()-4,$O$5:$O$1004,0)),"")</f>
        <v/>
      </c>
      <c r="Q80" s="0" t="str">
        <f aca="false">IF(ROW()-4&lt;=MAX($M$5:$M$1004),IFERROR(INDEX($N$5:$N$1004,ROW()-4),""),IFERROR(INDEX($P$5:$P$1004,ROW()-4-MAX($M$5:$M$1004)),""))</f>
        <v/>
      </c>
    </row>
    <row r="81" customFormat="false" ht="15" hidden="false" customHeight="false" outlineLevel="0" collapsed="false">
      <c r="M81" s="0" t="str">
        <f aca="false">IF(CSV貼付A!$N81="","",IF(COUNTIF($B$37:$B$48,CSV貼付A!$H81)&gt;0,"",IF(SUMPRODUCT((CSV貼付A!$N$5:$N81=CSV貼付A!$N81)*(COUNTIF($B$37:$B$48,CSV貼付A!$H$5:$H81)=0))&gt;1,"",MAX($M$4:M80)+1)))</f>
        <v/>
      </c>
      <c r="N81" s="0" t="str">
        <f aca="false">IFERROR(INDEX(CSV貼付A!$N$5:$N$1004,MATCH(ROW()-4,$M$5:$M$1004,0)),"")</f>
        <v/>
      </c>
      <c r="O81" s="0" t="str">
        <f aca="false">IF(CSV貼付B!$N81="","",IF(COUNTIF($B$37:$B$48,CSV貼付B!$H81)&gt;0,"",IF(SUMPRODUCT((CSV貼付B!$N$5:$N81=CSV貼付B!$N81)*(COUNTIF($B$37:$B$48,CSV貼付B!$H$5:$H81)=0))&gt;1,"",MAX($O$4:O80)+1)))</f>
        <v/>
      </c>
      <c r="P81" s="0" t="str">
        <f aca="false">IFERROR(INDEX(CSV貼付B!$N$5:$N$1004,MATCH(ROW()-4,$O$5:$O$1004,0)),"")</f>
        <v/>
      </c>
      <c r="Q81" s="0" t="str">
        <f aca="false">IF(ROW()-4&lt;=MAX($M$5:$M$1004),IFERROR(INDEX($N$5:$N$1004,ROW()-4),""),IFERROR(INDEX($P$5:$P$1004,ROW()-4-MAX($M$5:$M$1004)),""))</f>
        <v/>
      </c>
    </row>
    <row r="82" customFormat="false" ht="15" hidden="false" customHeight="false" outlineLevel="0" collapsed="false">
      <c r="M82" s="0" t="str">
        <f aca="false">IF(CSV貼付A!$N82="","",IF(COUNTIF($B$37:$B$48,CSV貼付A!$H82)&gt;0,"",IF(SUMPRODUCT((CSV貼付A!$N$5:$N82=CSV貼付A!$N82)*(COUNTIF($B$37:$B$48,CSV貼付A!$H$5:$H82)=0))&gt;1,"",MAX($M$4:M81)+1)))</f>
        <v/>
      </c>
      <c r="N82" s="0" t="str">
        <f aca="false">IFERROR(INDEX(CSV貼付A!$N$5:$N$1004,MATCH(ROW()-4,$M$5:$M$1004,0)),"")</f>
        <v/>
      </c>
      <c r="O82" s="0" t="str">
        <f aca="false">IF(CSV貼付B!$N82="","",IF(COUNTIF($B$37:$B$48,CSV貼付B!$H82)&gt;0,"",IF(SUMPRODUCT((CSV貼付B!$N$5:$N82=CSV貼付B!$N82)*(COUNTIF($B$37:$B$48,CSV貼付B!$H$5:$H82)=0))&gt;1,"",MAX($O$4:O81)+1)))</f>
        <v/>
      </c>
      <c r="P82" s="0" t="str">
        <f aca="false">IFERROR(INDEX(CSV貼付B!$N$5:$N$1004,MATCH(ROW()-4,$O$5:$O$1004,0)),"")</f>
        <v/>
      </c>
      <c r="Q82" s="0" t="str">
        <f aca="false">IF(ROW()-4&lt;=MAX($M$5:$M$1004),IFERROR(INDEX($N$5:$N$1004,ROW()-4),""),IFERROR(INDEX($P$5:$P$1004,ROW()-4-MAX($M$5:$M$1004)),""))</f>
        <v/>
      </c>
    </row>
    <row r="83" customFormat="false" ht="15" hidden="false" customHeight="false" outlineLevel="0" collapsed="false">
      <c r="M83" s="0" t="str">
        <f aca="false">IF(CSV貼付A!$N83="","",IF(COUNTIF($B$37:$B$48,CSV貼付A!$H83)&gt;0,"",IF(SUMPRODUCT((CSV貼付A!$N$5:$N83=CSV貼付A!$N83)*(COUNTIF($B$37:$B$48,CSV貼付A!$H$5:$H83)=0))&gt;1,"",MAX($M$4:M82)+1)))</f>
        <v/>
      </c>
      <c r="N83" s="0" t="str">
        <f aca="false">IFERROR(INDEX(CSV貼付A!$N$5:$N$1004,MATCH(ROW()-4,$M$5:$M$1004,0)),"")</f>
        <v/>
      </c>
      <c r="O83" s="0" t="str">
        <f aca="false">IF(CSV貼付B!$N83="","",IF(COUNTIF($B$37:$B$48,CSV貼付B!$H83)&gt;0,"",IF(SUMPRODUCT((CSV貼付B!$N$5:$N83=CSV貼付B!$N83)*(COUNTIF($B$37:$B$48,CSV貼付B!$H$5:$H83)=0))&gt;1,"",MAX($O$4:O82)+1)))</f>
        <v/>
      </c>
      <c r="P83" s="0" t="str">
        <f aca="false">IFERROR(INDEX(CSV貼付B!$N$5:$N$1004,MATCH(ROW()-4,$O$5:$O$1004,0)),"")</f>
        <v/>
      </c>
      <c r="Q83" s="0" t="str">
        <f aca="false">IF(ROW()-4&lt;=MAX($M$5:$M$1004),IFERROR(INDEX($N$5:$N$1004,ROW()-4),""),IFERROR(INDEX($P$5:$P$1004,ROW()-4-MAX($M$5:$M$1004)),""))</f>
        <v/>
      </c>
    </row>
    <row r="84" customFormat="false" ht="15" hidden="false" customHeight="false" outlineLevel="0" collapsed="false">
      <c r="M84" s="0" t="str">
        <f aca="false">IF(CSV貼付A!$N84="","",IF(COUNTIF($B$37:$B$48,CSV貼付A!$H84)&gt;0,"",IF(SUMPRODUCT((CSV貼付A!$N$5:$N84=CSV貼付A!$N84)*(COUNTIF($B$37:$B$48,CSV貼付A!$H$5:$H84)=0))&gt;1,"",MAX($M$4:M83)+1)))</f>
        <v/>
      </c>
      <c r="N84" s="0" t="str">
        <f aca="false">IFERROR(INDEX(CSV貼付A!$N$5:$N$1004,MATCH(ROW()-4,$M$5:$M$1004,0)),"")</f>
        <v/>
      </c>
      <c r="O84" s="0" t="str">
        <f aca="false">IF(CSV貼付B!$N84="","",IF(COUNTIF($B$37:$B$48,CSV貼付B!$H84)&gt;0,"",IF(SUMPRODUCT((CSV貼付B!$N$5:$N84=CSV貼付B!$N84)*(COUNTIF($B$37:$B$48,CSV貼付B!$H$5:$H84)=0))&gt;1,"",MAX($O$4:O83)+1)))</f>
        <v/>
      </c>
      <c r="P84" s="0" t="str">
        <f aca="false">IFERROR(INDEX(CSV貼付B!$N$5:$N$1004,MATCH(ROW()-4,$O$5:$O$1004,0)),"")</f>
        <v/>
      </c>
      <c r="Q84" s="0" t="str">
        <f aca="false">IF(ROW()-4&lt;=MAX($M$5:$M$1004),IFERROR(INDEX($N$5:$N$1004,ROW()-4),""),IFERROR(INDEX($P$5:$P$1004,ROW()-4-MAX($M$5:$M$1004)),""))</f>
        <v/>
      </c>
    </row>
    <row r="85" customFormat="false" ht="15" hidden="false" customHeight="false" outlineLevel="0" collapsed="false">
      <c r="M85" s="0" t="str">
        <f aca="false">IF(CSV貼付A!$N85="","",IF(COUNTIF($B$37:$B$48,CSV貼付A!$H85)&gt;0,"",IF(SUMPRODUCT((CSV貼付A!$N$5:$N85=CSV貼付A!$N85)*(COUNTIF($B$37:$B$48,CSV貼付A!$H$5:$H85)=0))&gt;1,"",MAX($M$4:M84)+1)))</f>
        <v/>
      </c>
      <c r="N85" s="0" t="str">
        <f aca="false">IFERROR(INDEX(CSV貼付A!$N$5:$N$1004,MATCH(ROW()-4,$M$5:$M$1004,0)),"")</f>
        <v/>
      </c>
      <c r="O85" s="0" t="str">
        <f aca="false">IF(CSV貼付B!$N85="","",IF(COUNTIF($B$37:$B$48,CSV貼付B!$H85)&gt;0,"",IF(SUMPRODUCT((CSV貼付B!$N$5:$N85=CSV貼付B!$N85)*(COUNTIF($B$37:$B$48,CSV貼付B!$H$5:$H85)=0))&gt;1,"",MAX($O$4:O84)+1)))</f>
        <v/>
      </c>
      <c r="P85" s="0" t="str">
        <f aca="false">IFERROR(INDEX(CSV貼付B!$N$5:$N$1004,MATCH(ROW()-4,$O$5:$O$1004,0)),"")</f>
        <v/>
      </c>
      <c r="Q85" s="0" t="str">
        <f aca="false">IF(ROW()-4&lt;=MAX($M$5:$M$1004),IFERROR(INDEX($N$5:$N$1004,ROW()-4),""),IFERROR(INDEX($P$5:$P$1004,ROW()-4-MAX($M$5:$M$1004)),""))</f>
        <v/>
      </c>
    </row>
    <row r="86" customFormat="false" ht="15" hidden="false" customHeight="false" outlineLevel="0" collapsed="false">
      <c r="M86" s="0" t="str">
        <f aca="false">IF(CSV貼付A!$N86="","",IF(COUNTIF($B$37:$B$48,CSV貼付A!$H86)&gt;0,"",IF(SUMPRODUCT((CSV貼付A!$N$5:$N86=CSV貼付A!$N86)*(COUNTIF($B$37:$B$48,CSV貼付A!$H$5:$H86)=0))&gt;1,"",MAX($M$4:M85)+1)))</f>
        <v/>
      </c>
      <c r="N86" s="0" t="str">
        <f aca="false">IFERROR(INDEX(CSV貼付A!$N$5:$N$1004,MATCH(ROW()-4,$M$5:$M$1004,0)),"")</f>
        <v/>
      </c>
      <c r="O86" s="0" t="str">
        <f aca="false">IF(CSV貼付B!$N86="","",IF(COUNTIF($B$37:$B$48,CSV貼付B!$H86)&gt;0,"",IF(SUMPRODUCT((CSV貼付B!$N$5:$N86=CSV貼付B!$N86)*(COUNTIF($B$37:$B$48,CSV貼付B!$H$5:$H86)=0))&gt;1,"",MAX($O$4:O85)+1)))</f>
        <v/>
      </c>
      <c r="P86" s="0" t="str">
        <f aca="false">IFERROR(INDEX(CSV貼付B!$N$5:$N$1004,MATCH(ROW()-4,$O$5:$O$1004,0)),"")</f>
        <v/>
      </c>
      <c r="Q86" s="0" t="str">
        <f aca="false">IF(ROW()-4&lt;=MAX($M$5:$M$1004),IFERROR(INDEX($N$5:$N$1004,ROW()-4),""),IFERROR(INDEX($P$5:$P$1004,ROW()-4-MAX($M$5:$M$1004)),""))</f>
        <v/>
      </c>
    </row>
    <row r="87" customFormat="false" ht="15" hidden="false" customHeight="false" outlineLevel="0" collapsed="false">
      <c r="M87" s="0" t="str">
        <f aca="false">IF(CSV貼付A!$N87="","",IF(COUNTIF($B$37:$B$48,CSV貼付A!$H87)&gt;0,"",IF(SUMPRODUCT((CSV貼付A!$N$5:$N87=CSV貼付A!$N87)*(COUNTIF($B$37:$B$48,CSV貼付A!$H$5:$H87)=0))&gt;1,"",MAX($M$4:M86)+1)))</f>
        <v/>
      </c>
      <c r="N87" s="0" t="str">
        <f aca="false">IFERROR(INDEX(CSV貼付A!$N$5:$N$1004,MATCH(ROW()-4,$M$5:$M$1004,0)),"")</f>
        <v/>
      </c>
      <c r="O87" s="0" t="str">
        <f aca="false">IF(CSV貼付B!$N87="","",IF(COUNTIF($B$37:$B$48,CSV貼付B!$H87)&gt;0,"",IF(SUMPRODUCT((CSV貼付B!$N$5:$N87=CSV貼付B!$N87)*(COUNTIF($B$37:$B$48,CSV貼付B!$H$5:$H87)=0))&gt;1,"",MAX($O$4:O86)+1)))</f>
        <v/>
      </c>
      <c r="P87" s="0" t="str">
        <f aca="false">IFERROR(INDEX(CSV貼付B!$N$5:$N$1004,MATCH(ROW()-4,$O$5:$O$1004,0)),"")</f>
        <v/>
      </c>
      <c r="Q87" s="0" t="str">
        <f aca="false">IF(ROW()-4&lt;=MAX($M$5:$M$1004),IFERROR(INDEX($N$5:$N$1004,ROW()-4),""),IFERROR(INDEX($P$5:$P$1004,ROW()-4-MAX($M$5:$M$1004)),""))</f>
        <v/>
      </c>
    </row>
    <row r="88" customFormat="false" ht="15" hidden="false" customHeight="false" outlineLevel="0" collapsed="false">
      <c r="M88" s="0" t="str">
        <f aca="false">IF(CSV貼付A!$N88="","",IF(COUNTIF($B$37:$B$48,CSV貼付A!$H88)&gt;0,"",IF(SUMPRODUCT((CSV貼付A!$N$5:$N88=CSV貼付A!$N88)*(COUNTIF($B$37:$B$48,CSV貼付A!$H$5:$H88)=0))&gt;1,"",MAX($M$4:M87)+1)))</f>
        <v/>
      </c>
      <c r="N88" s="0" t="str">
        <f aca="false">IFERROR(INDEX(CSV貼付A!$N$5:$N$1004,MATCH(ROW()-4,$M$5:$M$1004,0)),"")</f>
        <v/>
      </c>
      <c r="O88" s="0" t="str">
        <f aca="false">IF(CSV貼付B!$N88="","",IF(COUNTIF($B$37:$B$48,CSV貼付B!$H88)&gt;0,"",IF(SUMPRODUCT((CSV貼付B!$N$5:$N88=CSV貼付B!$N88)*(COUNTIF($B$37:$B$48,CSV貼付B!$H$5:$H88)=0))&gt;1,"",MAX($O$4:O87)+1)))</f>
        <v/>
      </c>
      <c r="P88" s="0" t="str">
        <f aca="false">IFERROR(INDEX(CSV貼付B!$N$5:$N$1004,MATCH(ROW()-4,$O$5:$O$1004,0)),"")</f>
        <v/>
      </c>
      <c r="Q88" s="0" t="str">
        <f aca="false">IF(ROW()-4&lt;=MAX($M$5:$M$1004),IFERROR(INDEX($N$5:$N$1004,ROW()-4),""),IFERROR(INDEX($P$5:$P$1004,ROW()-4-MAX($M$5:$M$1004)),""))</f>
        <v/>
      </c>
    </row>
    <row r="89" customFormat="false" ht="15" hidden="false" customHeight="false" outlineLevel="0" collapsed="false">
      <c r="M89" s="0" t="str">
        <f aca="false">IF(CSV貼付A!$N89="","",IF(COUNTIF($B$37:$B$48,CSV貼付A!$H89)&gt;0,"",IF(SUMPRODUCT((CSV貼付A!$N$5:$N89=CSV貼付A!$N89)*(COUNTIF($B$37:$B$48,CSV貼付A!$H$5:$H89)=0))&gt;1,"",MAX($M$4:M88)+1)))</f>
        <v/>
      </c>
      <c r="N89" s="0" t="str">
        <f aca="false">IFERROR(INDEX(CSV貼付A!$N$5:$N$1004,MATCH(ROW()-4,$M$5:$M$1004,0)),"")</f>
        <v/>
      </c>
      <c r="O89" s="0" t="str">
        <f aca="false">IF(CSV貼付B!$N89="","",IF(COUNTIF($B$37:$B$48,CSV貼付B!$H89)&gt;0,"",IF(SUMPRODUCT((CSV貼付B!$N$5:$N89=CSV貼付B!$N89)*(COUNTIF($B$37:$B$48,CSV貼付B!$H$5:$H89)=0))&gt;1,"",MAX($O$4:O88)+1)))</f>
        <v/>
      </c>
      <c r="P89" s="0" t="str">
        <f aca="false">IFERROR(INDEX(CSV貼付B!$N$5:$N$1004,MATCH(ROW()-4,$O$5:$O$1004,0)),"")</f>
        <v/>
      </c>
      <c r="Q89" s="0" t="str">
        <f aca="false">IF(ROW()-4&lt;=MAX($M$5:$M$1004),IFERROR(INDEX($N$5:$N$1004,ROW()-4),""),IFERROR(INDEX($P$5:$P$1004,ROW()-4-MAX($M$5:$M$1004)),""))</f>
        <v/>
      </c>
    </row>
    <row r="90" customFormat="false" ht="15" hidden="false" customHeight="false" outlineLevel="0" collapsed="false">
      <c r="M90" s="0" t="str">
        <f aca="false">IF(CSV貼付A!$N90="","",IF(COUNTIF($B$37:$B$48,CSV貼付A!$H90)&gt;0,"",IF(SUMPRODUCT((CSV貼付A!$N$5:$N90=CSV貼付A!$N90)*(COUNTIF($B$37:$B$48,CSV貼付A!$H$5:$H90)=0))&gt;1,"",MAX($M$4:M89)+1)))</f>
        <v/>
      </c>
      <c r="N90" s="0" t="str">
        <f aca="false">IFERROR(INDEX(CSV貼付A!$N$5:$N$1004,MATCH(ROW()-4,$M$5:$M$1004,0)),"")</f>
        <v/>
      </c>
      <c r="O90" s="0" t="str">
        <f aca="false">IF(CSV貼付B!$N90="","",IF(COUNTIF($B$37:$B$48,CSV貼付B!$H90)&gt;0,"",IF(SUMPRODUCT((CSV貼付B!$N$5:$N90=CSV貼付B!$N90)*(COUNTIF($B$37:$B$48,CSV貼付B!$H$5:$H90)=0))&gt;1,"",MAX($O$4:O89)+1)))</f>
        <v/>
      </c>
      <c r="P90" s="0" t="str">
        <f aca="false">IFERROR(INDEX(CSV貼付B!$N$5:$N$1004,MATCH(ROW()-4,$O$5:$O$1004,0)),"")</f>
        <v/>
      </c>
      <c r="Q90" s="0" t="str">
        <f aca="false">IF(ROW()-4&lt;=MAX($M$5:$M$1004),IFERROR(INDEX($N$5:$N$1004,ROW()-4),""),IFERROR(INDEX($P$5:$P$1004,ROW()-4-MAX($M$5:$M$1004)),""))</f>
        <v/>
      </c>
    </row>
    <row r="91" customFormat="false" ht="15" hidden="false" customHeight="false" outlineLevel="0" collapsed="false">
      <c r="M91" s="0" t="str">
        <f aca="false">IF(CSV貼付A!$N91="","",IF(COUNTIF($B$37:$B$48,CSV貼付A!$H91)&gt;0,"",IF(SUMPRODUCT((CSV貼付A!$N$5:$N91=CSV貼付A!$N91)*(COUNTIF($B$37:$B$48,CSV貼付A!$H$5:$H91)=0))&gt;1,"",MAX($M$4:M90)+1)))</f>
        <v/>
      </c>
      <c r="N91" s="0" t="str">
        <f aca="false">IFERROR(INDEX(CSV貼付A!$N$5:$N$1004,MATCH(ROW()-4,$M$5:$M$1004,0)),"")</f>
        <v/>
      </c>
      <c r="O91" s="0" t="str">
        <f aca="false">IF(CSV貼付B!$N91="","",IF(COUNTIF($B$37:$B$48,CSV貼付B!$H91)&gt;0,"",IF(SUMPRODUCT((CSV貼付B!$N$5:$N91=CSV貼付B!$N91)*(COUNTIF($B$37:$B$48,CSV貼付B!$H$5:$H91)=0))&gt;1,"",MAX($O$4:O90)+1)))</f>
        <v/>
      </c>
      <c r="P91" s="0" t="str">
        <f aca="false">IFERROR(INDEX(CSV貼付B!$N$5:$N$1004,MATCH(ROW()-4,$O$5:$O$1004,0)),"")</f>
        <v/>
      </c>
      <c r="Q91" s="0" t="str">
        <f aca="false">IF(ROW()-4&lt;=MAX($M$5:$M$1004),IFERROR(INDEX($N$5:$N$1004,ROW()-4),""),IFERROR(INDEX($P$5:$P$1004,ROW()-4-MAX($M$5:$M$1004)),""))</f>
        <v/>
      </c>
    </row>
    <row r="92" customFormat="false" ht="15" hidden="false" customHeight="false" outlineLevel="0" collapsed="false">
      <c r="M92" s="0" t="str">
        <f aca="false">IF(CSV貼付A!$N92="","",IF(COUNTIF($B$37:$B$48,CSV貼付A!$H92)&gt;0,"",IF(SUMPRODUCT((CSV貼付A!$N$5:$N92=CSV貼付A!$N92)*(COUNTIF($B$37:$B$48,CSV貼付A!$H$5:$H92)=0))&gt;1,"",MAX($M$4:M91)+1)))</f>
        <v/>
      </c>
      <c r="N92" s="0" t="str">
        <f aca="false">IFERROR(INDEX(CSV貼付A!$N$5:$N$1004,MATCH(ROW()-4,$M$5:$M$1004,0)),"")</f>
        <v/>
      </c>
      <c r="O92" s="0" t="str">
        <f aca="false">IF(CSV貼付B!$N92="","",IF(COUNTIF($B$37:$B$48,CSV貼付B!$H92)&gt;0,"",IF(SUMPRODUCT((CSV貼付B!$N$5:$N92=CSV貼付B!$N92)*(COUNTIF($B$37:$B$48,CSV貼付B!$H$5:$H92)=0))&gt;1,"",MAX($O$4:O91)+1)))</f>
        <v/>
      </c>
      <c r="P92" s="0" t="str">
        <f aca="false">IFERROR(INDEX(CSV貼付B!$N$5:$N$1004,MATCH(ROW()-4,$O$5:$O$1004,0)),"")</f>
        <v/>
      </c>
      <c r="Q92" s="0" t="str">
        <f aca="false">IF(ROW()-4&lt;=MAX($M$5:$M$1004),IFERROR(INDEX($N$5:$N$1004,ROW()-4),""),IFERROR(INDEX($P$5:$P$1004,ROW()-4-MAX($M$5:$M$1004)),""))</f>
        <v/>
      </c>
    </row>
    <row r="93" customFormat="false" ht="15" hidden="false" customHeight="false" outlineLevel="0" collapsed="false">
      <c r="M93" s="0" t="str">
        <f aca="false">IF(CSV貼付A!$N93="","",IF(COUNTIF($B$37:$B$48,CSV貼付A!$H93)&gt;0,"",IF(SUMPRODUCT((CSV貼付A!$N$5:$N93=CSV貼付A!$N93)*(COUNTIF($B$37:$B$48,CSV貼付A!$H$5:$H93)=0))&gt;1,"",MAX($M$4:M92)+1)))</f>
        <v/>
      </c>
      <c r="N93" s="0" t="str">
        <f aca="false">IFERROR(INDEX(CSV貼付A!$N$5:$N$1004,MATCH(ROW()-4,$M$5:$M$1004,0)),"")</f>
        <v/>
      </c>
      <c r="O93" s="0" t="str">
        <f aca="false">IF(CSV貼付B!$N93="","",IF(COUNTIF($B$37:$B$48,CSV貼付B!$H93)&gt;0,"",IF(SUMPRODUCT((CSV貼付B!$N$5:$N93=CSV貼付B!$N93)*(COUNTIF($B$37:$B$48,CSV貼付B!$H$5:$H93)=0))&gt;1,"",MAX($O$4:O92)+1)))</f>
        <v/>
      </c>
      <c r="P93" s="0" t="str">
        <f aca="false">IFERROR(INDEX(CSV貼付B!$N$5:$N$1004,MATCH(ROW()-4,$O$5:$O$1004,0)),"")</f>
        <v/>
      </c>
      <c r="Q93" s="0" t="str">
        <f aca="false">IF(ROW()-4&lt;=MAX($M$5:$M$1004),IFERROR(INDEX($N$5:$N$1004,ROW()-4),""),IFERROR(INDEX($P$5:$P$1004,ROW()-4-MAX($M$5:$M$1004)),""))</f>
        <v/>
      </c>
    </row>
    <row r="94" customFormat="false" ht="15" hidden="false" customHeight="false" outlineLevel="0" collapsed="false">
      <c r="M94" s="0" t="str">
        <f aca="false">IF(CSV貼付A!$N94="","",IF(COUNTIF($B$37:$B$48,CSV貼付A!$H94)&gt;0,"",IF(SUMPRODUCT((CSV貼付A!$N$5:$N94=CSV貼付A!$N94)*(COUNTIF($B$37:$B$48,CSV貼付A!$H$5:$H94)=0))&gt;1,"",MAX($M$4:M93)+1)))</f>
        <v/>
      </c>
      <c r="N94" s="0" t="str">
        <f aca="false">IFERROR(INDEX(CSV貼付A!$N$5:$N$1004,MATCH(ROW()-4,$M$5:$M$1004,0)),"")</f>
        <v/>
      </c>
      <c r="O94" s="0" t="str">
        <f aca="false">IF(CSV貼付B!$N94="","",IF(COUNTIF($B$37:$B$48,CSV貼付B!$H94)&gt;0,"",IF(SUMPRODUCT((CSV貼付B!$N$5:$N94=CSV貼付B!$N94)*(COUNTIF($B$37:$B$48,CSV貼付B!$H$5:$H94)=0))&gt;1,"",MAX($O$4:O93)+1)))</f>
        <v/>
      </c>
      <c r="P94" s="0" t="str">
        <f aca="false">IFERROR(INDEX(CSV貼付B!$N$5:$N$1004,MATCH(ROW()-4,$O$5:$O$1004,0)),"")</f>
        <v/>
      </c>
      <c r="Q94" s="0" t="str">
        <f aca="false">IF(ROW()-4&lt;=MAX($M$5:$M$1004),IFERROR(INDEX($N$5:$N$1004,ROW()-4),""),IFERROR(INDEX($P$5:$P$1004,ROW()-4-MAX($M$5:$M$1004)),""))</f>
        <v/>
      </c>
    </row>
    <row r="95" customFormat="false" ht="15" hidden="false" customHeight="false" outlineLevel="0" collapsed="false">
      <c r="M95" s="0" t="str">
        <f aca="false">IF(CSV貼付A!$N95="","",IF(COUNTIF($B$37:$B$48,CSV貼付A!$H95)&gt;0,"",IF(SUMPRODUCT((CSV貼付A!$N$5:$N95=CSV貼付A!$N95)*(COUNTIF($B$37:$B$48,CSV貼付A!$H$5:$H95)=0))&gt;1,"",MAX($M$4:M94)+1)))</f>
        <v/>
      </c>
      <c r="N95" s="0" t="str">
        <f aca="false">IFERROR(INDEX(CSV貼付A!$N$5:$N$1004,MATCH(ROW()-4,$M$5:$M$1004,0)),"")</f>
        <v/>
      </c>
      <c r="O95" s="0" t="str">
        <f aca="false">IF(CSV貼付B!$N95="","",IF(COUNTIF($B$37:$B$48,CSV貼付B!$H95)&gt;0,"",IF(SUMPRODUCT((CSV貼付B!$N$5:$N95=CSV貼付B!$N95)*(COUNTIF($B$37:$B$48,CSV貼付B!$H$5:$H95)=0))&gt;1,"",MAX($O$4:O94)+1)))</f>
        <v/>
      </c>
      <c r="P95" s="0" t="str">
        <f aca="false">IFERROR(INDEX(CSV貼付B!$N$5:$N$1004,MATCH(ROW()-4,$O$5:$O$1004,0)),"")</f>
        <v/>
      </c>
      <c r="Q95" s="0" t="str">
        <f aca="false">IF(ROW()-4&lt;=MAX($M$5:$M$1004),IFERROR(INDEX($N$5:$N$1004,ROW()-4),""),IFERROR(INDEX($P$5:$P$1004,ROW()-4-MAX($M$5:$M$1004)),""))</f>
        <v/>
      </c>
    </row>
    <row r="96" customFormat="false" ht="15" hidden="false" customHeight="false" outlineLevel="0" collapsed="false">
      <c r="M96" s="0" t="str">
        <f aca="false">IF(CSV貼付A!$N96="","",IF(COUNTIF($B$37:$B$48,CSV貼付A!$H96)&gt;0,"",IF(SUMPRODUCT((CSV貼付A!$N$5:$N96=CSV貼付A!$N96)*(COUNTIF($B$37:$B$48,CSV貼付A!$H$5:$H96)=0))&gt;1,"",MAX($M$4:M95)+1)))</f>
        <v/>
      </c>
      <c r="N96" s="0" t="str">
        <f aca="false">IFERROR(INDEX(CSV貼付A!$N$5:$N$1004,MATCH(ROW()-4,$M$5:$M$1004,0)),"")</f>
        <v/>
      </c>
      <c r="O96" s="0" t="str">
        <f aca="false">IF(CSV貼付B!$N96="","",IF(COUNTIF($B$37:$B$48,CSV貼付B!$H96)&gt;0,"",IF(SUMPRODUCT((CSV貼付B!$N$5:$N96=CSV貼付B!$N96)*(COUNTIF($B$37:$B$48,CSV貼付B!$H$5:$H96)=0))&gt;1,"",MAX($O$4:O95)+1)))</f>
        <v/>
      </c>
      <c r="P96" s="0" t="str">
        <f aca="false">IFERROR(INDEX(CSV貼付B!$N$5:$N$1004,MATCH(ROW()-4,$O$5:$O$1004,0)),"")</f>
        <v/>
      </c>
      <c r="Q96" s="0" t="str">
        <f aca="false">IF(ROW()-4&lt;=MAX($M$5:$M$1004),IFERROR(INDEX($N$5:$N$1004,ROW()-4),""),IFERROR(INDEX($P$5:$P$1004,ROW()-4-MAX($M$5:$M$1004)),""))</f>
        <v/>
      </c>
    </row>
    <row r="97" customFormat="false" ht="15" hidden="false" customHeight="false" outlineLevel="0" collapsed="false">
      <c r="M97" s="0" t="str">
        <f aca="false">IF(CSV貼付A!$N97="","",IF(COUNTIF($B$37:$B$48,CSV貼付A!$H97)&gt;0,"",IF(SUMPRODUCT((CSV貼付A!$N$5:$N97=CSV貼付A!$N97)*(COUNTIF($B$37:$B$48,CSV貼付A!$H$5:$H97)=0))&gt;1,"",MAX($M$4:M96)+1)))</f>
        <v/>
      </c>
      <c r="N97" s="0" t="str">
        <f aca="false">IFERROR(INDEX(CSV貼付A!$N$5:$N$1004,MATCH(ROW()-4,$M$5:$M$1004,0)),"")</f>
        <v/>
      </c>
      <c r="O97" s="0" t="str">
        <f aca="false">IF(CSV貼付B!$N97="","",IF(COUNTIF($B$37:$B$48,CSV貼付B!$H97)&gt;0,"",IF(SUMPRODUCT((CSV貼付B!$N$5:$N97=CSV貼付B!$N97)*(COUNTIF($B$37:$B$48,CSV貼付B!$H$5:$H97)=0))&gt;1,"",MAX($O$4:O96)+1)))</f>
        <v/>
      </c>
      <c r="P97" s="0" t="str">
        <f aca="false">IFERROR(INDEX(CSV貼付B!$N$5:$N$1004,MATCH(ROW()-4,$O$5:$O$1004,0)),"")</f>
        <v/>
      </c>
      <c r="Q97" s="0" t="str">
        <f aca="false">IF(ROW()-4&lt;=MAX($M$5:$M$1004),IFERROR(INDEX($N$5:$N$1004,ROW()-4),""),IFERROR(INDEX($P$5:$P$1004,ROW()-4-MAX($M$5:$M$1004)),""))</f>
        <v/>
      </c>
    </row>
    <row r="98" customFormat="false" ht="15" hidden="false" customHeight="false" outlineLevel="0" collapsed="false">
      <c r="M98" s="0" t="str">
        <f aca="false">IF(CSV貼付A!$N98="","",IF(COUNTIF($B$37:$B$48,CSV貼付A!$H98)&gt;0,"",IF(SUMPRODUCT((CSV貼付A!$N$5:$N98=CSV貼付A!$N98)*(COUNTIF($B$37:$B$48,CSV貼付A!$H$5:$H98)=0))&gt;1,"",MAX($M$4:M97)+1)))</f>
        <v/>
      </c>
      <c r="N98" s="0" t="str">
        <f aca="false">IFERROR(INDEX(CSV貼付A!$N$5:$N$1004,MATCH(ROW()-4,$M$5:$M$1004,0)),"")</f>
        <v/>
      </c>
      <c r="O98" s="0" t="str">
        <f aca="false">IF(CSV貼付B!$N98="","",IF(COUNTIF($B$37:$B$48,CSV貼付B!$H98)&gt;0,"",IF(SUMPRODUCT((CSV貼付B!$N$5:$N98=CSV貼付B!$N98)*(COUNTIF($B$37:$B$48,CSV貼付B!$H$5:$H98)=0))&gt;1,"",MAX($O$4:O97)+1)))</f>
        <v/>
      </c>
      <c r="P98" s="0" t="str">
        <f aca="false">IFERROR(INDEX(CSV貼付B!$N$5:$N$1004,MATCH(ROW()-4,$O$5:$O$1004,0)),"")</f>
        <v/>
      </c>
      <c r="Q98" s="0" t="str">
        <f aca="false">IF(ROW()-4&lt;=MAX($M$5:$M$1004),IFERROR(INDEX($N$5:$N$1004,ROW()-4),""),IFERROR(INDEX($P$5:$P$1004,ROW()-4-MAX($M$5:$M$1004)),""))</f>
        <v/>
      </c>
    </row>
    <row r="99" customFormat="false" ht="15" hidden="false" customHeight="false" outlineLevel="0" collapsed="false">
      <c r="M99" s="0" t="str">
        <f aca="false">IF(CSV貼付A!$N99="","",IF(COUNTIF($B$37:$B$48,CSV貼付A!$H99)&gt;0,"",IF(SUMPRODUCT((CSV貼付A!$N$5:$N99=CSV貼付A!$N99)*(COUNTIF($B$37:$B$48,CSV貼付A!$H$5:$H99)=0))&gt;1,"",MAX($M$4:M98)+1)))</f>
        <v/>
      </c>
      <c r="N99" s="0" t="str">
        <f aca="false">IFERROR(INDEX(CSV貼付A!$N$5:$N$1004,MATCH(ROW()-4,$M$5:$M$1004,0)),"")</f>
        <v/>
      </c>
      <c r="O99" s="0" t="str">
        <f aca="false">IF(CSV貼付B!$N99="","",IF(COUNTIF($B$37:$B$48,CSV貼付B!$H99)&gt;0,"",IF(SUMPRODUCT((CSV貼付B!$N$5:$N99=CSV貼付B!$N99)*(COUNTIF($B$37:$B$48,CSV貼付B!$H$5:$H99)=0))&gt;1,"",MAX($O$4:O98)+1)))</f>
        <v/>
      </c>
      <c r="P99" s="0" t="str">
        <f aca="false">IFERROR(INDEX(CSV貼付B!$N$5:$N$1004,MATCH(ROW()-4,$O$5:$O$1004,0)),"")</f>
        <v/>
      </c>
      <c r="Q99" s="0" t="str">
        <f aca="false">IF(ROW()-4&lt;=MAX($M$5:$M$1004),IFERROR(INDEX($N$5:$N$1004,ROW()-4),""),IFERROR(INDEX($P$5:$P$1004,ROW()-4-MAX($M$5:$M$1004)),""))</f>
        <v/>
      </c>
    </row>
    <row r="100" customFormat="false" ht="15" hidden="false" customHeight="false" outlineLevel="0" collapsed="false">
      <c r="M100" s="0" t="str">
        <f aca="false">IF(CSV貼付A!$N100="","",IF(COUNTIF($B$37:$B$48,CSV貼付A!$H100)&gt;0,"",IF(SUMPRODUCT((CSV貼付A!$N$5:$N100=CSV貼付A!$N100)*(COUNTIF($B$37:$B$48,CSV貼付A!$H$5:$H100)=0))&gt;1,"",MAX($M$4:M99)+1)))</f>
        <v/>
      </c>
      <c r="N100" s="0" t="str">
        <f aca="false">IFERROR(INDEX(CSV貼付A!$N$5:$N$1004,MATCH(ROW()-4,$M$5:$M$1004,0)),"")</f>
        <v/>
      </c>
      <c r="O100" s="0" t="str">
        <f aca="false">IF(CSV貼付B!$N100="","",IF(COUNTIF($B$37:$B$48,CSV貼付B!$H100)&gt;0,"",IF(SUMPRODUCT((CSV貼付B!$N$5:$N100=CSV貼付B!$N100)*(COUNTIF($B$37:$B$48,CSV貼付B!$H$5:$H100)=0))&gt;1,"",MAX($O$4:O99)+1)))</f>
        <v/>
      </c>
      <c r="P100" s="0" t="str">
        <f aca="false">IFERROR(INDEX(CSV貼付B!$N$5:$N$1004,MATCH(ROW()-4,$O$5:$O$1004,0)),"")</f>
        <v/>
      </c>
      <c r="Q100" s="0" t="str">
        <f aca="false">IF(ROW()-4&lt;=MAX($M$5:$M$1004),IFERROR(INDEX($N$5:$N$1004,ROW()-4),""),IFERROR(INDEX($P$5:$P$1004,ROW()-4-MAX($M$5:$M$1004)),""))</f>
        <v/>
      </c>
    </row>
    <row r="101" customFormat="false" ht="15" hidden="false" customHeight="false" outlineLevel="0" collapsed="false">
      <c r="M101" s="0" t="str">
        <f aca="false">IF(CSV貼付A!$N101="","",IF(COUNTIF($B$37:$B$48,CSV貼付A!$H101)&gt;0,"",IF(SUMPRODUCT((CSV貼付A!$N$5:$N101=CSV貼付A!$N101)*(COUNTIF($B$37:$B$48,CSV貼付A!$H$5:$H101)=0))&gt;1,"",MAX($M$4:M100)+1)))</f>
        <v/>
      </c>
      <c r="N101" s="0" t="str">
        <f aca="false">IFERROR(INDEX(CSV貼付A!$N$5:$N$1004,MATCH(ROW()-4,$M$5:$M$1004,0)),"")</f>
        <v/>
      </c>
      <c r="O101" s="0" t="str">
        <f aca="false">IF(CSV貼付B!$N101="","",IF(COUNTIF($B$37:$B$48,CSV貼付B!$H101)&gt;0,"",IF(SUMPRODUCT((CSV貼付B!$N$5:$N101=CSV貼付B!$N101)*(COUNTIF($B$37:$B$48,CSV貼付B!$H$5:$H101)=0))&gt;1,"",MAX($O$4:O100)+1)))</f>
        <v/>
      </c>
      <c r="P101" s="0" t="str">
        <f aca="false">IFERROR(INDEX(CSV貼付B!$N$5:$N$1004,MATCH(ROW()-4,$O$5:$O$1004,0)),"")</f>
        <v/>
      </c>
      <c r="Q101" s="0" t="str">
        <f aca="false">IF(ROW()-4&lt;=MAX($M$5:$M$1004),IFERROR(INDEX($N$5:$N$1004,ROW()-4),""),IFERROR(INDEX($P$5:$P$1004,ROW()-4-MAX($M$5:$M$1004)),""))</f>
        <v/>
      </c>
    </row>
    <row r="102" customFormat="false" ht="15" hidden="false" customHeight="false" outlineLevel="0" collapsed="false">
      <c r="M102" s="0" t="str">
        <f aca="false">IF(CSV貼付A!$N102="","",IF(COUNTIF($B$37:$B$48,CSV貼付A!$H102)&gt;0,"",IF(SUMPRODUCT((CSV貼付A!$N$5:$N102=CSV貼付A!$N102)*(COUNTIF($B$37:$B$48,CSV貼付A!$H$5:$H102)=0))&gt;1,"",MAX($M$4:M101)+1)))</f>
        <v/>
      </c>
      <c r="N102" s="0" t="str">
        <f aca="false">IFERROR(INDEX(CSV貼付A!$N$5:$N$1004,MATCH(ROW()-4,$M$5:$M$1004,0)),"")</f>
        <v/>
      </c>
      <c r="O102" s="0" t="str">
        <f aca="false">IF(CSV貼付B!$N102="","",IF(COUNTIF($B$37:$B$48,CSV貼付B!$H102)&gt;0,"",IF(SUMPRODUCT((CSV貼付B!$N$5:$N102=CSV貼付B!$N102)*(COUNTIF($B$37:$B$48,CSV貼付B!$H$5:$H102)=0))&gt;1,"",MAX($O$4:O101)+1)))</f>
        <v/>
      </c>
      <c r="P102" s="0" t="str">
        <f aca="false">IFERROR(INDEX(CSV貼付B!$N$5:$N$1004,MATCH(ROW()-4,$O$5:$O$1004,0)),"")</f>
        <v/>
      </c>
      <c r="Q102" s="0" t="str">
        <f aca="false">IF(ROW()-4&lt;=MAX($M$5:$M$1004),IFERROR(INDEX($N$5:$N$1004,ROW()-4),""),IFERROR(INDEX($P$5:$P$1004,ROW()-4-MAX($M$5:$M$1004)),""))</f>
        <v/>
      </c>
    </row>
    <row r="103" customFormat="false" ht="15" hidden="false" customHeight="false" outlineLevel="0" collapsed="false">
      <c r="M103" s="0" t="str">
        <f aca="false">IF(CSV貼付A!$N103="","",IF(COUNTIF($B$37:$B$48,CSV貼付A!$H103)&gt;0,"",IF(SUMPRODUCT((CSV貼付A!$N$5:$N103=CSV貼付A!$N103)*(COUNTIF($B$37:$B$48,CSV貼付A!$H$5:$H103)=0))&gt;1,"",MAX($M$4:M102)+1)))</f>
        <v/>
      </c>
      <c r="N103" s="0" t="str">
        <f aca="false">IFERROR(INDEX(CSV貼付A!$N$5:$N$1004,MATCH(ROW()-4,$M$5:$M$1004,0)),"")</f>
        <v/>
      </c>
      <c r="O103" s="0" t="str">
        <f aca="false">IF(CSV貼付B!$N103="","",IF(COUNTIF($B$37:$B$48,CSV貼付B!$H103)&gt;0,"",IF(SUMPRODUCT((CSV貼付B!$N$5:$N103=CSV貼付B!$N103)*(COUNTIF($B$37:$B$48,CSV貼付B!$H$5:$H103)=0))&gt;1,"",MAX($O$4:O102)+1)))</f>
        <v/>
      </c>
      <c r="P103" s="0" t="str">
        <f aca="false">IFERROR(INDEX(CSV貼付B!$N$5:$N$1004,MATCH(ROW()-4,$O$5:$O$1004,0)),"")</f>
        <v/>
      </c>
      <c r="Q103" s="0" t="str">
        <f aca="false">IF(ROW()-4&lt;=MAX($M$5:$M$1004),IFERROR(INDEX($N$5:$N$1004,ROW()-4),""),IFERROR(INDEX($P$5:$P$1004,ROW()-4-MAX($M$5:$M$1004)),""))</f>
        <v/>
      </c>
    </row>
    <row r="104" customFormat="false" ht="15" hidden="false" customHeight="false" outlineLevel="0" collapsed="false">
      <c r="M104" s="0" t="str">
        <f aca="false">IF(CSV貼付A!$N104="","",IF(COUNTIF($B$37:$B$48,CSV貼付A!$H104)&gt;0,"",IF(SUMPRODUCT((CSV貼付A!$N$5:$N104=CSV貼付A!$N104)*(COUNTIF($B$37:$B$48,CSV貼付A!$H$5:$H104)=0))&gt;1,"",MAX($M$4:M103)+1)))</f>
        <v/>
      </c>
      <c r="N104" s="0" t="str">
        <f aca="false">IFERROR(INDEX(CSV貼付A!$N$5:$N$1004,MATCH(ROW()-4,$M$5:$M$1004,0)),"")</f>
        <v/>
      </c>
      <c r="O104" s="0" t="str">
        <f aca="false">IF(CSV貼付B!$N104="","",IF(COUNTIF($B$37:$B$48,CSV貼付B!$H104)&gt;0,"",IF(SUMPRODUCT((CSV貼付B!$N$5:$N104=CSV貼付B!$N104)*(COUNTIF($B$37:$B$48,CSV貼付B!$H$5:$H104)=0))&gt;1,"",MAX($O$4:O103)+1)))</f>
        <v/>
      </c>
      <c r="P104" s="0" t="str">
        <f aca="false">IFERROR(INDEX(CSV貼付B!$N$5:$N$1004,MATCH(ROW()-4,$O$5:$O$1004,0)),"")</f>
        <v/>
      </c>
      <c r="Q104" s="0" t="str">
        <f aca="false">IF(ROW()-4&lt;=MAX($M$5:$M$1004),IFERROR(INDEX($N$5:$N$1004,ROW()-4),""),IFERROR(INDEX($P$5:$P$1004,ROW()-4-MAX($M$5:$M$1004)),""))</f>
        <v/>
      </c>
    </row>
    <row r="105" customFormat="false" ht="15" hidden="false" customHeight="false" outlineLevel="0" collapsed="false">
      <c r="M105" s="0" t="str">
        <f aca="false">IF(CSV貼付A!$N105="","",IF(COUNTIF($B$37:$B$48,CSV貼付A!$H105)&gt;0,"",IF(SUMPRODUCT((CSV貼付A!$N$5:$N105=CSV貼付A!$N105)*(COUNTIF($B$37:$B$48,CSV貼付A!$H$5:$H105)=0))&gt;1,"",MAX($M$4:M104)+1)))</f>
        <v/>
      </c>
      <c r="N105" s="0" t="str">
        <f aca="false">IFERROR(INDEX(CSV貼付A!$N$5:$N$1004,MATCH(ROW()-4,$M$5:$M$1004,0)),"")</f>
        <v/>
      </c>
      <c r="O105" s="0" t="str">
        <f aca="false">IF(CSV貼付B!$N105="","",IF(COUNTIF($B$37:$B$48,CSV貼付B!$H105)&gt;0,"",IF(SUMPRODUCT((CSV貼付B!$N$5:$N105=CSV貼付B!$N105)*(COUNTIF($B$37:$B$48,CSV貼付B!$H$5:$H105)=0))&gt;1,"",MAX($O$4:O104)+1)))</f>
        <v/>
      </c>
      <c r="P105" s="0" t="str">
        <f aca="false">IFERROR(INDEX(CSV貼付B!$N$5:$N$1004,MATCH(ROW()-4,$O$5:$O$1004,0)),"")</f>
        <v/>
      </c>
      <c r="Q105" s="0" t="str">
        <f aca="false">IF(ROW()-4&lt;=MAX($M$5:$M$1004),IFERROR(INDEX($N$5:$N$1004,ROW()-4),""),IFERROR(INDEX($P$5:$P$1004,ROW()-4-MAX($M$5:$M$1004)),""))</f>
        <v/>
      </c>
    </row>
    <row r="106" customFormat="false" ht="15" hidden="false" customHeight="false" outlineLevel="0" collapsed="false">
      <c r="M106" s="0" t="str">
        <f aca="false">IF(CSV貼付A!$N106="","",IF(COUNTIF($B$37:$B$48,CSV貼付A!$H106)&gt;0,"",IF(SUMPRODUCT((CSV貼付A!$N$5:$N106=CSV貼付A!$N106)*(COUNTIF($B$37:$B$48,CSV貼付A!$H$5:$H106)=0))&gt;1,"",MAX($M$4:M105)+1)))</f>
        <v/>
      </c>
      <c r="N106" s="0" t="str">
        <f aca="false">IFERROR(INDEX(CSV貼付A!$N$5:$N$1004,MATCH(ROW()-4,$M$5:$M$1004,0)),"")</f>
        <v/>
      </c>
      <c r="O106" s="0" t="str">
        <f aca="false">IF(CSV貼付B!$N106="","",IF(COUNTIF($B$37:$B$48,CSV貼付B!$H106)&gt;0,"",IF(SUMPRODUCT((CSV貼付B!$N$5:$N106=CSV貼付B!$N106)*(COUNTIF($B$37:$B$48,CSV貼付B!$H$5:$H106)=0))&gt;1,"",MAX($O$4:O105)+1)))</f>
        <v/>
      </c>
      <c r="P106" s="0" t="str">
        <f aca="false">IFERROR(INDEX(CSV貼付B!$N$5:$N$1004,MATCH(ROW()-4,$O$5:$O$1004,0)),"")</f>
        <v/>
      </c>
      <c r="Q106" s="0" t="str">
        <f aca="false">IF(ROW()-4&lt;=MAX($M$5:$M$1004),IFERROR(INDEX($N$5:$N$1004,ROW()-4),""),IFERROR(INDEX($P$5:$P$1004,ROW()-4-MAX($M$5:$M$1004)),""))</f>
        <v/>
      </c>
    </row>
    <row r="107" customFormat="false" ht="15" hidden="false" customHeight="false" outlineLevel="0" collapsed="false">
      <c r="M107" s="0" t="str">
        <f aca="false">IF(CSV貼付A!$N107="","",IF(COUNTIF($B$37:$B$48,CSV貼付A!$H107)&gt;0,"",IF(SUMPRODUCT((CSV貼付A!$N$5:$N107=CSV貼付A!$N107)*(COUNTIF($B$37:$B$48,CSV貼付A!$H$5:$H107)=0))&gt;1,"",MAX($M$4:M106)+1)))</f>
        <v/>
      </c>
      <c r="N107" s="0" t="str">
        <f aca="false">IFERROR(INDEX(CSV貼付A!$N$5:$N$1004,MATCH(ROW()-4,$M$5:$M$1004,0)),"")</f>
        <v/>
      </c>
      <c r="O107" s="0" t="str">
        <f aca="false">IF(CSV貼付B!$N107="","",IF(COUNTIF($B$37:$B$48,CSV貼付B!$H107)&gt;0,"",IF(SUMPRODUCT((CSV貼付B!$N$5:$N107=CSV貼付B!$N107)*(COUNTIF($B$37:$B$48,CSV貼付B!$H$5:$H107)=0))&gt;1,"",MAX($O$4:O106)+1)))</f>
        <v/>
      </c>
      <c r="P107" s="0" t="str">
        <f aca="false">IFERROR(INDEX(CSV貼付B!$N$5:$N$1004,MATCH(ROW()-4,$O$5:$O$1004,0)),"")</f>
        <v/>
      </c>
      <c r="Q107" s="0" t="str">
        <f aca="false">IF(ROW()-4&lt;=MAX($M$5:$M$1004),IFERROR(INDEX($N$5:$N$1004,ROW()-4),""),IFERROR(INDEX($P$5:$P$1004,ROW()-4-MAX($M$5:$M$1004)),""))</f>
        <v/>
      </c>
    </row>
    <row r="108" customFormat="false" ht="15" hidden="false" customHeight="false" outlineLevel="0" collapsed="false">
      <c r="M108" s="0" t="str">
        <f aca="false">IF(CSV貼付A!$N108="","",IF(COUNTIF($B$37:$B$48,CSV貼付A!$H108)&gt;0,"",IF(SUMPRODUCT((CSV貼付A!$N$5:$N108=CSV貼付A!$N108)*(COUNTIF($B$37:$B$48,CSV貼付A!$H$5:$H108)=0))&gt;1,"",MAX($M$4:M107)+1)))</f>
        <v/>
      </c>
      <c r="N108" s="0" t="str">
        <f aca="false">IFERROR(INDEX(CSV貼付A!$N$5:$N$1004,MATCH(ROW()-4,$M$5:$M$1004,0)),"")</f>
        <v/>
      </c>
      <c r="O108" s="0" t="str">
        <f aca="false">IF(CSV貼付B!$N108="","",IF(COUNTIF($B$37:$B$48,CSV貼付B!$H108)&gt;0,"",IF(SUMPRODUCT((CSV貼付B!$N$5:$N108=CSV貼付B!$N108)*(COUNTIF($B$37:$B$48,CSV貼付B!$H$5:$H108)=0))&gt;1,"",MAX($O$4:O107)+1)))</f>
        <v/>
      </c>
      <c r="P108" s="0" t="str">
        <f aca="false">IFERROR(INDEX(CSV貼付B!$N$5:$N$1004,MATCH(ROW()-4,$O$5:$O$1004,0)),"")</f>
        <v/>
      </c>
      <c r="Q108" s="0" t="str">
        <f aca="false">IF(ROW()-4&lt;=MAX($M$5:$M$1004),IFERROR(INDEX($N$5:$N$1004,ROW()-4),""),IFERROR(INDEX($P$5:$P$1004,ROW()-4-MAX($M$5:$M$1004)),""))</f>
        <v/>
      </c>
    </row>
    <row r="109" customFormat="false" ht="15" hidden="false" customHeight="false" outlineLevel="0" collapsed="false">
      <c r="M109" s="0" t="str">
        <f aca="false">IF(CSV貼付A!$N109="","",IF(COUNTIF($B$37:$B$48,CSV貼付A!$H109)&gt;0,"",IF(SUMPRODUCT((CSV貼付A!$N$5:$N109=CSV貼付A!$N109)*(COUNTIF($B$37:$B$48,CSV貼付A!$H$5:$H109)=0))&gt;1,"",MAX($M$4:M108)+1)))</f>
        <v/>
      </c>
      <c r="N109" s="0" t="str">
        <f aca="false">IFERROR(INDEX(CSV貼付A!$N$5:$N$1004,MATCH(ROW()-4,$M$5:$M$1004,0)),"")</f>
        <v/>
      </c>
      <c r="O109" s="0" t="str">
        <f aca="false">IF(CSV貼付B!$N109="","",IF(COUNTIF($B$37:$B$48,CSV貼付B!$H109)&gt;0,"",IF(SUMPRODUCT((CSV貼付B!$N$5:$N109=CSV貼付B!$N109)*(COUNTIF($B$37:$B$48,CSV貼付B!$H$5:$H109)=0))&gt;1,"",MAX($O$4:O108)+1)))</f>
        <v/>
      </c>
      <c r="P109" s="0" t="str">
        <f aca="false">IFERROR(INDEX(CSV貼付B!$N$5:$N$1004,MATCH(ROW()-4,$O$5:$O$1004,0)),"")</f>
        <v/>
      </c>
      <c r="Q109" s="0" t="str">
        <f aca="false">IF(ROW()-4&lt;=MAX($M$5:$M$1004),IFERROR(INDEX($N$5:$N$1004,ROW()-4),""),IFERROR(INDEX($P$5:$P$1004,ROW()-4-MAX($M$5:$M$1004)),""))</f>
        <v/>
      </c>
    </row>
    <row r="110" customFormat="false" ht="15" hidden="false" customHeight="false" outlineLevel="0" collapsed="false">
      <c r="M110" s="0" t="str">
        <f aca="false">IF(CSV貼付A!$N110="","",IF(COUNTIF($B$37:$B$48,CSV貼付A!$H110)&gt;0,"",IF(SUMPRODUCT((CSV貼付A!$N$5:$N110=CSV貼付A!$N110)*(COUNTIF($B$37:$B$48,CSV貼付A!$H$5:$H110)=0))&gt;1,"",MAX($M$4:M109)+1)))</f>
        <v/>
      </c>
      <c r="N110" s="0" t="str">
        <f aca="false">IFERROR(INDEX(CSV貼付A!$N$5:$N$1004,MATCH(ROW()-4,$M$5:$M$1004,0)),"")</f>
        <v/>
      </c>
      <c r="O110" s="0" t="str">
        <f aca="false">IF(CSV貼付B!$N110="","",IF(COUNTIF($B$37:$B$48,CSV貼付B!$H110)&gt;0,"",IF(SUMPRODUCT((CSV貼付B!$N$5:$N110=CSV貼付B!$N110)*(COUNTIF($B$37:$B$48,CSV貼付B!$H$5:$H110)=0))&gt;1,"",MAX($O$4:O109)+1)))</f>
        <v/>
      </c>
      <c r="P110" s="0" t="str">
        <f aca="false">IFERROR(INDEX(CSV貼付B!$N$5:$N$1004,MATCH(ROW()-4,$O$5:$O$1004,0)),"")</f>
        <v/>
      </c>
      <c r="Q110" s="0" t="str">
        <f aca="false">IF(ROW()-4&lt;=MAX($M$5:$M$1004),IFERROR(INDEX($N$5:$N$1004,ROW()-4),""),IFERROR(INDEX($P$5:$P$1004,ROW()-4-MAX($M$5:$M$1004)),""))</f>
        <v/>
      </c>
    </row>
    <row r="111" customFormat="false" ht="15" hidden="false" customHeight="false" outlineLevel="0" collapsed="false">
      <c r="M111" s="0" t="str">
        <f aca="false">IF(CSV貼付A!$N111="","",IF(COUNTIF($B$37:$B$48,CSV貼付A!$H111)&gt;0,"",IF(SUMPRODUCT((CSV貼付A!$N$5:$N111=CSV貼付A!$N111)*(COUNTIF($B$37:$B$48,CSV貼付A!$H$5:$H111)=0))&gt;1,"",MAX($M$4:M110)+1)))</f>
        <v/>
      </c>
      <c r="N111" s="0" t="str">
        <f aca="false">IFERROR(INDEX(CSV貼付A!$N$5:$N$1004,MATCH(ROW()-4,$M$5:$M$1004,0)),"")</f>
        <v/>
      </c>
      <c r="O111" s="0" t="str">
        <f aca="false">IF(CSV貼付B!$N111="","",IF(COUNTIF($B$37:$B$48,CSV貼付B!$H111)&gt;0,"",IF(SUMPRODUCT((CSV貼付B!$N$5:$N111=CSV貼付B!$N111)*(COUNTIF($B$37:$B$48,CSV貼付B!$H$5:$H111)=0))&gt;1,"",MAX($O$4:O110)+1)))</f>
        <v/>
      </c>
      <c r="P111" s="0" t="str">
        <f aca="false">IFERROR(INDEX(CSV貼付B!$N$5:$N$1004,MATCH(ROW()-4,$O$5:$O$1004,0)),"")</f>
        <v/>
      </c>
      <c r="Q111" s="0" t="str">
        <f aca="false">IF(ROW()-4&lt;=MAX($M$5:$M$1004),IFERROR(INDEX($N$5:$N$1004,ROW()-4),""),IFERROR(INDEX($P$5:$P$1004,ROW()-4-MAX($M$5:$M$1004)),""))</f>
        <v/>
      </c>
    </row>
    <row r="112" customFormat="false" ht="15" hidden="false" customHeight="false" outlineLevel="0" collapsed="false">
      <c r="M112" s="0" t="str">
        <f aca="false">IF(CSV貼付A!$N112="","",IF(COUNTIF($B$37:$B$48,CSV貼付A!$H112)&gt;0,"",IF(SUMPRODUCT((CSV貼付A!$N$5:$N112=CSV貼付A!$N112)*(COUNTIF($B$37:$B$48,CSV貼付A!$H$5:$H112)=0))&gt;1,"",MAX($M$4:M111)+1)))</f>
        <v/>
      </c>
      <c r="N112" s="0" t="str">
        <f aca="false">IFERROR(INDEX(CSV貼付A!$N$5:$N$1004,MATCH(ROW()-4,$M$5:$M$1004,0)),"")</f>
        <v/>
      </c>
      <c r="O112" s="0" t="str">
        <f aca="false">IF(CSV貼付B!$N112="","",IF(COUNTIF($B$37:$B$48,CSV貼付B!$H112)&gt;0,"",IF(SUMPRODUCT((CSV貼付B!$N$5:$N112=CSV貼付B!$N112)*(COUNTIF($B$37:$B$48,CSV貼付B!$H$5:$H112)=0))&gt;1,"",MAX($O$4:O111)+1)))</f>
        <v/>
      </c>
      <c r="P112" s="0" t="str">
        <f aca="false">IFERROR(INDEX(CSV貼付B!$N$5:$N$1004,MATCH(ROW()-4,$O$5:$O$1004,0)),"")</f>
        <v/>
      </c>
      <c r="Q112" s="0" t="str">
        <f aca="false">IF(ROW()-4&lt;=MAX($M$5:$M$1004),IFERROR(INDEX($N$5:$N$1004,ROW()-4),""),IFERROR(INDEX($P$5:$P$1004,ROW()-4-MAX($M$5:$M$1004)),""))</f>
        <v/>
      </c>
    </row>
    <row r="113" customFormat="false" ht="15" hidden="false" customHeight="false" outlineLevel="0" collapsed="false">
      <c r="M113" s="0" t="str">
        <f aca="false">IF(CSV貼付A!$N113="","",IF(COUNTIF($B$37:$B$48,CSV貼付A!$H113)&gt;0,"",IF(SUMPRODUCT((CSV貼付A!$N$5:$N113=CSV貼付A!$N113)*(COUNTIF($B$37:$B$48,CSV貼付A!$H$5:$H113)=0))&gt;1,"",MAX($M$4:M112)+1)))</f>
        <v/>
      </c>
      <c r="N113" s="0" t="str">
        <f aca="false">IFERROR(INDEX(CSV貼付A!$N$5:$N$1004,MATCH(ROW()-4,$M$5:$M$1004,0)),"")</f>
        <v/>
      </c>
      <c r="O113" s="0" t="str">
        <f aca="false">IF(CSV貼付B!$N113="","",IF(COUNTIF($B$37:$B$48,CSV貼付B!$H113)&gt;0,"",IF(SUMPRODUCT((CSV貼付B!$N$5:$N113=CSV貼付B!$N113)*(COUNTIF($B$37:$B$48,CSV貼付B!$H$5:$H113)=0))&gt;1,"",MAX($O$4:O112)+1)))</f>
        <v/>
      </c>
      <c r="P113" s="0" t="str">
        <f aca="false">IFERROR(INDEX(CSV貼付B!$N$5:$N$1004,MATCH(ROW()-4,$O$5:$O$1004,0)),"")</f>
        <v/>
      </c>
      <c r="Q113" s="0" t="str">
        <f aca="false">IF(ROW()-4&lt;=MAX($M$5:$M$1004),IFERROR(INDEX($N$5:$N$1004,ROW()-4),""),IFERROR(INDEX($P$5:$P$1004,ROW()-4-MAX($M$5:$M$1004)),""))</f>
        <v/>
      </c>
    </row>
    <row r="114" customFormat="false" ht="15" hidden="false" customHeight="false" outlineLevel="0" collapsed="false">
      <c r="M114" s="0" t="str">
        <f aca="false">IF(CSV貼付A!$N114="","",IF(COUNTIF($B$37:$B$48,CSV貼付A!$H114)&gt;0,"",IF(SUMPRODUCT((CSV貼付A!$N$5:$N114=CSV貼付A!$N114)*(COUNTIF($B$37:$B$48,CSV貼付A!$H$5:$H114)=0))&gt;1,"",MAX($M$4:M113)+1)))</f>
        <v/>
      </c>
      <c r="N114" s="0" t="str">
        <f aca="false">IFERROR(INDEX(CSV貼付A!$N$5:$N$1004,MATCH(ROW()-4,$M$5:$M$1004,0)),"")</f>
        <v/>
      </c>
      <c r="O114" s="0" t="str">
        <f aca="false">IF(CSV貼付B!$N114="","",IF(COUNTIF($B$37:$B$48,CSV貼付B!$H114)&gt;0,"",IF(SUMPRODUCT((CSV貼付B!$N$5:$N114=CSV貼付B!$N114)*(COUNTIF($B$37:$B$48,CSV貼付B!$H$5:$H114)=0))&gt;1,"",MAX($O$4:O113)+1)))</f>
        <v/>
      </c>
      <c r="P114" s="0" t="str">
        <f aca="false">IFERROR(INDEX(CSV貼付B!$N$5:$N$1004,MATCH(ROW()-4,$O$5:$O$1004,0)),"")</f>
        <v/>
      </c>
      <c r="Q114" s="0" t="str">
        <f aca="false">IF(ROW()-4&lt;=MAX($M$5:$M$1004),IFERROR(INDEX($N$5:$N$1004,ROW()-4),""),IFERROR(INDEX($P$5:$P$1004,ROW()-4-MAX($M$5:$M$1004)),""))</f>
        <v/>
      </c>
    </row>
    <row r="115" customFormat="false" ht="15" hidden="false" customHeight="false" outlineLevel="0" collapsed="false">
      <c r="M115" s="0" t="str">
        <f aca="false">IF(CSV貼付A!$N115="","",IF(COUNTIF($B$37:$B$48,CSV貼付A!$H115)&gt;0,"",IF(SUMPRODUCT((CSV貼付A!$N$5:$N115=CSV貼付A!$N115)*(COUNTIF($B$37:$B$48,CSV貼付A!$H$5:$H115)=0))&gt;1,"",MAX($M$4:M114)+1)))</f>
        <v/>
      </c>
      <c r="N115" s="0" t="str">
        <f aca="false">IFERROR(INDEX(CSV貼付A!$N$5:$N$1004,MATCH(ROW()-4,$M$5:$M$1004,0)),"")</f>
        <v/>
      </c>
      <c r="O115" s="0" t="str">
        <f aca="false">IF(CSV貼付B!$N115="","",IF(COUNTIF($B$37:$B$48,CSV貼付B!$H115)&gt;0,"",IF(SUMPRODUCT((CSV貼付B!$N$5:$N115=CSV貼付B!$N115)*(COUNTIF($B$37:$B$48,CSV貼付B!$H$5:$H115)=0))&gt;1,"",MAX($O$4:O114)+1)))</f>
        <v/>
      </c>
      <c r="P115" s="0" t="str">
        <f aca="false">IFERROR(INDEX(CSV貼付B!$N$5:$N$1004,MATCH(ROW()-4,$O$5:$O$1004,0)),"")</f>
        <v/>
      </c>
      <c r="Q115" s="0" t="str">
        <f aca="false">IF(ROW()-4&lt;=MAX($M$5:$M$1004),IFERROR(INDEX($N$5:$N$1004,ROW()-4),""),IFERROR(INDEX($P$5:$P$1004,ROW()-4-MAX($M$5:$M$1004)),""))</f>
        <v/>
      </c>
    </row>
    <row r="116" customFormat="false" ht="15" hidden="false" customHeight="false" outlineLevel="0" collapsed="false">
      <c r="M116" s="0" t="str">
        <f aca="false">IF(CSV貼付A!$N116="","",IF(COUNTIF($B$37:$B$48,CSV貼付A!$H116)&gt;0,"",IF(SUMPRODUCT((CSV貼付A!$N$5:$N116=CSV貼付A!$N116)*(COUNTIF($B$37:$B$48,CSV貼付A!$H$5:$H116)=0))&gt;1,"",MAX($M$4:M115)+1)))</f>
        <v/>
      </c>
      <c r="N116" s="0" t="str">
        <f aca="false">IFERROR(INDEX(CSV貼付A!$N$5:$N$1004,MATCH(ROW()-4,$M$5:$M$1004,0)),"")</f>
        <v/>
      </c>
      <c r="O116" s="0" t="str">
        <f aca="false">IF(CSV貼付B!$N116="","",IF(COUNTIF($B$37:$B$48,CSV貼付B!$H116)&gt;0,"",IF(SUMPRODUCT((CSV貼付B!$N$5:$N116=CSV貼付B!$N116)*(COUNTIF($B$37:$B$48,CSV貼付B!$H$5:$H116)=0))&gt;1,"",MAX($O$4:O115)+1)))</f>
        <v/>
      </c>
      <c r="P116" s="0" t="str">
        <f aca="false">IFERROR(INDEX(CSV貼付B!$N$5:$N$1004,MATCH(ROW()-4,$O$5:$O$1004,0)),"")</f>
        <v/>
      </c>
      <c r="Q116" s="0" t="str">
        <f aca="false">IF(ROW()-4&lt;=MAX($M$5:$M$1004),IFERROR(INDEX($N$5:$N$1004,ROW()-4),""),IFERROR(INDEX($P$5:$P$1004,ROW()-4-MAX($M$5:$M$1004)),""))</f>
        <v/>
      </c>
    </row>
    <row r="117" customFormat="false" ht="15" hidden="false" customHeight="false" outlineLevel="0" collapsed="false">
      <c r="M117" s="0" t="str">
        <f aca="false">IF(CSV貼付A!$N117="","",IF(COUNTIF($B$37:$B$48,CSV貼付A!$H117)&gt;0,"",IF(SUMPRODUCT((CSV貼付A!$N$5:$N117=CSV貼付A!$N117)*(COUNTIF($B$37:$B$48,CSV貼付A!$H$5:$H117)=0))&gt;1,"",MAX($M$4:M116)+1)))</f>
        <v/>
      </c>
      <c r="N117" s="0" t="str">
        <f aca="false">IFERROR(INDEX(CSV貼付A!$N$5:$N$1004,MATCH(ROW()-4,$M$5:$M$1004,0)),"")</f>
        <v/>
      </c>
      <c r="O117" s="0" t="str">
        <f aca="false">IF(CSV貼付B!$N117="","",IF(COUNTIF($B$37:$B$48,CSV貼付B!$H117)&gt;0,"",IF(SUMPRODUCT((CSV貼付B!$N$5:$N117=CSV貼付B!$N117)*(COUNTIF($B$37:$B$48,CSV貼付B!$H$5:$H117)=0))&gt;1,"",MAX($O$4:O116)+1)))</f>
        <v/>
      </c>
      <c r="P117" s="0" t="str">
        <f aca="false">IFERROR(INDEX(CSV貼付B!$N$5:$N$1004,MATCH(ROW()-4,$O$5:$O$1004,0)),"")</f>
        <v/>
      </c>
      <c r="Q117" s="0" t="str">
        <f aca="false">IF(ROW()-4&lt;=MAX($M$5:$M$1004),IFERROR(INDEX($N$5:$N$1004,ROW()-4),""),IFERROR(INDEX($P$5:$P$1004,ROW()-4-MAX($M$5:$M$1004)),""))</f>
        <v/>
      </c>
    </row>
    <row r="118" customFormat="false" ht="15" hidden="false" customHeight="false" outlineLevel="0" collapsed="false">
      <c r="M118" s="0" t="str">
        <f aca="false">IF(CSV貼付A!$N118="","",IF(COUNTIF($B$37:$B$48,CSV貼付A!$H118)&gt;0,"",IF(SUMPRODUCT((CSV貼付A!$N$5:$N118=CSV貼付A!$N118)*(COUNTIF($B$37:$B$48,CSV貼付A!$H$5:$H118)=0))&gt;1,"",MAX($M$4:M117)+1)))</f>
        <v/>
      </c>
      <c r="N118" s="0" t="str">
        <f aca="false">IFERROR(INDEX(CSV貼付A!$N$5:$N$1004,MATCH(ROW()-4,$M$5:$M$1004,0)),"")</f>
        <v/>
      </c>
      <c r="O118" s="0" t="str">
        <f aca="false">IF(CSV貼付B!$N118="","",IF(COUNTIF($B$37:$B$48,CSV貼付B!$H118)&gt;0,"",IF(SUMPRODUCT((CSV貼付B!$N$5:$N118=CSV貼付B!$N118)*(COUNTIF($B$37:$B$48,CSV貼付B!$H$5:$H118)=0))&gt;1,"",MAX($O$4:O117)+1)))</f>
        <v/>
      </c>
      <c r="P118" s="0" t="str">
        <f aca="false">IFERROR(INDEX(CSV貼付B!$N$5:$N$1004,MATCH(ROW()-4,$O$5:$O$1004,0)),"")</f>
        <v/>
      </c>
      <c r="Q118" s="0" t="str">
        <f aca="false">IF(ROW()-4&lt;=MAX($M$5:$M$1004),IFERROR(INDEX($N$5:$N$1004,ROW()-4),""),IFERROR(INDEX($P$5:$P$1004,ROW()-4-MAX($M$5:$M$1004)),""))</f>
        <v/>
      </c>
    </row>
    <row r="119" customFormat="false" ht="15" hidden="false" customHeight="false" outlineLevel="0" collapsed="false">
      <c r="M119" s="0" t="str">
        <f aca="false">IF(CSV貼付A!$N119="","",IF(COUNTIF($B$37:$B$48,CSV貼付A!$H119)&gt;0,"",IF(SUMPRODUCT((CSV貼付A!$N$5:$N119=CSV貼付A!$N119)*(COUNTIF($B$37:$B$48,CSV貼付A!$H$5:$H119)=0))&gt;1,"",MAX($M$4:M118)+1)))</f>
        <v/>
      </c>
      <c r="N119" s="0" t="str">
        <f aca="false">IFERROR(INDEX(CSV貼付A!$N$5:$N$1004,MATCH(ROW()-4,$M$5:$M$1004,0)),"")</f>
        <v/>
      </c>
      <c r="O119" s="0" t="str">
        <f aca="false">IF(CSV貼付B!$N119="","",IF(COUNTIF($B$37:$B$48,CSV貼付B!$H119)&gt;0,"",IF(SUMPRODUCT((CSV貼付B!$N$5:$N119=CSV貼付B!$N119)*(COUNTIF($B$37:$B$48,CSV貼付B!$H$5:$H119)=0))&gt;1,"",MAX($O$4:O118)+1)))</f>
        <v/>
      </c>
      <c r="P119" s="0" t="str">
        <f aca="false">IFERROR(INDEX(CSV貼付B!$N$5:$N$1004,MATCH(ROW()-4,$O$5:$O$1004,0)),"")</f>
        <v/>
      </c>
      <c r="Q119" s="0" t="str">
        <f aca="false">IF(ROW()-4&lt;=MAX($M$5:$M$1004),IFERROR(INDEX($N$5:$N$1004,ROW()-4),""),IFERROR(INDEX($P$5:$P$1004,ROW()-4-MAX($M$5:$M$1004)),""))</f>
        <v/>
      </c>
    </row>
    <row r="120" customFormat="false" ht="15" hidden="false" customHeight="false" outlineLevel="0" collapsed="false">
      <c r="M120" s="0" t="str">
        <f aca="false">IF(CSV貼付A!$N120="","",IF(COUNTIF($B$37:$B$48,CSV貼付A!$H120)&gt;0,"",IF(SUMPRODUCT((CSV貼付A!$N$5:$N120=CSV貼付A!$N120)*(COUNTIF($B$37:$B$48,CSV貼付A!$H$5:$H120)=0))&gt;1,"",MAX($M$4:M119)+1)))</f>
        <v/>
      </c>
      <c r="N120" s="0" t="str">
        <f aca="false">IFERROR(INDEX(CSV貼付A!$N$5:$N$1004,MATCH(ROW()-4,$M$5:$M$1004,0)),"")</f>
        <v/>
      </c>
      <c r="O120" s="0" t="str">
        <f aca="false">IF(CSV貼付B!$N120="","",IF(COUNTIF($B$37:$B$48,CSV貼付B!$H120)&gt;0,"",IF(SUMPRODUCT((CSV貼付B!$N$5:$N120=CSV貼付B!$N120)*(COUNTIF($B$37:$B$48,CSV貼付B!$H$5:$H120)=0))&gt;1,"",MAX($O$4:O119)+1)))</f>
        <v/>
      </c>
      <c r="P120" s="0" t="str">
        <f aca="false">IFERROR(INDEX(CSV貼付B!$N$5:$N$1004,MATCH(ROW()-4,$O$5:$O$1004,0)),"")</f>
        <v/>
      </c>
      <c r="Q120" s="0" t="str">
        <f aca="false">IF(ROW()-4&lt;=MAX($M$5:$M$1004),IFERROR(INDEX($N$5:$N$1004,ROW()-4),""),IFERROR(INDEX($P$5:$P$1004,ROW()-4-MAX($M$5:$M$1004)),""))</f>
        <v/>
      </c>
    </row>
    <row r="121" customFormat="false" ht="15" hidden="false" customHeight="false" outlineLevel="0" collapsed="false">
      <c r="M121" s="0" t="str">
        <f aca="false">IF(CSV貼付A!$N121="","",IF(COUNTIF($B$37:$B$48,CSV貼付A!$H121)&gt;0,"",IF(SUMPRODUCT((CSV貼付A!$N$5:$N121=CSV貼付A!$N121)*(COUNTIF($B$37:$B$48,CSV貼付A!$H$5:$H121)=0))&gt;1,"",MAX($M$4:M120)+1)))</f>
        <v/>
      </c>
      <c r="N121" s="0" t="str">
        <f aca="false">IFERROR(INDEX(CSV貼付A!$N$5:$N$1004,MATCH(ROW()-4,$M$5:$M$1004,0)),"")</f>
        <v/>
      </c>
      <c r="O121" s="0" t="str">
        <f aca="false">IF(CSV貼付B!$N121="","",IF(COUNTIF($B$37:$B$48,CSV貼付B!$H121)&gt;0,"",IF(SUMPRODUCT((CSV貼付B!$N$5:$N121=CSV貼付B!$N121)*(COUNTIF($B$37:$B$48,CSV貼付B!$H$5:$H121)=0))&gt;1,"",MAX($O$4:O120)+1)))</f>
        <v/>
      </c>
      <c r="P121" s="0" t="str">
        <f aca="false">IFERROR(INDEX(CSV貼付B!$N$5:$N$1004,MATCH(ROW()-4,$O$5:$O$1004,0)),"")</f>
        <v/>
      </c>
      <c r="Q121" s="0" t="str">
        <f aca="false">IF(ROW()-4&lt;=MAX($M$5:$M$1004),IFERROR(INDEX($N$5:$N$1004,ROW()-4),""),IFERROR(INDEX($P$5:$P$1004,ROW()-4-MAX($M$5:$M$1004)),""))</f>
        <v/>
      </c>
    </row>
    <row r="122" customFormat="false" ht="15" hidden="false" customHeight="false" outlineLevel="0" collapsed="false">
      <c r="M122" s="0" t="str">
        <f aca="false">IF(CSV貼付A!$N122="","",IF(COUNTIF($B$37:$B$48,CSV貼付A!$H122)&gt;0,"",IF(SUMPRODUCT((CSV貼付A!$N$5:$N122=CSV貼付A!$N122)*(COUNTIF($B$37:$B$48,CSV貼付A!$H$5:$H122)=0))&gt;1,"",MAX($M$4:M121)+1)))</f>
        <v/>
      </c>
      <c r="N122" s="0" t="str">
        <f aca="false">IFERROR(INDEX(CSV貼付A!$N$5:$N$1004,MATCH(ROW()-4,$M$5:$M$1004,0)),"")</f>
        <v/>
      </c>
      <c r="O122" s="0" t="str">
        <f aca="false">IF(CSV貼付B!$N122="","",IF(COUNTIF($B$37:$B$48,CSV貼付B!$H122)&gt;0,"",IF(SUMPRODUCT((CSV貼付B!$N$5:$N122=CSV貼付B!$N122)*(COUNTIF($B$37:$B$48,CSV貼付B!$H$5:$H122)=0))&gt;1,"",MAX($O$4:O121)+1)))</f>
        <v/>
      </c>
      <c r="P122" s="0" t="str">
        <f aca="false">IFERROR(INDEX(CSV貼付B!$N$5:$N$1004,MATCH(ROW()-4,$O$5:$O$1004,0)),"")</f>
        <v/>
      </c>
      <c r="Q122" s="0" t="str">
        <f aca="false">IF(ROW()-4&lt;=MAX($M$5:$M$1004),IFERROR(INDEX($N$5:$N$1004,ROW()-4),""),IFERROR(INDEX($P$5:$P$1004,ROW()-4-MAX($M$5:$M$1004)),""))</f>
        <v/>
      </c>
    </row>
    <row r="123" customFormat="false" ht="15" hidden="false" customHeight="false" outlineLevel="0" collapsed="false">
      <c r="M123" s="0" t="str">
        <f aca="false">IF(CSV貼付A!$N123="","",IF(COUNTIF($B$37:$B$48,CSV貼付A!$H123)&gt;0,"",IF(SUMPRODUCT((CSV貼付A!$N$5:$N123=CSV貼付A!$N123)*(COUNTIF($B$37:$B$48,CSV貼付A!$H$5:$H123)=0))&gt;1,"",MAX($M$4:M122)+1)))</f>
        <v/>
      </c>
      <c r="N123" s="0" t="str">
        <f aca="false">IFERROR(INDEX(CSV貼付A!$N$5:$N$1004,MATCH(ROW()-4,$M$5:$M$1004,0)),"")</f>
        <v/>
      </c>
      <c r="O123" s="0" t="str">
        <f aca="false">IF(CSV貼付B!$N123="","",IF(COUNTIF($B$37:$B$48,CSV貼付B!$H123)&gt;0,"",IF(SUMPRODUCT((CSV貼付B!$N$5:$N123=CSV貼付B!$N123)*(COUNTIF($B$37:$B$48,CSV貼付B!$H$5:$H123)=0))&gt;1,"",MAX($O$4:O122)+1)))</f>
        <v/>
      </c>
      <c r="P123" s="0" t="str">
        <f aca="false">IFERROR(INDEX(CSV貼付B!$N$5:$N$1004,MATCH(ROW()-4,$O$5:$O$1004,0)),"")</f>
        <v/>
      </c>
      <c r="Q123" s="0" t="str">
        <f aca="false">IF(ROW()-4&lt;=MAX($M$5:$M$1004),IFERROR(INDEX($N$5:$N$1004,ROW()-4),""),IFERROR(INDEX($P$5:$P$1004,ROW()-4-MAX($M$5:$M$1004)),""))</f>
        <v/>
      </c>
    </row>
    <row r="124" customFormat="false" ht="15" hidden="false" customHeight="false" outlineLevel="0" collapsed="false">
      <c r="M124" s="0" t="str">
        <f aca="false">IF(CSV貼付A!$N124="","",IF(COUNTIF($B$37:$B$48,CSV貼付A!$H124)&gt;0,"",IF(SUMPRODUCT((CSV貼付A!$N$5:$N124=CSV貼付A!$N124)*(COUNTIF($B$37:$B$48,CSV貼付A!$H$5:$H124)=0))&gt;1,"",MAX($M$4:M123)+1)))</f>
        <v/>
      </c>
      <c r="N124" s="0" t="str">
        <f aca="false">IFERROR(INDEX(CSV貼付A!$N$5:$N$1004,MATCH(ROW()-4,$M$5:$M$1004,0)),"")</f>
        <v/>
      </c>
      <c r="O124" s="0" t="str">
        <f aca="false">IF(CSV貼付B!$N124="","",IF(COUNTIF($B$37:$B$48,CSV貼付B!$H124)&gt;0,"",IF(SUMPRODUCT((CSV貼付B!$N$5:$N124=CSV貼付B!$N124)*(COUNTIF($B$37:$B$48,CSV貼付B!$H$5:$H124)=0))&gt;1,"",MAX($O$4:O123)+1)))</f>
        <v/>
      </c>
      <c r="P124" s="0" t="str">
        <f aca="false">IFERROR(INDEX(CSV貼付B!$N$5:$N$1004,MATCH(ROW()-4,$O$5:$O$1004,0)),"")</f>
        <v/>
      </c>
      <c r="Q124" s="0" t="str">
        <f aca="false">IF(ROW()-4&lt;=MAX($M$5:$M$1004),IFERROR(INDEX($N$5:$N$1004,ROW()-4),""),IFERROR(INDEX($P$5:$P$1004,ROW()-4-MAX($M$5:$M$1004)),""))</f>
        <v/>
      </c>
    </row>
    <row r="125" customFormat="false" ht="15" hidden="false" customHeight="false" outlineLevel="0" collapsed="false">
      <c r="M125" s="0" t="str">
        <f aca="false">IF(CSV貼付A!$N125="","",IF(COUNTIF($B$37:$B$48,CSV貼付A!$H125)&gt;0,"",IF(SUMPRODUCT((CSV貼付A!$N$5:$N125=CSV貼付A!$N125)*(COUNTIF($B$37:$B$48,CSV貼付A!$H$5:$H125)=0))&gt;1,"",MAX($M$4:M124)+1)))</f>
        <v/>
      </c>
      <c r="N125" s="0" t="str">
        <f aca="false">IFERROR(INDEX(CSV貼付A!$N$5:$N$1004,MATCH(ROW()-4,$M$5:$M$1004,0)),"")</f>
        <v/>
      </c>
      <c r="O125" s="0" t="str">
        <f aca="false">IF(CSV貼付B!$N125="","",IF(COUNTIF($B$37:$B$48,CSV貼付B!$H125)&gt;0,"",IF(SUMPRODUCT((CSV貼付B!$N$5:$N125=CSV貼付B!$N125)*(COUNTIF($B$37:$B$48,CSV貼付B!$H$5:$H125)=0))&gt;1,"",MAX($O$4:O124)+1)))</f>
        <v/>
      </c>
      <c r="P125" s="0" t="str">
        <f aca="false">IFERROR(INDEX(CSV貼付B!$N$5:$N$1004,MATCH(ROW()-4,$O$5:$O$1004,0)),"")</f>
        <v/>
      </c>
      <c r="Q125" s="0" t="str">
        <f aca="false">IF(ROW()-4&lt;=MAX($M$5:$M$1004),IFERROR(INDEX($N$5:$N$1004,ROW()-4),""),IFERROR(INDEX($P$5:$P$1004,ROW()-4-MAX($M$5:$M$1004)),""))</f>
        <v/>
      </c>
    </row>
    <row r="126" customFormat="false" ht="15" hidden="false" customHeight="false" outlineLevel="0" collapsed="false">
      <c r="M126" s="0" t="str">
        <f aca="false">IF(CSV貼付A!$N126="","",IF(COUNTIF($B$37:$B$48,CSV貼付A!$H126)&gt;0,"",IF(SUMPRODUCT((CSV貼付A!$N$5:$N126=CSV貼付A!$N126)*(COUNTIF($B$37:$B$48,CSV貼付A!$H$5:$H126)=0))&gt;1,"",MAX($M$4:M125)+1)))</f>
        <v/>
      </c>
      <c r="N126" s="0" t="str">
        <f aca="false">IFERROR(INDEX(CSV貼付A!$N$5:$N$1004,MATCH(ROW()-4,$M$5:$M$1004,0)),"")</f>
        <v/>
      </c>
      <c r="O126" s="0" t="str">
        <f aca="false">IF(CSV貼付B!$N126="","",IF(COUNTIF($B$37:$B$48,CSV貼付B!$H126)&gt;0,"",IF(SUMPRODUCT((CSV貼付B!$N$5:$N126=CSV貼付B!$N126)*(COUNTIF($B$37:$B$48,CSV貼付B!$H$5:$H126)=0))&gt;1,"",MAX($O$4:O125)+1)))</f>
        <v/>
      </c>
      <c r="P126" s="0" t="str">
        <f aca="false">IFERROR(INDEX(CSV貼付B!$N$5:$N$1004,MATCH(ROW()-4,$O$5:$O$1004,0)),"")</f>
        <v/>
      </c>
      <c r="Q126" s="0" t="str">
        <f aca="false">IF(ROW()-4&lt;=MAX($M$5:$M$1004),IFERROR(INDEX($N$5:$N$1004,ROW()-4),""),IFERROR(INDEX($P$5:$P$1004,ROW()-4-MAX($M$5:$M$1004)),""))</f>
        <v/>
      </c>
    </row>
    <row r="127" customFormat="false" ht="15" hidden="false" customHeight="false" outlineLevel="0" collapsed="false">
      <c r="M127" s="0" t="str">
        <f aca="false">IF(CSV貼付A!$N127="","",IF(COUNTIF($B$37:$B$48,CSV貼付A!$H127)&gt;0,"",IF(SUMPRODUCT((CSV貼付A!$N$5:$N127=CSV貼付A!$N127)*(COUNTIF($B$37:$B$48,CSV貼付A!$H$5:$H127)=0))&gt;1,"",MAX($M$4:M126)+1)))</f>
        <v/>
      </c>
      <c r="N127" s="0" t="str">
        <f aca="false">IFERROR(INDEX(CSV貼付A!$N$5:$N$1004,MATCH(ROW()-4,$M$5:$M$1004,0)),"")</f>
        <v/>
      </c>
      <c r="O127" s="0" t="str">
        <f aca="false">IF(CSV貼付B!$N127="","",IF(COUNTIF($B$37:$B$48,CSV貼付B!$H127)&gt;0,"",IF(SUMPRODUCT((CSV貼付B!$N$5:$N127=CSV貼付B!$N127)*(COUNTIF($B$37:$B$48,CSV貼付B!$H$5:$H127)=0))&gt;1,"",MAX($O$4:O126)+1)))</f>
        <v/>
      </c>
      <c r="P127" s="0" t="str">
        <f aca="false">IFERROR(INDEX(CSV貼付B!$N$5:$N$1004,MATCH(ROW()-4,$O$5:$O$1004,0)),"")</f>
        <v/>
      </c>
      <c r="Q127" s="0" t="str">
        <f aca="false">IF(ROW()-4&lt;=MAX($M$5:$M$1004),IFERROR(INDEX($N$5:$N$1004,ROW()-4),""),IFERROR(INDEX($P$5:$P$1004,ROW()-4-MAX($M$5:$M$1004)),""))</f>
        <v/>
      </c>
    </row>
    <row r="128" customFormat="false" ht="15" hidden="false" customHeight="false" outlineLevel="0" collapsed="false">
      <c r="M128" s="0" t="str">
        <f aca="false">IF(CSV貼付A!$N128="","",IF(COUNTIF($B$37:$B$48,CSV貼付A!$H128)&gt;0,"",IF(SUMPRODUCT((CSV貼付A!$N$5:$N128=CSV貼付A!$N128)*(COUNTIF($B$37:$B$48,CSV貼付A!$H$5:$H128)=0))&gt;1,"",MAX($M$4:M127)+1)))</f>
        <v/>
      </c>
      <c r="N128" s="0" t="str">
        <f aca="false">IFERROR(INDEX(CSV貼付A!$N$5:$N$1004,MATCH(ROW()-4,$M$5:$M$1004,0)),"")</f>
        <v/>
      </c>
      <c r="O128" s="0" t="str">
        <f aca="false">IF(CSV貼付B!$N128="","",IF(COUNTIF($B$37:$B$48,CSV貼付B!$H128)&gt;0,"",IF(SUMPRODUCT((CSV貼付B!$N$5:$N128=CSV貼付B!$N128)*(COUNTIF($B$37:$B$48,CSV貼付B!$H$5:$H128)=0))&gt;1,"",MAX($O$4:O127)+1)))</f>
        <v/>
      </c>
      <c r="P128" s="0" t="str">
        <f aca="false">IFERROR(INDEX(CSV貼付B!$N$5:$N$1004,MATCH(ROW()-4,$O$5:$O$1004,0)),"")</f>
        <v/>
      </c>
      <c r="Q128" s="0" t="str">
        <f aca="false">IF(ROW()-4&lt;=MAX($M$5:$M$1004),IFERROR(INDEX($N$5:$N$1004,ROW()-4),""),IFERROR(INDEX($P$5:$P$1004,ROW()-4-MAX($M$5:$M$1004)),""))</f>
        <v/>
      </c>
    </row>
    <row r="129" customFormat="false" ht="15" hidden="false" customHeight="false" outlineLevel="0" collapsed="false">
      <c r="M129" s="0" t="str">
        <f aca="false">IF(CSV貼付A!$N129="","",IF(COUNTIF($B$37:$B$48,CSV貼付A!$H129)&gt;0,"",IF(SUMPRODUCT((CSV貼付A!$N$5:$N129=CSV貼付A!$N129)*(COUNTIF($B$37:$B$48,CSV貼付A!$H$5:$H129)=0))&gt;1,"",MAX($M$4:M128)+1)))</f>
        <v/>
      </c>
      <c r="N129" s="0" t="str">
        <f aca="false">IFERROR(INDEX(CSV貼付A!$N$5:$N$1004,MATCH(ROW()-4,$M$5:$M$1004,0)),"")</f>
        <v/>
      </c>
      <c r="O129" s="0" t="str">
        <f aca="false">IF(CSV貼付B!$N129="","",IF(COUNTIF($B$37:$B$48,CSV貼付B!$H129)&gt;0,"",IF(SUMPRODUCT((CSV貼付B!$N$5:$N129=CSV貼付B!$N129)*(COUNTIF($B$37:$B$48,CSV貼付B!$H$5:$H129)=0))&gt;1,"",MAX($O$4:O128)+1)))</f>
        <v/>
      </c>
      <c r="P129" s="0" t="str">
        <f aca="false">IFERROR(INDEX(CSV貼付B!$N$5:$N$1004,MATCH(ROW()-4,$O$5:$O$1004,0)),"")</f>
        <v/>
      </c>
      <c r="Q129" s="0" t="str">
        <f aca="false">IF(ROW()-4&lt;=MAX($M$5:$M$1004),IFERROR(INDEX($N$5:$N$1004,ROW()-4),""),IFERROR(INDEX($P$5:$P$1004,ROW()-4-MAX($M$5:$M$1004)),""))</f>
        <v/>
      </c>
    </row>
    <row r="130" customFormat="false" ht="15" hidden="false" customHeight="false" outlineLevel="0" collapsed="false">
      <c r="M130" s="0" t="str">
        <f aca="false">IF(CSV貼付A!$N130="","",IF(COUNTIF($B$37:$B$48,CSV貼付A!$H130)&gt;0,"",IF(SUMPRODUCT((CSV貼付A!$N$5:$N130=CSV貼付A!$N130)*(COUNTIF($B$37:$B$48,CSV貼付A!$H$5:$H130)=0))&gt;1,"",MAX($M$4:M129)+1)))</f>
        <v/>
      </c>
      <c r="N130" s="0" t="str">
        <f aca="false">IFERROR(INDEX(CSV貼付A!$N$5:$N$1004,MATCH(ROW()-4,$M$5:$M$1004,0)),"")</f>
        <v/>
      </c>
      <c r="O130" s="0" t="str">
        <f aca="false">IF(CSV貼付B!$N130="","",IF(COUNTIF($B$37:$B$48,CSV貼付B!$H130)&gt;0,"",IF(SUMPRODUCT((CSV貼付B!$N$5:$N130=CSV貼付B!$N130)*(COUNTIF($B$37:$B$48,CSV貼付B!$H$5:$H130)=0))&gt;1,"",MAX($O$4:O129)+1)))</f>
        <v/>
      </c>
      <c r="P130" s="0" t="str">
        <f aca="false">IFERROR(INDEX(CSV貼付B!$N$5:$N$1004,MATCH(ROW()-4,$O$5:$O$1004,0)),"")</f>
        <v/>
      </c>
      <c r="Q130" s="0" t="str">
        <f aca="false">IF(ROW()-4&lt;=MAX($M$5:$M$1004),IFERROR(INDEX($N$5:$N$1004,ROW()-4),""),IFERROR(INDEX($P$5:$P$1004,ROW()-4-MAX($M$5:$M$1004)),""))</f>
        <v/>
      </c>
    </row>
    <row r="131" customFormat="false" ht="15" hidden="false" customHeight="false" outlineLevel="0" collapsed="false">
      <c r="M131" s="0" t="str">
        <f aca="false">IF(CSV貼付A!$N131="","",IF(COUNTIF($B$37:$B$48,CSV貼付A!$H131)&gt;0,"",IF(SUMPRODUCT((CSV貼付A!$N$5:$N131=CSV貼付A!$N131)*(COUNTIF($B$37:$B$48,CSV貼付A!$H$5:$H131)=0))&gt;1,"",MAX($M$4:M130)+1)))</f>
        <v/>
      </c>
      <c r="N131" s="0" t="str">
        <f aca="false">IFERROR(INDEX(CSV貼付A!$N$5:$N$1004,MATCH(ROW()-4,$M$5:$M$1004,0)),"")</f>
        <v/>
      </c>
      <c r="O131" s="0" t="str">
        <f aca="false">IF(CSV貼付B!$N131="","",IF(COUNTIF($B$37:$B$48,CSV貼付B!$H131)&gt;0,"",IF(SUMPRODUCT((CSV貼付B!$N$5:$N131=CSV貼付B!$N131)*(COUNTIF($B$37:$B$48,CSV貼付B!$H$5:$H131)=0))&gt;1,"",MAX($O$4:O130)+1)))</f>
        <v/>
      </c>
      <c r="P131" s="0" t="str">
        <f aca="false">IFERROR(INDEX(CSV貼付B!$N$5:$N$1004,MATCH(ROW()-4,$O$5:$O$1004,0)),"")</f>
        <v/>
      </c>
      <c r="Q131" s="0" t="str">
        <f aca="false">IF(ROW()-4&lt;=MAX($M$5:$M$1004),IFERROR(INDEX($N$5:$N$1004,ROW()-4),""),IFERROR(INDEX($P$5:$P$1004,ROW()-4-MAX($M$5:$M$1004)),""))</f>
        <v/>
      </c>
    </row>
    <row r="132" customFormat="false" ht="15" hidden="false" customHeight="false" outlineLevel="0" collapsed="false">
      <c r="M132" s="0" t="str">
        <f aca="false">IF(CSV貼付A!$N132="","",IF(COUNTIF($B$37:$B$48,CSV貼付A!$H132)&gt;0,"",IF(SUMPRODUCT((CSV貼付A!$N$5:$N132=CSV貼付A!$N132)*(COUNTIF($B$37:$B$48,CSV貼付A!$H$5:$H132)=0))&gt;1,"",MAX($M$4:M131)+1)))</f>
        <v/>
      </c>
      <c r="N132" s="0" t="str">
        <f aca="false">IFERROR(INDEX(CSV貼付A!$N$5:$N$1004,MATCH(ROW()-4,$M$5:$M$1004,0)),"")</f>
        <v/>
      </c>
      <c r="O132" s="0" t="str">
        <f aca="false">IF(CSV貼付B!$N132="","",IF(COUNTIF($B$37:$B$48,CSV貼付B!$H132)&gt;0,"",IF(SUMPRODUCT((CSV貼付B!$N$5:$N132=CSV貼付B!$N132)*(COUNTIF($B$37:$B$48,CSV貼付B!$H$5:$H132)=0))&gt;1,"",MAX($O$4:O131)+1)))</f>
        <v/>
      </c>
      <c r="P132" s="0" t="str">
        <f aca="false">IFERROR(INDEX(CSV貼付B!$N$5:$N$1004,MATCH(ROW()-4,$O$5:$O$1004,0)),"")</f>
        <v/>
      </c>
      <c r="Q132" s="0" t="str">
        <f aca="false">IF(ROW()-4&lt;=MAX($M$5:$M$1004),IFERROR(INDEX($N$5:$N$1004,ROW()-4),""),IFERROR(INDEX($P$5:$P$1004,ROW()-4-MAX($M$5:$M$1004)),""))</f>
        <v/>
      </c>
    </row>
    <row r="133" customFormat="false" ht="15" hidden="false" customHeight="false" outlineLevel="0" collapsed="false">
      <c r="M133" s="0" t="str">
        <f aca="false">IF(CSV貼付A!$N133="","",IF(COUNTIF($B$37:$B$48,CSV貼付A!$H133)&gt;0,"",IF(SUMPRODUCT((CSV貼付A!$N$5:$N133=CSV貼付A!$N133)*(COUNTIF($B$37:$B$48,CSV貼付A!$H$5:$H133)=0))&gt;1,"",MAX($M$4:M132)+1)))</f>
        <v/>
      </c>
      <c r="N133" s="0" t="str">
        <f aca="false">IFERROR(INDEX(CSV貼付A!$N$5:$N$1004,MATCH(ROW()-4,$M$5:$M$1004,0)),"")</f>
        <v/>
      </c>
      <c r="O133" s="0" t="str">
        <f aca="false">IF(CSV貼付B!$N133="","",IF(COUNTIF($B$37:$B$48,CSV貼付B!$H133)&gt;0,"",IF(SUMPRODUCT((CSV貼付B!$N$5:$N133=CSV貼付B!$N133)*(COUNTIF($B$37:$B$48,CSV貼付B!$H$5:$H133)=0))&gt;1,"",MAX($O$4:O132)+1)))</f>
        <v/>
      </c>
      <c r="P133" s="0" t="str">
        <f aca="false">IFERROR(INDEX(CSV貼付B!$N$5:$N$1004,MATCH(ROW()-4,$O$5:$O$1004,0)),"")</f>
        <v/>
      </c>
      <c r="Q133" s="0" t="str">
        <f aca="false">IF(ROW()-4&lt;=MAX($M$5:$M$1004),IFERROR(INDEX($N$5:$N$1004,ROW()-4),""),IFERROR(INDEX($P$5:$P$1004,ROW()-4-MAX($M$5:$M$1004)),""))</f>
        <v/>
      </c>
    </row>
    <row r="134" customFormat="false" ht="15" hidden="false" customHeight="false" outlineLevel="0" collapsed="false">
      <c r="M134" s="0" t="str">
        <f aca="false">IF(CSV貼付A!$N134="","",IF(COUNTIF($B$37:$B$48,CSV貼付A!$H134)&gt;0,"",IF(SUMPRODUCT((CSV貼付A!$N$5:$N134=CSV貼付A!$N134)*(COUNTIF($B$37:$B$48,CSV貼付A!$H$5:$H134)=0))&gt;1,"",MAX($M$4:M133)+1)))</f>
        <v/>
      </c>
      <c r="N134" s="0" t="str">
        <f aca="false">IFERROR(INDEX(CSV貼付A!$N$5:$N$1004,MATCH(ROW()-4,$M$5:$M$1004,0)),"")</f>
        <v/>
      </c>
      <c r="O134" s="0" t="str">
        <f aca="false">IF(CSV貼付B!$N134="","",IF(COUNTIF($B$37:$B$48,CSV貼付B!$H134)&gt;0,"",IF(SUMPRODUCT((CSV貼付B!$N$5:$N134=CSV貼付B!$N134)*(COUNTIF($B$37:$B$48,CSV貼付B!$H$5:$H134)=0))&gt;1,"",MAX($O$4:O133)+1)))</f>
        <v/>
      </c>
      <c r="P134" s="0" t="str">
        <f aca="false">IFERROR(INDEX(CSV貼付B!$N$5:$N$1004,MATCH(ROW()-4,$O$5:$O$1004,0)),"")</f>
        <v/>
      </c>
      <c r="Q134" s="0" t="str">
        <f aca="false">IF(ROW()-4&lt;=MAX($M$5:$M$1004),IFERROR(INDEX($N$5:$N$1004,ROW()-4),""),IFERROR(INDEX($P$5:$P$1004,ROW()-4-MAX($M$5:$M$1004)),""))</f>
        <v/>
      </c>
    </row>
    <row r="135" customFormat="false" ht="15" hidden="false" customHeight="false" outlineLevel="0" collapsed="false">
      <c r="M135" s="0" t="str">
        <f aca="false">IF(CSV貼付A!$N135="","",IF(COUNTIF($B$37:$B$48,CSV貼付A!$H135)&gt;0,"",IF(SUMPRODUCT((CSV貼付A!$N$5:$N135=CSV貼付A!$N135)*(COUNTIF($B$37:$B$48,CSV貼付A!$H$5:$H135)=0))&gt;1,"",MAX($M$4:M134)+1)))</f>
        <v/>
      </c>
      <c r="N135" s="0" t="str">
        <f aca="false">IFERROR(INDEX(CSV貼付A!$N$5:$N$1004,MATCH(ROW()-4,$M$5:$M$1004,0)),"")</f>
        <v/>
      </c>
      <c r="O135" s="0" t="str">
        <f aca="false">IF(CSV貼付B!$N135="","",IF(COUNTIF($B$37:$B$48,CSV貼付B!$H135)&gt;0,"",IF(SUMPRODUCT((CSV貼付B!$N$5:$N135=CSV貼付B!$N135)*(COUNTIF($B$37:$B$48,CSV貼付B!$H$5:$H135)=0))&gt;1,"",MAX($O$4:O134)+1)))</f>
        <v/>
      </c>
      <c r="P135" s="0" t="str">
        <f aca="false">IFERROR(INDEX(CSV貼付B!$N$5:$N$1004,MATCH(ROW()-4,$O$5:$O$1004,0)),"")</f>
        <v/>
      </c>
      <c r="Q135" s="0" t="str">
        <f aca="false">IF(ROW()-4&lt;=MAX($M$5:$M$1004),IFERROR(INDEX($N$5:$N$1004,ROW()-4),""),IFERROR(INDEX($P$5:$P$1004,ROW()-4-MAX($M$5:$M$1004)),""))</f>
        <v/>
      </c>
    </row>
    <row r="136" customFormat="false" ht="15" hidden="false" customHeight="false" outlineLevel="0" collapsed="false">
      <c r="M136" s="0" t="str">
        <f aca="false">IF(CSV貼付A!$N136="","",IF(COUNTIF($B$37:$B$48,CSV貼付A!$H136)&gt;0,"",IF(SUMPRODUCT((CSV貼付A!$N$5:$N136=CSV貼付A!$N136)*(COUNTIF($B$37:$B$48,CSV貼付A!$H$5:$H136)=0))&gt;1,"",MAX($M$4:M135)+1)))</f>
        <v/>
      </c>
      <c r="N136" s="0" t="str">
        <f aca="false">IFERROR(INDEX(CSV貼付A!$N$5:$N$1004,MATCH(ROW()-4,$M$5:$M$1004,0)),"")</f>
        <v/>
      </c>
      <c r="O136" s="0" t="str">
        <f aca="false">IF(CSV貼付B!$N136="","",IF(COUNTIF($B$37:$B$48,CSV貼付B!$H136)&gt;0,"",IF(SUMPRODUCT((CSV貼付B!$N$5:$N136=CSV貼付B!$N136)*(COUNTIF($B$37:$B$48,CSV貼付B!$H$5:$H136)=0))&gt;1,"",MAX($O$4:O135)+1)))</f>
        <v/>
      </c>
      <c r="P136" s="0" t="str">
        <f aca="false">IFERROR(INDEX(CSV貼付B!$N$5:$N$1004,MATCH(ROW()-4,$O$5:$O$1004,0)),"")</f>
        <v/>
      </c>
      <c r="Q136" s="0" t="str">
        <f aca="false">IF(ROW()-4&lt;=MAX($M$5:$M$1004),IFERROR(INDEX($N$5:$N$1004,ROW()-4),""),IFERROR(INDEX($P$5:$P$1004,ROW()-4-MAX($M$5:$M$1004)),""))</f>
        <v/>
      </c>
    </row>
    <row r="137" customFormat="false" ht="15" hidden="false" customHeight="false" outlineLevel="0" collapsed="false">
      <c r="M137" s="0" t="str">
        <f aca="false">IF(CSV貼付A!$N137="","",IF(COUNTIF($B$37:$B$48,CSV貼付A!$H137)&gt;0,"",IF(SUMPRODUCT((CSV貼付A!$N$5:$N137=CSV貼付A!$N137)*(COUNTIF($B$37:$B$48,CSV貼付A!$H$5:$H137)=0))&gt;1,"",MAX($M$4:M136)+1)))</f>
        <v/>
      </c>
      <c r="N137" s="0" t="str">
        <f aca="false">IFERROR(INDEX(CSV貼付A!$N$5:$N$1004,MATCH(ROW()-4,$M$5:$M$1004,0)),"")</f>
        <v/>
      </c>
      <c r="O137" s="0" t="str">
        <f aca="false">IF(CSV貼付B!$N137="","",IF(COUNTIF($B$37:$B$48,CSV貼付B!$H137)&gt;0,"",IF(SUMPRODUCT((CSV貼付B!$N$5:$N137=CSV貼付B!$N137)*(COUNTIF($B$37:$B$48,CSV貼付B!$H$5:$H137)=0))&gt;1,"",MAX($O$4:O136)+1)))</f>
        <v/>
      </c>
      <c r="P137" s="0" t="str">
        <f aca="false">IFERROR(INDEX(CSV貼付B!$N$5:$N$1004,MATCH(ROW()-4,$O$5:$O$1004,0)),"")</f>
        <v/>
      </c>
      <c r="Q137" s="0" t="str">
        <f aca="false">IF(ROW()-4&lt;=MAX($M$5:$M$1004),IFERROR(INDEX($N$5:$N$1004,ROW()-4),""),IFERROR(INDEX($P$5:$P$1004,ROW()-4-MAX($M$5:$M$1004)),""))</f>
        <v/>
      </c>
    </row>
    <row r="138" customFormat="false" ht="15" hidden="false" customHeight="false" outlineLevel="0" collapsed="false">
      <c r="M138" s="0" t="str">
        <f aca="false">IF(CSV貼付A!$N138="","",IF(COUNTIF($B$37:$B$48,CSV貼付A!$H138)&gt;0,"",IF(SUMPRODUCT((CSV貼付A!$N$5:$N138=CSV貼付A!$N138)*(COUNTIF($B$37:$B$48,CSV貼付A!$H$5:$H138)=0))&gt;1,"",MAX($M$4:M137)+1)))</f>
        <v/>
      </c>
      <c r="N138" s="0" t="str">
        <f aca="false">IFERROR(INDEX(CSV貼付A!$N$5:$N$1004,MATCH(ROW()-4,$M$5:$M$1004,0)),"")</f>
        <v/>
      </c>
      <c r="O138" s="0" t="str">
        <f aca="false">IF(CSV貼付B!$N138="","",IF(COUNTIF($B$37:$B$48,CSV貼付B!$H138)&gt;0,"",IF(SUMPRODUCT((CSV貼付B!$N$5:$N138=CSV貼付B!$N138)*(COUNTIF($B$37:$B$48,CSV貼付B!$H$5:$H138)=0))&gt;1,"",MAX($O$4:O137)+1)))</f>
        <v/>
      </c>
      <c r="P138" s="0" t="str">
        <f aca="false">IFERROR(INDEX(CSV貼付B!$N$5:$N$1004,MATCH(ROW()-4,$O$5:$O$1004,0)),"")</f>
        <v/>
      </c>
      <c r="Q138" s="0" t="str">
        <f aca="false">IF(ROW()-4&lt;=MAX($M$5:$M$1004),IFERROR(INDEX($N$5:$N$1004,ROW()-4),""),IFERROR(INDEX($P$5:$P$1004,ROW()-4-MAX($M$5:$M$1004)),""))</f>
        <v/>
      </c>
    </row>
    <row r="139" customFormat="false" ht="15" hidden="false" customHeight="false" outlineLevel="0" collapsed="false">
      <c r="M139" s="0" t="str">
        <f aca="false">IF(CSV貼付A!$N139="","",IF(COUNTIF($B$37:$B$48,CSV貼付A!$H139)&gt;0,"",IF(SUMPRODUCT((CSV貼付A!$N$5:$N139=CSV貼付A!$N139)*(COUNTIF($B$37:$B$48,CSV貼付A!$H$5:$H139)=0))&gt;1,"",MAX($M$4:M138)+1)))</f>
        <v/>
      </c>
      <c r="N139" s="0" t="str">
        <f aca="false">IFERROR(INDEX(CSV貼付A!$N$5:$N$1004,MATCH(ROW()-4,$M$5:$M$1004,0)),"")</f>
        <v/>
      </c>
      <c r="O139" s="0" t="str">
        <f aca="false">IF(CSV貼付B!$N139="","",IF(COUNTIF($B$37:$B$48,CSV貼付B!$H139)&gt;0,"",IF(SUMPRODUCT((CSV貼付B!$N$5:$N139=CSV貼付B!$N139)*(COUNTIF($B$37:$B$48,CSV貼付B!$H$5:$H139)=0))&gt;1,"",MAX($O$4:O138)+1)))</f>
        <v/>
      </c>
      <c r="P139" s="0" t="str">
        <f aca="false">IFERROR(INDEX(CSV貼付B!$N$5:$N$1004,MATCH(ROW()-4,$O$5:$O$1004,0)),"")</f>
        <v/>
      </c>
      <c r="Q139" s="0" t="str">
        <f aca="false">IF(ROW()-4&lt;=MAX($M$5:$M$1004),IFERROR(INDEX($N$5:$N$1004,ROW()-4),""),IFERROR(INDEX($P$5:$P$1004,ROW()-4-MAX($M$5:$M$1004)),""))</f>
        <v/>
      </c>
    </row>
    <row r="140" customFormat="false" ht="15" hidden="false" customHeight="false" outlineLevel="0" collapsed="false">
      <c r="M140" s="0" t="str">
        <f aca="false">IF(CSV貼付A!$N140="","",IF(COUNTIF($B$37:$B$48,CSV貼付A!$H140)&gt;0,"",IF(SUMPRODUCT((CSV貼付A!$N$5:$N140=CSV貼付A!$N140)*(COUNTIF($B$37:$B$48,CSV貼付A!$H$5:$H140)=0))&gt;1,"",MAX($M$4:M139)+1)))</f>
        <v/>
      </c>
      <c r="N140" s="0" t="str">
        <f aca="false">IFERROR(INDEX(CSV貼付A!$N$5:$N$1004,MATCH(ROW()-4,$M$5:$M$1004,0)),"")</f>
        <v/>
      </c>
      <c r="O140" s="0" t="str">
        <f aca="false">IF(CSV貼付B!$N140="","",IF(COUNTIF($B$37:$B$48,CSV貼付B!$H140)&gt;0,"",IF(SUMPRODUCT((CSV貼付B!$N$5:$N140=CSV貼付B!$N140)*(COUNTIF($B$37:$B$48,CSV貼付B!$H$5:$H140)=0))&gt;1,"",MAX($O$4:O139)+1)))</f>
        <v/>
      </c>
      <c r="P140" s="0" t="str">
        <f aca="false">IFERROR(INDEX(CSV貼付B!$N$5:$N$1004,MATCH(ROW()-4,$O$5:$O$1004,0)),"")</f>
        <v/>
      </c>
      <c r="Q140" s="0" t="str">
        <f aca="false">IF(ROW()-4&lt;=MAX($M$5:$M$1004),IFERROR(INDEX($N$5:$N$1004,ROW()-4),""),IFERROR(INDEX($P$5:$P$1004,ROW()-4-MAX($M$5:$M$1004)),""))</f>
        <v/>
      </c>
    </row>
    <row r="141" customFormat="false" ht="15" hidden="false" customHeight="false" outlineLevel="0" collapsed="false">
      <c r="M141" s="0" t="str">
        <f aca="false">IF(CSV貼付A!$N141="","",IF(COUNTIF($B$37:$B$48,CSV貼付A!$H141)&gt;0,"",IF(SUMPRODUCT((CSV貼付A!$N$5:$N141=CSV貼付A!$N141)*(COUNTIF($B$37:$B$48,CSV貼付A!$H$5:$H141)=0))&gt;1,"",MAX($M$4:M140)+1)))</f>
        <v/>
      </c>
      <c r="N141" s="0" t="str">
        <f aca="false">IFERROR(INDEX(CSV貼付A!$N$5:$N$1004,MATCH(ROW()-4,$M$5:$M$1004,0)),"")</f>
        <v/>
      </c>
      <c r="O141" s="0" t="str">
        <f aca="false">IF(CSV貼付B!$N141="","",IF(COUNTIF($B$37:$B$48,CSV貼付B!$H141)&gt;0,"",IF(SUMPRODUCT((CSV貼付B!$N$5:$N141=CSV貼付B!$N141)*(COUNTIF($B$37:$B$48,CSV貼付B!$H$5:$H141)=0))&gt;1,"",MAX($O$4:O140)+1)))</f>
        <v/>
      </c>
      <c r="P141" s="0" t="str">
        <f aca="false">IFERROR(INDEX(CSV貼付B!$N$5:$N$1004,MATCH(ROW()-4,$O$5:$O$1004,0)),"")</f>
        <v/>
      </c>
      <c r="Q141" s="0" t="str">
        <f aca="false">IF(ROW()-4&lt;=MAX($M$5:$M$1004),IFERROR(INDEX($N$5:$N$1004,ROW()-4),""),IFERROR(INDEX($P$5:$P$1004,ROW()-4-MAX($M$5:$M$1004)),""))</f>
        <v/>
      </c>
    </row>
    <row r="142" customFormat="false" ht="15" hidden="false" customHeight="false" outlineLevel="0" collapsed="false">
      <c r="M142" s="0" t="str">
        <f aca="false">IF(CSV貼付A!$N142="","",IF(COUNTIF($B$37:$B$48,CSV貼付A!$H142)&gt;0,"",IF(SUMPRODUCT((CSV貼付A!$N$5:$N142=CSV貼付A!$N142)*(COUNTIF($B$37:$B$48,CSV貼付A!$H$5:$H142)=0))&gt;1,"",MAX($M$4:M141)+1)))</f>
        <v/>
      </c>
      <c r="N142" s="0" t="str">
        <f aca="false">IFERROR(INDEX(CSV貼付A!$N$5:$N$1004,MATCH(ROW()-4,$M$5:$M$1004,0)),"")</f>
        <v/>
      </c>
      <c r="O142" s="0" t="str">
        <f aca="false">IF(CSV貼付B!$N142="","",IF(COUNTIF($B$37:$B$48,CSV貼付B!$H142)&gt;0,"",IF(SUMPRODUCT((CSV貼付B!$N$5:$N142=CSV貼付B!$N142)*(COUNTIF($B$37:$B$48,CSV貼付B!$H$5:$H142)=0))&gt;1,"",MAX($O$4:O141)+1)))</f>
        <v/>
      </c>
      <c r="P142" s="0" t="str">
        <f aca="false">IFERROR(INDEX(CSV貼付B!$N$5:$N$1004,MATCH(ROW()-4,$O$5:$O$1004,0)),"")</f>
        <v/>
      </c>
      <c r="Q142" s="0" t="str">
        <f aca="false">IF(ROW()-4&lt;=MAX($M$5:$M$1004),IFERROR(INDEX($N$5:$N$1004,ROW()-4),""),IFERROR(INDEX($P$5:$P$1004,ROW()-4-MAX($M$5:$M$1004)),""))</f>
        <v/>
      </c>
    </row>
    <row r="143" customFormat="false" ht="15" hidden="false" customHeight="false" outlineLevel="0" collapsed="false">
      <c r="M143" s="0" t="str">
        <f aca="false">IF(CSV貼付A!$N143="","",IF(COUNTIF($B$37:$B$48,CSV貼付A!$H143)&gt;0,"",IF(SUMPRODUCT((CSV貼付A!$N$5:$N143=CSV貼付A!$N143)*(COUNTIF($B$37:$B$48,CSV貼付A!$H$5:$H143)=0))&gt;1,"",MAX($M$4:M142)+1)))</f>
        <v/>
      </c>
      <c r="N143" s="0" t="str">
        <f aca="false">IFERROR(INDEX(CSV貼付A!$N$5:$N$1004,MATCH(ROW()-4,$M$5:$M$1004,0)),"")</f>
        <v/>
      </c>
      <c r="O143" s="0" t="str">
        <f aca="false">IF(CSV貼付B!$N143="","",IF(COUNTIF($B$37:$B$48,CSV貼付B!$H143)&gt;0,"",IF(SUMPRODUCT((CSV貼付B!$N$5:$N143=CSV貼付B!$N143)*(COUNTIF($B$37:$B$48,CSV貼付B!$H$5:$H143)=0))&gt;1,"",MAX($O$4:O142)+1)))</f>
        <v/>
      </c>
      <c r="P143" s="0" t="str">
        <f aca="false">IFERROR(INDEX(CSV貼付B!$N$5:$N$1004,MATCH(ROW()-4,$O$5:$O$1004,0)),"")</f>
        <v/>
      </c>
      <c r="Q143" s="0" t="str">
        <f aca="false">IF(ROW()-4&lt;=MAX($M$5:$M$1004),IFERROR(INDEX($N$5:$N$1004,ROW()-4),""),IFERROR(INDEX($P$5:$P$1004,ROW()-4-MAX($M$5:$M$1004)),""))</f>
        <v/>
      </c>
    </row>
    <row r="144" customFormat="false" ht="15" hidden="false" customHeight="false" outlineLevel="0" collapsed="false">
      <c r="M144" s="0" t="str">
        <f aca="false">IF(CSV貼付A!$N144="","",IF(COUNTIF($B$37:$B$48,CSV貼付A!$H144)&gt;0,"",IF(SUMPRODUCT((CSV貼付A!$N$5:$N144=CSV貼付A!$N144)*(COUNTIF($B$37:$B$48,CSV貼付A!$H$5:$H144)=0))&gt;1,"",MAX($M$4:M143)+1)))</f>
        <v/>
      </c>
      <c r="N144" s="0" t="str">
        <f aca="false">IFERROR(INDEX(CSV貼付A!$N$5:$N$1004,MATCH(ROW()-4,$M$5:$M$1004,0)),"")</f>
        <v/>
      </c>
      <c r="O144" s="0" t="str">
        <f aca="false">IF(CSV貼付B!$N144="","",IF(COUNTIF($B$37:$B$48,CSV貼付B!$H144)&gt;0,"",IF(SUMPRODUCT((CSV貼付B!$N$5:$N144=CSV貼付B!$N144)*(COUNTIF($B$37:$B$48,CSV貼付B!$H$5:$H144)=0))&gt;1,"",MAX($O$4:O143)+1)))</f>
        <v/>
      </c>
      <c r="P144" s="0" t="str">
        <f aca="false">IFERROR(INDEX(CSV貼付B!$N$5:$N$1004,MATCH(ROW()-4,$O$5:$O$1004,0)),"")</f>
        <v/>
      </c>
      <c r="Q144" s="0" t="str">
        <f aca="false">IF(ROW()-4&lt;=MAX($M$5:$M$1004),IFERROR(INDEX($N$5:$N$1004,ROW()-4),""),IFERROR(INDEX($P$5:$P$1004,ROW()-4-MAX($M$5:$M$1004)),""))</f>
        <v/>
      </c>
    </row>
    <row r="145" customFormat="false" ht="15" hidden="false" customHeight="false" outlineLevel="0" collapsed="false">
      <c r="M145" s="0" t="str">
        <f aca="false">IF(CSV貼付A!$N145="","",IF(COUNTIF($B$37:$B$48,CSV貼付A!$H145)&gt;0,"",IF(SUMPRODUCT((CSV貼付A!$N$5:$N145=CSV貼付A!$N145)*(COUNTIF($B$37:$B$48,CSV貼付A!$H$5:$H145)=0))&gt;1,"",MAX($M$4:M144)+1)))</f>
        <v/>
      </c>
      <c r="N145" s="0" t="str">
        <f aca="false">IFERROR(INDEX(CSV貼付A!$N$5:$N$1004,MATCH(ROW()-4,$M$5:$M$1004,0)),"")</f>
        <v/>
      </c>
      <c r="O145" s="0" t="str">
        <f aca="false">IF(CSV貼付B!$N145="","",IF(COUNTIF($B$37:$B$48,CSV貼付B!$H145)&gt;0,"",IF(SUMPRODUCT((CSV貼付B!$N$5:$N145=CSV貼付B!$N145)*(COUNTIF($B$37:$B$48,CSV貼付B!$H$5:$H145)=0))&gt;1,"",MAX($O$4:O144)+1)))</f>
        <v/>
      </c>
      <c r="P145" s="0" t="str">
        <f aca="false">IFERROR(INDEX(CSV貼付B!$N$5:$N$1004,MATCH(ROW()-4,$O$5:$O$1004,0)),"")</f>
        <v/>
      </c>
      <c r="Q145" s="0" t="str">
        <f aca="false">IF(ROW()-4&lt;=MAX($M$5:$M$1004),IFERROR(INDEX($N$5:$N$1004,ROW()-4),""),IFERROR(INDEX($P$5:$P$1004,ROW()-4-MAX($M$5:$M$1004)),""))</f>
        <v/>
      </c>
    </row>
    <row r="146" customFormat="false" ht="15" hidden="false" customHeight="false" outlineLevel="0" collapsed="false">
      <c r="M146" s="0" t="str">
        <f aca="false">IF(CSV貼付A!$N146="","",IF(COUNTIF($B$37:$B$48,CSV貼付A!$H146)&gt;0,"",IF(SUMPRODUCT((CSV貼付A!$N$5:$N146=CSV貼付A!$N146)*(COUNTIF($B$37:$B$48,CSV貼付A!$H$5:$H146)=0))&gt;1,"",MAX($M$4:M145)+1)))</f>
        <v/>
      </c>
      <c r="N146" s="0" t="str">
        <f aca="false">IFERROR(INDEX(CSV貼付A!$N$5:$N$1004,MATCH(ROW()-4,$M$5:$M$1004,0)),"")</f>
        <v/>
      </c>
      <c r="O146" s="0" t="str">
        <f aca="false">IF(CSV貼付B!$N146="","",IF(COUNTIF($B$37:$B$48,CSV貼付B!$H146)&gt;0,"",IF(SUMPRODUCT((CSV貼付B!$N$5:$N146=CSV貼付B!$N146)*(COUNTIF($B$37:$B$48,CSV貼付B!$H$5:$H146)=0))&gt;1,"",MAX($O$4:O145)+1)))</f>
        <v/>
      </c>
      <c r="P146" s="0" t="str">
        <f aca="false">IFERROR(INDEX(CSV貼付B!$N$5:$N$1004,MATCH(ROW()-4,$O$5:$O$1004,0)),"")</f>
        <v/>
      </c>
      <c r="Q146" s="0" t="str">
        <f aca="false">IF(ROW()-4&lt;=MAX($M$5:$M$1004),IFERROR(INDEX($N$5:$N$1004,ROW()-4),""),IFERROR(INDEX($P$5:$P$1004,ROW()-4-MAX($M$5:$M$1004)),""))</f>
        <v/>
      </c>
    </row>
    <row r="147" customFormat="false" ht="15" hidden="false" customHeight="false" outlineLevel="0" collapsed="false">
      <c r="M147" s="0" t="str">
        <f aca="false">IF(CSV貼付A!$N147="","",IF(COUNTIF($B$37:$B$48,CSV貼付A!$H147)&gt;0,"",IF(SUMPRODUCT((CSV貼付A!$N$5:$N147=CSV貼付A!$N147)*(COUNTIF($B$37:$B$48,CSV貼付A!$H$5:$H147)=0))&gt;1,"",MAX($M$4:M146)+1)))</f>
        <v/>
      </c>
      <c r="N147" s="0" t="str">
        <f aca="false">IFERROR(INDEX(CSV貼付A!$N$5:$N$1004,MATCH(ROW()-4,$M$5:$M$1004,0)),"")</f>
        <v/>
      </c>
      <c r="O147" s="0" t="str">
        <f aca="false">IF(CSV貼付B!$N147="","",IF(COUNTIF($B$37:$B$48,CSV貼付B!$H147)&gt;0,"",IF(SUMPRODUCT((CSV貼付B!$N$5:$N147=CSV貼付B!$N147)*(COUNTIF($B$37:$B$48,CSV貼付B!$H$5:$H147)=0))&gt;1,"",MAX($O$4:O146)+1)))</f>
        <v/>
      </c>
      <c r="P147" s="0" t="str">
        <f aca="false">IFERROR(INDEX(CSV貼付B!$N$5:$N$1004,MATCH(ROW()-4,$O$5:$O$1004,0)),"")</f>
        <v/>
      </c>
      <c r="Q147" s="0" t="str">
        <f aca="false">IF(ROW()-4&lt;=MAX($M$5:$M$1004),IFERROR(INDEX($N$5:$N$1004,ROW()-4),""),IFERROR(INDEX($P$5:$P$1004,ROW()-4-MAX($M$5:$M$1004)),""))</f>
        <v/>
      </c>
    </row>
    <row r="148" customFormat="false" ht="15" hidden="false" customHeight="false" outlineLevel="0" collapsed="false">
      <c r="M148" s="0" t="str">
        <f aca="false">IF(CSV貼付A!$N148="","",IF(COUNTIF($B$37:$B$48,CSV貼付A!$H148)&gt;0,"",IF(SUMPRODUCT((CSV貼付A!$N$5:$N148=CSV貼付A!$N148)*(COUNTIF($B$37:$B$48,CSV貼付A!$H$5:$H148)=0))&gt;1,"",MAX($M$4:M147)+1)))</f>
        <v/>
      </c>
      <c r="N148" s="0" t="str">
        <f aca="false">IFERROR(INDEX(CSV貼付A!$N$5:$N$1004,MATCH(ROW()-4,$M$5:$M$1004,0)),"")</f>
        <v/>
      </c>
      <c r="O148" s="0" t="str">
        <f aca="false">IF(CSV貼付B!$N148="","",IF(COUNTIF($B$37:$B$48,CSV貼付B!$H148)&gt;0,"",IF(SUMPRODUCT((CSV貼付B!$N$5:$N148=CSV貼付B!$N148)*(COUNTIF($B$37:$B$48,CSV貼付B!$H$5:$H148)=0))&gt;1,"",MAX($O$4:O147)+1)))</f>
        <v/>
      </c>
      <c r="P148" s="0" t="str">
        <f aca="false">IFERROR(INDEX(CSV貼付B!$N$5:$N$1004,MATCH(ROW()-4,$O$5:$O$1004,0)),"")</f>
        <v/>
      </c>
      <c r="Q148" s="0" t="str">
        <f aca="false">IF(ROW()-4&lt;=MAX($M$5:$M$1004),IFERROR(INDEX($N$5:$N$1004,ROW()-4),""),IFERROR(INDEX($P$5:$P$1004,ROW()-4-MAX($M$5:$M$1004)),""))</f>
        <v/>
      </c>
    </row>
    <row r="149" customFormat="false" ht="15" hidden="false" customHeight="false" outlineLevel="0" collapsed="false">
      <c r="M149" s="0" t="str">
        <f aca="false">IF(CSV貼付A!$N149="","",IF(COUNTIF($B$37:$B$48,CSV貼付A!$H149)&gt;0,"",IF(SUMPRODUCT((CSV貼付A!$N$5:$N149=CSV貼付A!$N149)*(COUNTIF($B$37:$B$48,CSV貼付A!$H$5:$H149)=0))&gt;1,"",MAX($M$4:M148)+1)))</f>
        <v/>
      </c>
      <c r="N149" s="0" t="str">
        <f aca="false">IFERROR(INDEX(CSV貼付A!$N$5:$N$1004,MATCH(ROW()-4,$M$5:$M$1004,0)),"")</f>
        <v/>
      </c>
      <c r="O149" s="0" t="str">
        <f aca="false">IF(CSV貼付B!$N149="","",IF(COUNTIF($B$37:$B$48,CSV貼付B!$H149)&gt;0,"",IF(SUMPRODUCT((CSV貼付B!$N$5:$N149=CSV貼付B!$N149)*(COUNTIF($B$37:$B$48,CSV貼付B!$H$5:$H149)=0))&gt;1,"",MAX($O$4:O148)+1)))</f>
        <v/>
      </c>
      <c r="P149" s="0" t="str">
        <f aca="false">IFERROR(INDEX(CSV貼付B!$N$5:$N$1004,MATCH(ROW()-4,$O$5:$O$1004,0)),"")</f>
        <v/>
      </c>
      <c r="Q149" s="0" t="str">
        <f aca="false">IF(ROW()-4&lt;=MAX($M$5:$M$1004),IFERROR(INDEX($N$5:$N$1004,ROW()-4),""),IFERROR(INDEX($P$5:$P$1004,ROW()-4-MAX($M$5:$M$1004)),""))</f>
        <v/>
      </c>
    </row>
    <row r="150" customFormat="false" ht="15" hidden="false" customHeight="false" outlineLevel="0" collapsed="false">
      <c r="M150" s="0" t="str">
        <f aca="false">IF(CSV貼付A!$N150="","",IF(COUNTIF($B$37:$B$48,CSV貼付A!$H150)&gt;0,"",IF(SUMPRODUCT((CSV貼付A!$N$5:$N150=CSV貼付A!$N150)*(COUNTIF($B$37:$B$48,CSV貼付A!$H$5:$H150)=0))&gt;1,"",MAX($M$4:M149)+1)))</f>
        <v/>
      </c>
      <c r="N150" s="0" t="str">
        <f aca="false">IFERROR(INDEX(CSV貼付A!$N$5:$N$1004,MATCH(ROW()-4,$M$5:$M$1004,0)),"")</f>
        <v/>
      </c>
      <c r="O150" s="0" t="str">
        <f aca="false">IF(CSV貼付B!$N150="","",IF(COUNTIF($B$37:$B$48,CSV貼付B!$H150)&gt;0,"",IF(SUMPRODUCT((CSV貼付B!$N$5:$N150=CSV貼付B!$N150)*(COUNTIF($B$37:$B$48,CSV貼付B!$H$5:$H150)=0))&gt;1,"",MAX($O$4:O149)+1)))</f>
        <v/>
      </c>
      <c r="P150" s="0" t="str">
        <f aca="false">IFERROR(INDEX(CSV貼付B!$N$5:$N$1004,MATCH(ROW()-4,$O$5:$O$1004,0)),"")</f>
        <v/>
      </c>
      <c r="Q150" s="0" t="str">
        <f aca="false">IF(ROW()-4&lt;=MAX($M$5:$M$1004),IFERROR(INDEX($N$5:$N$1004,ROW()-4),""),IFERROR(INDEX($P$5:$P$1004,ROW()-4-MAX($M$5:$M$1004)),""))</f>
        <v/>
      </c>
    </row>
    <row r="151" customFormat="false" ht="15" hidden="false" customHeight="false" outlineLevel="0" collapsed="false">
      <c r="M151" s="0" t="str">
        <f aca="false">IF(CSV貼付A!$N151="","",IF(COUNTIF($B$37:$B$48,CSV貼付A!$H151)&gt;0,"",IF(SUMPRODUCT((CSV貼付A!$N$5:$N151=CSV貼付A!$N151)*(COUNTIF($B$37:$B$48,CSV貼付A!$H$5:$H151)=0))&gt;1,"",MAX($M$4:M150)+1)))</f>
        <v/>
      </c>
      <c r="N151" s="0" t="str">
        <f aca="false">IFERROR(INDEX(CSV貼付A!$N$5:$N$1004,MATCH(ROW()-4,$M$5:$M$1004,0)),"")</f>
        <v/>
      </c>
      <c r="O151" s="0" t="str">
        <f aca="false">IF(CSV貼付B!$N151="","",IF(COUNTIF($B$37:$B$48,CSV貼付B!$H151)&gt;0,"",IF(SUMPRODUCT((CSV貼付B!$N$5:$N151=CSV貼付B!$N151)*(COUNTIF($B$37:$B$48,CSV貼付B!$H$5:$H151)=0))&gt;1,"",MAX($O$4:O150)+1)))</f>
        <v/>
      </c>
      <c r="P151" s="0" t="str">
        <f aca="false">IFERROR(INDEX(CSV貼付B!$N$5:$N$1004,MATCH(ROW()-4,$O$5:$O$1004,0)),"")</f>
        <v/>
      </c>
      <c r="Q151" s="0" t="str">
        <f aca="false">IF(ROW()-4&lt;=MAX($M$5:$M$1004),IFERROR(INDEX($N$5:$N$1004,ROW()-4),""),IFERROR(INDEX($P$5:$P$1004,ROW()-4-MAX($M$5:$M$1004)),""))</f>
        <v/>
      </c>
    </row>
    <row r="152" customFormat="false" ht="15" hidden="false" customHeight="false" outlineLevel="0" collapsed="false">
      <c r="M152" s="0" t="str">
        <f aca="false">IF(CSV貼付A!$N152="","",IF(COUNTIF($B$37:$B$48,CSV貼付A!$H152)&gt;0,"",IF(SUMPRODUCT((CSV貼付A!$N$5:$N152=CSV貼付A!$N152)*(COUNTIF($B$37:$B$48,CSV貼付A!$H$5:$H152)=0))&gt;1,"",MAX($M$4:M151)+1)))</f>
        <v/>
      </c>
      <c r="N152" s="0" t="str">
        <f aca="false">IFERROR(INDEX(CSV貼付A!$N$5:$N$1004,MATCH(ROW()-4,$M$5:$M$1004,0)),"")</f>
        <v/>
      </c>
      <c r="O152" s="0" t="str">
        <f aca="false">IF(CSV貼付B!$N152="","",IF(COUNTIF($B$37:$B$48,CSV貼付B!$H152)&gt;0,"",IF(SUMPRODUCT((CSV貼付B!$N$5:$N152=CSV貼付B!$N152)*(COUNTIF($B$37:$B$48,CSV貼付B!$H$5:$H152)=0))&gt;1,"",MAX($O$4:O151)+1)))</f>
        <v/>
      </c>
      <c r="P152" s="0" t="str">
        <f aca="false">IFERROR(INDEX(CSV貼付B!$N$5:$N$1004,MATCH(ROW()-4,$O$5:$O$1004,0)),"")</f>
        <v/>
      </c>
      <c r="Q152" s="0" t="str">
        <f aca="false">IF(ROW()-4&lt;=MAX($M$5:$M$1004),IFERROR(INDEX($N$5:$N$1004,ROW()-4),""),IFERROR(INDEX($P$5:$P$1004,ROW()-4-MAX($M$5:$M$1004)),""))</f>
        <v/>
      </c>
    </row>
    <row r="153" customFormat="false" ht="15" hidden="false" customHeight="false" outlineLevel="0" collapsed="false">
      <c r="M153" s="0" t="str">
        <f aca="false">IF(CSV貼付A!$N153="","",IF(COUNTIF($B$37:$B$48,CSV貼付A!$H153)&gt;0,"",IF(SUMPRODUCT((CSV貼付A!$N$5:$N153=CSV貼付A!$N153)*(COUNTIF($B$37:$B$48,CSV貼付A!$H$5:$H153)=0))&gt;1,"",MAX($M$4:M152)+1)))</f>
        <v/>
      </c>
      <c r="N153" s="0" t="str">
        <f aca="false">IFERROR(INDEX(CSV貼付A!$N$5:$N$1004,MATCH(ROW()-4,$M$5:$M$1004,0)),"")</f>
        <v/>
      </c>
      <c r="O153" s="0" t="str">
        <f aca="false">IF(CSV貼付B!$N153="","",IF(COUNTIF($B$37:$B$48,CSV貼付B!$H153)&gt;0,"",IF(SUMPRODUCT((CSV貼付B!$N$5:$N153=CSV貼付B!$N153)*(COUNTIF($B$37:$B$48,CSV貼付B!$H$5:$H153)=0))&gt;1,"",MAX($O$4:O152)+1)))</f>
        <v/>
      </c>
      <c r="P153" s="0" t="str">
        <f aca="false">IFERROR(INDEX(CSV貼付B!$N$5:$N$1004,MATCH(ROW()-4,$O$5:$O$1004,0)),"")</f>
        <v/>
      </c>
      <c r="Q153" s="0" t="str">
        <f aca="false">IF(ROW()-4&lt;=MAX($M$5:$M$1004),IFERROR(INDEX($N$5:$N$1004,ROW()-4),""),IFERROR(INDEX($P$5:$P$1004,ROW()-4-MAX($M$5:$M$1004)),""))</f>
        <v/>
      </c>
    </row>
    <row r="154" customFormat="false" ht="15" hidden="false" customHeight="false" outlineLevel="0" collapsed="false">
      <c r="M154" s="0" t="str">
        <f aca="false">IF(CSV貼付A!$N154="","",IF(COUNTIF($B$37:$B$48,CSV貼付A!$H154)&gt;0,"",IF(SUMPRODUCT((CSV貼付A!$N$5:$N154=CSV貼付A!$N154)*(COUNTIF($B$37:$B$48,CSV貼付A!$H$5:$H154)=0))&gt;1,"",MAX($M$4:M153)+1)))</f>
        <v/>
      </c>
      <c r="N154" s="0" t="str">
        <f aca="false">IFERROR(INDEX(CSV貼付A!$N$5:$N$1004,MATCH(ROW()-4,$M$5:$M$1004,0)),"")</f>
        <v/>
      </c>
      <c r="O154" s="0" t="str">
        <f aca="false">IF(CSV貼付B!$N154="","",IF(COUNTIF($B$37:$B$48,CSV貼付B!$H154)&gt;0,"",IF(SUMPRODUCT((CSV貼付B!$N$5:$N154=CSV貼付B!$N154)*(COUNTIF($B$37:$B$48,CSV貼付B!$H$5:$H154)=0))&gt;1,"",MAX($O$4:O153)+1)))</f>
        <v/>
      </c>
      <c r="P154" s="0" t="str">
        <f aca="false">IFERROR(INDEX(CSV貼付B!$N$5:$N$1004,MATCH(ROW()-4,$O$5:$O$1004,0)),"")</f>
        <v/>
      </c>
      <c r="Q154" s="0" t="str">
        <f aca="false">IF(ROW()-4&lt;=MAX($M$5:$M$1004),IFERROR(INDEX($N$5:$N$1004,ROW()-4),""),IFERROR(INDEX($P$5:$P$1004,ROW()-4-MAX($M$5:$M$1004)),""))</f>
        <v/>
      </c>
    </row>
    <row r="155" customFormat="false" ht="15" hidden="false" customHeight="false" outlineLevel="0" collapsed="false">
      <c r="M155" s="0" t="str">
        <f aca="false">IF(CSV貼付A!$N155="","",IF(COUNTIF($B$37:$B$48,CSV貼付A!$H155)&gt;0,"",IF(SUMPRODUCT((CSV貼付A!$N$5:$N155=CSV貼付A!$N155)*(COUNTIF($B$37:$B$48,CSV貼付A!$H$5:$H155)=0))&gt;1,"",MAX($M$4:M154)+1)))</f>
        <v/>
      </c>
      <c r="N155" s="0" t="str">
        <f aca="false">IFERROR(INDEX(CSV貼付A!$N$5:$N$1004,MATCH(ROW()-4,$M$5:$M$1004,0)),"")</f>
        <v/>
      </c>
      <c r="O155" s="0" t="str">
        <f aca="false">IF(CSV貼付B!$N155="","",IF(COUNTIF($B$37:$B$48,CSV貼付B!$H155)&gt;0,"",IF(SUMPRODUCT((CSV貼付B!$N$5:$N155=CSV貼付B!$N155)*(COUNTIF($B$37:$B$48,CSV貼付B!$H$5:$H155)=0))&gt;1,"",MAX($O$4:O154)+1)))</f>
        <v/>
      </c>
      <c r="P155" s="0" t="str">
        <f aca="false">IFERROR(INDEX(CSV貼付B!$N$5:$N$1004,MATCH(ROW()-4,$O$5:$O$1004,0)),"")</f>
        <v/>
      </c>
      <c r="Q155" s="0" t="str">
        <f aca="false">IF(ROW()-4&lt;=MAX($M$5:$M$1004),IFERROR(INDEX($N$5:$N$1004,ROW()-4),""),IFERROR(INDEX($P$5:$P$1004,ROW()-4-MAX($M$5:$M$1004)),""))</f>
        <v/>
      </c>
    </row>
    <row r="156" customFormat="false" ht="15" hidden="false" customHeight="false" outlineLevel="0" collapsed="false">
      <c r="M156" s="0" t="str">
        <f aca="false">IF(CSV貼付A!$N156="","",IF(COUNTIF($B$37:$B$48,CSV貼付A!$H156)&gt;0,"",IF(SUMPRODUCT((CSV貼付A!$N$5:$N156=CSV貼付A!$N156)*(COUNTIF($B$37:$B$48,CSV貼付A!$H$5:$H156)=0))&gt;1,"",MAX($M$4:M155)+1)))</f>
        <v/>
      </c>
      <c r="N156" s="0" t="str">
        <f aca="false">IFERROR(INDEX(CSV貼付A!$N$5:$N$1004,MATCH(ROW()-4,$M$5:$M$1004,0)),"")</f>
        <v/>
      </c>
      <c r="O156" s="0" t="str">
        <f aca="false">IF(CSV貼付B!$N156="","",IF(COUNTIF($B$37:$B$48,CSV貼付B!$H156)&gt;0,"",IF(SUMPRODUCT((CSV貼付B!$N$5:$N156=CSV貼付B!$N156)*(COUNTIF($B$37:$B$48,CSV貼付B!$H$5:$H156)=0))&gt;1,"",MAX($O$4:O155)+1)))</f>
        <v/>
      </c>
      <c r="P156" s="0" t="str">
        <f aca="false">IFERROR(INDEX(CSV貼付B!$N$5:$N$1004,MATCH(ROW()-4,$O$5:$O$1004,0)),"")</f>
        <v/>
      </c>
      <c r="Q156" s="0" t="str">
        <f aca="false">IF(ROW()-4&lt;=MAX($M$5:$M$1004),IFERROR(INDEX($N$5:$N$1004,ROW()-4),""),IFERROR(INDEX($P$5:$P$1004,ROW()-4-MAX($M$5:$M$1004)),""))</f>
        <v/>
      </c>
    </row>
    <row r="157" customFormat="false" ht="15" hidden="false" customHeight="false" outlineLevel="0" collapsed="false">
      <c r="M157" s="0" t="str">
        <f aca="false">IF(CSV貼付A!$N157="","",IF(COUNTIF($B$37:$B$48,CSV貼付A!$H157)&gt;0,"",IF(SUMPRODUCT((CSV貼付A!$N$5:$N157=CSV貼付A!$N157)*(COUNTIF($B$37:$B$48,CSV貼付A!$H$5:$H157)=0))&gt;1,"",MAX($M$4:M156)+1)))</f>
        <v/>
      </c>
      <c r="N157" s="0" t="str">
        <f aca="false">IFERROR(INDEX(CSV貼付A!$N$5:$N$1004,MATCH(ROW()-4,$M$5:$M$1004,0)),"")</f>
        <v/>
      </c>
      <c r="O157" s="0" t="str">
        <f aca="false">IF(CSV貼付B!$N157="","",IF(COUNTIF($B$37:$B$48,CSV貼付B!$H157)&gt;0,"",IF(SUMPRODUCT((CSV貼付B!$N$5:$N157=CSV貼付B!$N157)*(COUNTIF($B$37:$B$48,CSV貼付B!$H$5:$H157)=0))&gt;1,"",MAX($O$4:O156)+1)))</f>
        <v/>
      </c>
      <c r="P157" s="0" t="str">
        <f aca="false">IFERROR(INDEX(CSV貼付B!$N$5:$N$1004,MATCH(ROW()-4,$O$5:$O$1004,0)),"")</f>
        <v/>
      </c>
      <c r="Q157" s="0" t="str">
        <f aca="false">IF(ROW()-4&lt;=MAX($M$5:$M$1004),IFERROR(INDEX($N$5:$N$1004,ROW()-4),""),IFERROR(INDEX($P$5:$P$1004,ROW()-4-MAX($M$5:$M$1004)),""))</f>
        <v/>
      </c>
    </row>
    <row r="158" customFormat="false" ht="15" hidden="false" customHeight="false" outlineLevel="0" collapsed="false">
      <c r="M158" s="0" t="str">
        <f aca="false">IF(CSV貼付A!$N158="","",IF(COUNTIF($B$37:$B$48,CSV貼付A!$H158)&gt;0,"",IF(SUMPRODUCT((CSV貼付A!$N$5:$N158=CSV貼付A!$N158)*(COUNTIF($B$37:$B$48,CSV貼付A!$H$5:$H158)=0))&gt;1,"",MAX($M$4:M157)+1)))</f>
        <v/>
      </c>
      <c r="N158" s="0" t="str">
        <f aca="false">IFERROR(INDEX(CSV貼付A!$N$5:$N$1004,MATCH(ROW()-4,$M$5:$M$1004,0)),"")</f>
        <v/>
      </c>
      <c r="O158" s="0" t="str">
        <f aca="false">IF(CSV貼付B!$N158="","",IF(COUNTIF($B$37:$B$48,CSV貼付B!$H158)&gt;0,"",IF(SUMPRODUCT((CSV貼付B!$N$5:$N158=CSV貼付B!$N158)*(COUNTIF($B$37:$B$48,CSV貼付B!$H$5:$H158)=0))&gt;1,"",MAX($O$4:O157)+1)))</f>
        <v/>
      </c>
      <c r="P158" s="0" t="str">
        <f aca="false">IFERROR(INDEX(CSV貼付B!$N$5:$N$1004,MATCH(ROW()-4,$O$5:$O$1004,0)),"")</f>
        <v/>
      </c>
      <c r="Q158" s="0" t="str">
        <f aca="false">IF(ROW()-4&lt;=MAX($M$5:$M$1004),IFERROR(INDEX($N$5:$N$1004,ROW()-4),""),IFERROR(INDEX($P$5:$P$1004,ROW()-4-MAX($M$5:$M$1004)),""))</f>
        <v/>
      </c>
    </row>
    <row r="159" customFormat="false" ht="15" hidden="false" customHeight="false" outlineLevel="0" collapsed="false">
      <c r="M159" s="0" t="str">
        <f aca="false">IF(CSV貼付A!$N159="","",IF(COUNTIF($B$37:$B$48,CSV貼付A!$H159)&gt;0,"",IF(SUMPRODUCT((CSV貼付A!$N$5:$N159=CSV貼付A!$N159)*(COUNTIF($B$37:$B$48,CSV貼付A!$H$5:$H159)=0))&gt;1,"",MAX($M$4:M158)+1)))</f>
        <v/>
      </c>
      <c r="N159" s="0" t="str">
        <f aca="false">IFERROR(INDEX(CSV貼付A!$N$5:$N$1004,MATCH(ROW()-4,$M$5:$M$1004,0)),"")</f>
        <v/>
      </c>
      <c r="O159" s="0" t="str">
        <f aca="false">IF(CSV貼付B!$N159="","",IF(COUNTIF($B$37:$B$48,CSV貼付B!$H159)&gt;0,"",IF(SUMPRODUCT((CSV貼付B!$N$5:$N159=CSV貼付B!$N159)*(COUNTIF($B$37:$B$48,CSV貼付B!$H$5:$H159)=0))&gt;1,"",MAX($O$4:O158)+1)))</f>
        <v/>
      </c>
      <c r="P159" s="0" t="str">
        <f aca="false">IFERROR(INDEX(CSV貼付B!$N$5:$N$1004,MATCH(ROW()-4,$O$5:$O$1004,0)),"")</f>
        <v/>
      </c>
      <c r="Q159" s="0" t="str">
        <f aca="false">IF(ROW()-4&lt;=MAX($M$5:$M$1004),IFERROR(INDEX($N$5:$N$1004,ROW()-4),""),IFERROR(INDEX($P$5:$P$1004,ROW()-4-MAX($M$5:$M$1004)),""))</f>
        <v/>
      </c>
    </row>
    <row r="160" customFormat="false" ht="15" hidden="false" customHeight="false" outlineLevel="0" collapsed="false">
      <c r="M160" s="0" t="str">
        <f aca="false">IF(CSV貼付A!$N160="","",IF(COUNTIF($B$37:$B$48,CSV貼付A!$H160)&gt;0,"",IF(SUMPRODUCT((CSV貼付A!$N$5:$N160=CSV貼付A!$N160)*(COUNTIF($B$37:$B$48,CSV貼付A!$H$5:$H160)=0))&gt;1,"",MAX($M$4:M159)+1)))</f>
        <v/>
      </c>
      <c r="N160" s="0" t="str">
        <f aca="false">IFERROR(INDEX(CSV貼付A!$N$5:$N$1004,MATCH(ROW()-4,$M$5:$M$1004,0)),"")</f>
        <v/>
      </c>
      <c r="O160" s="0" t="str">
        <f aca="false">IF(CSV貼付B!$N160="","",IF(COUNTIF($B$37:$B$48,CSV貼付B!$H160)&gt;0,"",IF(SUMPRODUCT((CSV貼付B!$N$5:$N160=CSV貼付B!$N160)*(COUNTIF($B$37:$B$48,CSV貼付B!$H$5:$H160)=0))&gt;1,"",MAX($O$4:O159)+1)))</f>
        <v/>
      </c>
      <c r="P160" s="0" t="str">
        <f aca="false">IFERROR(INDEX(CSV貼付B!$N$5:$N$1004,MATCH(ROW()-4,$O$5:$O$1004,0)),"")</f>
        <v/>
      </c>
      <c r="Q160" s="0" t="str">
        <f aca="false">IF(ROW()-4&lt;=MAX($M$5:$M$1004),IFERROR(INDEX($N$5:$N$1004,ROW()-4),""),IFERROR(INDEX($P$5:$P$1004,ROW()-4-MAX($M$5:$M$1004)),""))</f>
        <v/>
      </c>
    </row>
    <row r="161" customFormat="false" ht="15" hidden="false" customHeight="false" outlineLevel="0" collapsed="false">
      <c r="M161" s="0" t="str">
        <f aca="false">IF(CSV貼付A!$N161="","",IF(COUNTIF($B$37:$B$48,CSV貼付A!$H161)&gt;0,"",IF(SUMPRODUCT((CSV貼付A!$N$5:$N161=CSV貼付A!$N161)*(COUNTIF($B$37:$B$48,CSV貼付A!$H$5:$H161)=0))&gt;1,"",MAX($M$4:M160)+1)))</f>
        <v/>
      </c>
      <c r="N161" s="0" t="str">
        <f aca="false">IFERROR(INDEX(CSV貼付A!$N$5:$N$1004,MATCH(ROW()-4,$M$5:$M$1004,0)),"")</f>
        <v/>
      </c>
      <c r="O161" s="0" t="str">
        <f aca="false">IF(CSV貼付B!$N161="","",IF(COUNTIF($B$37:$B$48,CSV貼付B!$H161)&gt;0,"",IF(SUMPRODUCT((CSV貼付B!$N$5:$N161=CSV貼付B!$N161)*(COUNTIF($B$37:$B$48,CSV貼付B!$H$5:$H161)=0))&gt;1,"",MAX($O$4:O160)+1)))</f>
        <v/>
      </c>
      <c r="P161" s="0" t="str">
        <f aca="false">IFERROR(INDEX(CSV貼付B!$N$5:$N$1004,MATCH(ROW()-4,$O$5:$O$1004,0)),"")</f>
        <v/>
      </c>
      <c r="Q161" s="0" t="str">
        <f aca="false">IF(ROW()-4&lt;=MAX($M$5:$M$1004),IFERROR(INDEX($N$5:$N$1004,ROW()-4),""),IFERROR(INDEX($P$5:$P$1004,ROW()-4-MAX($M$5:$M$1004)),""))</f>
        <v/>
      </c>
    </row>
    <row r="162" customFormat="false" ht="15" hidden="false" customHeight="false" outlineLevel="0" collapsed="false">
      <c r="M162" s="0" t="str">
        <f aca="false">IF(CSV貼付A!$N162="","",IF(COUNTIF($B$37:$B$48,CSV貼付A!$H162)&gt;0,"",IF(SUMPRODUCT((CSV貼付A!$N$5:$N162=CSV貼付A!$N162)*(COUNTIF($B$37:$B$48,CSV貼付A!$H$5:$H162)=0))&gt;1,"",MAX($M$4:M161)+1)))</f>
        <v/>
      </c>
      <c r="N162" s="0" t="str">
        <f aca="false">IFERROR(INDEX(CSV貼付A!$N$5:$N$1004,MATCH(ROW()-4,$M$5:$M$1004,0)),"")</f>
        <v/>
      </c>
      <c r="O162" s="0" t="str">
        <f aca="false">IF(CSV貼付B!$N162="","",IF(COUNTIF($B$37:$B$48,CSV貼付B!$H162)&gt;0,"",IF(SUMPRODUCT((CSV貼付B!$N$5:$N162=CSV貼付B!$N162)*(COUNTIF($B$37:$B$48,CSV貼付B!$H$5:$H162)=0))&gt;1,"",MAX($O$4:O161)+1)))</f>
        <v/>
      </c>
      <c r="P162" s="0" t="str">
        <f aca="false">IFERROR(INDEX(CSV貼付B!$N$5:$N$1004,MATCH(ROW()-4,$O$5:$O$1004,0)),"")</f>
        <v/>
      </c>
      <c r="Q162" s="0" t="str">
        <f aca="false">IF(ROW()-4&lt;=MAX($M$5:$M$1004),IFERROR(INDEX($N$5:$N$1004,ROW()-4),""),IFERROR(INDEX($P$5:$P$1004,ROW()-4-MAX($M$5:$M$1004)),""))</f>
        <v/>
      </c>
    </row>
    <row r="163" customFormat="false" ht="15" hidden="false" customHeight="false" outlineLevel="0" collapsed="false">
      <c r="M163" s="0" t="str">
        <f aca="false">IF(CSV貼付A!$N163="","",IF(COUNTIF($B$37:$B$48,CSV貼付A!$H163)&gt;0,"",IF(SUMPRODUCT((CSV貼付A!$N$5:$N163=CSV貼付A!$N163)*(COUNTIF($B$37:$B$48,CSV貼付A!$H$5:$H163)=0))&gt;1,"",MAX($M$4:M162)+1)))</f>
        <v/>
      </c>
      <c r="N163" s="0" t="str">
        <f aca="false">IFERROR(INDEX(CSV貼付A!$N$5:$N$1004,MATCH(ROW()-4,$M$5:$M$1004,0)),"")</f>
        <v/>
      </c>
      <c r="O163" s="0" t="str">
        <f aca="false">IF(CSV貼付B!$N163="","",IF(COUNTIF($B$37:$B$48,CSV貼付B!$H163)&gt;0,"",IF(SUMPRODUCT((CSV貼付B!$N$5:$N163=CSV貼付B!$N163)*(COUNTIF($B$37:$B$48,CSV貼付B!$H$5:$H163)=0))&gt;1,"",MAX($O$4:O162)+1)))</f>
        <v/>
      </c>
      <c r="P163" s="0" t="str">
        <f aca="false">IFERROR(INDEX(CSV貼付B!$N$5:$N$1004,MATCH(ROW()-4,$O$5:$O$1004,0)),"")</f>
        <v/>
      </c>
      <c r="Q163" s="0" t="str">
        <f aca="false">IF(ROW()-4&lt;=MAX($M$5:$M$1004),IFERROR(INDEX($N$5:$N$1004,ROW()-4),""),IFERROR(INDEX($P$5:$P$1004,ROW()-4-MAX($M$5:$M$1004)),""))</f>
        <v/>
      </c>
    </row>
    <row r="164" customFormat="false" ht="15" hidden="false" customHeight="false" outlineLevel="0" collapsed="false">
      <c r="M164" s="0" t="str">
        <f aca="false">IF(CSV貼付A!$N164="","",IF(COUNTIF($B$37:$B$48,CSV貼付A!$H164)&gt;0,"",IF(SUMPRODUCT((CSV貼付A!$N$5:$N164=CSV貼付A!$N164)*(COUNTIF($B$37:$B$48,CSV貼付A!$H$5:$H164)=0))&gt;1,"",MAX($M$4:M163)+1)))</f>
        <v/>
      </c>
      <c r="N164" s="0" t="str">
        <f aca="false">IFERROR(INDEX(CSV貼付A!$N$5:$N$1004,MATCH(ROW()-4,$M$5:$M$1004,0)),"")</f>
        <v/>
      </c>
      <c r="O164" s="0" t="str">
        <f aca="false">IF(CSV貼付B!$N164="","",IF(COUNTIF($B$37:$B$48,CSV貼付B!$H164)&gt;0,"",IF(SUMPRODUCT((CSV貼付B!$N$5:$N164=CSV貼付B!$N164)*(COUNTIF($B$37:$B$48,CSV貼付B!$H$5:$H164)=0))&gt;1,"",MAX($O$4:O163)+1)))</f>
        <v/>
      </c>
      <c r="P164" s="0" t="str">
        <f aca="false">IFERROR(INDEX(CSV貼付B!$N$5:$N$1004,MATCH(ROW()-4,$O$5:$O$1004,0)),"")</f>
        <v/>
      </c>
      <c r="Q164" s="0" t="str">
        <f aca="false">IF(ROW()-4&lt;=MAX($M$5:$M$1004),IFERROR(INDEX($N$5:$N$1004,ROW()-4),""),IFERROR(INDEX($P$5:$P$1004,ROW()-4-MAX($M$5:$M$1004)),""))</f>
        <v/>
      </c>
    </row>
    <row r="165" customFormat="false" ht="15" hidden="false" customHeight="false" outlineLevel="0" collapsed="false">
      <c r="M165" s="0" t="str">
        <f aca="false">IF(CSV貼付A!$N165="","",IF(COUNTIF($B$37:$B$48,CSV貼付A!$H165)&gt;0,"",IF(SUMPRODUCT((CSV貼付A!$N$5:$N165=CSV貼付A!$N165)*(COUNTIF($B$37:$B$48,CSV貼付A!$H$5:$H165)=0))&gt;1,"",MAX($M$4:M164)+1)))</f>
        <v/>
      </c>
      <c r="N165" s="0" t="str">
        <f aca="false">IFERROR(INDEX(CSV貼付A!$N$5:$N$1004,MATCH(ROW()-4,$M$5:$M$1004,0)),"")</f>
        <v/>
      </c>
      <c r="O165" s="0" t="str">
        <f aca="false">IF(CSV貼付B!$N165="","",IF(COUNTIF($B$37:$B$48,CSV貼付B!$H165)&gt;0,"",IF(SUMPRODUCT((CSV貼付B!$N$5:$N165=CSV貼付B!$N165)*(COUNTIF($B$37:$B$48,CSV貼付B!$H$5:$H165)=0))&gt;1,"",MAX($O$4:O164)+1)))</f>
        <v/>
      </c>
      <c r="P165" s="0" t="str">
        <f aca="false">IFERROR(INDEX(CSV貼付B!$N$5:$N$1004,MATCH(ROW()-4,$O$5:$O$1004,0)),"")</f>
        <v/>
      </c>
      <c r="Q165" s="0" t="str">
        <f aca="false">IF(ROW()-4&lt;=MAX($M$5:$M$1004),IFERROR(INDEX($N$5:$N$1004,ROW()-4),""),IFERROR(INDEX($P$5:$P$1004,ROW()-4-MAX($M$5:$M$1004)),""))</f>
        <v/>
      </c>
    </row>
    <row r="166" customFormat="false" ht="15" hidden="false" customHeight="false" outlineLevel="0" collapsed="false">
      <c r="M166" s="0" t="str">
        <f aca="false">IF(CSV貼付A!$N166="","",IF(COUNTIF($B$37:$B$48,CSV貼付A!$H166)&gt;0,"",IF(SUMPRODUCT((CSV貼付A!$N$5:$N166=CSV貼付A!$N166)*(COUNTIF($B$37:$B$48,CSV貼付A!$H$5:$H166)=0))&gt;1,"",MAX($M$4:M165)+1)))</f>
        <v/>
      </c>
      <c r="N166" s="0" t="str">
        <f aca="false">IFERROR(INDEX(CSV貼付A!$N$5:$N$1004,MATCH(ROW()-4,$M$5:$M$1004,0)),"")</f>
        <v/>
      </c>
      <c r="O166" s="0" t="str">
        <f aca="false">IF(CSV貼付B!$N166="","",IF(COUNTIF($B$37:$B$48,CSV貼付B!$H166)&gt;0,"",IF(SUMPRODUCT((CSV貼付B!$N$5:$N166=CSV貼付B!$N166)*(COUNTIF($B$37:$B$48,CSV貼付B!$H$5:$H166)=0))&gt;1,"",MAX($O$4:O165)+1)))</f>
        <v/>
      </c>
      <c r="P166" s="0" t="str">
        <f aca="false">IFERROR(INDEX(CSV貼付B!$N$5:$N$1004,MATCH(ROW()-4,$O$5:$O$1004,0)),"")</f>
        <v/>
      </c>
      <c r="Q166" s="0" t="str">
        <f aca="false">IF(ROW()-4&lt;=MAX($M$5:$M$1004),IFERROR(INDEX($N$5:$N$1004,ROW()-4),""),IFERROR(INDEX($P$5:$P$1004,ROW()-4-MAX($M$5:$M$1004)),""))</f>
        <v/>
      </c>
    </row>
    <row r="167" customFormat="false" ht="15" hidden="false" customHeight="false" outlineLevel="0" collapsed="false">
      <c r="M167" s="0" t="str">
        <f aca="false">IF(CSV貼付A!$N167="","",IF(COUNTIF($B$37:$B$48,CSV貼付A!$H167)&gt;0,"",IF(SUMPRODUCT((CSV貼付A!$N$5:$N167=CSV貼付A!$N167)*(COUNTIF($B$37:$B$48,CSV貼付A!$H$5:$H167)=0))&gt;1,"",MAX($M$4:M166)+1)))</f>
        <v/>
      </c>
      <c r="N167" s="0" t="str">
        <f aca="false">IFERROR(INDEX(CSV貼付A!$N$5:$N$1004,MATCH(ROW()-4,$M$5:$M$1004,0)),"")</f>
        <v/>
      </c>
      <c r="O167" s="0" t="str">
        <f aca="false">IF(CSV貼付B!$N167="","",IF(COUNTIF($B$37:$B$48,CSV貼付B!$H167)&gt;0,"",IF(SUMPRODUCT((CSV貼付B!$N$5:$N167=CSV貼付B!$N167)*(COUNTIF($B$37:$B$48,CSV貼付B!$H$5:$H167)=0))&gt;1,"",MAX($O$4:O166)+1)))</f>
        <v/>
      </c>
      <c r="P167" s="0" t="str">
        <f aca="false">IFERROR(INDEX(CSV貼付B!$N$5:$N$1004,MATCH(ROW()-4,$O$5:$O$1004,0)),"")</f>
        <v/>
      </c>
      <c r="Q167" s="0" t="str">
        <f aca="false">IF(ROW()-4&lt;=MAX($M$5:$M$1004),IFERROR(INDEX($N$5:$N$1004,ROW()-4),""),IFERROR(INDEX($P$5:$P$1004,ROW()-4-MAX($M$5:$M$1004)),""))</f>
        <v/>
      </c>
    </row>
    <row r="168" customFormat="false" ht="15" hidden="false" customHeight="false" outlineLevel="0" collapsed="false">
      <c r="M168" s="0" t="str">
        <f aca="false">IF(CSV貼付A!$N168="","",IF(COUNTIF($B$37:$B$48,CSV貼付A!$H168)&gt;0,"",IF(SUMPRODUCT((CSV貼付A!$N$5:$N168=CSV貼付A!$N168)*(COUNTIF($B$37:$B$48,CSV貼付A!$H$5:$H168)=0))&gt;1,"",MAX($M$4:M167)+1)))</f>
        <v/>
      </c>
      <c r="N168" s="0" t="str">
        <f aca="false">IFERROR(INDEX(CSV貼付A!$N$5:$N$1004,MATCH(ROW()-4,$M$5:$M$1004,0)),"")</f>
        <v/>
      </c>
      <c r="O168" s="0" t="str">
        <f aca="false">IF(CSV貼付B!$N168="","",IF(COUNTIF($B$37:$B$48,CSV貼付B!$H168)&gt;0,"",IF(SUMPRODUCT((CSV貼付B!$N$5:$N168=CSV貼付B!$N168)*(COUNTIF($B$37:$B$48,CSV貼付B!$H$5:$H168)=0))&gt;1,"",MAX($O$4:O167)+1)))</f>
        <v/>
      </c>
      <c r="P168" s="0" t="str">
        <f aca="false">IFERROR(INDEX(CSV貼付B!$N$5:$N$1004,MATCH(ROW()-4,$O$5:$O$1004,0)),"")</f>
        <v/>
      </c>
      <c r="Q168" s="0" t="str">
        <f aca="false">IF(ROW()-4&lt;=MAX($M$5:$M$1004),IFERROR(INDEX($N$5:$N$1004,ROW()-4),""),IFERROR(INDEX($P$5:$P$1004,ROW()-4-MAX($M$5:$M$1004)),""))</f>
        <v/>
      </c>
    </row>
    <row r="169" customFormat="false" ht="15" hidden="false" customHeight="false" outlineLevel="0" collapsed="false">
      <c r="M169" s="0" t="str">
        <f aca="false">IF(CSV貼付A!$N169="","",IF(COUNTIF($B$37:$B$48,CSV貼付A!$H169)&gt;0,"",IF(SUMPRODUCT((CSV貼付A!$N$5:$N169=CSV貼付A!$N169)*(COUNTIF($B$37:$B$48,CSV貼付A!$H$5:$H169)=0))&gt;1,"",MAX($M$4:M168)+1)))</f>
        <v/>
      </c>
      <c r="N169" s="0" t="str">
        <f aca="false">IFERROR(INDEX(CSV貼付A!$N$5:$N$1004,MATCH(ROW()-4,$M$5:$M$1004,0)),"")</f>
        <v/>
      </c>
      <c r="O169" s="0" t="str">
        <f aca="false">IF(CSV貼付B!$N169="","",IF(COUNTIF($B$37:$B$48,CSV貼付B!$H169)&gt;0,"",IF(SUMPRODUCT((CSV貼付B!$N$5:$N169=CSV貼付B!$N169)*(COUNTIF($B$37:$B$48,CSV貼付B!$H$5:$H169)=0))&gt;1,"",MAX($O$4:O168)+1)))</f>
        <v/>
      </c>
      <c r="P169" s="0" t="str">
        <f aca="false">IFERROR(INDEX(CSV貼付B!$N$5:$N$1004,MATCH(ROW()-4,$O$5:$O$1004,0)),"")</f>
        <v/>
      </c>
      <c r="Q169" s="0" t="str">
        <f aca="false">IF(ROW()-4&lt;=MAX($M$5:$M$1004),IFERROR(INDEX($N$5:$N$1004,ROW()-4),""),IFERROR(INDEX($P$5:$P$1004,ROW()-4-MAX($M$5:$M$1004)),""))</f>
        <v/>
      </c>
    </row>
    <row r="170" customFormat="false" ht="15" hidden="false" customHeight="false" outlineLevel="0" collapsed="false">
      <c r="M170" s="0" t="str">
        <f aca="false">IF(CSV貼付A!$N170="","",IF(COUNTIF($B$37:$B$48,CSV貼付A!$H170)&gt;0,"",IF(SUMPRODUCT((CSV貼付A!$N$5:$N170=CSV貼付A!$N170)*(COUNTIF($B$37:$B$48,CSV貼付A!$H$5:$H170)=0))&gt;1,"",MAX($M$4:M169)+1)))</f>
        <v/>
      </c>
      <c r="N170" s="0" t="str">
        <f aca="false">IFERROR(INDEX(CSV貼付A!$N$5:$N$1004,MATCH(ROW()-4,$M$5:$M$1004,0)),"")</f>
        <v/>
      </c>
      <c r="O170" s="0" t="str">
        <f aca="false">IF(CSV貼付B!$N170="","",IF(COUNTIF($B$37:$B$48,CSV貼付B!$H170)&gt;0,"",IF(SUMPRODUCT((CSV貼付B!$N$5:$N170=CSV貼付B!$N170)*(COUNTIF($B$37:$B$48,CSV貼付B!$H$5:$H170)=0))&gt;1,"",MAX($O$4:O169)+1)))</f>
        <v/>
      </c>
      <c r="P170" s="0" t="str">
        <f aca="false">IFERROR(INDEX(CSV貼付B!$N$5:$N$1004,MATCH(ROW()-4,$O$5:$O$1004,0)),"")</f>
        <v/>
      </c>
      <c r="Q170" s="0" t="str">
        <f aca="false">IF(ROW()-4&lt;=MAX($M$5:$M$1004),IFERROR(INDEX($N$5:$N$1004,ROW()-4),""),IFERROR(INDEX($P$5:$P$1004,ROW()-4-MAX($M$5:$M$1004)),""))</f>
        <v/>
      </c>
    </row>
    <row r="171" customFormat="false" ht="15" hidden="false" customHeight="false" outlineLevel="0" collapsed="false">
      <c r="M171" s="0" t="str">
        <f aca="false">IF(CSV貼付A!$N171="","",IF(COUNTIF($B$37:$B$48,CSV貼付A!$H171)&gt;0,"",IF(SUMPRODUCT((CSV貼付A!$N$5:$N171=CSV貼付A!$N171)*(COUNTIF($B$37:$B$48,CSV貼付A!$H$5:$H171)=0))&gt;1,"",MAX($M$4:M170)+1)))</f>
        <v/>
      </c>
      <c r="N171" s="0" t="str">
        <f aca="false">IFERROR(INDEX(CSV貼付A!$N$5:$N$1004,MATCH(ROW()-4,$M$5:$M$1004,0)),"")</f>
        <v/>
      </c>
      <c r="O171" s="0" t="str">
        <f aca="false">IF(CSV貼付B!$N171="","",IF(COUNTIF($B$37:$B$48,CSV貼付B!$H171)&gt;0,"",IF(SUMPRODUCT((CSV貼付B!$N$5:$N171=CSV貼付B!$N171)*(COUNTIF($B$37:$B$48,CSV貼付B!$H$5:$H171)=0))&gt;1,"",MAX($O$4:O170)+1)))</f>
        <v/>
      </c>
      <c r="P171" s="0" t="str">
        <f aca="false">IFERROR(INDEX(CSV貼付B!$N$5:$N$1004,MATCH(ROW()-4,$O$5:$O$1004,0)),"")</f>
        <v/>
      </c>
      <c r="Q171" s="0" t="str">
        <f aca="false">IF(ROW()-4&lt;=MAX($M$5:$M$1004),IFERROR(INDEX($N$5:$N$1004,ROW()-4),""),IFERROR(INDEX($P$5:$P$1004,ROW()-4-MAX($M$5:$M$1004)),""))</f>
        <v/>
      </c>
    </row>
    <row r="172" customFormat="false" ht="15" hidden="false" customHeight="false" outlineLevel="0" collapsed="false">
      <c r="M172" s="0" t="str">
        <f aca="false">IF(CSV貼付A!$N172="","",IF(COUNTIF($B$37:$B$48,CSV貼付A!$H172)&gt;0,"",IF(SUMPRODUCT((CSV貼付A!$N$5:$N172=CSV貼付A!$N172)*(COUNTIF($B$37:$B$48,CSV貼付A!$H$5:$H172)=0))&gt;1,"",MAX($M$4:M171)+1)))</f>
        <v/>
      </c>
      <c r="N172" s="0" t="str">
        <f aca="false">IFERROR(INDEX(CSV貼付A!$N$5:$N$1004,MATCH(ROW()-4,$M$5:$M$1004,0)),"")</f>
        <v/>
      </c>
      <c r="O172" s="0" t="str">
        <f aca="false">IF(CSV貼付B!$N172="","",IF(COUNTIF($B$37:$B$48,CSV貼付B!$H172)&gt;0,"",IF(SUMPRODUCT((CSV貼付B!$N$5:$N172=CSV貼付B!$N172)*(COUNTIF($B$37:$B$48,CSV貼付B!$H$5:$H172)=0))&gt;1,"",MAX($O$4:O171)+1)))</f>
        <v/>
      </c>
      <c r="P172" s="0" t="str">
        <f aca="false">IFERROR(INDEX(CSV貼付B!$N$5:$N$1004,MATCH(ROW()-4,$O$5:$O$1004,0)),"")</f>
        <v/>
      </c>
      <c r="Q172" s="0" t="str">
        <f aca="false">IF(ROW()-4&lt;=MAX($M$5:$M$1004),IFERROR(INDEX($N$5:$N$1004,ROW()-4),""),IFERROR(INDEX($P$5:$P$1004,ROW()-4-MAX($M$5:$M$1004)),""))</f>
        <v/>
      </c>
    </row>
    <row r="173" customFormat="false" ht="15" hidden="false" customHeight="false" outlineLevel="0" collapsed="false">
      <c r="M173" s="0" t="str">
        <f aca="false">IF(CSV貼付A!$N173="","",IF(COUNTIF($B$37:$B$48,CSV貼付A!$H173)&gt;0,"",IF(SUMPRODUCT((CSV貼付A!$N$5:$N173=CSV貼付A!$N173)*(COUNTIF($B$37:$B$48,CSV貼付A!$H$5:$H173)=0))&gt;1,"",MAX($M$4:M172)+1)))</f>
        <v/>
      </c>
      <c r="N173" s="0" t="str">
        <f aca="false">IFERROR(INDEX(CSV貼付A!$N$5:$N$1004,MATCH(ROW()-4,$M$5:$M$1004,0)),"")</f>
        <v/>
      </c>
      <c r="O173" s="0" t="str">
        <f aca="false">IF(CSV貼付B!$N173="","",IF(COUNTIF($B$37:$B$48,CSV貼付B!$H173)&gt;0,"",IF(SUMPRODUCT((CSV貼付B!$N$5:$N173=CSV貼付B!$N173)*(COUNTIF($B$37:$B$48,CSV貼付B!$H$5:$H173)=0))&gt;1,"",MAX($O$4:O172)+1)))</f>
        <v/>
      </c>
      <c r="P173" s="0" t="str">
        <f aca="false">IFERROR(INDEX(CSV貼付B!$N$5:$N$1004,MATCH(ROW()-4,$O$5:$O$1004,0)),"")</f>
        <v/>
      </c>
      <c r="Q173" s="0" t="str">
        <f aca="false">IF(ROW()-4&lt;=MAX($M$5:$M$1004),IFERROR(INDEX($N$5:$N$1004,ROW()-4),""),IFERROR(INDEX($P$5:$P$1004,ROW()-4-MAX($M$5:$M$1004)),""))</f>
        <v/>
      </c>
    </row>
    <row r="174" customFormat="false" ht="15" hidden="false" customHeight="false" outlineLevel="0" collapsed="false">
      <c r="M174" s="0" t="str">
        <f aca="false">IF(CSV貼付A!$N174="","",IF(COUNTIF($B$37:$B$48,CSV貼付A!$H174)&gt;0,"",IF(SUMPRODUCT((CSV貼付A!$N$5:$N174=CSV貼付A!$N174)*(COUNTIF($B$37:$B$48,CSV貼付A!$H$5:$H174)=0))&gt;1,"",MAX($M$4:M173)+1)))</f>
        <v/>
      </c>
      <c r="N174" s="0" t="str">
        <f aca="false">IFERROR(INDEX(CSV貼付A!$N$5:$N$1004,MATCH(ROW()-4,$M$5:$M$1004,0)),"")</f>
        <v/>
      </c>
      <c r="O174" s="0" t="str">
        <f aca="false">IF(CSV貼付B!$N174="","",IF(COUNTIF($B$37:$B$48,CSV貼付B!$H174)&gt;0,"",IF(SUMPRODUCT((CSV貼付B!$N$5:$N174=CSV貼付B!$N174)*(COUNTIF($B$37:$B$48,CSV貼付B!$H$5:$H174)=0))&gt;1,"",MAX($O$4:O173)+1)))</f>
        <v/>
      </c>
      <c r="P174" s="0" t="str">
        <f aca="false">IFERROR(INDEX(CSV貼付B!$N$5:$N$1004,MATCH(ROW()-4,$O$5:$O$1004,0)),"")</f>
        <v/>
      </c>
      <c r="Q174" s="0" t="str">
        <f aca="false">IF(ROW()-4&lt;=MAX($M$5:$M$1004),IFERROR(INDEX($N$5:$N$1004,ROW()-4),""),IFERROR(INDEX($P$5:$P$1004,ROW()-4-MAX($M$5:$M$1004)),""))</f>
        <v/>
      </c>
    </row>
    <row r="175" customFormat="false" ht="15" hidden="false" customHeight="false" outlineLevel="0" collapsed="false">
      <c r="M175" s="0" t="str">
        <f aca="false">IF(CSV貼付A!$N175="","",IF(COUNTIF($B$37:$B$48,CSV貼付A!$H175)&gt;0,"",IF(SUMPRODUCT((CSV貼付A!$N$5:$N175=CSV貼付A!$N175)*(COUNTIF($B$37:$B$48,CSV貼付A!$H$5:$H175)=0))&gt;1,"",MAX($M$4:M174)+1)))</f>
        <v/>
      </c>
      <c r="N175" s="0" t="str">
        <f aca="false">IFERROR(INDEX(CSV貼付A!$N$5:$N$1004,MATCH(ROW()-4,$M$5:$M$1004,0)),"")</f>
        <v/>
      </c>
      <c r="O175" s="0" t="str">
        <f aca="false">IF(CSV貼付B!$N175="","",IF(COUNTIF($B$37:$B$48,CSV貼付B!$H175)&gt;0,"",IF(SUMPRODUCT((CSV貼付B!$N$5:$N175=CSV貼付B!$N175)*(COUNTIF($B$37:$B$48,CSV貼付B!$H$5:$H175)=0))&gt;1,"",MAX($O$4:O174)+1)))</f>
        <v/>
      </c>
      <c r="P175" s="0" t="str">
        <f aca="false">IFERROR(INDEX(CSV貼付B!$N$5:$N$1004,MATCH(ROW()-4,$O$5:$O$1004,0)),"")</f>
        <v/>
      </c>
      <c r="Q175" s="0" t="str">
        <f aca="false">IF(ROW()-4&lt;=MAX($M$5:$M$1004),IFERROR(INDEX($N$5:$N$1004,ROW()-4),""),IFERROR(INDEX($P$5:$P$1004,ROW()-4-MAX($M$5:$M$1004)),""))</f>
        <v/>
      </c>
    </row>
    <row r="176" customFormat="false" ht="15" hidden="false" customHeight="false" outlineLevel="0" collapsed="false">
      <c r="M176" s="0" t="str">
        <f aca="false">IF(CSV貼付A!$N176="","",IF(COUNTIF($B$37:$B$48,CSV貼付A!$H176)&gt;0,"",IF(SUMPRODUCT((CSV貼付A!$N$5:$N176=CSV貼付A!$N176)*(COUNTIF($B$37:$B$48,CSV貼付A!$H$5:$H176)=0))&gt;1,"",MAX($M$4:M175)+1)))</f>
        <v/>
      </c>
      <c r="N176" s="0" t="str">
        <f aca="false">IFERROR(INDEX(CSV貼付A!$N$5:$N$1004,MATCH(ROW()-4,$M$5:$M$1004,0)),"")</f>
        <v/>
      </c>
      <c r="O176" s="0" t="str">
        <f aca="false">IF(CSV貼付B!$N176="","",IF(COUNTIF($B$37:$B$48,CSV貼付B!$H176)&gt;0,"",IF(SUMPRODUCT((CSV貼付B!$N$5:$N176=CSV貼付B!$N176)*(COUNTIF($B$37:$B$48,CSV貼付B!$H$5:$H176)=0))&gt;1,"",MAX($O$4:O175)+1)))</f>
        <v/>
      </c>
      <c r="P176" s="0" t="str">
        <f aca="false">IFERROR(INDEX(CSV貼付B!$N$5:$N$1004,MATCH(ROW()-4,$O$5:$O$1004,0)),"")</f>
        <v/>
      </c>
      <c r="Q176" s="0" t="str">
        <f aca="false">IF(ROW()-4&lt;=MAX($M$5:$M$1004),IFERROR(INDEX($N$5:$N$1004,ROW()-4),""),IFERROR(INDEX($P$5:$P$1004,ROW()-4-MAX($M$5:$M$1004)),""))</f>
        <v/>
      </c>
    </row>
    <row r="177" customFormat="false" ht="15" hidden="false" customHeight="false" outlineLevel="0" collapsed="false">
      <c r="M177" s="0" t="str">
        <f aca="false">IF(CSV貼付A!$N177="","",IF(COUNTIF($B$37:$B$48,CSV貼付A!$H177)&gt;0,"",IF(SUMPRODUCT((CSV貼付A!$N$5:$N177=CSV貼付A!$N177)*(COUNTIF($B$37:$B$48,CSV貼付A!$H$5:$H177)=0))&gt;1,"",MAX($M$4:M176)+1)))</f>
        <v/>
      </c>
      <c r="N177" s="0" t="str">
        <f aca="false">IFERROR(INDEX(CSV貼付A!$N$5:$N$1004,MATCH(ROW()-4,$M$5:$M$1004,0)),"")</f>
        <v/>
      </c>
      <c r="O177" s="0" t="str">
        <f aca="false">IF(CSV貼付B!$N177="","",IF(COUNTIF($B$37:$B$48,CSV貼付B!$H177)&gt;0,"",IF(SUMPRODUCT((CSV貼付B!$N$5:$N177=CSV貼付B!$N177)*(COUNTIF($B$37:$B$48,CSV貼付B!$H$5:$H177)=0))&gt;1,"",MAX($O$4:O176)+1)))</f>
        <v/>
      </c>
      <c r="P177" s="0" t="str">
        <f aca="false">IFERROR(INDEX(CSV貼付B!$N$5:$N$1004,MATCH(ROW()-4,$O$5:$O$1004,0)),"")</f>
        <v/>
      </c>
      <c r="Q177" s="0" t="str">
        <f aca="false">IF(ROW()-4&lt;=MAX($M$5:$M$1004),IFERROR(INDEX($N$5:$N$1004,ROW()-4),""),IFERROR(INDEX($P$5:$P$1004,ROW()-4-MAX($M$5:$M$1004)),""))</f>
        <v/>
      </c>
    </row>
    <row r="178" customFormat="false" ht="15" hidden="false" customHeight="false" outlineLevel="0" collapsed="false">
      <c r="M178" s="0" t="str">
        <f aca="false">IF(CSV貼付A!$N178="","",IF(COUNTIF($B$37:$B$48,CSV貼付A!$H178)&gt;0,"",IF(SUMPRODUCT((CSV貼付A!$N$5:$N178=CSV貼付A!$N178)*(COUNTIF($B$37:$B$48,CSV貼付A!$H$5:$H178)=0))&gt;1,"",MAX($M$4:M177)+1)))</f>
        <v/>
      </c>
      <c r="N178" s="0" t="str">
        <f aca="false">IFERROR(INDEX(CSV貼付A!$N$5:$N$1004,MATCH(ROW()-4,$M$5:$M$1004,0)),"")</f>
        <v/>
      </c>
      <c r="O178" s="0" t="str">
        <f aca="false">IF(CSV貼付B!$N178="","",IF(COUNTIF($B$37:$B$48,CSV貼付B!$H178)&gt;0,"",IF(SUMPRODUCT((CSV貼付B!$N$5:$N178=CSV貼付B!$N178)*(COUNTIF($B$37:$B$48,CSV貼付B!$H$5:$H178)=0))&gt;1,"",MAX($O$4:O177)+1)))</f>
        <v/>
      </c>
      <c r="P178" s="0" t="str">
        <f aca="false">IFERROR(INDEX(CSV貼付B!$N$5:$N$1004,MATCH(ROW()-4,$O$5:$O$1004,0)),"")</f>
        <v/>
      </c>
      <c r="Q178" s="0" t="str">
        <f aca="false">IF(ROW()-4&lt;=MAX($M$5:$M$1004),IFERROR(INDEX($N$5:$N$1004,ROW()-4),""),IFERROR(INDEX($P$5:$P$1004,ROW()-4-MAX($M$5:$M$1004)),""))</f>
        <v/>
      </c>
    </row>
    <row r="179" customFormat="false" ht="15" hidden="false" customHeight="false" outlineLevel="0" collapsed="false">
      <c r="M179" s="0" t="str">
        <f aca="false">IF(CSV貼付A!$N179="","",IF(COUNTIF($B$37:$B$48,CSV貼付A!$H179)&gt;0,"",IF(SUMPRODUCT((CSV貼付A!$N$5:$N179=CSV貼付A!$N179)*(COUNTIF($B$37:$B$48,CSV貼付A!$H$5:$H179)=0))&gt;1,"",MAX($M$4:M178)+1)))</f>
        <v/>
      </c>
      <c r="N179" s="0" t="str">
        <f aca="false">IFERROR(INDEX(CSV貼付A!$N$5:$N$1004,MATCH(ROW()-4,$M$5:$M$1004,0)),"")</f>
        <v/>
      </c>
      <c r="O179" s="0" t="str">
        <f aca="false">IF(CSV貼付B!$N179="","",IF(COUNTIF($B$37:$B$48,CSV貼付B!$H179)&gt;0,"",IF(SUMPRODUCT((CSV貼付B!$N$5:$N179=CSV貼付B!$N179)*(COUNTIF($B$37:$B$48,CSV貼付B!$H$5:$H179)=0))&gt;1,"",MAX($O$4:O178)+1)))</f>
        <v/>
      </c>
      <c r="P179" s="0" t="str">
        <f aca="false">IFERROR(INDEX(CSV貼付B!$N$5:$N$1004,MATCH(ROW()-4,$O$5:$O$1004,0)),"")</f>
        <v/>
      </c>
      <c r="Q179" s="0" t="str">
        <f aca="false">IF(ROW()-4&lt;=MAX($M$5:$M$1004),IFERROR(INDEX($N$5:$N$1004,ROW()-4),""),IFERROR(INDEX($P$5:$P$1004,ROW()-4-MAX($M$5:$M$1004)),""))</f>
        <v/>
      </c>
    </row>
    <row r="180" customFormat="false" ht="15" hidden="false" customHeight="false" outlineLevel="0" collapsed="false">
      <c r="M180" s="0" t="str">
        <f aca="false">IF(CSV貼付A!$N180="","",IF(COUNTIF($B$37:$B$48,CSV貼付A!$H180)&gt;0,"",IF(SUMPRODUCT((CSV貼付A!$N$5:$N180=CSV貼付A!$N180)*(COUNTIF($B$37:$B$48,CSV貼付A!$H$5:$H180)=0))&gt;1,"",MAX($M$4:M179)+1)))</f>
        <v/>
      </c>
      <c r="N180" s="0" t="str">
        <f aca="false">IFERROR(INDEX(CSV貼付A!$N$5:$N$1004,MATCH(ROW()-4,$M$5:$M$1004,0)),"")</f>
        <v/>
      </c>
      <c r="O180" s="0" t="str">
        <f aca="false">IF(CSV貼付B!$N180="","",IF(COUNTIF($B$37:$B$48,CSV貼付B!$H180)&gt;0,"",IF(SUMPRODUCT((CSV貼付B!$N$5:$N180=CSV貼付B!$N180)*(COUNTIF($B$37:$B$48,CSV貼付B!$H$5:$H180)=0))&gt;1,"",MAX($O$4:O179)+1)))</f>
        <v/>
      </c>
      <c r="P180" s="0" t="str">
        <f aca="false">IFERROR(INDEX(CSV貼付B!$N$5:$N$1004,MATCH(ROW()-4,$O$5:$O$1004,0)),"")</f>
        <v/>
      </c>
      <c r="Q180" s="0" t="str">
        <f aca="false">IF(ROW()-4&lt;=MAX($M$5:$M$1004),IFERROR(INDEX($N$5:$N$1004,ROW()-4),""),IFERROR(INDEX($P$5:$P$1004,ROW()-4-MAX($M$5:$M$1004)),""))</f>
        <v/>
      </c>
    </row>
    <row r="181" customFormat="false" ht="15" hidden="false" customHeight="false" outlineLevel="0" collapsed="false">
      <c r="M181" s="0" t="str">
        <f aca="false">IF(CSV貼付A!$N181="","",IF(COUNTIF($B$37:$B$48,CSV貼付A!$H181)&gt;0,"",IF(SUMPRODUCT((CSV貼付A!$N$5:$N181=CSV貼付A!$N181)*(COUNTIF($B$37:$B$48,CSV貼付A!$H$5:$H181)=0))&gt;1,"",MAX($M$4:M180)+1)))</f>
        <v/>
      </c>
      <c r="N181" s="0" t="str">
        <f aca="false">IFERROR(INDEX(CSV貼付A!$N$5:$N$1004,MATCH(ROW()-4,$M$5:$M$1004,0)),"")</f>
        <v/>
      </c>
      <c r="O181" s="0" t="str">
        <f aca="false">IF(CSV貼付B!$N181="","",IF(COUNTIF($B$37:$B$48,CSV貼付B!$H181)&gt;0,"",IF(SUMPRODUCT((CSV貼付B!$N$5:$N181=CSV貼付B!$N181)*(COUNTIF($B$37:$B$48,CSV貼付B!$H$5:$H181)=0))&gt;1,"",MAX($O$4:O180)+1)))</f>
        <v/>
      </c>
      <c r="P181" s="0" t="str">
        <f aca="false">IFERROR(INDEX(CSV貼付B!$N$5:$N$1004,MATCH(ROW()-4,$O$5:$O$1004,0)),"")</f>
        <v/>
      </c>
      <c r="Q181" s="0" t="str">
        <f aca="false">IF(ROW()-4&lt;=MAX($M$5:$M$1004),IFERROR(INDEX($N$5:$N$1004,ROW()-4),""),IFERROR(INDEX($P$5:$P$1004,ROW()-4-MAX($M$5:$M$1004)),""))</f>
        <v/>
      </c>
    </row>
    <row r="182" customFormat="false" ht="15" hidden="false" customHeight="false" outlineLevel="0" collapsed="false">
      <c r="M182" s="0" t="str">
        <f aca="false">IF(CSV貼付A!$N182="","",IF(COUNTIF($B$37:$B$48,CSV貼付A!$H182)&gt;0,"",IF(SUMPRODUCT((CSV貼付A!$N$5:$N182=CSV貼付A!$N182)*(COUNTIF($B$37:$B$48,CSV貼付A!$H$5:$H182)=0))&gt;1,"",MAX($M$4:M181)+1)))</f>
        <v/>
      </c>
      <c r="N182" s="0" t="str">
        <f aca="false">IFERROR(INDEX(CSV貼付A!$N$5:$N$1004,MATCH(ROW()-4,$M$5:$M$1004,0)),"")</f>
        <v/>
      </c>
      <c r="O182" s="0" t="str">
        <f aca="false">IF(CSV貼付B!$N182="","",IF(COUNTIF($B$37:$B$48,CSV貼付B!$H182)&gt;0,"",IF(SUMPRODUCT((CSV貼付B!$N$5:$N182=CSV貼付B!$N182)*(COUNTIF($B$37:$B$48,CSV貼付B!$H$5:$H182)=0))&gt;1,"",MAX($O$4:O181)+1)))</f>
        <v/>
      </c>
      <c r="P182" s="0" t="str">
        <f aca="false">IFERROR(INDEX(CSV貼付B!$N$5:$N$1004,MATCH(ROW()-4,$O$5:$O$1004,0)),"")</f>
        <v/>
      </c>
      <c r="Q182" s="0" t="str">
        <f aca="false">IF(ROW()-4&lt;=MAX($M$5:$M$1004),IFERROR(INDEX($N$5:$N$1004,ROW()-4),""),IFERROR(INDEX($P$5:$P$1004,ROW()-4-MAX($M$5:$M$1004)),""))</f>
        <v/>
      </c>
    </row>
    <row r="183" customFormat="false" ht="15" hidden="false" customHeight="false" outlineLevel="0" collapsed="false">
      <c r="M183" s="0" t="str">
        <f aca="false">IF(CSV貼付A!$N183="","",IF(COUNTIF($B$37:$B$48,CSV貼付A!$H183)&gt;0,"",IF(SUMPRODUCT((CSV貼付A!$N$5:$N183=CSV貼付A!$N183)*(COUNTIF($B$37:$B$48,CSV貼付A!$H$5:$H183)=0))&gt;1,"",MAX($M$4:M182)+1)))</f>
        <v/>
      </c>
      <c r="N183" s="0" t="str">
        <f aca="false">IFERROR(INDEX(CSV貼付A!$N$5:$N$1004,MATCH(ROW()-4,$M$5:$M$1004,0)),"")</f>
        <v/>
      </c>
      <c r="O183" s="0" t="str">
        <f aca="false">IF(CSV貼付B!$N183="","",IF(COUNTIF($B$37:$B$48,CSV貼付B!$H183)&gt;0,"",IF(SUMPRODUCT((CSV貼付B!$N$5:$N183=CSV貼付B!$N183)*(COUNTIF($B$37:$B$48,CSV貼付B!$H$5:$H183)=0))&gt;1,"",MAX($O$4:O182)+1)))</f>
        <v/>
      </c>
      <c r="P183" s="0" t="str">
        <f aca="false">IFERROR(INDEX(CSV貼付B!$N$5:$N$1004,MATCH(ROW()-4,$O$5:$O$1004,0)),"")</f>
        <v/>
      </c>
      <c r="Q183" s="0" t="str">
        <f aca="false">IF(ROW()-4&lt;=MAX($M$5:$M$1004),IFERROR(INDEX($N$5:$N$1004,ROW()-4),""),IFERROR(INDEX($P$5:$P$1004,ROW()-4-MAX($M$5:$M$1004)),""))</f>
        <v/>
      </c>
    </row>
    <row r="184" customFormat="false" ht="15" hidden="false" customHeight="false" outlineLevel="0" collapsed="false">
      <c r="M184" s="0" t="str">
        <f aca="false">IF(CSV貼付A!$N184="","",IF(COUNTIF($B$37:$B$48,CSV貼付A!$H184)&gt;0,"",IF(SUMPRODUCT((CSV貼付A!$N$5:$N184=CSV貼付A!$N184)*(COUNTIF($B$37:$B$48,CSV貼付A!$H$5:$H184)=0))&gt;1,"",MAX($M$4:M183)+1)))</f>
        <v/>
      </c>
      <c r="N184" s="0" t="str">
        <f aca="false">IFERROR(INDEX(CSV貼付A!$N$5:$N$1004,MATCH(ROW()-4,$M$5:$M$1004,0)),"")</f>
        <v/>
      </c>
      <c r="O184" s="0" t="str">
        <f aca="false">IF(CSV貼付B!$N184="","",IF(COUNTIF($B$37:$B$48,CSV貼付B!$H184)&gt;0,"",IF(SUMPRODUCT((CSV貼付B!$N$5:$N184=CSV貼付B!$N184)*(COUNTIF($B$37:$B$48,CSV貼付B!$H$5:$H184)=0))&gt;1,"",MAX($O$4:O183)+1)))</f>
        <v/>
      </c>
      <c r="P184" s="0" t="str">
        <f aca="false">IFERROR(INDEX(CSV貼付B!$N$5:$N$1004,MATCH(ROW()-4,$O$5:$O$1004,0)),"")</f>
        <v/>
      </c>
      <c r="Q184" s="0" t="str">
        <f aca="false">IF(ROW()-4&lt;=MAX($M$5:$M$1004),IFERROR(INDEX($N$5:$N$1004,ROW()-4),""),IFERROR(INDEX($P$5:$P$1004,ROW()-4-MAX($M$5:$M$1004)),""))</f>
        <v/>
      </c>
    </row>
    <row r="185" customFormat="false" ht="15" hidden="false" customHeight="false" outlineLevel="0" collapsed="false">
      <c r="M185" s="0" t="str">
        <f aca="false">IF(CSV貼付A!$N185="","",IF(COUNTIF($B$37:$B$48,CSV貼付A!$H185)&gt;0,"",IF(SUMPRODUCT((CSV貼付A!$N$5:$N185=CSV貼付A!$N185)*(COUNTIF($B$37:$B$48,CSV貼付A!$H$5:$H185)=0))&gt;1,"",MAX($M$4:M184)+1)))</f>
        <v/>
      </c>
      <c r="N185" s="0" t="str">
        <f aca="false">IFERROR(INDEX(CSV貼付A!$N$5:$N$1004,MATCH(ROW()-4,$M$5:$M$1004,0)),"")</f>
        <v/>
      </c>
      <c r="O185" s="0" t="str">
        <f aca="false">IF(CSV貼付B!$N185="","",IF(COUNTIF($B$37:$B$48,CSV貼付B!$H185)&gt;0,"",IF(SUMPRODUCT((CSV貼付B!$N$5:$N185=CSV貼付B!$N185)*(COUNTIF($B$37:$B$48,CSV貼付B!$H$5:$H185)=0))&gt;1,"",MAX($O$4:O184)+1)))</f>
        <v/>
      </c>
      <c r="P185" s="0" t="str">
        <f aca="false">IFERROR(INDEX(CSV貼付B!$N$5:$N$1004,MATCH(ROW()-4,$O$5:$O$1004,0)),"")</f>
        <v/>
      </c>
      <c r="Q185" s="0" t="str">
        <f aca="false">IF(ROW()-4&lt;=MAX($M$5:$M$1004),IFERROR(INDEX($N$5:$N$1004,ROW()-4),""),IFERROR(INDEX($P$5:$P$1004,ROW()-4-MAX($M$5:$M$1004)),""))</f>
        <v/>
      </c>
    </row>
    <row r="186" customFormat="false" ht="15" hidden="false" customHeight="false" outlineLevel="0" collapsed="false">
      <c r="M186" s="0" t="str">
        <f aca="false">IF(CSV貼付A!$N186="","",IF(COUNTIF($B$37:$B$48,CSV貼付A!$H186)&gt;0,"",IF(SUMPRODUCT((CSV貼付A!$N$5:$N186=CSV貼付A!$N186)*(COUNTIF($B$37:$B$48,CSV貼付A!$H$5:$H186)=0))&gt;1,"",MAX($M$4:M185)+1)))</f>
        <v/>
      </c>
      <c r="N186" s="0" t="str">
        <f aca="false">IFERROR(INDEX(CSV貼付A!$N$5:$N$1004,MATCH(ROW()-4,$M$5:$M$1004,0)),"")</f>
        <v/>
      </c>
      <c r="O186" s="0" t="str">
        <f aca="false">IF(CSV貼付B!$N186="","",IF(COUNTIF($B$37:$B$48,CSV貼付B!$H186)&gt;0,"",IF(SUMPRODUCT((CSV貼付B!$N$5:$N186=CSV貼付B!$N186)*(COUNTIF($B$37:$B$48,CSV貼付B!$H$5:$H186)=0))&gt;1,"",MAX($O$4:O185)+1)))</f>
        <v/>
      </c>
      <c r="P186" s="0" t="str">
        <f aca="false">IFERROR(INDEX(CSV貼付B!$N$5:$N$1004,MATCH(ROW()-4,$O$5:$O$1004,0)),"")</f>
        <v/>
      </c>
      <c r="Q186" s="0" t="str">
        <f aca="false">IF(ROW()-4&lt;=MAX($M$5:$M$1004),IFERROR(INDEX($N$5:$N$1004,ROW()-4),""),IFERROR(INDEX($P$5:$P$1004,ROW()-4-MAX($M$5:$M$1004)),""))</f>
        <v/>
      </c>
    </row>
    <row r="187" customFormat="false" ht="15" hidden="false" customHeight="false" outlineLevel="0" collapsed="false">
      <c r="M187" s="0" t="str">
        <f aca="false">IF(CSV貼付A!$N187="","",IF(COUNTIF($B$37:$B$48,CSV貼付A!$H187)&gt;0,"",IF(SUMPRODUCT((CSV貼付A!$N$5:$N187=CSV貼付A!$N187)*(COUNTIF($B$37:$B$48,CSV貼付A!$H$5:$H187)=0))&gt;1,"",MAX($M$4:M186)+1)))</f>
        <v/>
      </c>
      <c r="N187" s="0" t="str">
        <f aca="false">IFERROR(INDEX(CSV貼付A!$N$5:$N$1004,MATCH(ROW()-4,$M$5:$M$1004,0)),"")</f>
        <v/>
      </c>
      <c r="O187" s="0" t="str">
        <f aca="false">IF(CSV貼付B!$N187="","",IF(COUNTIF($B$37:$B$48,CSV貼付B!$H187)&gt;0,"",IF(SUMPRODUCT((CSV貼付B!$N$5:$N187=CSV貼付B!$N187)*(COUNTIF($B$37:$B$48,CSV貼付B!$H$5:$H187)=0))&gt;1,"",MAX($O$4:O186)+1)))</f>
        <v/>
      </c>
      <c r="P187" s="0" t="str">
        <f aca="false">IFERROR(INDEX(CSV貼付B!$N$5:$N$1004,MATCH(ROW()-4,$O$5:$O$1004,0)),"")</f>
        <v/>
      </c>
      <c r="Q187" s="0" t="str">
        <f aca="false">IF(ROW()-4&lt;=MAX($M$5:$M$1004),IFERROR(INDEX($N$5:$N$1004,ROW()-4),""),IFERROR(INDEX($P$5:$P$1004,ROW()-4-MAX($M$5:$M$1004)),""))</f>
        <v/>
      </c>
    </row>
    <row r="188" customFormat="false" ht="15" hidden="false" customHeight="false" outlineLevel="0" collapsed="false">
      <c r="M188" s="0" t="str">
        <f aca="false">IF(CSV貼付A!$N188="","",IF(COUNTIF($B$37:$B$48,CSV貼付A!$H188)&gt;0,"",IF(SUMPRODUCT((CSV貼付A!$N$5:$N188=CSV貼付A!$N188)*(COUNTIF($B$37:$B$48,CSV貼付A!$H$5:$H188)=0))&gt;1,"",MAX($M$4:M187)+1)))</f>
        <v/>
      </c>
      <c r="N188" s="0" t="str">
        <f aca="false">IFERROR(INDEX(CSV貼付A!$N$5:$N$1004,MATCH(ROW()-4,$M$5:$M$1004,0)),"")</f>
        <v/>
      </c>
      <c r="O188" s="0" t="str">
        <f aca="false">IF(CSV貼付B!$N188="","",IF(COUNTIF($B$37:$B$48,CSV貼付B!$H188)&gt;0,"",IF(SUMPRODUCT((CSV貼付B!$N$5:$N188=CSV貼付B!$N188)*(COUNTIF($B$37:$B$48,CSV貼付B!$H$5:$H188)=0))&gt;1,"",MAX($O$4:O187)+1)))</f>
        <v/>
      </c>
      <c r="P188" s="0" t="str">
        <f aca="false">IFERROR(INDEX(CSV貼付B!$N$5:$N$1004,MATCH(ROW()-4,$O$5:$O$1004,0)),"")</f>
        <v/>
      </c>
      <c r="Q188" s="0" t="str">
        <f aca="false">IF(ROW()-4&lt;=MAX($M$5:$M$1004),IFERROR(INDEX($N$5:$N$1004,ROW()-4),""),IFERROR(INDEX($P$5:$P$1004,ROW()-4-MAX($M$5:$M$1004)),""))</f>
        <v/>
      </c>
    </row>
    <row r="189" customFormat="false" ht="15" hidden="false" customHeight="false" outlineLevel="0" collapsed="false">
      <c r="M189" s="0" t="str">
        <f aca="false">IF(CSV貼付A!$N189="","",IF(COUNTIF($B$37:$B$48,CSV貼付A!$H189)&gt;0,"",IF(SUMPRODUCT((CSV貼付A!$N$5:$N189=CSV貼付A!$N189)*(COUNTIF($B$37:$B$48,CSV貼付A!$H$5:$H189)=0))&gt;1,"",MAX($M$4:M188)+1)))</f>
        <v/>
      </c>
      <c r="N189" s="0" t="str">
        <f aca="false">IFERROR(INDEX(CSV貼付A!$N$5:$N$1004,MATCH(ROW()-4,$M$5:$M$1004,0)),"")</f>
        <v/>
      </c>
      <c r="O189" s="0" t="str">
        <f aca="false">IF(CSV貼付B!$N189="","",IF(COUNTIF($B$37:$B$48,CSV貼付B!$H189)&gt;0,"",IF(SUMPRODUCT((CSV貼付B!$N$5:$N189=CSV貼付B!$N189)*(COUNTIF($B$37:$B$48,CSV貼付B!$H$5:$H189)=0))&gt;1,"",MAX($O$4:O188)+1)))</f>
        <v/>
      </c>
      <c r="P189" s="0" t="str">
        <f aca="false">IFERROR(INDEX(CSV貼付B!$N$5:$N$1004,MATCH(ROW()-4,$O$5:$O$1004,0)),"")</f>
        <v/>
      </c>
      <c r="Q189" s="0" t="str">
        <f aca="false">IF(ROW()-4&lt;=MAX($M$5:$M$1004),IFERROR(INDEX($N$5:$N$1004,ROW()-4),""),IFERROR(INDEX($P$5:$P$1004,ROW()-4-MAX($M$5:$M$1004)),""))</f>
        <v/>
      </c>
    </row>
    <row r="190" customFormat="false" ht="15" hidden="false" customHeight="false" outlineLevel="0" collapsed="false">
      <c r="M190" s="0" t="str">
        <f aca="false">IF(CSV貼付A!$N190="","",IF(COUNTIF($B$37:$B$48,CSV貼付A!$H190)&gt;0,"",IF(SUMPRODUCT((CSV貼付A!$N$5:$N190=CSV貼付A!$N190)*(COUNTIF($B$37:$B$48,CSV貼付A!$H$5:$H190)=0))&gt;1,"",MAX($M$4:M189)+1)))</f>
        <v/>
      </c>
      <c r="N190" s="0" t="str">
        <f aca="false">IFERROR(INDEX(CSV貼付A!$N$5:$N$1004,MATCH(ROW()-4,$M$5:$M$1004,0)),"")</f>
        <v/>
      </c>
      <c r="O190" s="0" t="str">
        <f aca="false">IF(CSV貼付B!$N190="","",IF(COUNTIF($B$37:$B$48,CSV貼付B!$H190)&gt;0,"",IF(SUMPRODUCT((CSV貼付B!$N$5:$N190=CSV貼付B!$N190)*(COUNTIF($B$37:$B$48,CSV貼付B!$H$5:$H190)=0))&gt;1,"",MAX($O$4:O189)+1)))</f>
        <v/>
      </c>
      <c r="P190" s="0" t="str">
        <f aca="false">IFERROR(INDEX(CSV貼付B!$N$5:$N$1004,MATCH(ROW()-4,$O$5:$O$1004,0)),"")</f>
        <v/>
      </c>
      <c r="Q190" s="0" t="str">
        <f aca="false">IF(ROW()-4&lt;=MAX($M$5:$M$1004),IFERROR(INDEX($N$5:$N$1004,ROW()-4),""),IFERROR(INDEX($P$5:$P$1004,ROW()-4-MAX($M$5:$M$1004)),""))</f>
        <v/>
      </c>
    </row>
    <row r="191" customFormat="false" ht="15" hidden="false" customHeight="false" outlineLevel="0" collapsed="false">
      <c r="M191" s="0" t="str">
        <f aca="false">IF(CSV貼付A!$N191="","",IF(COUNTIF($B$37:$B$48,CSV貼付A!$H191)&gt;0,"",IF(SUMPRODUCT((CSV貼付A!$N$5:$N191=CSV貼付A!$N191)*(COUNTIF($B$37:$B$48,CSV貼付A!$H$5:$H191)=0))&gt;1,"",MAX($M$4:M190)+1)))</f>
        <v/>
      </c>
      <c r="N191" s="0" t="str">
        <f aca="false">IFERROR(INDEX(CSV貼付A!$N$5:$N$1004,MATCH(ROW()-4,$M$5:$M$1004,0)),"")</f>
        <v/>
      </c>
      <c r="O191" s="0" t="str">
        <f aca="false">IF(CSV貼付B!$N191="","",IF(COUNTIF($B$37:$B$48,CSV貼付B!$H191)&gt;0,"",IF(SUMPRODUCT((CSV貼付B!$N$5:$N191=CSV貼付B!$N191)*(COUNTIF($B$37:$B$48,CSV貼付B!$H$5:$H191)=0))&gt;1,"",MAX($O$4:O190)+1)))</f>
        <v/>
      </c>
      <c r="P191" s="0" t="str">
        <f aca="false">IFERROR(INDEX(CSV貼付B!$N$5:$N$1004,MATCH(ROW()-4,$O$5:$O$1004,0)),"")</f>
        <v/>
      </c>
      <c r="Q191" s="0" t="str">
        <f aca="false">IF(ROW()-4&lt;=MAX($M$5:$M$1004),IFERROR(INDEX($N$5:$N$1004,ROW()-4),""),IFERROR(INDEX($P$5:$P$1004,ROW()-4-MAX($M$5:$M$1004)),""))</f>
        <v/>
      </c>
    </row>
    <row r="192" customFormat="false" ht="15" hidden="false" customHeight="false" outlineLevel="0" collapsed="false">
      <c r="M192" s="0" t="str">
        <f aca="false">IF(CSV貼付A!$N192="","",IF(COUNTIF($B$37:$B$48,CSV貼付A!$H192)&gt;0,"",IF(SUMPRODUCT((CSV貼付A!$N$5:$N192=CSV貼付A!$N192)*(COUNTIF($B$37:$B$48,CSV貼付A!$H$5:$H192)=0))&gt;1,"",MAX($M$4:M191)+1)))</f>
        <v/>
      </c>
      <c r="N192" s="0" t="str">
        <f aca="false">IFERROR(INDEX(CSV貼付A!$N$5:$N$1004,MATCH(ROW()-4,$M$5:$M$1004,0)),"")</f>
        <v/>
      </c>
      <c r="O192" s="0" t="str">
        <f aca="false">IF(CSV貼付B!$N192="","",IF(COUNTIF($B$37:$B$48,CSV貼付B!$H192)&gt;0,"",IF(SUMPRODUCT((CSV貼付B!$N$5:$N192=CSV貼付B!$N192)*(COUNTIF($B$37:$B$48,CSV貼付B!$H$5:$H192)=0))&gt;1,"",MAX($O$4:O191)+1)))</f>
        <v/>
      </c>
      <c r="P192" s="0" t="str">
        <f aca="false">IFERROR(INDEX(CSV貼付B!$N$5:$N$1004,MATCH(ROW()-4,$O$5:$O$1004,0)),"")</f>
        <v/>
      </c>
      <c r="Q192" s="0" t="str">
        <f aca="false">IF(ROW()-4&lt;=MAX($M$5:$M$1004),IFERROR(INDEX($N$5:$N$1004,ROW()-4),""),IFERROR(INDEX($P$5:$P$1004,ROW()-4-MAX($M$5:$M$1004)),""))</f>
        <v/>
      </c>
    </row>
    <row r="193" customFormat="false" ht="15" hidden="false" customHeight="false" outlineLevel="0" collapsed="false">
      <c r="M193" s="0" t="str">
        <f aca="false">IF(CSV貼付A!$N193="","",IF(COUNTIF($B$37:$B$48,CSV貼付A!$H193)&gt;0,"",IF(SUMPRODUCT((CSV貼付A!$N$5:$N193=CSV貼付A!$N193)*(COUNTIF($B$37:$B$48,CSV貼付A!$H$5:$H193)=0))&gt;1,"",MAX($M$4:M192)+1)))</f>
        <v/>
      </c>
      <c r="N193" s="0" t="str">
        <f aca="false">IFERROR(INDEX(CSV貼付A!$N$5:$N$1004,MATCH(ROW()-4,$M$5:$M$1004,0)),"")</f>
        <v/>
      </c>
      <c r="O193" s="0" t="str">
        <f aca="false">IF(CSV貼付B!$N193="","",IF(COUNTIF($B$37:$B$48,CSV貼付B!$H193)&gt;0,"",IF(SUMPRODUCT((CSV貼付B!$N$5:$N193=CSV貼付B!$N193)*(COUNTIF($B$37:$B$48,CSV貼付B!$H$5:$H193)=0))&gt;1,"",MAX($O$4:O192)+1)))</f>
        <v/>
      </c>
      <c r="P193" s="0" t="str">
        <f aca="false">IFERROR(INDEX(CSV貼付B!$N$5:$N$1004,MATCH(ROW()-4,$O$5:$O$1004,0)),"")</f>
        <v/>
      </c>
      <c r="Q193" s="0" t="str">
        <f aca="false">IF(ROW()-4&lt;=MAX($M$5:$M$1004),IFERROR(INDEX($N$5:$N$1004,ROW()-4),""),IFERROR(INDEX($P$5:$P$1004,ROW()-4-MAX($M$5:$M$1004)),""))</f>
        <v/>
      </c>
    </row>
    <row r="194" customFormat="false" ht="15" hidden="false" customHeight="false" outlineLevel="0" collapsed="false">
      <c r="M194" s="0" t="str">
        <f aca="false">IF(CSV貼付A!$N194="","",IF(COUNTIF($B$37:$B$48,CSV貼付A!$H194)&gt;0,"",IF(SUMPRODUCT((CSV貼付A!$N$5:$N194=CSV貼付A!$N194)*(COUNTIF($B$37:$B$48,CSV貼付A!$H$5:$H194)=0))&gt;1,"",MAX($M$4:M193)+1)))</f>
        <v/>
      </c>
      <c r="N194" s="0" t="str">
        <f aca="false">IFERROR(INDEX(CSV貼付A!$N$5:$N$1004,MATCH(ROW()-4,$M$5:$M$1004,0)),"")</f>
        <v/>
      </c>
      <c r="O194" s="0" t="str">
        <f aca="false">IF(CSV貼付B!$N194="","",IF(COUNTIF($B$37:$B$48,CSV貼付B!$H194)&gt;0,"",IF(SUMPRODUCT((CSV貼付B!$N$5:$N194=CSV貼付B!$N194)*(COUNTIF($B$37:$B$48,CSV貼付B!$H$5:$H194)=0))&gt;1,"",MAX($O$4:O193)+1)))</f>
        <v/>
      </c>
      <c r="P194" s="0" t="str">
        <f aca="false">IFERROR(INDEX(CSV貼付B!$N$5:$N$1004,MATCH(ROW()-4,$O$5:$O$1004,0)),"")</f>
        <v/>
      </c>
      <c r="Q194" s="0" t="str">
        <f aca="false">IF(ROW()-4&lt;=MAX($M$5:$M$1004),IFERROR(INDEX($N$5:$N$1004,ROW()-4),""),IFERROR(INDEX($P$5:$P$1004,ROW()-4-MAX($M$5:$M$1004)),""))</f>
        <v/>
      </c>
    </row>
    <row r="195" customFormat="false" ht="15" hidden="false" customHeight="false" outlineLevel="0" collapsed="false">
      <c r="M195" s="0" t="str">
        <f aca="false">IF(CSV貼付A!$N195="","",IF(COUNTIF($B$37:$B$48,CSV貼付A!$H195)&gt;0,"",IF(SUMPRODUCT((CSV貼付A!$N$5:$N195=CSV貼付A!$N195)*(COUNTIF($B$37:$B$48,CSV貼付A!$H$5:$H195)=0))&gt;1,"",MAX($M$4:M194)+1)))</f>
        <v/>
      </c>
      <c r="N195" s="0" t="str">
        <f aca="false">IFERROR(INDEX(CSV貼付A!$N$5:$N$1004,MATCH(ROW()-4,$M$5:$M$1004,0)),"")</f>
        <v/>
      </c>
      <c r="O195" s="0" t="str">
        <f aca="false">IF(CSV貼付B!$N195="","",IF(COUNTIF($B$37:$B$48,CSV貼付B!$H195)&gt;0,"",IF(SUMPRODUCT((CSV貼付B!$N$5:$N195=CSV貼付B!$N195)*(COUNTIF($B$37:$B$48,CSV貼付B!$H$5:$H195)=0))&gt;1,"",MAX($O$4:O194)+1)))</f>
        <v/>
      </c>
      <c r="P195" s="0" t="str">
        <f aca="false">IFERROR(INDEX(CSV貼付B!$N$5:$N$1004,MATCH(ROW()-4,$O$5:$O$1004,0)),"")</f>
        <v/>
      </c>
      <c r="Q195" s="0" t="str">
        <f aca="false">IF(ROW()-4&lt;=MAX($M$5:$M$1004),IFERROR(INDEX($N$5:$N$1004,ROW()-4),""),IFERROR(INDEX($P$5:$P$1004,ROW()-4-MAX($M$5:$M$1004)),""))</f>
        <v/>
      </c>
    </row>
    <row r="196" customFormat="false" ht="15" hidden="false" customHeight="false" outlineLevel="0" collapsed="false">
      <c r="M196" s="0" t="str">
        <f aca="false">IF(CSV貼付A!$N196="","",IF(COUNTIF($B$37:$B$48,CSV貼付A!$H196)&gt;0,"",IF(SUMPRODUCT((CSV貼付A!$N$5:$N196=CSV貼付A!$N196)*(COUNTIF($B$37:$B$48,CSV貼付A!$H$5:$H196)=0))&gt;1,"",MAX($M$4:M195)+1)))</f>
        <v/>
      </c>
      <c r="N196" s="0" t="str">
        <f aca="false">IFERROR(INDEX(CSV貼付A!$N$5:$N$1004,MATCH(ROW()-4,$M$5:$M$1004,0)),"")</f>
        <v/>
      </c>
      <c r="O196" s="0" t="str">
        <f aca="false">IF(CSV貼付B!$N196="","",IF(COUNTIF($B$37:$B$48,CSV貼付B!$H196)&gt;0,"",IF(SUMPRODUCT((CSV貼付B!$N$5:$N196=CSV貼付B!$N196)*(COUNTIF($B$37:$B$48,CSV貼付B!$H$5:$H196)=0))&gt;1,"",MAX($O$4:O195)+1)))</f>
        <v/>
      </c>
      <c r="P196" s="0" t="str">
        <f aca="false">IFERROR(INDEX(CSV貼付B!$N$5:$N$1004,MATCH(ROW()-4,$O$5:$O$1004,0)),"")</f>
        <v/>
      </c>
      <c r="Q196" s="0" t="str">
        <f aca="false">IF(ROW()-4&lt;=MAX($M$5:$M$1004),IFERROR(INDEX($N$5:$N$1004,ROW()-4),""),IFERROR(INDEX($P$5:$P$1004,ROW()-4-MAX($M$5:$M$1004)),""))</f>
        <v/>
      </c>
    </row>
    <row r="197" customFormat="false" ht="15" hidden="false" customHeight="false" outlineLevel="0" collapsed="false">
      <c r="M197" s="0" t="str">
        <f aca="false">IF(CSV貼付A!$N197="","",IF(COUNTIF($B$37:$B$48,CSV貼付A!$H197)&gt;0,"",IF(SUMPRODUCT((CSV貼付A!$N$5:$N197=CSV貼付A!$N197)*(COUNTIF($B$37:$B$48,CSV貼付A!$H$5:$H197)=0))&gt;1,"",MAX($M$4:M196)+1)))</f>
        <v/>
      </c>
      <c r="N197" s="0" t="str">
        <f aca="false">IFERROR(INDEX(CSV貼付A!$N$5:$N$1004,MATCH(ROW()-4,$M$5:$M$1004,0)),"")</f>
        <v/>
      </c>
      <c r="O197" s="0" t="str">
        <f aca="false">IF(CSV貼付B!$N197="","",IF(COUNTIF($B$37:$B$48,CSV貼付B!$H197)&gt;0,"",IF(SUMPRODUCT((CSV貼付B!$N$5:$N197=CSV貼付B!$N197)*(COUNTIF($B$37:$B$48,CSV貼付B!$H$5:$H197)=0))&gt;1,"",MAX($O$4:O196)+1)))</f>
        <v/>
      </c>
      <c r="P197" s="0" t="str">
        <f aca="false">IFERROR(INDEX(CSV貼付B!$N$5:$N$1004,MATCH(ROW()-4,$O$5:$O$1004,0)),"")</f>
        <v/>
      </c>
      <c r="Q197" s="0" t="str">
        <f aca="false">IF(ROW()-4&lt;=MAX($M$5:$M$1004),IFERROR(INDEX($N$5:$N$1004,ROW()-4),""),IFERROR(INDEX($P$5:$P$1004,ROW()-4-MAX($M$5:$M$1004)),""))</f>
        <v/>
      </c>
    </row>
    <row r="198" customFormat="false" ht="15" hidden="false" customHeight="false" outlineLevel="0" collapsed="false">
      <c r="M198" s="0" t="str">
        <f aca="false">IF(CSV貼付A!$N198="","",IF(COUNTIF($B$37:$B$48,CSV貼付A!$H198)&gt;0,"",IF(SUMPRODUCT((CSV貼付A!$N$5:$N198=CSV貼付A!$N198)*(COUNTIF($B$37:$B$48,CSV貼付A!$H$5:$H198)=0))&gt;1,"",MAX($M$4:M197)+1)))</f>
        <v/>
      </c>
      <c r="N198" s="0" t="str">
        <f aca="false">IFERROR(INDEX(CSV貼付A!$N$5:$N$1004,MATCH(ROW()-4,$M$5:$M$1004,0)),"")</f>
        <v/>
      </c>
      <c r="O198" s="0" t="str">
        <f aca="false">IF(CSV貼付B!$N198="","",IF(COUNTIF($B$37:$B$48,CSV貼付B!$H198)&gt;0,"",IF(SUMPRODUCT((CSV貼付B!$N$5:$N198=CSV貼付B!$N198)*(COUNTIF($B$37:$B$48,CSV貼付B!$H$5:$H198)=0))&gt;1,"",MAX($O$4:O197)+1)))</f>
        <v/>
      </c>
      <c r="P198" s="0" t="str">
        <f aca="false">IFERROR(INDEX(CSV貼付B!$N$5:$N$1004,MATCH(ROW()-4,$O$5:$O$1004,0)),"")</f>
        <v/>
      </c>
      <c r="Q198" s="0" t="str">
        <f aca="false">IF(ROW()-4&lt;=MAX($M$5:$M$1004),IFERROR(INDEX($N$5:$N$1004,ROW()-4),""),IFERROR(INDEX($P$5:$P$1004,ROW()-4-MAX($M$5:$M$1004)),""))</f>
        <v/>
      </c>
    </row>
    <row r="199" customFormat="false" ht="15" hidden="false" customHeight="false" outlineLevel="0" collapsed="false">
      <c r="M199" s="0" t="str">
        <f aca="false">IF(CSV貼付A!$N199="","",IF(COUNTIF($B$37:$B$48,CSV貼付A!$H199)&gt;0,"",IF(SUMPRODUCT((CSV貼付A!$N$5:$N199=CSV貼付A!$N199)*(COUNTIF($B$37:$B$48,CSV貼付A!$H$5:$H199)=0))&gt;1,"",MAX($M$4:M198)+1)))</f>
        <v/>
      </c>
      <c r="N199" s="0" t="str">
        <f aca="false">IFERROR(INDEX(CSV貼付A!$N$5:$N$1004,MATCH(ROW()-4,$M$5:$M$1004,0)),"")</f>
        <v/>
      </c>
      <c r="O199" s="0" t="str">
        <f aca="false">IF(CSV貼付B!$N199="","",IF(COUNTIF($B$37:$B$48,CSV貼付B!$H199)&gt;0,"",IF(SUMPRODUCT((CSV貼付B!$N$5:$N199=CSV貼付B!$N199)*(COUNTIF($B$37:$B$48,CSV貼付B!$H$5:$H199)=0))&gt;1,"",MAX($O$4:O198)+1)))</f>
        <v/>
      </c>
      <c r="P199" s="0" t="str">
        <f aca="false">IFERROR(INDEX(CSV貼付B!$N$5:$N$1004,MATCH(ROW()-4,$O$5:$O$1004,0)),"")</f>
        <v/>
      </c>
      <c r="Q199" s="0" t="str">
        <f aca="false">IF(ROW()-4&lt;=MAX($M$5:$M$1004),IFERROR(INDEX($N$5:$N$1004,ROW()-4),""),IFERROR(INDEX($P$5:$P$1004,ROW()-4-MAX($M$5:$M$1004)),""))</f>
        <v/>
      </c>
    </row>
    <row r="200" customFormat="false" ht="15" hidden="false" customHeight="false" outlineLevel="0" collapsed="false">
      <c r="M200" s="0" t="str">
        <f aca="false">IF(CSV貼付A!$N200="","",IF(COUNTIF($B$37:$B$48,CSV貼付A!$H200)&gt;0,"",IF(SUMPRODUCT((CSV貼付A!$N$5:$N200=CSV貼付A!$N200)*(COUNTIF($B$37:$B$48,CSV貼付A!$H$5:$H200)=0))&gt;1,"",MAX($M$4:M199)+1)))</f>
        <v/>
      </c>
      <c r="N200" s="0" t="str">
        <f aca="false">IFERROR(INDEX(CSV貼付A!$N$5:$N$1004,MATCH(ROW()-4,$M$5:$M$1004,0)),"")</f>
        <v/>
      </c>
      <c r="O200" s="0" t="str">
        <f aca="false">IF(CSV貼付B!$N200="","",IF(COUNTIF($B$37:$B$48,CSV貼付B!$H200)&gt;0,"",IF(SUMPRODUCT((CSV貼付B!$N$5:$N200=CSV貼付B!$N200)*(COUNTIF($B$37:$B$48,CSV貼付B!$H$5:$H200)=0))&gt;1,"",MAX($O$4:O199)+1)))</f>
        <v/>
      </c>
      <c r="P200" s="0" t="str">
        <f aca="false">IFERROR(INDEX(CSV貼付B!$N$5:$N$1004,MATCH(ROW()-4,$O$5:$O$1004,0)),"")</f>
        <v/>
      </c>
      <c r="Q200" s="0" t="str">
        <f aca="false">IF(ROW()-4&lt;=MAX($M$5:$M$1004),IFERROR(INDEX($N$5:$N$1004,ROW()-4),""),IFERROR(INDEX($P$5:$P$1004,ROW()-4-MAX($M$5:$M$1004)),""))</f>
        <v/>
      </c>
    </row>
    <row r="201" customFormat="false" ht="15" hidden="false" customHeight="false" outlineLevel="0" collapsed="false">
      <c r="M201" s="0" t="str">
        <f aca="false">IF(CSV貼付A!$N201="","",IF(COUNTIF($B$37:$B$48,CSV貼付A!$H201)&gt;0,"",IF(SUMPRODUCT((CSV貼付A!$N$5:$N201=CSV貼付A!$N201)*(COUNTIF($B$37:$B$48,CSV貼付A!$H$5:$H201)=0))&gt;1,"",MAX($M$4:M200)+1)))</f>
        <v/>
      </c>
      <c r="N201" s="0" t="str">
        <f aca="false">IFERROR(INDEX(CSV貼付A!$N$5:$N$1004,MATCH(ROW()-4,$M$5:$M$1004,0)),"")</f>
        <v/>
      </c>
      <c r="O201" s="0" t="str">
        <f aca="false">IF(CSV貼付B!$N201="","",IF(COUNTIF($B$37:$B$48,CSV貼付B!$H201)&gt;0,"",IF(SUMPRODUCT((CSV貼付B!$N$5:$N201=CSV貼付B!$N201)*(COUNTIF($B$37:$B$48,CSV貼付B!$H$5:$H201)=0))&gt;1,"",MAX($O$4:O200)+1)))</f>
        <v/>
      </c>
      <c r="P201" s="0" t="str">
        <f aca="false">IFERROR(INDEX(CSV貼付B!$N$5:$N$1004,MATCH(ROW()-4,$O$5:$O$1004,0)),"")</f>
        <v/>
      </c>
      <c r="Q201" s="0" t="str">
        <f aca="false">IF(ROW()-4&lt;=MAX($M$5:$M$1004),IFERROR(INDEX($N$5:$N$1004,ROW()-4),""),IFERROR(INDEX($P$5:$P$1004,ROW()-4-MAX($M$5:$M$1004)),""))</f>
        <v/>
      </c>
    </row>
    <row r="202" customFormat="false" ht="15" hidden="false" customHeight="false" outlineLevel="0" collapsed="false">
      <c r="M202" s="0" t="str">
        <f aca="false">IF(CSV貼付A!$N202="","",IF(COUNTIF($B$37:$B$48,CSV貼付A!$H202)&gt;0,"",IF(SUMPRODUCT((CSV貼付A!$N$5:$N202=CSV貼付A!$N202)*(COUNTIF($B$37:$B$48,CSV貼付A!$H$5:$H202)=0))&gt;1,"",MAX($M$4:M201)+1)))</f>
        <v/>
      </c>
      <c r="N202" s="0" t="str">
        <f aca="false">IFERROR(INDEX(CSV貼付A!$N$5:$N$1004,MATCH(ROW()-4,$M$5:$M$1004,0)),"")</f>
        <v/>
      </c>
      <c r="O202" s="0" t="str">
        <f aca="false">IF(CSV貼付B!$N202="","",IF(COUNTIF($B$37:$B$48,CSV貼付B!$H202)&gt;0,"",IF(SUMPRODUCT((CSV貼付B!$N$5:$N202=CSV貼付B!$N202)*(COUNTIF($B$37:$B$48,CSV貼付B!$H$5:$H202)=0))&gt;1,"",MAX($O$4:O201)+1)))</f>
        <v/>
      </c>
      <c r="P202" s="0" t="str">
        <f aca="false">IFERROR(INDEX(CSV貼付B!$N$5:$N$1004,MATCH(ROW()-4,$O$5:$O$1004,0)),"")</f>
        <v/>
      </c>
      <c r="Q202" s="0" t="str">
        <f aca="false">IF(ROW()-4&lt;=MAX($M$5:$M$1004),IFERROR(INDEX($N$5:$N$1004,ROW()-4),""),IFERROR(INDEX($P$5:$P$1004,ROW()-4-MAX($M$5:$M$1004)),""))</f>
        <v/>
      </c>
    </row>
    <row r="203" customFormat="false" ht="15" hidden="false" customHeight="false" outlineLevel="0" collapsed="false">
      <c r="M203" s="0" t="str">
        <f aca="false">IF(CSV貼付A!$N203="","",IF(COUNTIF($B$37:$B$48,CSV貼付A!$H203)&gt;0,"",IF(SUMPRODUCT((CSV貼付A!$N$5:$N203=CSV貼付A!$N203)*(COUNTIF($B$37:$B$48,CSV貼付A!$H$5:$H203)=0))&gt;1,"",MAX($M$4:M202)+1)))</f>
        <v/>
      </c>
      <c r="N203" s="0" t="str">
        <f aca="false">IFERROR(INDEX(CSV貼付A!$N$5:$N$1004,MATCH(ROW()-4,$M$5:$M$1004,0)),"")</f>
        <v/>
      </c>
      <c r="O203" s="0" t="str">
        <f aca="false">IF(CSV貼付B!$N203="","",IF(COUNTIF($B$37:$B$48,CSV貼付B!$H203)&gt;0,"",IF(SUMPRODUCT((CSV貼付B!$N$5:$N203=CSV貼付B!$N203)*(COUNTIF($B$37:$B$48,CSV貼付B!$H$5:$H203)=0))&gt;1,"",MAX($O$4:O202)+1)))</f>
        <v/>
      </c>
      <c r="P203" s="0" t="str">
        <f aca="false">IFERROR(INDEX(CSV貼付B!$N$5:$N$1004,MATCH(ROW()-4,$O$5:$O$1004,0)),"")</f>
        <v/>
      </c>
      <c r="Q203" s="0" t="str">
        <f aca="false">IF(ROW()-4&lt;=MAX($M$5:$M$1004),IFERROR(INDEX($N$5:$N$1004,ROW()-4),""),IFERROR(INDEX($P$5:$P$1004,ROW()-4-MAX($M$5:$M$1004)),""))</f>
        <v/>
      </c>
    </row>
    <row r="204" customFormat="false" ht="15" hidden="false" customHeight="false" outlineLevel="0" collapsed="false">
      <c r="M204" s="0" t="str">
        <f aca="false">IF(CSV貼付A!$N204="","",IF(COUNTIF($B$37:$B$48,CSV貼付A!$H204)&gt;0,"",IF(SUMPRODUCT((CSV貼付A!$N$5:$N204=CSV貼付A!$N204)*(COUNTIF($B$37:$B$48,CSV貼付A!$H$5:$H204)=0))&gt;1,"",MAX($M$4:M203)+1)))</f>
        <v/>
      </c>
      <c r="N204" s="0" t="str">
        <f aca="false">IFERROR(INDEX(CSV貼付A!$N$5:$N$1004,MATCH(ROW()-4,$M$5:$M$1004,0)),"")</f>
        <v/>
      </c>
      <c r="O204" s="0" t="str">
        <f aca="false">IF(CSV貼付B!$N204="","",IF(COUNTIF($B$37:$B$48,CSV貼付B!$H204)&gt;0,"",IF(SUMPRODUCT((CSV貼付B!$N$5:$N204=CSV貼付B!$N204)*(COUNTIF($B$37:$B$48,CSV貼付B!$H$5:$H204)=0))&gt;1,"",MAX($O$4:O203)+1)))</f>
        <v/>
      </c>
      <c r="P204" s="0" t="str">
        <f aca="false">IFERROR(INDEX(CSV貼付B!$N$5:$N$1004,MATCH(ROW()-4,$O$5:$O$1004,0)),"")</f>
        <v/>
      </c>
      <c r="Q204" s="0" t="str">
        <f aca="false">IF(ROW()-4&lt;=MAX($M$5:$M$1004),IFERROR(INDEX($N$5:$N$1004,ROW()-4),""),IFERROR(INDEX($P$5:$P$1004,ROW()-4-MAX($M$5:$M$1004)),""))</f>
        <v/>
      </c>
    </row>
    <row r="205" customFormat="false" ht="15" hidden="false" customHeight="false" outlineLevel="0" collapsed="false">
      <c r="M205" s="0" t="str">
        <f aca="false">IF(CSV貼付A!$N205="","",IF(COUNTIF($B$37:$B$48,CSV貼付A!$H205)&gt;0,"",IF(SUMPRODUCT((CSV貼付A!$N$5:$N205=CSV貼付A!$N205)*(COUNTIF($B$37:$B$48,CSV貼付A!$H$5:$H205)=0))&gt;1,"",MAX($M$4:M204)+1)))</f>
        <v/>
      </c>
      <c r="N205" s="0" t="str">
        <f aca="false">IFERROR(INDEX(CSV貼付A!$N$5:$N$1004,MATCH(ROW()-4,$M$5:$M$1004,0)),"")</f>
        <v/>
      </c>
      <c r="O205" s="0" t="str">
        <f aca="false">IF(CSV貼付B!$N205="","",IF(COUNTIF($B$37:$B$48,CSV貼付B!$H205)&gt;0,"",IF(SUMPRODUCT((CSV貼付B!$N$5:$N205=CSV貼付B!$N205)*(COUNTIF($B$37:$B$48,CSV貼付B!$H$5:$H205)=0))&gt;1,"",MAX($O$4:O204)+1)))</f>
        <v/>
      </c>
      <c r="P205" s="0" t="str">
        <f aca="false">IFERROR(INDEX(CSV貼付B!$N$5:$N$1004,MATCH(ROW()-4,$O$5:$O$1004,0)),"")</f>
        <v/>
      </c>
      <c r="Q205" s="0" t="str">
        <f aca="false">IF(ROW()-4&lt;=MAX($M$5:$M$1004),IFERROR(INDEX($N$5:$N$1004,ROW()-4),""),IFERROR(INDEX($P$5:$P$1004,ROW()-4-MAX($M$5:$M$1004)),""))</f>
        <v/>
      </c>
    </row>
    <row r="206" customFormat="false" ht="15" hidden="false" customHeight="false" outlineLevel="0" collapsed="false">
      <c r="M206" s="0" t="str">
        <f aca="false">IF(CSV貼付A!$N206="","",IF(COUNTIF($B$37:$B$48,CSV貼付A!$H206)&gt;0,"",IF(SUMPRODUCT((CSV貼付A!$N$5:$N206=CSV貼付A!$N206)*(COUNTIF($B$37:$B$48,CSV貼付A!$H$5:$H206)=0))&gt;1,"",MAX($M$4:M205)+1)))</f>
        <v/>
      </c>
      <c r="N206" s="0" t="str">
        <f aca="false">IFERROR(INDEX(CSV貼付A!$N$5:$N$1004,MATCH(ROW()-4,$M$5:$M$1004,0)),"")</f>
        <v/>
      </c>
      <c r="O206" s="0" t="str">
        <f aca="false">IF(CSV貼付B!$N206="","",IF(COUNTIF($B$37:$B$48,CSV貼付B!$H206)&gt;0,"",IF(SUMPRODUCT((CSV貼付B!$N$5:$N206=CSV貼付B!$N206)*(COUNTIF($B$37:$B$48,CSV貼付B!$H$5:$H206)=0))&gt;1,"",MAX($O$4:O205)+1)))</f>
        <v/>
      </c>
      <c r="P206" s="0" t="str">
        <f aca="false">IFERROR(INDEX(CSV貼付B!$N$5:$N$1004,MATCH(ROW()-4,$O$5:$O$1004,0)),"")</f>
        <v/>
      </c>
      <c r="Q206" s="0" t="str">
        <f aca="false">IF(ROW()-4&lt;=MAX($M$5:$M$1004),IFERROR(INDEX($N$5:$N$1004,ROW()-4),""),IFERROR(INDEX($P$5:$P$1004,ROW()-4-MAX($M$5:$M$1004)),""))</f>
        <v/>
      </c>
    </row>
    <row r="207" customFormat="false" ht="15" hidden="false" customHeight="false" outlineLevel="0" collapsed="false">
      <c r="M207" s="0" t="str">
        <f aca="false">IF(CSV貼付A!$N207="","",IF(COUNTIF($B$37:$B$48,CSV貼付A!$H207)&gt;0,"",IF(SUMPRODUCT((CSV貼付A!$N$5:$N207=CSV貼付A!$N207)*(COUNTIF($B$37:$B$48,CSV貼付A!$H$5:$H207)=0))&gt;1,"",MAX($M$4:M206)+1)))</f>
        <v/>
      </c>
      <c r="N207" s="0" t="str">
        <f aca="false">IFERROR(INDEX(CSV貼付A!$N$5:$N$1004,MATCH(ROW()-4,$M$5:$M$1004,0)),"")</f>
        <v/>
      </c>
      <c r="O207" s="0" t="str">
        <f aca="false">IF(CSV貼付B!$N207="","",IF(COUNTIF($B$37:$B$48,CSV貼付B!$H207)&gt;0,"",IF(SUMPRODUCT((CSV貼付B!$N$5:$N207=CSV貼付B!$N207)*(COUNTIF($B$37:$B$48,CSV貼付B!$H$5:$H207)=0))&gt;1,"",MAX($O$4:O206)+1)))</f>
        <v/>
      </c>
      <c r="P207" s="0" t="str">
        <f aca="false">IFERROR(INDEX(CSV貼付B!$N$5:$N$1004,MATCH(ROW()-4,$O$5:$O$1004,0)),"")</f>
        <v/>
      </c>
      <c r="Q207" s="0" t="str">
        <f aca="false">IF(ROW()-4&lt;=MAX($M$5:$M$1004),IFERROR(INDEX($N$5:$N$1004,ROW()-4),""),IFERROR(INDEX($P$5:$P$1004,ROW()-4-MAX($M$5:$M$1004)),""))</f>
        <v/>
      </c>
    </row>
    <row r="208" customFormat="false" ht="15" hidden="false" customHeight="false" outlineLevel="0" collapsed="false">
      <c r="M208" s="0" t="str">
        <f aca="false">IF(CSV貼付A!$N208="","",IF(COUNTIF($B$37:$B$48,CSV貼付A!$H208)&gt;0,"",IF(SUMPRODUCT((CSV貼付A!$N$5:$N208=CSV貼付A!$N208)*(COUNTIF($B$37:$B$48,CSV貼付A!$H$5:$H208)=0))&gt;1,"",MAX($M$4:M207)+1)))</f>
        <v/>
      </c>
      <c r="N208" s="0" t="str">
        <f aca="false">IFERROR(INDEX(CSV貼付A!$N$5:$N$1004,MATCH(ROW()-4,$M$5:$M$1004,0)),"")</f>
        <v/>
      </c>
      <c r="O208" s="0" t="str">
        <f aca="false">IF(CSV貼付B!$N208="","",IF(COUNTIF($B$37:$B$48,CSV貼付B!$H208)&gt;0,"",IF(SUMPRODUCT((CSV貼付B!$N$5:$N208=CSV貼付B!$N208)*(COUNTIF($B$37:$B$48,CSV貼付B!$H$5:$H208)=0))&gt;1,"",MAX($O$4:O207)+1)))</f>
        <v/>
      </c>
      <c r="P208" s="0" t="str">
        <f aca="false">IFERROR(INDEX(CSV貼付B!$N$5:$N$1004,MATCH(ROW()-4,$O$5:$O$1004,0)),"")</f>
        <v/>
      </c>
      <c r="Q208" s="0" t="str">
        <f aca="false">IF(ROW()-4&lt;=MAX($M$5:$M$1004),IFERROR(INDEX($N$5:$N$1004,ROW()-4),""),IFERROR(INDEX($P$5:$P$1004,ROW()-4-MAX($M$5:$M$1004)),""))</f>
        <v/>
      </c>
    </row>
    <row r="209" customFormat="false" ht="15" hidden="false" customHeight="false" outlineLevel="0" collapsed="false">
      <c r="M209" s="0" t="str">
        <f aca="false">IF(CSV貼付A!$N209="","",IF(COUNTIF($B$37:$B$48,CSV貼付A!$H209)&gt;0,"",IF(SUMPRODUCT((CSV貼付A!$N$5:$N209=CSV貼付A!$N209)*(COUNTIF($B$37:$B$48,CSV貼付A!$H$5:$H209)=0))&gt;1,"",MAX($M$4:M208)+1)))</f>
        <v/>
      </c>
      <c r="N209" s="0" t="str">
        <f aca="false">IFERROR(INDEX(CSV貼付A!$N$5:$N$1004,MATCH(ROW()-4,$M$5:$M$1004,0)),"")</f>
        <v/>
      </c>
      <c r="O209" s="0" t="str">
        <f aca="false">IF(CSV貼付B!$N209="","",IF(COUNTIF($B$37:$B$48,CSV貼付B!$H209)&gt;0,"",IF(SUMPRODUCT((CSV貼付B!$N$5:$N209=CSV貼付B!$N209)*(COUNTIF($B$37:$B$48,CSV貼付B!$H$5:$H209)=0))&gt;1,"",MAX($O$4:O208)+1)))</f>
        <v/>
      </c>
      <c r="P209" s="0" t="str">
        <f aca="false">IFERROR(INDEX(CSV貼付B!$N$5:$N$1004,MATCH(ROW()-4,$O$5:$O$1004,0)),"")</f>
        <v/>
      </c>
      <c r="Q209" s="0" t="str">
        <f aca="false">IF(ROW()-4&lt;=MAX($M$5:$M$1004),IFERROR(INDEX($N$5:$N$1004,ROW()-4),""),IFERROR(INDEX($P$5:$P$1004,ROW()-4-MAX($M$5:$M$1004)),""))</f>
        <v/>
      </c>
    </row>
    <row r="210" customFormat="false" ht="15" hidden="false" customHeight="false" outlineLevel="0" collapsed="false">
      <c r="M210" s="0" t="str">
        <f aca="false">IF(CSV貼付A!$N210="","",IF(COUNTIF($B$37:$B$48,CSV貼付A!$H210)&gt;0,"",IF(SUMPRODUCT((CSV貼付A!$N$5:$N210=CSV貼付A!$N210)*(COUNTIF($B$37:$B$48,CSV貼付A!$H$5:$H210)=0))&gt;1,"",MAX($M$4:M209)+1)))</f>
        <v/>
      </c>
      <c r="N210" s="0" t="str">
        <f aca="false">IFERROR(INDEX(CSV貼付A!$N$5:$N$1004,MATCH(ROW()-4,$M$5:$M$1004,0)),"")</f>
        <v/>
      </c>
      <c r="O210" s="0" t="str">
        <f aca="false">IF(CSV貼付B!$N210="","",IF(COUNTIF($B$37:$B$48,CSV貼付B!$H210)&gt;0,"",IF(SUMPRODUCT((CSV貼付B!$N$5:$N210=CSV貼付B!$N210)*(COUNTIF($B$37:$B$48,CSV貼付B!$H$5:$H210)=0))&gt;1,"",MAX($O$4:O209)+1)))</f>
        <v/>
      </c>
      <c r="P210" s="0" t="str">
        <f aca="false">IFERROR(INDEX(CSV貼付B!$N$5:$N$1004,MATCH(ROW()-4,$O$5:$O$1004,0)),"")</f>
        <v/>
      </c>
      <c r="Q210" s="0" t="str">
        <f aca="false">IF(ROW()-4&lt;=MAX($M$5:$M$1004),IFERROR(INDEX($N$5:$N$1004,ROW()-4),""),IFERROR(INDEX($P$5:$P$1004,ROW()-4-MAX($M$5:$M$1004)),""))</f>
        <v/>
      </c>
    </row>
    <row r="211" customFormat="false" ht="15" hidden="false" customHeight="false" outlineLevel="0" collapsed="false">
      <c r="M211" s="0" t="str">
        <f aca="false">IF(CSV貼付A!$N211="","",IF(COUNTIF($B$37:$B$48,CSV貼付A!$H211)&gt;0,"",IF(SUMPRODUCT((CSV貼付A!$N$5:$N211=CSV貼付A!$N211)*(COUNTIF($B$37:$B$48,CSV貼付A!$H$5:$H211)=0))&gt;1,"",MAX($M$4:M210)+1)))</f>
        <v/>
      </c>
      <c r="N211" s="0" t="str">
        <f aca="false">IFERROR(INDEX(CSV貼付A!$N$5:$N$1004,MATCH(ROW()-4,$M$5:$M$1004,0)),"")</f>
        <v/>
      </c>
      <c r="O211" s="0" t="str">
        <f aca="false">IF(CSV貼付B!$N211="","",IF(COUNTIF($B$37:$B$48,CSV貼付B!$H211)&gt;0,"",IF(SUMPRODUCT((CSV貼付B!$N$5:$N211=CSV貼付B!$N211)*(COUNTIF($B$37:$B$48,CSV貼付B!$H$5:$H211)=0))&gt;1,"",MAX($O$4:O210)+1)))</f>
        <v/>
      </c>
      <c r="P211" s="0" t="str">
        <f aca="false">IFERROR(INDEX(CSV貼付B!$N$5:$N$1004,MATCH(ROW()-4,$O$5:$O$1004,0)),"")</f>
        <v/>
      </c>
      <c r="Q211" s="0" t="str">
        <f aca="false">IF(ROW()-4&lt;=MAX($M$5:$M$1004),IFERROR(INDEX($N$5:$N$1004,ROW()-4),""),IFERROR(INDEX($P$5:$P$1004,ROW()-4-MAX($M$5:$M$1004)),""))</f>
        <v/>
      </c>
    </row>
    <row r="212" customFormat="false" ht="15" hidden="false" customHeight="false" outlineLevel="0" collapsed="false">
      <c r="M212" s="0" t="str">
        <f aca="false">IF(CSV貼付A!$N212="","",IF(COUNTIF($B$37:$B$48,CSV貼付A!$H212)&gt;0,"",IF(SUMPRODUCT((CSV貼付A!$N$5:$N212=CSV貼付A!$N212)*(COUNTIF($B$37:$B$48,CSV貼付A!$H$5:$H212)=0))&gt;1,"",MAX($M$4:M211)+1)))</f>
        <v/>
      </c>
      <c r="N212" s="0" t="str">
        <f aca="false">IFERROR(INDEX(CSV貼付A!$N$5:$N$1004,MATCH(ROW()-4,$M$5:$M$1004,0)),"")</f>
        <v/>
      </c>
      <c r="O212" s="0" t="str">
        <f aca="false">IF(CSV貼付B!$N212="","",IF(COUNTIF($B$37:$B$48,CSV貼付B!$H212)&gt;0,"",IF(SUMPRODUCT((CSV貼付B!$N$5:$N212=CSV貼付B!$N212)*(COUNTIF($B$37:$B$48,CSV貼付B!$H$5:$H212)=0))&gt;1,"",MAX($O$4:O211)+1)))</f>
        <v/>
      </c>
      <c r="P212" s="0" t="str">
        <f aca="false">IFERROR(INDEX(CSV貼付B!$N$5:$N$1004,MATCH(ROW()-4,$O$5:$O$1004,0)),"")</f>
        <v/>
      </c>
      <c r="Q212" s="0" t="str">
        <f aca="false">IF(ROW()-4&lt;=MAX($M$5:$M$1004),IFERROR(INDEX($N$5:$N$1004,ROW()-4),""),IFERROR(INDEX($P$5:$P$1004,ROW()-4-MAX($M$5:$M$1004)),""))</f>
        <v/>
      </c>
    </row>
    <row r="213" customFormat="false" ht="15" hidden="false" customHeight="false" outlineLevel="0" collapsed="false">
      <c r="M213" s="0" t="str">
        <f aca="false">IF(CSV貼付A!$N213="","",IF(COUNTIF($B$37:$B$48,CSV貼付A!$H213)&gt;0,"",IF(SUMPRODUCT((CSV貼付A!$N$5:$N213=CSV貼付A!$N213)*(COUNTIF($B$37:$B$48,CSV貼付A!$H$5:$H213)=0))&gt;1,"",MAX($M$4:M212)+1)))</f>
        <v/>
      </c>
      <c r="N213" s="0" t="str">
        <f aca="false">IFERROR(INDEX(CSV貼付A!$N$5:$N$1004,MATCH(ROW()-4,$M$5:$M$1004,0)),"")</f>
        <v/>
      </c>
      <c r="O213" s="0" t="str">
        <f aca="false">IF(CSV貼付B!$N213="","",IF(COUNTIF($B$37:$B$48,CSV貼付B!$H213)&gt;0,"",IF(SUMPRODUCT((CSV貼付B!$N$5:$N213=CSV貼付B!$N213)*(COUNTIF($B$37:$B$48,CSV貼付B!$H$5:$H213)=0))&gt;1,"",MAX($O$4:O212)+1)))</f>
        <v/>
      </c>
      <c r="P213" s="0" t="str">
        <f aca="false">IFERROR(INDEX(CSV貼付B!$N$5:$N$1004,MATCH(ROW()-4,$O$5:$O$1004,0)),"")</f>
        <v/>
      </c>
      <c r="Q213" s="0" t="str">
        <f aca="false">IF(ROW()-4&lt;=MAX($M$5:$M$1004),IFERROR(INDEX($N$5:$N$1004,ROW()-4),""),IFERROR(INDEX($P$5:$P$1004,ROW()-4-MAX($M$5:$M$1004)),""))</f>
        <v/>
      </c>
    </row>
    <row r="214" customFormat="false" ht="15" hidden="false" customHeight="false" outlineLevel="0" collapsed="false">
      <c r="M214" s="0" t="str">
        <f aca="false">IF(CSV貼付A!$N214="","",IF(COUNTIF($B$37:$B$48,CSV貼付A!$H214)&gt;0,"",IF(SUMPRODUCT((CSV貼付A!$N$5:$N214=CSV貼付A!$N214)*(COUNTIF($B$37:$B$48,CSV貼付A!$H$5:$H214)=0))&gt;1,"",MAX($M$4:M213)+1)))</f>
        <v/>
      </c>
      <c r="N214" s="0" t="str">
        <f aca="false">IFERROR(INDEX(CSV貼付A!$N$5:$N$1004,MATCH(ROW()-4,$M$5:$M$1004,0)),"")</f>
        <v/>
      </c>
      <c r="O214" s="0" t="str">
        <f aca="false">IF(CSV貼付B!$N214="","",IF(COUNTIF($B$37:$B$48,CSV貼付B!$H214)&gt;0,"",IF(SUMPRODUCT((CSV貼付B!$N$5:$N214=CSV貼付B!$N214)*(COUNTIF($B$37:$B$48,CSV貼付B!$H$5:$H214)=0))&gt;1,"",MAX($O$4:O213)+1)))</f>
        <v/>
      </c>
      <c r="P214" s="0" t="str">
        <f aca="false">IFERROR(INDEX(CSV貼付B!$N$5:$N$1004,MATCH(ROW()-4,$O$5:$O$1004,0)),"")</f>
        <v/>
      </c>
      <c r="Q214" s="0" t="str">
        <f aca="false">IF(ROW()-4&lt;=MAX($M$5:$M$1004),IFERROR(INDEX($N$5:$N$1004,ROW()-4),""),IFERROR(INDEX($P$5:$P$1004,ROW()-4-MAX($M$5:$M$1004)),""))</f>
        <v/>
      </c>
    </row>
    <row r="215" customFormat="false" ht="15" hidden="false" customHeight="false" outlineLevel="0" collapsed="false">
      <c r="M215" s="0" t="str">
        <f aca="false">IF(CSV貼付A!$N215="","",IF(COUNTIF($B$37:$B$48,CSV貼付A!$H215)&gt;0,"",IF(SUMPRODUCT((CSV貼付A!$N$5:$N215=CSV貼付A!$N215)*(COUNTIF($B$37:$B$48,CSV貼付A!$H$5:$H215)=0))&gt;1,"",MAX($M$4:M214)+1)))</f>
        <v/>
      </c>
      <c r="N215" s="0" t="str">
        <f aca="false">IFERROR(INDEX(CSV貼付A!$N$5:$N$1004,MATCH(ROW()-4,$M$5:$M$1004,0)),"")</f>
        <v/>
      </c>
      <c r="O215" s="0" t="str">
        <f aca="false">IF(CSV貼付B!$N215="","",IF(COUNTIF($B$37:$B$48,CSV貼付B!$H215)&gt;0,"",IF(SUMPRODUCT((CSV貼付B!$N$5:$N215=CSV貼付B!$N215)*(COUNTIF($B$37:$B$48,CSV貼付B!$H$5:$H215)=0))&gt;1,"",MAX($O$4:O214)+1)))</f>
        <v/>
      </c>
      <c r="P215" s="0" t="str">
        <f aca="false">IFERROR(INDEX(CSV貼付B!$N$5:$N$1004,MATCH(ROW()-4,$O$5:$O$1004,0)),"")</f>
        <v/>
      </c>
      <c r="Q215" s="0" t="str">
        <f aca="false">IF(ROW()-4&lt;=MAX($M$5:$M$1004),IFERROR(INDEX($N$5:$N$1004,ROW()-4),""),IFERROR(INDEX($P$5:$P$1004,ROW()-4-MAX($M$5:$M$1004)),""))</f>
        <v/>
      </c>
    </row>
    <row r="216" customFormat="false" ht="15" hidden="false" customHeight="false" outlineLevel="0" collapsed="false">
      <c r="M216" s="0" t="str">
        <f aca="false">IF(CSV貼付A!$N216="","",IF(COUNTIF($B$37:$B$48,CSV貼付A!$H216)&gt;0,"",IF(SUMPRODUCT((CSV貼付A!$N$5:$N216=CSV貼付A!$N216)*(COUNTIF($B$37:$B$48,CSV貼付A!$H$5:$H216)=0))&gt;1,"",MAX($M$4:M215)+1)))</f>
        <v/>
      </c>
      <c r="N216" s="0" t="str">
        <f aca="false">IFERROR(INDEX(CSV貼付A!$N$5:$N$1004,MATCH(ROW()-4,$M$5:$M$1004,0)),"")</f>
        <v/>
      </c>
      <c r="O216" s="0" t="str">
        <f aca="false">IF(CSV貼付B!$N216="","",IF(COUNTIF($B$37:$B$48,CSV貼付B!$H216)&gt;0,"",IF(SUMPRODUCT((CSV貼付B!$N$5:$N216=CSV貼付B!$N216)*(COUNTIF($B$37:$B$48,CSV貼付B!$H$5:$H216)=0))&gt;1,"",MAX($O$4:O215)+1)))</f>
        <v/>
      </c>
      <c r="P216" s="0" t="str">
        <f aca="false">IFERROR(INDEX(CSV貼付B!$N$5:$N$1004,MATCH(ROW()-4,$O$5:$O$1004,0)),"")</f>
        <v/>
      </c>
      <c r="Q216" s="0" t="str">
        <f aca="false">IF(ROW()-4&lt;=MAX($M$5:$M$1004),IFERROR(INDEX($N$5:$N$1004,ROW()-4),""),IFERROR(INDEX($P$5:$P$1004,ROW()-4-MAX($M$5:$M$1004)),""))</f>
        <v/>
      </c>
    </row>
    <row r="217" customFormat="false" ht="15" hidden="false" customHeight="false" outlineLevel="0" collapsed="false">
      <c r="M217" s="0" t="str">
        <f aca="false">IF(CSV貼付A!$N217="","",IF(COUNTIF($B$37:$B$48,CSV貼付A!$H217)&gt;0,"",IF(SUMPRODUCT((CSV貼付A!$N$5:$N217=CSV貼付A!$N217)*(COUNTIF($B$37:$B$48,CSV貼付A!$H$5:$H217)=0))&gt;1,"",MAX($M$4:M216)+1)))</f>
        <v/>
      </c>
      <c r="N217" s="0" t="str">
        <f aca="false">IFERROR(INDEX(CSV貼付A!$N$5:$N$1004,MATCH(ROW()-4,$M$5:$M$1004,0)),"")</f>
        <v/>
      </c>
      <c r="O217" s="0" t="str">
        <f aca="false">IF(CSV貼付B!$N217="","",IF(COUNTIF($B$37:$B$48,CSV貼付B!$H217)&gt;0,"",IF(SUMPRODUCT((CSV貼付B!$N$5:$N217=CSV貼付B!$N217)*(COUNTIF($B$37:$B$48,CSV貼付B!$H$5:$H217)=0))&gt;1,"",MAX($O$4:O216)+1)))</f>
        <v/>
      </c>
      <c r="P217" s="0" t="str">
        <f aca="false">IFERROR(INDEX(CSV貼付B!$N$5:$N$1004,MATCH(ROW()-4,$O$5:$O$1004,0)),"")</f>
        <v/>
      </c>
      <c r="Q217" s="0" t="str">
        <f aca="false">IF(ROW()-4&lt;=MAX($M$5:$M$1004),IFERROR(INDEX($N$5:$N$1004,ROW()-4),""),IFERROR(INDEX($P$5:$P$1004,ROW()-4-MAX($M$5:$M$1004)),""))</f>
        <v/>
      </c>
    </row>
    <row r="218" customFormat="false" ht="15" hidden="false" customHeight="false" outlineLevel="0" collapsed="false">
      <c r="M218" s="0" t="str">
        <f aca="false">IF(CSV貼付A!$N218="","",IF(COUNTIF($B$37:$B$48,CSV貼付A!$H218)&gt;0,"",IF(SUMPRODUCT((CSV貼付A!$N$5:$N218=CSV貼付A!$N218)*(COUNTIF($B$37:$B$48,CSV貼付A!$H$5:$H218)=0))&gt;1,"",MAX($M$4:M217)+1)))</f>
        <v/>
      </c>
      <c r="N218" s="0" t="str">
        <f aca="false">IFERROR(INDEX(CSV貼付A!$N$5:$N$1004,MATCH(ROW()-4,$M$5:$M$1004,0)),"")</f>
        <v/>
      </c>
      <c r="O218" s="0" t="str">
        <f aca="false">IF(CSV貼付B!$N218="","",IF(COUNTIF($B$37:$B$48,CSV貼付B!$H218)&gt;0,"",IF(SUMPRODUCT((CSV貼付B!$N$5:$N218=CSV貼付B!$N218)*(COUNTIF($B$37:$B$48,CSV貼付B!$H$5:$H218)=0))&gt;1,"",MAX($O$4:O217)+1)))</f>
        <v/>
      </c>
      <c r="P218" s="0" t="str">
        <f aca="false">IFERROR(INDEX(CSV貼付B!$N$5:$N$1004,MATCH(ROW()-4,$O$5:$O$1004,0)),"")</f>
        <v/>
      </c>
      <c r="Q218" s="0" t="str">
        <f aca="false">IF(ROW()-4&lt;=MAX($M$5:$M$1004),IFERROR(INDEX($N$5:$N$1004,ROW()-4),""),IFERROR(INDEX($P$5:$P$1004,ROW()-4-MAX($M$5:$M$1004)),""))</f>
        <v/>
      </c>
    </row>
    <row r="219" customFormat="false" ht="15" hidden="false" customHeight="false" outlineLevel="0" collapsed="false">
      <c r="M219" s="0" t="str">
        <f aca="false">IF(CSV貼付A!$N219="","",IF(COUNTIF($B$37:$B$48,CSV貼付A!$H219)&gt;0,"",IF(SUMPRODUCT((CSV貼付A!$N$5:$N219=CSV貼付A!$N219)*(COUNTIF($B$37:$B$48,CSV貼付A!$H$5:$H219)=0))&gt;1,"",MAX($M$4:M218)+1)))</f>
        <v/>
      </c>
      <c r="N219" s="0" t="str">
        <f aca="false">IFERROR(INDEX(CSV貼付A!$N$5:$N$1004,MATCH(ROW()-4,$M$5:$M$1004,0)),"")</f>
        <v/>
      </c>
      <c r="O219" s="0" t="str">
        <f aca="false">IF(CSV貼付B!$N219="","",IF(COUNTIF($B$37:$B$48,CSV貼付B!$H219)&gt;0,"",IF(SUMPRODUCT((CSV貼付B!$N$5:$N219=CSV貼付B!$N219)*(COUNTIF($B$37:$B$48,CSV貼付B!$H$5:$H219)=0))&gt;1,"",MAX($O$4:O218)+1)))</f>
        <v/>
      </c>
      <c r="P219" s="0" t="str">
        <f aca="false">IFERROR(INDEX(CSV貼付B!$N$5:$N$1004,MATCH(ROW()-4,$O$5:$O$1004,0)),"")</f>
        <v/>
      </c>
      <c r="Q219" s="0" t="str">
        <f aca="false">IF(ROW()-4&lt;=MAX($M$5:$M$1004),IFERROR(INDEX($N$5:$N$1004,ROW()-4),""),IFERROR(INDEX($P$5:$P$1004,ROW()-4-MAX($M$5:$M$1004)),""))</f>
        <v/>
      </c>
    </row>
    <row r="220" customFormat="false" ht="15" hidden="false" customHeight="false" outlineLevel="0" collapsed="false">
      <c r="M220" s="0" t="str">
        <f aca="false">IF(CSV貼付A!$N220="","",IF(COUNTIF($B$37:$B$48,CSV貼付A!$H220)&gt;0,"",IF(SUMPRODUCT((CSV貼付A!$N$5:$N220=CSV貼付A!$N220)*(COUNTIF($B$37:$B$48,CSV貼付A!$H$5:$H220)=0))&gt;1,"",MAX($M$4:M219)+1)))</f>
        <v/>
      </c>
      <c r="N220" s="0" t="str">
        <f aca="false">IFERROR(INDEX(CSV貼付A!$N$5:$N$1004,MATCH(ROW()-4,$M$5:$M$1004,0)),"")</f>
        <v/>
      </c>
      <c r="O220" s="0" t="str">
        <f aca="false">IF(CSV貼付B!$N220="","",IF(COUNTIF($B$37:$B$48,CSV貼付B!$H220)&gt;0,"",IF(SUMPRODUCT((CSV貼付B!$N$5:$N220=CSV貼付B!$N220)*(COUNTIF($B$37:$B$48,CSV貼付B!$H$5:$H220)=0))&gt;1,"",MAX($O$4:O219)+1)))</f>
        <v/>
      </c>
      <c r="P220" s="0" t="str">
        <f aca="false">IFERROR(INDEX(CSV貼付B!$N$5:$N$1004,MATCH(ROW()-4,$O$5:$O$1004,0)),"")</f>
        <v/>
      </c>
      <c r="Q220" s="0" t="str">
        <f aca="false">IF(ROW()-4&lt;=MAX($M$5:$M$1004),IFERROR(INDEX($N$5:$N$1004,ROW()-4),""),IFERROR(INDEX($P$5:$P$1004,ROW()-4-MAX($M$5:$M$1004)),""))</f>
        <v/>
      </c>
    </row>
    <row r="221" customFormat="false" ht="15" hidden="false" customHeight="false" outlineLevel="0" collapsed="false">
      <c r="M221" s="0" t="str">
        <f aca="false">IF(CSV貼付A!$N221="","",IF(COUNTIF($B$37:$B$48,CSV貼付A!$H221)&gt;0,"",IF(SUMPRODUCT((CSV貼付A!$N$5:$N221=CSV貼付A!$N221)*(COUNTIF($B$37:$B$48,CSV貼付A!$H$5:$H221)=0))&gt;1,"",MAX($M$4:M220)+1)))</f>
        <v/>
      </c>
      <c r="N221" s="0" t="str">
        <f aca="false">IFERROR(INDEX(CSV貼付A!$N$5:$N$1004,MATCH(ROW()-4,$M$5:$M$1004,0)),"")</f>
        <v/>
      </c>
      <c r="O221" s="0" t="str">
        <f aca="false">IF(CSV貼付B!$N221="","",IF(COUNTIF($B$37:$B$48,CSV貼付B!$H221)&gt;0,"",IF(SUMPRODUCT((CSV貼付B!$N$5:$N221=CSV貼付B!$N221)*(COUNTIF($B$37:$B$48,CSV貼付B!$H$5:$H221)=0))&gt;1,"",MAX($O$4:O220)+1)))</f>
        <v/>
      </c>
      <c r="P221" s="0" t="str">
        <f aca="false">IFERROR(INDEX(CSV貼付B!$N$5:$N$1004,MATCH(ROW()-4,$O$5:$O$1004,0)),"")</f>
        <v/>
      </c>
      <c r="Q221" s="0" t="str">
        <f aca="false">IF(ROW()-4&lt;=MAX($M$5:$M$1004),IFERROR(INDEX($N$5:$N$1004,ROW()-4),""),IFERROR(INDEX($P$5:$P$1004,ROW()-4-MAX($M$5:$M$1004)),""))</f>
        <v/>
      </c>
    </row>
    <row r="222" customFormat="false" ht="15" hidden="false" customHeight="false" outlineLevel="0" collapsed="false">
      <c r="M222" s="0" t="str">
        <f aca="false">IF(CSV貼付A!$N222="","",IF(COUNTIF($B$37:$B$48,CSV貼付A!$H222)&gt;0,"",IF(SUMPRODUCT((CSV貼付A!$N$5:$N222=CSV貼付A!$N222)*(COUNTIF($B$37:$B$48,CSV貼付A!$H$5:$H222)=0))&gt;1,"",MAX($M$4:M221)+1)))</f>
        <v/>
      </c>
      <c r="N222" s="0" t="str">
        <f aca="false">IFERROR(INDEX(CSV貼付A!$N$5:$N$1004,MATCH(ROW()-4,$M$5:$M$1004,0)),"")</f>
        <v/>
      </c>
      <c r="O222" s="0" t="str">
        <f aca="false">IF(CSV貼付B!$N222="","",IF(COUNTIF($B$37:$B$48,CSV貼付B!$H222)&gt;0,"",IF(SUMPRODUCT((CSV貼付B!$N$5:$N222=CSV貼付B!$N222)*(COUNTIF($B$37:$B$48,CSV貼付B!$H$5:$H222)=0))&gt;1,"",MAX($O$4:O221)+1)))</f>
        <v/>
      </c>
      <c r="P222" s="0" t="str">
        <f aca="false">IFERROR(INDEX(CSV貼付B!$N$5:$N$1004,MATCH(ROW()-4,$O$5:$O$1004,0)),"")</f>
        <v/>
      </c>
      <c r="Q222" s="0" t="str">
        <f aca="false">IF(ROW()-4&lt;=MAX($M$5:$M$1004),IFERROR(INDEX($N$5:$N$1004,ROW()-4),""),IFERROR(INDEX($P$5:$P$1004,ROW()-4-MAX($M$5:$M$1004)),""))</f>
        <v/>
      </c>
    </row>
    <row r="223" customFormat="false" ht="15" hidden="false" customHeight="false" outlineLevel="0" collapsed="false">
      <c r="M223" s="0" t="str">
        <f aca="false">IF(CSV貼付A!$N223="","",IF(COUNTIF($B$37:$B$48,CSV貼付A!$H223)&gt;0,"",IF(SUMPRODUCT((CSV貼付A!$N$5:$N223=CSV貼付A!$N223)*(COUNTIF($B$37:$B$48,CSV貼付A!$H$5:$H223)=0))&gt;1,"",MAX($M$4:M222)+1)))</f>
        <v/>
      </c>
      <c r="N223" s="0" t="str">
        <f aca="false">IFERROR(INDEX(CSV貼付A!$N$5:$N$1004,MATCH(ROW()-4,$M$5:$M$1004,0)),"")</f>
        <v/>
      </c>
      <c r="O223" s="0" t="str">
        <f aca="false">IF(CSV貼付B!$N223="","",IF(COUNTIF($B$37:$B$48,CSV貼付B!$H223)&gt;0,"",IF(SUMPRODUCT((CSV貼付B!$N$5:$N223=CSV貼付B!$N223)*(COUNTIF($B$37:$B$48,CSV貼付B!$H$5:$H223)=0))&gt;1,"",MAX($O$4:O222)+1)))</f>
        <v/>
      </c>
      <c r="P223" s="0" t="str">
        <f aca="false">IFERROR(INDEX(CSV貼付B!$N$5:$N$1004,MATCH(ROW()-4,$O$5:$O$1004,0)),"")</f>
        <v/>
      </c>
      <c r="Q223" s="0" t="str">
        <f aca="false">IF(ROW()-4&lt;=MAX($M$5:$M$1004),IFERROR(INDEX($N$5:$N$1004,ROW()-4),""),IFERROR(INDEX($P$5:$P$1004,ROW()-4-MAX($M$5:$M$1004)),""))</f>
        <v/>
      </c>
    </row>
    <row r="224" customFormat="false" ht="15" hidden="false" customHeight="false" outlineLevel="0" collapsed="false">
      <c r="M224" s="0" t="str">
        <f aca="false">IF(CSV貼付A!$N224="","",IF(COUNTIF($B$37:$B$48,CSV貼付A!$H224)&gt;0,"",IF(SUMPRODUCT((CSV貼付A!$N$5:$N224=CSV貼付A!$N224)*(COUNTIF($B$37:$B$48,CSV貼付A!$H$5:$H224)=0))&gt;1,"",MAX($M$4:M223)+1)))</f>
        <v/>
      </c>
      <c r="N224" s="0" t="str">
        <f aca="false">IFERROR(INDEX(CSV貼付A!$N$5:$N$1004,MATCH(ROW()-4,$M$5:$M$1004,0)),"")</f>
        <v/>
      </c>
      <c r="O224" s="0" t="str">
        <f aca="false">IF(CSV貼付B!$N224="","",IF(COUNTIF($B$37:$B$48,CSV貼付B!$H224)&gt;0,"",IF(SUMPRODUCT((CSV貼付B!$N$5:$N224=CSV貼付B!$N224)*(COUNTIF($B$37:$B$48,CSV貼付B!$H$5:$H224)=0))&gt;1,"",MAX($O$4:O223)+1)))</f>
        <v/>
      </c>
      <c r="P224" s="0" t="str">
        <f aca="false">IFERROR(INDEX(CSV貼付B!$N$5:$N$1004,MATCH(ROW()-4,$O$5:$O$1004,0)),"")</f>
        <v/>
      </c>
      <c r="Q224" s="0" t="str">
        <f aca="false">IF(ROW()-4&lt;=MAX($M$5:$M$1004),IFERROR(INDEX($N$5:$N$1004,ROW()-4),""),IFERROR(INDEX($P$5:$P$1004,ROW()-4-MAX($M$5:$M$1004)),""))</f>
        <v/>
      </c>
    </row>
    <row r="225" customFormat="false" ht="15" hidden="false" customHeight="false" outlineLevel="0" collapsed="false">
      <c r="M225" s="0" t="str">
        <f aca="false">IF(CSV貼付A!$N225="","",IF(COUNTIF($B$37:$B$48,CSV貼付A!$H225)&gt;0,"",IF(SUMPRODUCT((CSV貼付A!$N$5:$N225=CSV貼付A!$N225)*(COUNTIF($B$37:$B$48,CSV貼付A!$H$5:$H225)=0))&gt;1,"",MAX($M$4:M224)+1)))</f>
        <v/>
      </c>
      <c r="N225" s="0" t="str">
        <f aca="false">IFERROR(INDEX(CSV貼付A!$N$5:$N$1004,MATCH(ROW()-4,$M$5:$M$1004,0)),"")</f>
        <v/>
      </c>
      <c r="O225" s="0" t="str">
        <f aca="false">IF(CSV貼付B!$N225="","",IF(COUNTIF($B$37:$B$48,CSV貼付B!$H225)&gt;0,"",IF(SUMPRODUCT((CSV貼付B!$N$5:$N225=CSV貼付B!$N225)*(COUNTIF($B$37:$B$48,CSV貼付B!$H$5:$H225)=0))&gt;1,"",MAX($O$4:O224)+1)))</f>
        <v/>
      </c>
      <c r="P225" s="0" t="str">
        <f aca="false">IFERROR(INDEX(CSV貼付B!$N$5:$N$1004,MATCH(ROW()-4,$O$5:$O$1004,0)),"")</f>
        <v/>
      </c>
      <c r="Q225" s="0" t="str">
        <f aca="false">IF(ROW()-4&lt;=MAX($M$5:$M$1004),IFERROR(INDEX($N$5:$N$1004,ROW()-4),""),IFERROR(INDEX($P$5:$P$1004,ROW()-4-MAX($M$5:$M$1004)),""))</f>
        <v/>
      </c>
    </row>
    <row r="226" customFormat="false" ht="15" hidden="false" customHeight="false" outlineLevel="0" collapsed="false">
      <c r="M226" s="0" t="str">
        <f aca="false">IF(CSV貼付A!$N226="","",IF(COUNTIF($B$37:$B$48,CSV貼付A!$H226)&gt;0,"",IF(SUMPRODUCT((CSV貼付A!$N$5:$N226=CSV貼付A!$N226)*(COUNTIF($B$37:$B$48,CSV貼付A!$H$5:$H226)=0))&gt;1,"",MAX($M$4:M225)+1)))</f>
        <v/>
      </c>
      <c r="N226" s="0" t="str">
        <f aca="false">IFERROR(INDEX(CSV貼付A!$N$5:$N$1004,MATCH(ROW()-4,$M$5:$M$1004,0)),"")</f>
        <v/>
      </c>
      <c r="O226" s="0" t="str">
        <f aca="false">IF(CSV貼付B!$N226="","",IF(COUNTIF($B$37:$B$48,CSV貼付B!$H226)&gt;0,"",IF(SUMPRODUCT((CSV貼付B!$N$5:$N226=CSV貼付B!$N226)*(COUNTIF($B$37:$B$48,CSV貼付B!$H$5:$H226)=0))&gt;1,"",MAX($O$4:O225)+1)))</f>
        <v/>
      </c>
      <c r="P226" s="0" t="str">
        <f aca="false">IFERROR(INDEX(CSV貼付B!$N$5:$N$1004,MATCH(ROW()-4,$O$5:$O$1004,0)),"")</f>
        <v/>
      </c>
      <c r="Q226" s="0" t="str">
        <f aca="false">IF(ROW()-4&lt;=MAX($M$5:$M$1004),IFERROR(INDEX($N$5:$N$1004,ROW()-4),""),IFERROR(INDEX($P$5:$P$1004,ROW()-4-MAX($M$5:$M$1004)),""))</f>
        <v/>
      </c>
    </row>
    <row r="227" customFormat="false" ht="15" hidden="false" customHeight="false" outlineLevel="0" collapsed="false">
      <c r="M227" s="0" t="str">
        <f aca="false">IF(CSV貼付A!$N227="","",IF(COUNTIF($B$37:$B$48,CSV貼付A!$H227)&gt;0,"",IF(SUMPRODUCT((CSV貼付A!$N$5:$N227=CSV貼付A!$N227)*(COUNTIF($B$37:$B$48,CSV貼付A!$H$5:$H227)=0))&gt;1,"",MAX($M$4:M226)+1)))</f>
        <v/>
      </c>
      <c r="N227" s="0" t="str">
        <f aca="false">IFERROR(INDEX(CSV貼付A!$N$5:$N$1004,MATCH(ROW()-4,$M$5:$M$1004,0)),"")</f>
        <v/>
      </c>
      <c r="O227" s="0" t="str">
        <f aca="false">IF(CSV貼付B!$N227="","",IF(COUNTIF($B$37:$B$48,CSV貼付B!$H227)&gt;0,"",IF(SUMPRODUCT((CSV貼付B!$N$5:$N227=CSV貼付B!$N227)*(COUNTIF($B$37:$B$48,CSV貼付B!$H$5:$H227)=0))&gt;1,"",MAX($O$4:O226)+1)))</f>
        <v/>
      </c>
      <c r="P227" s="0" t="str">
        <f aca="false">IFERROR(INDEX(CSV貼付B!$N$5:$N$1004,MATCH(ROW()-4,$O$5:$O$1004,0)),"")</f>
        <v/>
      </c>
      <c r="Q227" s="0" t="str">
        <f aca="false">IF(ROW()-4&lt;=MAX($M$5:$M$1004),IFERROR(INDEX($N$5:$N$1004,ROW()-4),""),IFERROR(INDEX($P$5:$P$1004,ROW()-4-MAX($M$5:$M$1004)),""))</f>
        <v/>
      </c>
    </row>
    <row r="228" customFormat="false" ht="15" hidden="false" customHeight="false" outlineLevel="0" collapsed="false">
      <c r="M228" s="0" t="str">
        <f aca="false">IF(CSV貼付A!$N228="","",IF(COUNTIF($B$37:$B$48,CSV貼付A!$H228)&gt;0,"",IF(SUMPRODUCT((CSV貼付A!$N$5:$N228=CSV貼付A!$N228)*(COUNTIF($B$37:$B$48,CSV貼付A!$H$5:$H228)=0))&gt;1,"",MAX($M$4:M227)+1)))</f>
        <v/>
      </c>
      <c r="N228" s="0" t="str">
        <f aca="false">IFERROR(INDEX(CSV貼付A!$N$5:$N$1004,MATCH(ROW()-4,$M$5:$M$1004,0)),"")</f>
        <v/>
      </c>
      <c r="O228" s="0" t="str">
        <f aca="false">IF(CSV貼付B!$N228="","",IF(COUNTIF($B$37:$B$48,CSV貼付B!$H228)&gt;0,"",IF(SUMPRODUCT((CSV貼付B!$N$5:$N228=CSV貼付B!$N228)*(COUNTIF($B$37:$B$48,CSV貼付B!$H$5:$H228)=0))&gt;1,"",MAX($O$4:O227)+1)))</f>
        <v/>
      </c>
      <c r="P228" s="0" t="str">
        <f aca="false">IFERROR(INDEX(CSV貼付B!$N$5:$N$1004,MATCH(ROW()-4,$O$5:$O$1004,0)),"")</f>
        <v/>
      </c>
      <c r="Q228" s="0" t="str">
        <f aca="false">IF(ROW()-4&lt;=MAX($M$5:$M$1004),IFERROR(INDEX($N$5:$N$1004,ROW()-4),""),IFERROR(INDEX($P$5:$P$1004,ROW()-4-MAX($M$5:$M$1004)),""))</f>
        <v/>
      </c>
    </row>
    <row r="229" customFormat="false" ht="15" hidden="false" customHeight="false" outlineLevel="0" collapsed="false">
      <c r="M229" s="0" t="str">
        <f aca="false">IF(CSV貼付A!$N229="","",IF(COUNTIF($B$37:$B$48,CSV貼付A!$H229)&gt;0,"",IF(SUMPRODUCT((CSV貼付A!$N$5:$N229=CSV貼付A!$N229)*(COUNTIF($B$37:$B$48,CSV貼付A!$H$5:$H229)=0))&gt;1,"",MAX($M$4:M228)+1)))</f>
        <v/>
      </c>
      <c r="N229" s="0" t="str">
        <f aca="false">IFERROR(INDEX(CSV貼付A!$N$5:$N$1004,MATCH(ROW()-4,$M$5:$M$1004,0)),"")</f>
        <v/>
      </c>
      <c r="O229" s="0" t="str">
        <f aca="false">IF(CSV貼付B!$N229="","",IF(COUNTIF($B$37:$B$48,CSV貼付B!$H229)&gt;0,"",IF(SUMPRODUCT((CSV貼付B!$N$5:$N229=CSV貼付B!$N229)*(COUNTIF($B$37:$B$48,CSV貼付B!$H$5:$H229)=0))&gt;1,"",MAX($O$4:O228)+1)))</f>
        <v/>
      </c>
      <c r="P229" s="0" t="str">
        <f aca="false">IFERROR(INDEX(CSV貼付B!$N$5:$N$1004,MATCH(ROW()-4,$O$5:$O$1004,0)),"")</f>
        <v/>
      </c>
      <c r="Q229" s="0" t="str">
        <f aca="false">IF(ROW()-4&lt;=MAX($M$5:$M$1004),IFERROR(INDEX($N$5:$N$1004,ROW()-4),""),IFERROR(INDEX($P$5:$P$1004,ROW()-4-MAX($M$5:$M$1004)),""))</f>
        <v/>
      </c>
    </row>
    <row r="230" customFormat="false" ht="15" hidden="false" customHeight="false" outlineLevel="0" collapsed="false">
      <c r="M230" s="0" t="str">
        <f aca="false">IF(CSV貼付A!$N230="","",IF(COUNTIF($B$37:$B$48,CSV貼付A!$H230)&gt;0,"",IF(SUMPRODUCT((CSV貼付A!$N$5:$N230=CSV貼付A!$N230)*(COUNTIF($B$37:$B$48,CSV貼付A!$H$5:$H230)=0))&gt;1,"",MAX($M$4:M229)+1)))</f>
        <v/>
      </c>
      <c r="N230" s="0" t="str">
        <f aca="false">IFERROR(INDEX(CSV貼付A!$N$5:$N$1004,MATCH(ROW()-4,$M$5:$M$1004,0)),"")</f>
        <v/>
      </c>
      <c r="O230" s="0" t="str">
        <f aca="false">IF(CSV貼付B!$N230="","",IF(COUNTIF($B$37:$B$48,CSV貼付B!$H230)&gt;0,"",IF(SUMPRODUCT((CSV貼付B!$N$5:$N230=CSV貼付B!$N230)*(COUNTIF($B$37:$B$48,CSV貼付B!$H$5:$H230)=0))&gt;1,"",MAX($O$4:O229)+1)))</f>
        <v/>
      </c>
      <c r="P230" s="0" t="str">
        <f aca="false">IFERROR(INDEX(CSV貼付B!$N$5:$N$1004,MATCH(ROW()-4,$O$5:$O$1004,0)),"")</f>
        <v/>
      </c>
      <c r="Q230" s="0" t="str">
        <f aca="false">IF(ROW()-4&lt;=MAX($M$5:$M$1004),IFERROR(INDEX($N$5:$N$1004,ROW()-4),""),IFERROR(INDEX($P$5:$P$1004,ROW()-4-MAX($M$5:$M$1004)),""))</f>
        <v/>
      </c>
    </row>
    <row r="231" customFormat="false" ht="15" hidden="false" customHeight="false" outlineLevel="0" collapsed="false">
      <c r="M231" s="0" t="str">
        <f aca="false">IF(CSV貼付A!$N231="","",IF(COUNTIF($B$37:$B$48,CSV貼付A!$H231)&gt;0,"",IF(SUMPRODUCT((CSV貼付A!$N$5:$N231=CSV貼付A!$N231)*(COUNTIF($B$37:$B$48,CSV貼付A!$H$5:$H231)=0))&gt;1,"",MAX($M$4:M230)+1)))</f>
        <v/>
      </c>
      <c r="N231" s="0" t="str">
        <f aca="false">IFERROR(INDEX(CSV貼付A!$N$5:$N$1004,MATCH(ROW()-4,$M$5:$M$1004,0)),"")</f>
        <v/>
      </c>
      <c r="O231" s="0" t="str">
        <f aca="false">IF(CSV貼付B!$N231="","",IF(COUNTIF($B$37:$B$48,CSV貼付B!$H231)&gt;0,"",IF(SUMPRODUCT((CSV貼付B!$N$5:$N231=CSV貼付B!$N231)*(COUNTIF($B$37:$B$48,CSV貼付B!$H$5:$H231)=0))&gt;1,"",MAX($O$4:O230)+1)))</f>
        <v/>
      </c>
      <c r="P231" s="0" t="str">
        <f aca="false">IFERROR(INDEX(CSV貼付B!$N$5:$N$1004,MATCH(ROW()-4,$O$5:$O$1004,0)),"")</f>
        <v/>
      </c>
      <c r="Q231" s="0" t="str">
        <f aca="false">IF(ROW()-4&lt;=MAX($M$5:$M$1004),IFERROR(INDEX($N$5:$N$1004,ROW()-4),""),IFERROR(INDEX($P$5:$P$1004,ROW()-4-MAX($M$5:$M$1004)),""))</f>
        <v/>
      </c>
    </row>
    <row r="232" customFormat="false" ht="15" hidden="false" customHeight="false" outlineLevel="0" collapsed="false">
      <c r="M232" s="0" t="str">
        <f aca="false">IF(CSV貼付A!$N232="","",IF(COUNTIF($B$37:$B$48,CSV貼付A!$H232)&gt;0,"",IF(SUMPRODUCT((CSV貼付A!$N$5:$N232=CSV貼付A!$N232)*(COUNTIF($B$37:$B$48,CSV貼付A!$H$5:$H232)=0))&gt;1,"",MAX($M$4:M231)+1)))</f>
        <v/>
      </c>
      <c r="N232" s="0" t="str">
        <f aca="false">IFERROR(INDEX(CSV貼付A!$N$5:$N$1004,MATCH(ROW()-4,$M$5:$M$1004,0)),"")</f>
        <v/>
      </c>
      <c r="O232" s="0" t="str">
        <f aca="false">IF(CSV貼付B!$N232="","",IF(COUNTIF($B$37:$B$48,CSV貼付B!$H232)&gt;0,"",IF(SUMPRODUCT((CSV貼付B!$N$5:$N232=CSV貼付B!$N232)*(COUNTIF($B$37:$B$48,CSV貼付B!$H$5:$H232)=0))&gt;1,"",MAX($O$4:O231)+1)))</f>
        <v/>
      </c>
      <c r="P232" s="0" t="str">
        <f aca="false">IFERROR(INDEX(CSV貼付B!$N$5:$N$1004,MATCH(ROW()-4,$O$5:$O$1004,0)),"")</f>
        <v/>
      </c>
      <c r="Q232" s="0" t="str">
        <f aca="false">IF(ROW()-4&lt;=MAX($M$5:$M$1004),IFERROR(INDEX($N$5:$N$1004,ROW()-4),""),IFERROR(INDEX($P$5:$P$1004,ROW()-4-MAX($M$5:$M$1004)),""))</f>
        <v/>
      </c>
    </row>
    <row r="233" customFormat="false" ht="15" hidden="false" customHeight="false" outlineLevel="0" collapsed="false">
      <c r="M233" s="0" t="str">
        <f aca="false">IF(CSV貼付A!$N233="","",IF(COUNTIF($B$37:$B$48,CSV貼付A!$H233)&gt;0,"",IF(SUMPRODUCT((CSV貼付A!$N$5:$N233=CSV貼付A!$N233)*(COUNTIF($B$37:$B$48,CSV貼付A!$H$5:$H233)=0))&gt;1,"",MAX($M$4:M232)+1)))</f>
        <v/>
      </c>
      <c r="N233" s="0" t="str">
        <f aca="false">IFERROR(INDEX(CSV貼付A!$N$5:$N$1004,MATCH(ROW()-4,$M$5:$M$1004,0)),"")</f>
        <v/>
      </c>
      <c r="O233" s="0" t="str">
        <f aca="false">IF(CSV貼付B!$N233="","",IF(COUNTIF($B$37:$B$48,CSV貼付B!$H233)&gt;0,"",IF(SUMPRODUCT((CSV貼付B!$N$5:$N233=CSV貼付B!$N233)*(COUNTIF($B$37:$B$48,CSV貼付B!$H$5:$H233)=0))&gt;1,"",MAX($O$4:O232)+1)))</f>
        <v/>
      </c>
      <c r="P233" s="0" t="str">
        <f aca="false">IFERROR(INDEX(CSV貼付B!$N$5:$N$1004,MATCH(ROW()-4,$O$5:$O$1004,0)),"")</f>
        <v/>
      </c>
      <c r="Q233" s="0" t="str">
        <f aca="false">IF(ROW()-4&lt;=MAX($M$5:$M$1004),IFERROR(INDEX($N$5:$N$1004,ROW()-4),""),IFERROR(INDEX($P$5:$P$1004,ROW()-4-MAX($M$5:$M$1004)),""))</f>
        <v/>
      </c>
    </row>
    <row r="234" customFormat="false" ht="15" hidden="false" customHeight="false" outlineLevel="0" collapsed="false">
      <c r="M234" s="0" t="str">
        <f aca="false">IF(CSV貼付A!$N234="","",IF(COUNTIF($B$37:$B$48,CSV貼付A!$H234)&gt;0,"",IF(SUMPRODUCT((CSV貼付A!$N$5:$N234=CSV貼付A!$N234)*(COUNTIF($B$37:$B$48,CSV貼付A!$H$5:$H234)=0))&gt;1,"",MAX($M$4:M233)+1)))</f>
        <v/>
      </c>
      <c r="N234" s="0" t="str">
        <f aca="false">IFERROR(INDEX(CSV貼付A!$N$5:$N$1004,MATCH(ROW()-4,$M$5:$M$1004,0)),"")</f>
        <v/>
      </c>
      <c r="O234" s="0" t="str">
        <f aca="false">IF(CSV貼付B!$N234="","",IF(COUNTIF($B$37:$B$48,CSV貼付B!$H234)&gt;0,"",IF(SUMPRODUCT((CSV貼付B!$N$5:$N234=CSV貼付B!$N234)*(COUNTIF($B$37:$B$48,CSV貼付B!$H$5:$H234)=0))&gt;1,"",MAX($O$4:O233)+1)))</f>
        <v/>
      </c>
      <c r="P234" s="0" t="str">
        <f aca="false">IFERROR(INDEX(CSV貼付B!$N$5:$N$1004,MATCH(ROW()-4,$O$5:$O$1004,0)),"")</f>
        <v/>
      </c>
      <c r="Q234" s="0" t="str">
        <f aca="false">IF(ROW()-4&lt;=MAX($M$5:$M$1004),IFERROR(INDEX($N$5:$N$1004,ROW()-4),""),IFERROR(INDEX($P$5:$P$1004,ROW()-4-MAX($M$5:$M$1004)),""))</f>
        <v/>
      </c>
    </row>
    <row r="235" customFormat="false" ht="15" hidden="false" customHeight="false" outlineLevel="0" collapsed="false">
      <c r="M235" s="0" t="str">
        <f aca="false">IF(CSV貼付A!$N235="","",IF(COUNTIF($B$37:$B$48,CSV貼付A!$H235)&gt;0,"",IF(SUMPRODUCT((CSV貼付A!$N$5:$N235=CSV貼付A!$N235)*(COUNTIF($B$37:$B$48,CSV貼付A!$H$5:$H235)=0))&gt;1,"",MAX($M$4:M234)+1)))</f>
        <v/>
      </c>
      <c r="N235" s="0" t="str">
        <f aca="false">IFERROR(INDEX(CSV貼付A!$N$5:$N$1004,MATCH(ROW()-4,$M$5:$M$1004,0)),"")</f>
        <v/>
      </c>
      <c r="O235" s="0" t="str">
        <f aca="false">IF(CSV貼付B!$N235="","",IF(COUNTIF($B$37:$B$48,CSV貼付B!$H235)&gt;0,"",IF(SUMPRODUCT((CSV貼付B!$N$5:$N235=CSV貼付B!$N235)*(COUNTIF($B$37:$B$48,CSV貼付B!$H$5:$H235)=0))&gt;1,"",MAX($O$4:O234)+1)))</f>
        <v/>
      </c>
      <c r="P235" s="0" t="str">
        <f aca="false">IFERROR(INDEX(CSV貼付B!$N$5:$N$1004,MATCH(ROW()-4,$O$5:$O$1004,0)),"")</f>
        <v/>
      </c>
      <c r="Q235" s="0" t="str">
        <f aca="false">IF(ROW()-4&lt;=MAX($M$5:$M$1004),IFERROR(INDEX($N$5:$N$1004,ROW()-4),""),IFERROR(INDEX($P$5:$P$1004,ROW()-4-MAX($M$5:$M$1004)),""))</f>
        <v/>
      </c>
    </row>
    <row r="236" customFormat="false" ht="15" hidden="false" customHeight="false" outlineLevel="0" collapsed="false">
      <c r="M236" s="0" t="str">
        <f aca="false">IF(CSV貼付A!$N236="","",IF(COUNTIF($B$37:$B$48,CSV貼付A!$H236)&gt;0,"",IF(SUMPRODUCT((CSV貼付A!$N$5:$N236=CSV貼付A!$N236)*(COUNTIF($B$37:$B$48,CSV貼付A!$H$5:$H236)=0))&gt;1,"",MAX($M$4:M235)+1)))</f>
        <v/>
      </c>
      <c r="N236" s="0" t="str">
        <f aca="false">IFERROR(INDEX(CSV貼付A!$N$5:$N$1004,MATCH(ROW()-4,$M$5:$M$1004,0)),"")</f>
        <v/>
      </c>
      <c r="O236" s="0" t="str">
        <f aca="false">IF(CSV貼付B!$N236="","",IF(COUNTIF($B$37:$B$48,CSV貼付B!$H236)&gt;0,"",IF(SUMPRODUCT((CSV貼付B!$N$5:$N236=CSV貼付B!$N236)*(COUNTIF($B$37:$B$48,CSV貼付B!$H$5:$H236)=0))&gt;1,"",MAX($O$4:O235)+1)))</f>
        <v/>
      </c>
      <c r="P236" s="0" t="str">
        <f aca="false">IFERROR(INDEX(CSV貼付B!$N$5:$N$1004,MATCH(ROW()-4,$O$5:$O$1004,0)),"")</f>
        <v/>
      </c>
      <c r="Q236" s="0" t="str">
        <f aca="false">IF(ROW()-4&lt;=MAX($M$5:$M$1004),IFERROR(INDEX($N$5:$N$1004,ROW()-4),""),IFERROR(INDEX($P$5:$P$1004,ROW()-4-MAX($M$5:$M$1004)),""))</f>
        <v/>
      </c>
    </row>
    <row r="237" customFormat="false" ht="15" hidden="false" customHeight="false" outlineLevel="0" collapsed="false">
      <c r="M237" s="0" t="str">
        <f aca="false">IF(CSV貼付A!$N237="","",IF(COUNTIF($B$37:$B$48,CSV貼付A!$H237)&gt;0,"",IF(SUMPRODUCT((CSV貼付A!$N$5:$N237=CSV貼付A!$N237)*(COUNTIF($B$37:$B$48,CSV貼付A!$H$5:$H237)=0))&gt;1,"",MAX($M$4:M236)+1)))</f>
        <v/>
      </c>
      <c r="N237" s="0" t="str">
        <f aca="false">IFERROR(INDEX(CSV貼付A!$N$5:$N$1004,MATCH(ROW()-4,$M$5:$M$1004,0)),"")</f>
        <v/>
      </c>
      <c r="O237" s="0" t="str">
        <f aca="false">IF(CSV貼付B!$N237="","",IF(COUNTIF($B$37:$B$48,CSV貼付B!$H237)&gt;0,"",IF(SUMPRODUCT((CSV貼付B!$N$5:$N237=CSV貼付B!$N237)*(COUNTIF($B$37:$B$48,CSV貼付B!$H$5:$H237)=0))&gt;1,"",MAX($O$4:O236)+1)))</f>
        <v/>
      </c>
      <c r="P237" s="0" t="str">
        <f aca="false">IFERROR(INDEX(CSV貼付B!$N$5:$N$1004,MATCH(ROW()-4,$O$5:$O$1004,0)),"")</f>
        <v/>
      </c>
      <c r="Q237" s="0" t="str">
        <f aca="false">IF(ROW()-4&lt;=MAX($M$5:$M$1004),IFERROR(INDEX($N$5:$N$1004,ROW()-4),""),IFERROR(INDEX($P$5:$P$1004,ROW()-4-MAX($M$5:$M$1004)),""))</f>
        <v/>
      </c>
    </row>
    <row r="238" customFormat="false" ht="15" hidden="false" customHeight="false" outlineLevel="0" collapsed="false">
      <c r="M238" s="0" t="str">
        <f aca="false">IF(CSV貼付A!$N238="","",IF(COUNTIF($B$37:$B$48,CSV貼付A!$H238)&gt;0,"",IF(SUMPRODUCT((CSV貼付A!$N$5:$N238=CSV貼付A!$N238)*(COUNTIF($B$37:$B$48,CSV貼付A!$H$5:$H238)=0))&gt;1,"",MAX($M$4:M237)+1)))</f>
        <v/>
      </c>
      <c r="N238" s="0" t="str">
        <f aca="false">IFERROR(INDEX(CSV貼付A!$N$5:$N$1004,MATCH(ROW()-4,$M$5:$M$1004,0)),"")</f>
        <v/>
      </c>
      <c r="O238" s="0" t="str">
        <f aca="false">IF(CSV貼付B!$N238="","",IF(COUNTIF($B$37:$B$48,CSV貼付B!$H238)&gt;0,"",IF(SUMPRODUCT((CSV貼付B!$N$5:$N238=CSV貼付B!$N238)*(COUNTIF($B$37:$B$48,CSV貼付B!$H$5:$H238)=0))&gt;1,"",MAX($O$4:O237)+1)))</f>
        <v/>
      </c>
      <c r="P238" s="0" t="str">
        <f aca="false">IFERROR(INDEX(CSV貼付B!$N$5:$N$1004,MATCH(ROW()-4,$O$5:$O$1004,0)),"")</f>
        <v/>
      </c>
      <c r="Q238" s="0" t="str">
        <f aca="false">IF(ROW()-4&lt;=MAX($M$5:$M$1004),IFERROR(INDEX($N$5:$N$1004,ROW()-4),""),IFERROR(INDEX($P$5:$P$1004,ROW()-4-MAX($M$5:$M$1004)),""))</f>
        <v/>
      </c>
    </row>
    <row r="239" customFormat="false" ht="15" hidden="false" customHeight="false" outlineLevel="0" collapsed="false">
      <c r="M239" s="0" t="str">
        <f aca="false">IF(CSV貼付A!$N239="","",IF(COUNTIF($B$37:$B$48,CSV貼付A!$H239)&gt;0,"",IF(SUMPRODUCT((CSV貼付A!$N$5:$N239=CSV貼付A!$N239)*(COUNTIF($B$37:$B$48,CSV貼付A!$H$5:$H239)=0))&gt;1,"",MAX($M$4:M238)+1)))</f>
        <v/>
      </c>
      <c r="N239" s="0" t="str">
        <f aca="false">IFERROR(INDEX(CSV貼付A!$N$5:$N$1004,MATCH(ROW()-4,$M$5:$M$1004,0)),"")</f>
        <v/>
      </c>
      <c r="O239" s="0" t="str">
        <f aca="false">IF(CSV貼付B!$N239="","",IF(COUNTIF($B$37:$B$48,CSV貼付B!$H239)&gt;0,"",IF(SUMPRODUCT((CSV貼付B!$N$5:$N239=CSV貼付B!$N239)*(COUNTIF($B$37:$B$48,CSV貼付B!$H$5:$H239)=0))&gt;1,"",MAX($O$4:O238)+1)))</f>
        <v/>
      </c>
      <c r="P239" s="0" t="str">
        <f aca="false">IFERROR(INDEX(CSV貼付B!$N$5:$N$1004,MATCH(ROW()-4,$O$5:$O$1004,0)),"")</f>
        <v/>
      </c>
      <c r="Q239" s="0" t="str">
        <f aca="false">IF(ROW()-4&lt;=MAX($M$5:$M$1004),IFERROR(INDEX($N$5:$N$1004,ROW()-4),""),IFERROR(INDEX($P$5:$P$1004,ROW()-4-MAX($M$5:$M$1004)),""))</f>
        <v/>
      </c>
    </row>
    <row r="240" customFormat="false" ht="15" hidden="false" customHeight="false" outlineLevel="0" collapsed="false">
      <c r="M240" s="0" t="str">
        <f aca="false">IF(CSV貼付A!$N240="","",IF(COUNTIF($B$37:$B$48,CSV貼付A!$H240)&gt;0,"",IF(SUMPRODUCT((CSV貼付A!$N$5:$N240=CSV貼付A!$N240)*(COUNTIF($B$37:$B$48,CSV貼付A!$H$5:$H240)=0))&gt;1,"",MAX($M$4:M239)+1)))</f>
        <v/>
      </c>
      <c r="N240" s="0" t="str">
        <f aca="false">IFERROR(INDEX(CSV貼付A!$N$5:$N$1004,MATCH(ROW()-4,$M$5:$M$1004,0)),"")</f>
        <v/>
      </c>
      <c r="O240" s="0" t="str">
        <f aca="false">IF(CSV貼付B!$N240="","",IF(COUNTIF($B$37:$B$48,CSV貼付B!$H240)&gt;0,"",IF(SUMPRODUCT((CSV貼付B!$N$5:$N240=CSV貼付B!$N240)*(COUNTIF($B$37:$B$48,CSV貼付B!$H$5:$H240)=0))&gt;1,"",MAX($O$4:O239)+1)))</f>
        <v/>
      </c>
      <c r="P240" s="0" t="str">
        <f aca="false">IFERROR(INDEX(CSV貼付B!$N$5:$N$1004,MATCH(ROW()-4,$O$5:$O$1004,0)),"")</f>
        <v/>
      </c>
      <c r="Q240" s="0" t="str">
        <f aca="false">IF(ROW()-4&lt;=MAX($M$5:$M$1004),IFERROR(INDEX($N$5:$N$1004,ROW()-4),""),IFERROR(INDEX($P$5:$P$1004,ROW()-4-MAX($M$5:$M$1004)),""))</f>
        <v/>
      </c>
    </row>
    <row r="241" customFormat="false" ht="15" hidden="false" customHeight="false" outlineLevel="0" collapsed="false">
      <c r="M241" s="0" t="str">
        <f aca="false">IF(CSV貼付A!$N241="","",IF(COUNTIF($B$37:$B$48,CSV貼付A!$H241)&gt;0,"",IF(SUMPRODUCT((CSV貼付A!$N$5:$N241=CSV貼付A!$N241)*(COUNTIF($B$37:$B$48,CSV貼付A!$H$5:$H241)=0))&gt;1,"",MAX($M$4:M240)+1)))</f>
        <v/>
      </c>
      <c r="N241" s="0" t="str">
        <f aca="false">IFERROR(INDEX(CSV貼付A!$N$5:$N$1004,MATCH(ROW()-4,$M$5:$M$1004,0)),"")</f>
        <v/>
      </c>
      <c r="O241" s="0" t="str">
        <f aca="false">IF(CSV貼付B!$N241="","",IF(COUNTIF($B$37:$B$48,CSV貼付B!$H241)&gt;0,"",IF(SUMPRODUCT((CSV貼付B!$N$5:$N241=CSV貼付B!$N241)*(COUNTIF($B$37:$B$48,CSV貼付B!$H$5:$H241)=0))&gt;1,"",MAX($O$4:O240)+1)))</f>
        <v/>
      </c>
      <c r="P241" s="0" t="str">
        <f aca="false">IFERROR(INDEX(CSV貼付B!$N$5:$N$1004,MATCH(ROW()-4,$O$5:$O$1004,0)),"")</f>
        <v/>
      </c>
      <c r="Q241" s="0" t="str">
        <f aca="false">IF(ROW()-4&lt;=MAX($M$5:$M$1004),IFERROR(INDEX($N$5:$N$1004,ROW()-4),""),IFERROR(INDEX($P$5:$P$1004,ROW()-4-MAX($M$5:$M$1004)),""))</f>
        <v/>
      </c>
    </row>
    <row r="242" customFormat="false" ht="15" hidden="false" customHeight="false" outlineLevel="0" collapsed="false">
      <c r="M242" s="0" t="str">
        <f aca="false">IF(CSV貼付A!$N242="","",IF(COUNTIF($B$37:$B$48,CSV貼付A!$H242)&gt;0,"",IF(SUMPRODUCT((CSV貼付A!$N$5:$N242=CSV貼付A!$N242)*(COUNTIF($B$37:$B$48,CSV貼付A!$H$5:$H242)=0))&gt;1,"",MAX($M$4:M241)+1)))</f>
        <v/>
      </c>
      <c r="N242" s="0" t="str">
        <f aca="false">IFERROR(INDEX(CSV貼付A!$N$5:$N$1004,MATCH(ROW()-4,$M$5:$M$1004,0)),"")</f>
        <v/>
      </c>
      <c r="O242" s="0" t="str">
        <f aca="false">IF(CSV貼付B!$N242="","",IF(COUNTIF($B$37:$B$48,CSV貼付B!$H242)&gt;0,"",IF(SUMPRODUCT((CSV貼付B!$N$5:$N242=CSV貼付B!$N242)*(COUNTIF($B$37:$B$48,CSV貼付B!$H$5:$H242)=0))&gt;1,"",MAX($O$4:O241)+1)))</f>
        <v/>
      </c>
      <c r="P242" s="0" t="str">
        <f aca="false">IFERROR(INDEX(CSV貼付B!$N$5:$N$1004,MATCH(ROW()-4,$O$5:$O$1004,0)),"")</f>
        <v/>
      </c>
      <c r="Q242" s="0" t="str">
        <f aca="false">IF(ROW()-4&lt;=MAX($M$5:$M$1004),IFERROR(INDEX($N$5:$N$1004,ROW()-4),""),IFERROR(INDEX($P$5:$P$1004,ROW()-4-MAX($M$5:$M$1004)),""))</f>
        <v/>
      </c>
    </row>
    <row r="243" customFormat="false" ht="15" hidden="false" customHeight="false" outlineLevel="0" collapsed="false">
      <c r="M243" s="0" t="str">
        <f aca="false">IF(CSV貼付A!$N243="","",IF(COUNTIF($B$37:$B$48,CSV貼付A!$H243)&gt;0,"",IF(SUMPRODUCT((CSV貼付A!$N$5:$N243=CSV貼付A!$N243)*(COUNTIF($B$37:$B$48,CSV貼付A!$H$5:$H243)=0))&gt;1,"",MAX($M$4:M242)+1)))</f>
        <v/>
      </c>
      <c r="N243" s="0" t="str">
        <f aca="false">IFERROR(INDEX(CSV貼付A!$N$5:$N$1004,MATCH(ROW()-4,$M$5:$M$1004,0)),"")</f>
        <v/>
      </c>
      <c r="O243" s="0" t="str">
        <f aca="false">IF(CSV貼付B!$N243="","",IF(COUNTIF($B$37:$B$48,CSV貼付B!$H243)&gt;0,"",IF(SUMPRODUCT((CSV貼付B!$N$5:$N243=CSV貼付B!$N243)*(COUNTIF($B$37:$B$48,CSV貼付B!$H$5:$H243)=0))&gt;1,"",MAX($O$4:O242)+1)))</f>
        <v/>
      </c>
      <c r="P243" s="0" t="str">
        <f aca="false">IFERROR(INDEX(CSV貼付B!$N$5:$N$1004,MATCH(ROW()-4,$O$5:$O$1004,0)),"")</f>
        <v/>
      </c>
      <c r="Q243" s="0" t="str">
        <f aca="false">IF(ROW()-4&lt;=MAX($M$5:$M$1004),IFERROR(INDEX($N$5:$N$1004,ROW()-4),""),IFERROR(INDEX($P$5:$P$1004,ROW()-4-MAX($M$5:$M$1004)),""))</f>
        <v/>
      </c>
    </row>
    <row r="244" customFormat="false" ht="15" hidden="false" customHeight="false" outlineLevel="0" collapsed="false">
      <c r="M244" s="0" t="str">
        <f aca="false">IF(CSV貼付A!$N244="","",IF(COUNTIF($B$37:$B$48,CSV貼付A!$H244)&gt;0,"",IF(SUMPRODUCT((CSV貼付A!$N$5:$N244=CSV貼付A!$N244)*(COUNTIF($B$37:$B$48,CSV貼付A!$H$5:$H244)=0))&gt;1,"",MAX($M$4:M243)+1)))</f>
        <v/>
      </c>
      <c r="N244" s="0" t="str">
        <f aca="false">IFERROR(INDEX(CSV貼付A!$N$5:$N$1004,MATCH(ROW()-4,$M$5:$M$1004,0)),"")</f>
        <v/>
      </c>
      <c r="O244" s="0" t="str">
        <f aca="false">IF(CSV貼付B!$N244="","",IF(COUNTIF($B$37:$B$48,CSV貼付B!$H244)&gt;0,"",IF(SUMPRODUCT((CSV貼付B!$N$5:$N244=CSV貼付B!$N244)*(COUNTIF($B$37:$B$48,CSV貼付B!$H$5:$H244)=0))&gt;1,"",MAX($O$4:O243)+1)))</f>
        <v/>
      </c>
      <c r="P244" s="0" t="str">
        <f aca="false">IFERROR(INDEX(CSV貼付B!$N$5:$N$1004,MATCH(ROW()-4,$O$5:$O$1004,0)),"")</f>
        <v/>
      </c>
      <c r="Q244" s="0" t="str">
        <f aca="false">IF(ROW()-4&lt;=MAX($M$5:$M$1004),IFERROR(INDEX($N$5:$N$1004,ROW()-4),""),IFERROR(INDEX($P$5:$P$1004,ROW()-4-MAX($M$5:$M$1004)),""))</f>
        <v/>
      </c>
    </row>
    <row r="245" customFormat="false" ht="15" hidden="false" customHeight="false" outlineLevel="0" collapsed="false">
      <c r="M245" s="0" t="str">
        <f aca="false">IF(CSV貼付A!$N245="","",IF(COUNTIF($B$37:$B$48,CSV貼付A!$H245)&gt;0,"",IF(SUMPRODUCT((CSV貼付A!$N$5:$N245=CSV貼付A!$N245)*(COUNTIF($B$37:$B$48,CSV貼付A!$H$5:$H245)=0))&gt;1,"",MAX($M$4:M244)+1)))</f>
        <v/>
      </c>
      <c r="N245" s="0" t="str">
        <f aca="false">IFERROR(INDEX(CSV貼付A!$N$5:$N$1004,MATCH(ROW()-4,$M$5:$M$1004,0)),"")</f>
        <v/>
      </c>
      <c r="O245" s="0" t="str">
        <f aca="false">IF(CSV貼付B!$N245="","",IF(COUNTIF($B$37:$B$48,CSV貼付B!$H245)&gt;0,"",IF(SUMPRODUCT((CSV貼付B!$N$5:$N245=CSV貼付B!$N245)*(COUNTIF($B$37:$B$48,CSV貼付B!$H$5:$H245)=0))&gt;1,"",MAX($O$4:O244)+1)))</f>
        <v/>
      </c>
      <c r="P245" s="0" t="str">
        <f aca="false">IFERROR(INDEX(CSV貼付B!$N$5:$N$1004,MATCH(ROW()-4,$O$5:$O$1004,0)),"")</f>
        <v/>
      </c>
      <c r="Q245" s="0" t="str">
        <f aca="false">IF(ROW()-4&lt;=MAX($M$5:$M$1004),IFERROR(INDEX($N$5:$N$1004,ROW()-4),""),IFERROR(INDEX($P$5:$P$1004,ROW()-4-MAX($M$5:$M$1004)),""))</f>
        <v/>
      </c>
    </row>
    <row r="246" customFormat="false" ht="15" hidden="false" customHeight="false" outlineLevel="0" collapsed="false">
      <c r="M246" s="0" t="str">
        <f aca="false">IF(CSV貼付A!$N246="","",IF(COUNTIF($B$37:$B$48,CSV貼付A!$H246)&gt;0,"",IF(SUMPRODUCT((CSV貼付A!$N$5:$N246=CSV貼付A!$N246)*(COUNTIF($B$37:$B$48,CSV貼付A!$H$5:$H246)=0))&gt;1,"",MAX($M$4:M245)+1)))</f>
        <v/>
      </c>
      <c r="N246" s="0" t="str">
        <f aca="false">IFERROR(INDEX(CSV貼付A!$N$5:$N$1004,MATCH(ROW()-4,$M$5:$M$1004,0)),"")</f>
        <v/>
      </c>
      <c r="O246" s="0" t="str">
        <f aca="false">IF(CSV貼付B!$N246="","",IF(COUNTIF($B$37:$B$48,CSV貼付B!$H246)&gt;0,"",IF(SUMPRODUCT((CSV貼付B!$N$5:$N246=CSV貼付B!$N246)*(COUNTIF($B$37:$B$48,CSV貼付B!$H$5:$H246)=0))&gt;1,"",MAX($O$4:O245)+1)))</f>
        <v/>
      </c>
      <c r="P246" s="0" t="str">
        <f aca="false">IFERROR(INDEX(CSV貼付B!$N$5:$N$1004,MATCH(ROW()-4,$O$5:$O$1004,0)),"")</f>
        <v/>
      </c>
      <c r="Q246" s="0" t="str">
        <f aca="false">IF(ROW()-4&lt;=MAX($M$5:$M$1004),IFERROR(INDEX($N$5:$N$1004,ROW()-4),""),IFERROR(INDEX($P$5:$P$1004,ROW()-4-MAX($M$5:$M$1004)),""))</f>
        <v/>
      </c>
    </row>
    <row r="247" customFormat="false" ht="15" hidden="false" customHeight="false" outlineLevel="0" collapsed="false">
      <c r="M247" s="0" t="str">
        <f aca="false">IF(CSV貼付A!$N247="","",IF(COUNTIF($B$37:$B$48,CSV貼付A!$H247)&gt;0,"",IF(SUMPRODUCT((CSV貼付A!$N$5:$N247=CSV貼付A!$N247)*(COUNTIF($B$37:$B$48,CSV貼付A!$H$5:$H247)=0))&gt;1,"",MAX($M$4:M246)+1)))</f>
        <v/>
      </c>
      <c r="N247" s="0" t="str">
        <f aca="false">IFERROR(INDEX(CSV貼付A!$N$5:$N$1004,MATCH(ROW()-4,$M$5:$M$1004,0)),"")</f>
        <v/>
      </c>
      <c r="O247" s="0" t="str">
        <f aca="false">IF(CSV貼付B!$N247="","",IF(COUNTIF($B$37:$B$48,CSV貼付B!$H247)&gt;0,"",IF(SUMPRODUCT((CSV貼付B!$N$5:$N247=CSV貼付B!$N247)*(COUNTIF($B$37:$B$48,CSV貼付B!$H$5:$H247)=0))&gt;1,"",MAX($O$4:O246)+1)))</f>
        <v/>
      </c>
      <c r="P247" s="0" t="str">
        <f aca="false">IFERROR(INDEX(CSV貼付B!$N$5:$N$1004,MATCH(ROW()-4,$O$5:$O$1004,0)),"")</f>
        <v/>
      </c>
      <c r="Q247" s="0" t="str">
        <f aca="false">IF(ROW()-4&lt;=MAX($M$5:$M$1004),IFERROR(INDEX($N$5:$N$1004,ROW()-4),""),IFERROR(INDEX($P$5:$P$1004,ROW()-4-MAX($M$5:$M$1004)),""))</f>
        <v/>
      </c>
    </row>
    <row r="248" customFormat="false" ht="15" hidden="false" customHeight="false" outlineLevel="0" collapsed="false">
      <c r="M248" s="0" t="str">
        <f aca="false">IF(CSV貼付A!$N248="","",IF(COUNTIF($B$37:$B$48,CSV貼付A!$H248)&gt;0,"",IF(SUMPRODUCT((CSV貼付A!$N$5:$N248=CSV貼付A!$N248)*(COUNTIF($B$37:$B$48,CSV貼付A!$H$5:$H248)=0))&gt;1,"",MAX($M$4:M247)+1)))</f>
        <v/>
      </c>
      <c r="N248" s="0" t="str">
        <f aca="false">IFERROR(INDEX(CSV貼付A!$N$5:$N$1004,MATCH(ROW()-4,$M$5:$M$1004,0)),"")</f>
        <v/>
      </c>
      <c r="O248" s="0" t="str">
        <f aca="false">IF(CSV貼付B!$N248="","",IF(COUNTIF($B$37:$B$48,CSV貼付B!$H248)&gt;0,"",IF(SUMPRODUCT((CSV貼付B!$N$5:$N248=CSV貼付B!$N248)*(COUNTIF($B$37:$B$48,CSV貼付B!$H$5:$H248)=0))&gt;1,"",MAX($O$4:O247)+1)))</f>
        <v/>
      </c>
      <c r="P248" s="0" t="str">
        <f aca="false">IFERROR(INDEX(CSV貼付B!$N$5:$N$1004,MATCH(ROW()-4,$O$5:$O$1004,0)),"")</f>
        <v/>
      </c>
      <c r="Q248" s="0" t="str">
        <f aca="false">IF(ROW()-4&lt;=MAX($M$5:$M$1004),IFERROR(INDEX($N$5:$N$1004,ROW()-4),""),IFERROR(INDEX($P$5:$P$1004,ROW()-4-MAX($M$5:$M$1004)),""))</f>
        <v/>
      </c>
    </row>
    <row r="249" customFormat="false" ht="15" hidden="false" customHeight="false" outlineLevel="0" collapsed="false">
      <c r="M249" s="0" t="str">
        <f aca="false">IF(CSV貼付A!$N249="","",IF(COUNTIF($B$37:$B$48,CSV貼付A!$H249)&gt;0,"",IF(SUMPRODUCT((CSV貼付A!$N$5:$N249=CSV貼付A!$N249)*(COUNTIF($B$37:$B$48,CSV貼付A!$H$5:$H249)=0))&gt;1,"",MAX($M$4:M248)+1)))</f>
        <v/>
      </c>
      <c r="N249" s="0" t="str">
        <f aca="false">IFERROR(INDEX(CSV貼付A!$N$5:$N$1004,MATCH(ROW()-4,$M$5:$M$1004,0)),"")</f>
        <v/>
      </c>
      <c r="O249" s="0" t="str">
        <f aca="false">IF(CSV貼付B!$N249="","",IF(COUNTIF($B$37:$B$48,CSV貼付B!$H249)&gt;0,"",IF(SUMPRODUCT((CSV貼付B!$N$5:$N249=CSV貼付B!$N249)*(COUNTIF($B$37:$B$48,CSV貼付B!$H$5:$H249)=0))&gt;1,"",MAX($O$4:O248)+1)))</f>
        <v/>
      </c>
      <c r="P249" s="0" t="str">
        <f aca="false">IFERROR(INDEX(CSV貼付B!$N$5:$N$1004,MATCH(ROW()-4,$O$5:$O$1004,0)),"")</f>
        <v/>
      </c>
      <c r="Q249" s="0" t="str">
        <f aca="false">IF(ROW()-4&lt;=MAX($M$5:$M$1004),IFERROR(INDEX($N$5:$N$1004,ROW()-4),""),IFERROR(INDEX($P$5:$P$1004,ROW()-4-MAX($M$5:$M$1004)),""))</f>
        <v/>
      </c>
    </row>
    <row r="250" customFormat="false" ht="15" hidden="false" customHeight="false" outlineLevel="0" collapsed="false">
      <c r="M250" s="0" t="str">
        <f aca="false">IF(CSV貼付A!$N250="","",IF(COUNTIF($B$37:$B$48,CSV貼付A!$H250)&gt;0,"",IF(SUMPRODUCT((CSV貼付A!$N$5:$N250=CSV貼付A!$N250)*(COUNTIF($B$37:$B$48,CSV貼付A!$H$5:$H250)=0))&gt;1,"",MAX($M$4:M249)+1)))</f>
        <v/>
      </c>
      <c r="N250" s="0" t="str">
        <f aca="false">IFERROR(INDEX(CSV貼付A!$N$5:$N$1004,MATCH(ROW()-4,$M$5:$M$1004,0)),"")</f>
        <v/>
      </c>
      <c r="O250" s="0" t="str">
        <f aca="false">IF(CSV貼付B!$N250="","",IF(COUNTIF($B$37:$B$48,CSV貼付B!$H250)&gt;0,"",IF(SUMPRODUCT((CSV貼付B!$N$5:$N250=CSV貼付B!$N250)*(COUNTIF($B$37:$B$48,CSV貼付B!$H$5:$H250)=0))&gt;1,"",MAX($O$4:O249)+1)))</f>
        <v/>
      </c>
      <c r="P250" s="0" t="str">
        <f aca="false">IFERROR(INDEX(CSV貼付B!$N$5:$N$1004,MATCH(ROW()-4,$O$5:$O$1004,0)),"")</f>
        <v/>
      </c>
      <c r="Q250" s="0" t="str">
        <f aca="false">IF(ROW()-4&lt;=MAX($M$5:$M$1004),IFERROR(INDEX($N$5:$N$1004,ROW()-4),""),IFERROR(INDEX($P$5:$P$1004,ROW()-4-MAX($M$5:$M$1004)),""))</f>
        <v/>
      </c>
    </row>
    <row r="251" customFormat="false" ht="15" hidden="false" customHeight="false" outlineLevel="0" collapsed="false">
      <c r="M251" s="0" t="str">
        <f aca="false">IF(CSV貼付A!$N251="","",IF(COUNTIF($B$37:$B$48,CSV貼付A!$H251)&gt;0,"",IF(SUMPRODUCT((CSV貼付A!$N$5:$N251=CSV貼付A!$N251)*(COUNTIF($B$37:$B$48,CSV貼付A!$H$5:$H251)=0))&gt;1,"",MAX($M$4:M250)+1)))</f>
        <v/>
      </c>
      <c r="N251" s="0" t="str">
        <f aca="false">IFERROR(INDEX(CSV貼付A!$N$5:$N$1004,MATCH(ROW()-4,$M$5:$M$1004,0)),"")</f>
        <v/>
      </c>
      <c r="O251" s="0" t="str">
        <f aca="false">IF(CSV貼付B!$N251="","",IF(COUNTIF($B$37:$B$48,CSV貼付B!$H251)&gt;0,"",IF(SUMPRODUCT((CSV貼付B!$N$5:$N251=CSV貼付B!$N251)*(COUNTIF($B$37:$B$48,CSV貼付B!$H$5:$H251)=0))&gt;1,"",MAX($O$4:O250)+1)))</f>
        <v/>
      </c>
      <c r="P251" s="0" t="str">
        <f aca="false">IFERROR(INDEX(CSV貼付B!$N$5:$N$1004,MATCH(ROW()-4,$O$5:$O$1004,0)),"")</f>
        <v/>
      </c>
      <c r="Q251" s="0" t="str">
        <f aca="false">IF(ROW()-4&lt;=MAX($M$5:$M$1004),IFERROR(INDEX($N$5:$N$1004,ROW()-4),""),IFERROR(INDEX($P$5:$P$1004,ROW()-4-MAX($M$5:$M$1004)),""))</f>
        <v/>
      </c>
    </row>
    <row r="252" customFormat="false" ht="15" hidden="false" customHeight="false" outlineLevel="0" collapsed="false">
      <c r="M252" s="0" t="str">
        <f aca="false">IF(CSV貼付A!$N252="","",IF(COUNTIF($B$37:$B$48,CSV貼付A!$H252)&gt;0,"",IF(SUMPRODUCT((CSV貼付A!$N$5:$N252=CSV貼付A!$N252)*(COUNTIF($B$37:$B$48,CSV貼付A!$H$5:$H252)=0))&gt;1,"",MAX($M$4:M251)+1)))</f>
        <v/>
      </c>
      <c r="N252" s="0" t="str">
        <f aca="false">IFERROR(INDEX(CSV貼付A!$N$5:$N$1004,MATCH(ROW()-4,$M$5:$M$1004,0)),"")</f>
        <v/>
      </c>
      <c r="O252" s="0" t="str">
        <f aca="false">IF(CSV貼付B!$N252="","",IF(COUNTIF($B$37:$B$48,CSV貼付B!$H252)&gt;0,"",IF(SUMPRODUCT((CSV貼付B!$N$5:$N252=CSV貼付B!$N252)*(COUNTIF($B$37:$B$48,CSV貼付B!$H$5:$H252)=0))&gt;1,"",MAX($O$4:O251)+1)))</f>
        <v/>
      </c>
      <c r="P252" s="0" t="str">
        <f aca="false">IFERROR(INDEX(CSV貼付B!$N$5:$N$1004,MATCH(ROW()-4,$O$5:$O$1004,0)),"")</f>
        <v/>
      </c>
      <c r="Q252" s="0" t="str">
        <f aca="false">IF(ROW()-4&lt;=MAX($M$5:$M$1004),IFERROR(INDEX($N$5:$N$1004,ROW()-4),""),IFERROR(INDEX($P$5:$P$1004,ROW()-4-MAX($M$5:$M$1004)),""))</f>
        <v/>
      </c>
    </row>
    <row r="253" customFormat="false" ht="15" hidden="false" customHeight="false" outlineLevel="0" collapsed="false">
      <c r="M253" s="0" t="str">
        <f aca="false">IF(CSV貼付A!$N253="","",IF(COUNTIF($B$37:$B$48,CSV貼付A!$H253)&gt;0,"",IF(SUMPRODUCT((CSV貼付A!$N$5:$N253=CSV貼付A!$N253)*(COUNTIF($B$37:$B$48,CSV貼付A!$H$5:$H253)=0))&gt;1,"",MAX($M$4:M252)+1)))</f>
        <v/>
      </c>
      <c r="N253" s="0" t="str">
        <f aca="false">IFERROR(INDEX(CSV貼付A!$N$5:$N$1004,MATCH(ROW()-4,$M$5:$M$1004,0)),"")</f>
        <v/>
      </c>
      <c r="O253" s="0" t="str">
        <f aca="false">IF(CSV貼付B!$N253="","",IF(COUNTIF($B$37:$B$48,CSV貼付B!$H253)&gt;0,"",IF(SUMPRODUCT((CSV貼付B!$N$5:$N253=CSV貼付B!$N253)*(COUNTIF($B$37:$B$48,CSV貼付B!$H$5:$H253)=0))&gt;1,"",MAX($O$4:O252)+1)))</f>
        <v/>
      </c>
      <c r="P253" s="0" t="str">
        <f aca="false">IFERROR(INDEX(CSV貼付B!$N$5:$N$1004,MATCH(ROW()-4,$O$5:$O$1004,0)),"")</f>
        <v/>
      </c>
      <c r="Q253" s="0" t="str">
        <f aca="false">IF(ROW()-4&lt;=MAX($M$5:$M$1004),IFERROR(INDEX($N$5:$N$1004,ROW()-4),""),IFERROR(INDEX($P$5:$P$1004,ROW()-4-MAX($M$5:$M$1004)),""))</f>
        <v/>
      </c>
    </row>
    <row r="254" customFormat="false" ht="15" hidden="false" customHeight="false" outlineLevel="0" collapsed="false">
      <c r="M254" s="0" t="str">
        <f aca="false">IF(CSV貼付A!$N254="","",IF(COUNTIF($B$37:$B$48,CSV貼付A!$H254)&gt;0,"",IF(SUMPRODUCT((CSV貼付A!$N$5:$N254=CSV貼付A!$N254)*(COUNTIF($B$37:$B$48,CSV貼付A!$H$5:$H254)=0))&gt;1,"",MAX($M$4:M253)+1)))</f>
        <v/>
      </c>
      <c r="N254" s="0" t="str">
        <f aca="false">IFERROR(INDEX(CSV貼付A!$N$5:$N$1004,MATCH(ROW()-4,$M$5:$M$1004,0)),"")</f>
        <v/>
      </c>
      <c r="O254" s="0" t="str">
        <f aca="false">IF(CSV貼付B!$N254="","",IF(COUNTIF($B$37:$B$48,CSV貼付B!$H254)&gt;0,"",IF(SUMPRODUCT((CSV貼付B!$N$5:$N254=CSV貼付B!$N254)*(COUNTIF($B$37:$B$48,CSV貼付B!$H$5:$H254)=0))&gt;1,"",MAX($O$4:O253)+1)))</f>
        <v/>
      </c>
      <c r="P254" s="0" t="str">
        <f aca="false">IFERROR(INDEX(CSV貼付B!$N$5:$N$1004,MATCH(ROW()-4,$O$5:$O$1004,0)),"")</f>
        <v/>
      </c>
      <c r="Q254" s="0" t="str">
        <f aca="false">IF(ROW()-4&lt;=MAX($M$5:$M$1004),IFERROR(INDEX($N$5:$N$1004,ROW()-4),""),IFERROR(INDEX($P$5:$P$1004,ROW()-4-MAX($M$5:$M$1004)),""))</f>
        <v/>
      </c>
    </row>
    <row r="255" customFormat="false" ht="15" hidden="false" customHeight="false" outlineLevel="0" collapsed="false">
      <c r="M255" s="0" t="str">
        <f aca="false">IF(CSV貼付A!$N255="","",IF(COUNTIF($B$37:$B$48,CSV貼付A!$H255)&gt;0,"",IF(SUMPRODUCT((CSV貼付A!$N$5:$N255=CSV貼付A!$N255)*(COUNTIF($B$37:$B$48,CSV貼付A!$H$5:$H255)=0))&gt;1,"",MAX($M$4:M254)+1)))</f>
        <v/>
      </c>
      <c r="N255" s="0" t="str">
        <f aca="false">IFERROR(INDEX(CSV貼付A!$N$5:$N$1004,MATCH(ROW()-4,$M$5:$M$1004,0)),"")</f>
        <v/>
      </c>
      <c r="O255" s="0" t="str">
        <f aca="false">IF(CSV貼付B!$N255="","",IF(COUNTIF($B$37:$B$48,CSV貼付B!$H255)&gt;0,"",IF(SUMPRODUCT((CSV貼付B!$N$5:$N255=CSV貼付B!$N255)*(COUNTIF($B$37:$B$48,CSV貼付B!$H$5:$H255)=0))&gt;1,"",MAX($O$4:O254)+1)))</f>
        <v/>
      </c>
      <c r="P255" s="0" t="str">
        <f aca="false">IFERROR(INDEX(CSV貼付B!$N$5:$N$1004,MATCH(ROW()-4,$O$5:$O$1004,0)),"")</f>
        <v/>
      </c>
      <c r="Q255" s="0" t="str">
        <f aca="false">IF(ROW()-4&lt;=MAX($M$5:$M$1004),IFERROR(INDEX($N$5:$N$1004,ROW()-4),""),IFERROR(INDEX($P$5:$P$1004,ROW()-4-MAX($M$5:$M$1004)),""))</f>
        <v/>
      </c>
    </row>
    <row r="256" customFormat="false" ht="15" hidden="false" customHeight="false" outlineLevel="0" collapsed="false">
      <c r="M256" s="0" t="str">
        <f aca="false">IF(CSV貼付A!$N256="","",IF(COUNTIF($B$37:$B$48,CSV貼付A!$H256)&gt;0,"",IF(SUMPRODUCT((CSV貼付A!$N$5:$N256=CSV貼付A!$N256)*(COUNTIF($B$37:$B$48,CSV貼付A!$H$5:$H256)=0))&gt;1,"",MAX($M$4:M255)+1)))</f>
        <v/>
      </c>
      <c r="N256" s="0" t="str">
        <f aca="false">IFERROR(INDEX(CSV貼付A!$N$5:$N$1004,MATCH(ROW()-4,$M$5:$M$1004,0)),"")</f>
        <v/>
      </c>
      <c r="O256" s="0" t="str">
        <f aca="false">IF(CSV貼付B!$N256="","",IF(COUNTIF($B$37:$B$48,CSV貼付B!$H256)&gt;0,"",IF(SUMPRODUCT((CSV貼付B!$N$5:$N256=CSV貼付B!$N256)*(COUNTIF($B$37:$B$48,CSV貼付B!$H$5:$H256)=0))&gt;1,"",MAX($O$4:O255)+1)))</f>
        <v/>
      </c>
      <c r="P256" s="0" t="str">
        <f aca="false">IFERROR(INDEX(CSV貼付B!$N$5:$N$1004,MATCH(ROW()-4,$O$5:$O$1004,0)),"")</f>
        <v/>
      </c>
      <c r="Q256" s="0" t="str">
        <f aca="false">IF(ROW()-4&lt;=MAX($M$5:$M$1004),IFERROR(INDEX($N$5:$N$1004,ROW()-4),""),IFERROR(INDEX($P$5:$P$1004,ROW()-4-MAX($M$5:$M$1004)),""))</f>
        <v/>
      </c>
    </row>
    <row r="257" customFormat="false" ht="15" hidden="false" customHeight="false" outlineLevel="0" collapsed="false">
      <c r="M257" s="0" t="str">
        <f aca="false">IF(CSV貼付A!$N257="","",IF(COUNTIF($B$37:$B$48,CSV貼付A!$H257)&gt;0,"",IF(SUMPRODUCT((CSV貼付A!$N$5:$N257=CSV貼付A!$N257)*(COUNTIF($B$37:$B$48,CSV貼付A!$H$5:$H257)=0))&gt;1,"",MAX($M$4:M256)+1)))</f>
        <v/>
      </c>
      <c r="N257" s="0" t="str">
        <f aca="false">IFERROR(INDEX(CSV貼付A!$N$5:$N$1004,MATCH(ROW()-4,$M$5:$M$1004,0)),"")</f>
        <v/>
      </c>
      <c r="O257" s="0" t="str">
        <f aca="false">IF(CSV貼付B!$N257="","",IF(COUNTIF($B$37:$B$48,CSV貼付B!$H257)&gt;0,"",IF(SUMPRODUCT((CSV貼付B!$N$5:$N257=CSV貼付B!$N257)*(COUNTIF($B$37:$B$48,CSV貼付B!$H$5:$H257)=0))&gt;1,"",MAX($O$4:O256)+1)))</f>
        <v/>
      </c>
      <c r="P257" s="0" t="str">
        <f aca="false">IFERROR(INDEX(CSV貼付B!$N$5:$N$1004,MATCH(ROW()-4,$O$5:$O$1004,0)),"")</f>
        <v/>
      </c>
      <c r="Q257" s="0" t="str">
        <f aca="false">IF(ROW()-4&lt;=MAX($M$5:$M$1004),IFERROR(INDEX($N$5:$N$1004,ROW()-4),""),IFERROR(INDEX($P$5:$P$1004,ROW()-4-MAX($M$5:$M$1004)),""))</f>
        <v/>
      </c>
    </row>
    <row r="258" customFormat="false" ht="15" hidden="false" customHeight="false" outlineLevel="0" collapsed="false">
      <c r="M258" s="0" t="str">
        <f aca="false">IF(CSV貼付A!$N258="","",IF(COUNTIF($B$37:$B$48,CSV貼付A!$H258)&gt;0,"",IF(SUMPRODUCT((CSV貼付A!$N$5:$N258=CSV貼付A!$N258)*(COUNTIF($B$37:$B$48,CSV貼付A!$H$5:$H258)=0))&gt;1,"",MAX($M$4:M257)+1)))</f>
        <v/>
      </c>
      <c r="N258" s="0" t="str">
        <f aca="false">IFERROR(INDEX(CSV貼付A!$N$5:$N$1004,MATCH(ROW()-4,$M$5:$M$1004,0)),"")</f>
        <v/>
      </c>
      <c r="O258" s="0" t="str">
        <f aca="false">IF(CSV貼付B!$N258="","",IF(COUNTIF($B$37:$B$48,CSV貼付B!$H258)&gt;0,"",IF(SUMPRODUCT((CSV貼付B!$N$5:$N258=CSV貼付B!$N258)*(COUNTIF($B$37:$B$48,CSV貼付B!$H$5:$H258)=0))&gt;1,"",MAX($O$4:O257)+1)))</f>
        <v/>
      </c>
      <c r="P258" s="0" t="str">
        <f aca="false">IFERROR(INDEX(CSV貼付B!$N$5:$N$1004,MATCH(ROW()-4,$O$5:$O$1004,0)),"")</f>
        <v/>
      </c>
      <c r="Q258" s="0" t="str">
        <f aca="false">IF(ROW()-4&lt;=MAX($M$5:$M$1004),IFERROR(INDEX($N$5:$N$1004,ROW()-4),""),IFERROR(INDEX($P$5:$P$1004,ROW()-4-MAX($M$5:$M$1004)),""))</f>
        <v/>
      </c>
    </row>
    <row r="259" customFormat="false" ht="15" hidden="false" customHeight="false" outlineLevel="0" collapsed="false">
      <c r="M259" s="0" t="str">
        <f aca="false">IF(CSV貼付A!$N259="","",IF(COUNTIF($B$37:$B$48,CSV貼付A!$H259)&gt;0,"",IF(SUMPRODUCT((CSV貼付A!$N$5:$N259=CSV貼付A!$N259)*(COUNTIF($B$37:$B$48,CSV貼付A!$H$5:$H259)=0))&gt;1,"",MAX($M$4:M258)+1)))</f>
        <v/>
      </c>
      <c r="N259" s="0" t="str">
        <f aca="false">IFERROR(INDEX(CSV貼付A!$N$5:$N$1004,MATCH(ROW()-4,$M$5:$M$1004,0)),"")</f>
        <v/>
      </c>
      <c r="O259" s="0" t="str">
        <f aca="false">IF(CSV貼付B!$N259="","",IF(COUNTIF($B$37:$B$48,CSV貼付B!$H259)&gt;0,"",IF(SUMPRODUCT((CSV貼付B!$N$5:$N259=CSV貼付B!$N259)*(COUNTIF($B$37:$B$48,CSV貼付B!$H$5:$H259)=0))&gt;1,"",MAX($O$4:O258)+1)))</f>
        <v/>
      </c>
      <c r="P259" s="0" t="str">
        <f aca="false">IFERROR(INDEX(CSV貼付B!$N$5:$N$1004,MATCH(ROW()-4,$O$5:$O$1004,0)),"")</f>
        <v/>
      </c>
      <c r="Q259" s="0" t="str">
        <f aca="false">IF(ROW()-4&lt;=MAX($M$5:$M$1004),IFERROR(INDEX($N$5:$N$1004,ROW()-4),""),IFERROR(INDEX($P$5:$P$1004,ROW()-4-MAX($M$5:$M$1004)),""))</f>
        <v/>
      </c>
    </row>
    <row r="260" customFormat="false" ht="15" hidden="false" customHeight="false" outlineLevel="0" collapsed="false">
      <c r="M260" s="0" t="str">
        <f aca="false">IF(CSV貼付A!$N260="","",IF(COUNTIF($B$37:$B$48,CSV貼付A!$H260)&gt;0,"",IF(SUMPRODUCT((CSV貼付A!$N$5:$N260=CSV貼付A!$N260)*(COUNTIF($B$37:$B$48,CSV貼付A!$H$5:$H260)=0))&gt;1,"",MAX($M$4:M259)+1)))</f>
        <v/>
      </c>
      <c r="N260" s="0" t="str">
        <f aca="false">IFERROR(INDEX(CSV貼付A!$N$5:$N$1004,MATCH(ROW()-4,$M$5:$M$1004,0)),"")</f>
        <v/>
      </c>
      <c r="O260" s="0" t="str">
        <f aca="false">IF(CSV貼付B!$N260="","",IF(COUNTIF($B$37:$B$48,CSV貼付B!$H260)&gt;0,"",IF(SUMPRODUCT((CSV貼付B!$N$5:$N260=CSV貼付B!$N260)*(COUNTIF($B$37:$B$48,CSV貼付B!$H$5:$H260)=0))&gt;1,"",MAX($O$4:O259)+1)))</f>
        <v/>
      </c>
      <c r="P260" s="0" t="str">
        <f aca="false">IFERROR(INDEX(CSV貼付B!$N$5:$N$1004,MATCH(ROW()-4,$O$5:$O$1004,0)),"")</f>
        <v/>
      </c>
      <c r="Q260" s="0" t="str">
        <f aca="false">IF(ROW()-4&lt;=MAX($M$5:$M$1004),IFERROR(INDEX($N$5:$N$1004,ROW()-4),""),IFERROR(INDEX($P$5:$P$1004,ROW()-4-MAX($M$5:$M$1004)),""))</f>
        <v/>
      </c>
    </row>
    <row r="261" customFormat="false" ht="15" hidden="false" customHeight="false" outlineLevel="0" collapsed="false">
      <c r="M261" s="0" t="str">
        <f aca="false">IF(CSV貼付A!$N261="","",IF(COUNTIF($B$37:$B$48,CSV貼付A!$H261)&gt;0,"",IF(SUMPRODUCT((CSV貼付A!$N$5:$N261=CSV貼付A!$N261)*(COUNTIF($B$37:$B$48,CSV貼付A!$H$5:$H261)=0))&gt;1,"",MAX($M$4:M260)+1)))</f>
        <v/>
      </c>
      <c r="N261" s="0" t="str">
        <f aca="false">IFERROR(INDEX(CSV貼付A!$N$5:$N$1004,MATCH(ROW()-4,$M$5:$M$1004,0)),"")</f>
        <v/>
      </c>
      <c r="O261" s="0" t="str">
        <f aca="false">IF(CSV貼付B!$N261="","",IF(COUNTIF($B$37:$B$48,CSV貼付B!$H261)&gt;0,"",IF(SUMPRODUCT((CSV貼付B!$N$5:$N261=CSV貼付B!$N261)*(COUNTIF($B$37:$B$48,CSV貼付B!$H$5:$H261)=0))&gt;1,"",MAX($O$4:O260)+1)))</f>
        <v/>
      </c>
      <c r="P261" s="0" t="str">
        <f aca="false">IFERROR(INDEX(CSV貼付B!$N$5:$N$1004,MATCH(ROW()-4,$O$5:$O$1004,0)),"")</f>
        <v/>
      </c>
      <c r="Q261" s="0" t="str">
        <f aca="false">IF(ROW()-4&lt;=MAX($M$5:$M$1004),IFERROR(INDEX($N$5:$N$1004,ROW()-4),""),IFERROR(INDEX($P$5:$P$1004,ROW()-4-MAX($M$5:$M$1004)),""))</f>
        <v/>
      </c>
    </row>
    <row r="262" customFormat="false" ht="15" hidden="false" customHeight="false" outlineLevel="0" collapsed="false">
      <c r="M262" s="0" t="str">
        <f aca="false">IF(CSV貼付A!$N262="","",IF(COUNTIF($B$37:$B$48,CSV貼付A!$H262)&gt;0,"",IF(SUMPRODUCT((CSV貼付A!$N$5:$N262=CSV貼付A!$N262)*(COUNTIF($B$37:$B$48,CSV貼付A!$H$5:$H262)=0))&gt;1,"",MAX($M$4:M261)+1)))</f>
        <v/>
      </c>
      <c r="N262" s="0" t="str">
        <f aca="false">IFERROR(INDEX(CSV貼付A!$N$5:$N$1004,MATCH(ROW()-4,$M$5:$M$1004,0)),"")</f>
        <v/>
      </c>
      <c r="O262" s="0" t="str">
        <f aca="false">IF(CSV貼付B!$N262="","",IF(COUNTIF($B$37:$B$48,CSV貼付B!$H262)&gt;0,"",IF(SUMPRODUCT((CSV貼付B!$N$5:$N262=CSV貼付B!$N262)*(COUNTIF($B$37:$B$48,CSV貼付B!$H$5:$H262)=0))&gt;1,"",MAX($O$4:O261)+1)))</f>
        <v/>
      </c>
      <c r="P262" s="0" t="str">
        <f aca="false">IFERROR(INDEX(CSV貼付B!$N$5:$N$1004,MATCH(ROW()-4,$O$5:$O$1004,0)),"")</f>
        <v/>
      </c>
      <c r="Q262" s="0" t="str">
        <f aca="false">IF(ROW()-4&lt;=MAX($M$5:$M$1004),IFERROR(INDEX($N$5:$N$1004,ROW()-4),""),IFERROR(INDEX($P$5:$P$1004,ROW()-4-MAX($M$5:$M$1004)),""))</f>
        <v/>
      </c>
    </row>
    <row r="263" customFormat="false" ht="15" hidden="false" customHeight="false" outlineLevel="0" collapsed="false">
      <c r="M263" s="0" t="str">
        <f aca="false">IF(CSV貼付A!$N263="","",IF(COUNTIF($B$37:$B$48,CSV貼付A!$H263)&gt;0,"",IF(SUMPRODUCT((CSV貼付A!$N$5:$N263=CSV貼付A!$N263)*(COUNTIF($B$37:$B$48,CSV貼付A!$H$5:$H263)=0))&gt;1,"",MAX($M$4:M262)+1)))</f>
        <v/>
      </c>
      <c r="N263" s="0" t="str">
        <f aca="false">IFERROR(INDEX(CSV貼付A!$N$5:$N$1004,MATCH(ROW()-4,$M$5:$M$1004,0)),"")</f>
        <v/>
      </c>
      <c r="O263" s="0" t="str">
        <f aca="false">IF(CSV貼付B!$N263="","",IF(COUNTIF($B$37:$B$48,CSV貼付B!$H263)&gt;0,"",IF(SUMPRODUCT((CSV貼付B!$N$5:$N263=CSV貼付B!$N263)*(COUNTIF($B$37:$B$48,CSV貼付B!$H$5:$H263)=0))&gt;1,"",MAX($O$4:O262)+1)))</f>
        <v/>
      </c>
      <c r="P263" s="0" t="str">
        <f aca="false">IFERROR(INDEX(CSV貼付B!$N$5:$N$1004,MATCH(ROW()-4,$O$5:$O$1004,0)),"")</f>
        <v/>
      </c>
      <c r="Q263" s="0" t="str">
        <f aca="false">IF(ROW()-4&lt;=MAX($M$5:$M$1004),IFERROR(INDEX($N$5:$N$1004,ROW()-4),""),IFERROR(INDEX($P$5:$P$1004,ROW()-4-MAX($M$5:$M$1004)),""))</f>
        <v/>
      </c>
    </row>
    <row r="264" customFormat="false" ht="15" hidden="false" customHeight="false" outlineLevel="0" collapsed="false">
      <c r="M264" s="0" t="str">
        <f aca="false">IF(CSV貼付A!$N264="","",IF(COUNTIF($B$37:$B$48,CSV貼付A!$H264)&gt;0,"",IF(SUMPRODUCT((CSV貼付A!$N$5:$N264=CSV貼付A!$N264)*(COUNTIF($B$37:$B$48,CSV貼付A!$H$5:$H264)=0))&gt;1,"",MAX($M$4:M263)+1)))</f>
        <v/>
      </c>
      <c r="N264" s="0" t="str">
        <f aca="false">IFERROR(INDEX(CSV貼付A!$N$5:$N$1004,MATCH(ROW()-4,$M$5:$M$1004,0)),"")</f>
        <v/>
      </c>
      <c r="O264" s="0" t="str">
        <f aca="false">IF(CSV貼付B!$N264="","",IF(COUNTIF($B$37:$B$48,CSV貼付B!$H264)&gt;0,"",IF(SUMPRODUCT((CSV貼付B!$N$5:$N264=CSV貼付B!$N264)*(COUNTIF($B$37:$B$48,CSV貼付B!$H$5:$H264)=0))&gt;1,"",MAX($O$4:O263)+1)))</f>
        <v/>
      </c>
      <c r="P264" s="0" t="str">
        <f aca="false">IFERROR(INDEX(CSV貼付B!$N$5:$N$1004,MATCH(ROW()-4,$O$5:$O$1004,0)),"")</f>
        <v/>
      </c>
      <c r="Q264" s="0" t="str">
        <f aca="false">IF(ROW()-4&lt;=MAX($M$5:$M$1004),IFERROR(INDEX($N$5:$N$1004,ROW()-4),""),IFERROR(INDEX($P$5:$P$1004,ROW()-4-MAX($M$5:$M$1004)),""))</f>
        <v/>
      </c>
    </row>
    <row r="265" customFormat="false" ht="15" hidden="false" customHeight="false" outlineLevel="0" collapsed="false">
      <c r="M265" s="0" t="str">
        <f aca="false">IF(CSV貼付A!$N265="","",IF(COUNTIF($B$37:$B$48,CSV貼付A!$H265)&gt;0,"",IF(SUMPRODUCT((CSV貼付A!$N$5:$N265=CSV貼付A!$N265)*(COUNTIF($B$37:$B$48,CSV貼付A!$H$5:$H265)=0))&gt;1,"",MAX($M$4:M264)+1)))</f>
        <v/>
      </c>
      <c r="N265" s="0" t="str">
        <f aca="false">IFERROR(INDEX(CSV貼付A!$N$5:$N$1004,MATCH(ROW()-4,$M$5:$M$1004,0)),"")</f>
        <v/>
      </c>
      <c r="O265" s="0" t="str">
        <f aca="false">IF(CSV貼付B!$N265="","",IF(COUNTIF($B$37:$B$48,CSV貼付B!$H265)&gt;0,"",IF(SUMPRODUCT((CSV貼付B!$N$5:$N265=CSV貼付B!$N265)*(COUNTIF($B$37:$B$48,CSV貼付B!$H$5:$H265)=0))&gt;1,"",MAX($O$4:O264)+1)))</f>
        <v/>
      </c>
      <c r="P265" s="0" t="str">
        <f aca="false">IFERROR(INDEX(CSV貼付B!$N$5:$N$1004,MATCH(ROW()-4,$O$5:$O$1004,0)),"")</f>
        <v/>
      </c>
      <c r="Q265" s="0" t="str">
        <f aca="false">IF(ROW()-4&lt;=MAX($M$5:$M$1004),IFERROR(INDEX($N$5:$N$1004,ROW()-4),""),IFERROR(INDEX($P$5:$P$1004,ROW()-4-MAX($M$5:$M$1004)),""))</f>
        <v/>
      </c>
    </row>
    <row r="266" customFormat="false" ht="15" hidden="false" customHeight="false" outlineLevel="0" collapsed="false">
      <c r="M266" s="0" t="str">
        <f aca="false">IF(CSV貼付A!$N266="","",IF(COUNTIF($B$37:$B$48,CSV貼付A!$H266)&gt;0,"",IF(SUMPRODUCT((CSV貼付A!$N$5:$N266=CSV貼付A!$N266)*(COUNTIF($B$37:$B$48,CSV貼付A!$H$5:$H266)=0))&gt;1,"",MAX($M$4:M265)+1)))</f>
        <v/>
      </c>
      <c r="N266" s="0" t="str">
        <f aca="false">IFERROR(INDEX(CSV貼付A!$N$5:$N$1004,MATCH(ROW()-4,$M$5:$M$1004,0)),"")</f>
        <v/>
      </c>
      <c r="O266" s="0" t="str">
        <f aca="false">IF(CSV貼付B!$N266="","",IF(COUNTIF($B$37:$B$48,CSV貼付B!$H266)&gt;0,"",IF(SUMPRODUCT((CSV貼付B!$N$5:$N266=CSV貼付B!$N266)*(COUNTIF($B$37:$B$48,CSV貼付B!$H$5:$H266)=0))&gt;1,"",MAX($O$4:O265)+1)))</f>
        <v/>
      </c>
      <c r="P266" s="0" t="str">
        <f aca="false">IFERROR(INDEX(CSV貼付B!$N$5:$N$1004,MATCH(ROW()-4,$O$5:$O$1004,0)),"")</f>
        <v/>
      </c>
      <c r="Q266" s="0" t="str">
        <f aca="false">IF(ROW()-4&lt;=MAX($M$5:$M$1004),IFERROR(INDEX($N$5:$N$1004,ROW()-4),""),IFERROR(INDEX($P$5:$P$1004,ROW()-4-MAX($M$5:$M$1004)),""))</f>
        <v/>
      </c>
    </row>
    <row r="267" customFormat="false" ht="15" hidden="false" customHeight="false" outlineLevel="0" collapsed="false">
      <c r="M267" s="0" t="str">
        <f aca="false">IF(CSV貼付A!$N267="","",IF(COUNTIF($B$37:$B$48,CSV貼付A!$H267)&gt;0,"",IF(SUMPRODUCT((CSV貼付A!$N$5:$N267=CSV貼付A!$N267)*(COUNTIF($B$37:$B$48,CSV貼付A!$H$5:$H267)=0))&gt;1,"",MAX($M$4:M266)+1)))</f>
        <v/>
      </c>
      <c r="N267" s="0" t="str">
        <f aca="false">IFERROR(INDEX(CSV貼付A!$N$5:$N$1004,MATCH(ROW()-4,$M$5:$M$1004,0)),"")</f>
        <v/>
      </c>
      <c r="O267" s="0" t="str">
        <f aca="false">IF(CSV貼付B!$N267="","",IF(COUNTIF($B$37:$B$48,CSV貼付B!$H267)&gt;0,"",IF(SUMPRODUCT((CSV貼付B!$N$5:$N267=CSV貼付B!$N267)*(COUNTIF($B$37:$B$48,CSV貼付B!$H$5:$H267)=0))&gt;1,"",MAX($O$4:O266)+1)))</f>
        <v/>
      </c>
      <c r="P267" s="0" t="str">
        <f aca="false">IFERROR(INDEX(CSV貼付B!$N$5:$N$1004,MATCH(ROW()-4,$O$5:$O$1004,0)),"")</f>
        <v/>
      </c>
      <c r="Q267" s="0" t="str">
        <f aca="false">IF(ROW()-4&lt;=MAX($M$5:$M$1004),IFERROR(INDEX($N$5:$N$1004,ROW()-4),""),IFERROR(INDEX($P$5:$P$1004,ROW()-4-MAX($M$5:$M$1004)),""))</f>
        <v/>
      </c>
    </row>
    <row r="268" customFormat="false" ht="15" hidden="false" customHeight="false" outlineLevel="0" collapsed="false">
      <c r="M268" s="0" t="str">
        <f aca="false">IF(CSV貼付A!$N268="","",IF(COUNTIF($B$37:$B$48,CSV貼付A!$H268)&gt;0,"",IF(SUMPRODUCT((CSV貼付A!$N$5:$N268=CSV貼付A!$N268)*(COUNTIF($B$37:$B$48,CSV貼付A!$H$5:$H268)=0))&gt;1,"",MAX($M$4:M267)+1)))</f>
        <v/>
      </c>
      <c r="N268" s="0" t="str">
        <f aca="false">IFERROR(INDEX(CSV貼付A!$N$5:$N$1004,MATCH(ROW()-4,$M$5:$M$1004,0)),"")</f>
        <v/>
      </c>
      <c r="O268" s="0" t="str">
        <f aca="false">IF(CSV貼付B!$N268="","",IF(COUNTIF($B$37:$B$48,CSV貼付B!$H268)&gt;0,"",IF(SUMPRODUCT((CSV貼付B!$N$5:$N268=CSV貼付B!$N268)*(COUNTIF($B$37:$B$48,CSV貼付B!$H$5:$H268)=0))&gt;1,"",MAX($O$4:O267)+1)))</f>
        <v/>
      </c>
      <c r="P268" s="0" t="str">
        <f aca="false">IFERROR(INDEX(CSV貼付B!$N$5:$N$1004,MATCH(ROW()-4,$O$5:$O$1004,0)),"")</f>
        <v/>
      </c>
      <c r="Q268" s="0" t="str">
        <f aca="false">IF(ROW()-4&lt;=MAX($M$5:$M$1004),IFERROR(INDEX($N$5:$N$1004,ROW()-4),""),IFERROR(INDEX($P$5:$P$1004,ROW()-4-MAX($M$5:$M$1004)),""))</f>
        <v/>
      </c>
    </row>
    <row r="269" customFormat="false" ht="15" hidden="false" customHeight="false" outlineLevel="0" collapsed="false">
      <c r="M269" s="0" t="str">
        <f aca="false">IF(CSV貼付A!$N269="","",IF(COUNTIF($B$37:$B$48,CSV貼付A!$H269)&gt;0,"",IF(SUMPRODUCT((CSV貼付A!$N$5:$N269=CSV貼付A!$N269)*(COUNTIF($B$37:$B$48,CSV貼付A!$H$5:$H269)=0))&gt;1,"",MAX($M$4:M268)+1)))</f>
        <v/>
      </c>
      <c r="N269" s="0" t="str">
        <f aca="false">IFERROR(INDEX(CSV貼付A!$N$5:$N$1004,MATCH(ROW()-4,$M$5:$M$1004,0)),"")</f>
        <v/>
      </c>
      <c r="O269" s="0" t="str">
        <f aca="false">IF(CSV貼付B!$N269="","",IF(COUNTIF($B$37:$B$48,CSV貼付B!$H269)&gt;0,"",IF(SUMPRODUCT((CSV貼付B!$N$5:$N269=CSV貼付B!$N269)*(COUNTIF($B$37:$B$48,CSV貼付B!$H$5:$H269)=0))&gt;1,"",MAX($O$4:O268)+1)))</f>
        <v/>
      </c>
      <c r="P269" s="0" t="str">
        <f aca="false">IFERROR(INDEX(CSV貼付B!$N$5:$N$1004,MATCH(ROW()-4,$O$5:$O$1004,0)),"")</f>
        <v/>
      </c>
      <c r="Q269" s="0" t="str">
        <f aca="false">IF(ROW()-4&lt;=MAX($M$5:$M$1004),IFERROR(INDEX($N$5:$N$1004,ROW()-4),""),IFERROR(INDEX($P$5:$P$1004,ROW()-4-MAX($M$5:$M$1004)),""))</f>
        <v/>
      </c>
    </row>
    <row r="270" customFormat="false" ht="15" hidden="false" customHeight="false" outlineLevel="0" collapsed="false">
      <c r="M270" s="0" t="str">
        <f aca="false">IF(CSV貼付A!$N270="","",IF(COUNTIF($B$37:$B$48,CSV貼付A!$H270)&gt;0,"",IF(SUMPRODUCT((CSV貼付A!$N$5:$N270=CSV貼付A!$N270)*(COUNTIF($B$37:$B$48,CSV貼付A!$H$5:$H270)=0))&gt;1,"",MAX($M$4:M269)+1)))</f>
        <v/>
      </c>
      <c r="N270" s="0" t="str">
        <f aca="false">IFERROR(INDEX(CSV貼付A!$N$5:$N$1004,MATCH(ROW()-4,$M$5:$M$1004,0)),"")</f>
        <v/>
      </c>
      <c r="O270" s="0" t="str">
        <f aca="false">IF(CSV貼付B!$N270="","",IF(COUNTIF($B$37:$B$48,CSV貼付B!$H270)&gt;0,"",IF(SUMPRODUCT((CSV貼付B!$N$5:$N270=CSV貼付B!$N270)*(COUNTIF($B$37:$B$48,CSV貼付B!$H$5:$H270)=0))&gt;1,"",MAX($O$4:O269)+1)))</f>
        <v/>
      </c>
      <c r="P270" s="0" t="str">
        <f aca="false">IFERROR(INDEX(CSV貼付B!$N$5:$N$1004,MATCH(ROW()-4,$O$5:$O$1004,0)),"")</f>
        <v/>
      </c>
      <c r="Q270" s="0" t="str">
        <f aca="false">IF(ROW()-4&lt;=MAX($M$5:$M$1004),IFERROR(INDEX($N$5:$N$1004,ROW()-4),""),IFERROR(INDEX($P$5:$P$1004,ROW()-4-MAX($M$5:$M$1004)),""))</f>
        <v/>
      </c>
    </row>
    <row r="271" customFormat="false" ht="15" hidden="false" customHeight="false" outlineLevel="0" collapsed="false">
      <c r="M271" s="0" t="str">
        <f aca="false">IF(CSV貼付A!$N271="","",IF(COUNTIF($B$37:$B$48,CSV貼付A!$H271)&gt;0,"",IF(SUMPRODUCT((CSV貼付A!$N$5:$N271=CSV貼付A!$N271)*(COUNTIF($B$37:$B$48,CSV貼付A!$H$5:$H271)=0))&gt;1,"",MAX($M$4:M270)+1)))</f>
        <v/>
      </c>
      <c r="N271" s="0" t="str">
        <f aca="false">IFERROR(INDEX(CSV貼付A!$N$5:$N$1004,MATCH(ROW()-4,$M$5:$M$1004,0)),"")</f>
        <v/>
      </c>
      <c r="O271" s="0" t="str">
        <f aca="false">IF(CSV貼付B!$N271="","",IF(COUNTIF($B$37:$B$48,CSV貼付B!$H271)&gt;0,"",IF(SUMPRODUCT((CSV貼付B!$N$5:$N271=CSV貼付B!$N271)*(COUNTIF($B$37:$B$48,CSV貼付B!$H$5:$H271)=0))&gt;1,"",MAX($O$4:O270)+1)))</f>
        <v/>
      </c>
      <c r="P271" s="0" t="str">
        <f aca="false">IFERROR(INDEX(CSV貼付B!$N$5:$N$1004,MATCH(ROW()-4,$O$5:$O$1004,0)),"")</f>
        <v/>
      </c>
      <c r="Q271" s="0" t="str">
        <f aca="false">IF(ROW()-4&lt;=MAX($M$5:$M$1004),IFERROR(INDEX($N$5:$N$1004,ROW()-4),""),IFERROR(INDEX($P$5:$P$1004,ROW()-4-MAX($M$5:$M$1004)),""))</f>
        <v/>
      </c>
    </row>
    <row r="272" customFormat="false" ht="15" hidden="false" customHeight="false" outlineLevel="0" collapsed="false">
      <c r="M272" s="0" t="str">
        <f aca="false">IF(CSV貼付A!$N272="","",IF(COUNTIF($B$37:$B$48,CSV貼付A!$H272)&gt;0,"",IF(SUMPRODUCT((CSV貼付A!$N$5:$N272=CSV貼付A!$N272)*(COUNTIF($B$37:$B$48,CSV貼付A!$H$5:$H272)=0))&gt;1,"",MAX($M$4:M271)+1)))</f>
        <v/>
      </c>
      <c r="N272" s="0" t="str">
        <f aca="false">IFERROR(INDEX(CSV貼付A!$N$5:$N$1004,MATCH(ROW()-4,$M$5:$M$1004,0)),"")</f>
        <v/>
      </c>
      <c r="O272" s="0" t="str">
        <f aca="false">IF(CSV貼付B!$N272="","",IF(COUNTIF($B$37:$B$48,CSV貼付B!$H272)&gt;0,"",IF(SUMPRODUCT((CSV貼付B!$N$5:$N272=CSV貼付B!$N272)*(COUNTIF($B$37:$B$48,CSV貼付B!$H$5:$H272)=0))&gt;1,"",MAX($O$4:O271)+1)))</f>
        <v/>
      </c>
      <c r="P272" s="0" t="str">
        <f aca="false">IFERROR(INDEX(CSV貼付B!$N$5:$N$1004,MATCH(ROW()-4,$O$5:$O$1004,0)),"")</f>
        <v/>
      </c>
      <c r="Q272" s="0" t="str">
        <f aca="false">IF(ROW()-4&lt;=MAX($M$5:$M$1004),IFERROR(INDEX($N$5:$N$1004,ROW()-4),""),IFERROR(INDEX($P$5:$P$1004,ROW()-4-MAX($M$5:$M$1004)),""))</f>
        <v/>
      </c>
    </row>
    <row r="273" customFormat="false" ht="15" hidden="false" customHeight="false" outlineLevel="0" collapsed="false">
      <c r="M273" s="0" t="str">
        <f aca="false">IF(CSV貼付A!$N273="","",IF(COUNTIF($B$37:$B$48,CSV貼付A!$H273)&gt;0,"",IF(SUMPRODUCT((CSV貼付A!$N$5:$N273=CSV貼付A!$N273)*(COUNTIF($B$37:$B$48,CSV貼付A!$H$5:$H273)=0))&gt;1,"",MAX($M$4:M272)+1)))</f>
        <v/>
      </c>
      <c r="N273" s="0" t="str">
        <f aca="false">IFERROR(INDEX(CSV貼付A!$N$5:$N$1004,MATCH(ROW()-4,$M$5:$M$1004,0)),"")</f>
        <v/>
      </c>
      <c r="O273" s="0" t="str">
        <f aca="false">IF(CSV貼付B!$N273="","",IF(COUNTIF($B$37:$B$48,CSV貼付B!$H273)&gt;0,"",IF(SUMPRODUCT((CSV貼付B!$N$5:$N273=CSV貼付B!$N273)*(COUNTIF($B$37:$B$48,CSV貼付B!$H$5:$H273)=0))&gt;1,"",MAX($O$4:O272)+1)))</f>
        <v/>
      </c>
      <c r="P273" s="0" t="str">
        <f aca="false">IFERROR(INDEX(CSV貼付B!$N$5:$N$1004,MATCH(ROW()-4,$O$5:$O$1004,0)),"")</f>
        <v/>
      </c>
      <c r="Q273" s="0" t="str">
        <f aca="false">IF(ROW()-4&lt;=MAX($M$5:$M$1004),IFERROR(INDEX($N$5:$N$1004,ROW()-4),""),IFERROR(INDEX($P$5:$P$1004,ROW()-4-MAX($M$5:$M$1004)),""))</f>
        <v/>
      </c>
    </row>
    <row r="274" customFormat="false" ht="15" hidden="false" customHeight="false" outlineLevel="0" collapsed="false">
      <c r="M274" s="0" t="str">
        <f aca="false">IF(CSV貼付A!$N274="","",IF(COUNTIF($B$37:$B$48,CSV貼付A!$H274)&gt;0,"",IF(SUMPRODUCT((CSV貼付A!$N$5:$N274=CSV貼付A!$N274)*(COUNTIF($B$37:$B$48,CSV貼付A!$H$5:$H274)=0))&gt;1,"",MAX($M$4:M273)+1)))</f>
        <v/>
      </c>
      <c r="N274" s="0" t="str">
        <f aca="false">IFERROR(INDEX(CSV貼付A!$N$5:$N$1004,MATCH(ROW()-4,$M$5:$M$1004,0)),"")</f>
        <v/>
      </c>
      <c r="O274" s="0" t="str">
        <f aca="false">IF(CSV貼付B!$N274="","",IF(COUNTIF($B$37:$B$48,CSV貼付B!$H274)&gt;0,"",IF(SUMPRODUCT((CSV貼付B!$N$5:$N274=CSV貼付B!$N274)*(COUNTIF($B$37:$B$48,CSV貼付B!$H$5:$H274)=0))&gt;1,"",MAX($O$4:O273)+1)))</f>
        <v/>
      </c>
      <c r="P274" s="0" t="str">
        <f aca="false">IFERROR(INDEX(CSV貼付B!$N$5:$N$1004,MATCH(ROW()-4,$O$5:$O$1004,0)),"")</f>
        <v/>
      </c>
      <c r="Q274" s="0" t="str">
        <f aca="false">IF(ROW()-4&lt;=MAX($M$5:$M$1004),IFERROR(INDEX($N$5:$N$1004,ROW()-4),""),IFERROR(INDEX($P$5:$P$1004,ROW()-4-MAX($M$5:$M$1004)),""))</f>
        <v/>
      </c>
    </row>
    <row r="275" customFormat="false" ht="15" hidden="false" customHeight="false" outlineLevel="0" collapsed="false">
      <c r="M275" s="0" t="str">
        <f aca="false">IF(CSV貼付A!$N275="","",IF(COUNTIF($B$37:$B$48,CSV貼付A!$H275)&gt;0,"",IF(SUMPRODUCT((CSV貼付A!$N$5:$N275=CSV貼付A!$N275)*(COUNTIF($B$37:$B$48,CSV貼付A!$H$5:$H275)=0))&gt;1,"",MAX($M$4:M274)+1)))</f>
        <v/>
      </c>
      <c r="N275" s="0" t="str">
        <f aca="false">IFERROR(INDEX(CSV貼付A!$N$5:$N$1004,MATCH(ROW()-4,$M$5:$M$1004,0)),"")</f>
        <v/>
      </c>
      <c r="O275" s="0" t="str">
        <f aca="false">IF(CSV貼付B!$N275="","",IF(COUNTIF($B$37:$B$48,CSV貼付B!$H275)&gt;0,"",IF(SUMPRODUCT((CSV貼付B!$N$5:$N275=CSV貼付B!$N275)*(COUNTIF($B$37:$B$48,CSV貼付B!$H$5:$H275)=0))&gt;1,"",MAX($O$4:O274)+1)))</f>
        <v/>
      </c>
      <c r="P275" s="0" t="str">
        <f aca="false">IFERROR(INDEX(CSV貼付B!$N$5:$N$1004,MATCH(ROW()-4,$O$5:$O$1004,0)),"")</f>
        <v/>
      </c>
      <c r="Q275" s="0" t="str">
        <f aca="false">IF(ROW()-4&lt;=MAX($M$5:$M$1004),IFERROR(INDEX($N$5:$N$1004,ROW()-4),""),IFERROR(INDEX($P$5:$P$1004,ROW()-4-MAX($M$5:$M$1004)),""))</f>
        <v/>
      </c>
    </row>
    <row r="276" customFormat="false" ht="15" hidden="false" customHeight="false" outlineLevel="0" collapsed="false">
      <c r="M276" s="0" t="str">
        <f aca="false">IF(CSV貼付A!$N276="","",IF(COUNTIF($B$37:$B$48,CSV貼付A!$H276)&gt;0,"",IF(SUMPRODUCT((CSV貼付A!$N$5:$N276=CSV貼付A!$N276)*(COUNTIF($B$37:$B$48,CSV貼付A!$H$5:$H276)=0))&gt;1,"",MAX($M$4:M275)+1)))</f>
        <v/>
      </c>
      <c r="N276" s="0" t="str">
        <f aca="false">IFERROR(INDEX(CSV貼付A!$N$5:$N$1004,MATCH(ROW()-4,$M$5:$M$1004,0)),"")</f>
        <v/>
      </c>
      <c r="O276" s="0" t="str">
        <f aca="false">IF(CSV貼付B!$N276="","",IF(COUNTIF($B$37:$B$48,CSV貼付B!$H276)&gt;0,"",IF(SUMPRODUCT((CSV貼付B!$N$5:$N276=CSV貼付B!$N276)*(COUNTIF($B$37:$B$48,CSV貼付B!$H$5:$H276)=0))&gt;1,"",MAX($O$4:O275)+1)))</f>
        <v/>
      </c>
      <c r="P276" s="0" t="str">
        <f aca="false">IFERROR(INDEX(CSV貼付B!$N$5:$N$1004,MATCH(ROW()-4,$O$5:$O$1004,0)),"")</f>
        <v/>
      </c>
      <c r="Q276" s="0" t="str">
        <f aca="false">IF(ROW()-4&lt;=MAX($M$5:$M$1004),IFERROR(INDEX($N$5:$N$1004,ROW()-4),""),IFERROR(INDEX($P$5:$P$1004,ROW()-4-MAX($M$5:$M$1004)),""))</f>
        <v/>
      </c>
    </row>
    <row r="277" customFormat="false" ht="15" hidden="false" customHeight="false" outlineLevel="0" collapsed="false">
      <c r="M277" s="0" t="str">
        <f aca="false">IF(CSV貼付A!$N277="","",IF(COUNTIF($B$37:$B$48,CSV貼付A!$H277)&gt;0,"",IF(SUMPRODUCT((CSV貼付A!$N$5:$N277=CSV貼付A!$N277)*(COUNTIF($B$37:$B$48,CSV貼付A!$H$5:$H277)=0))&gt;1,"",MAX($M$4:M276)+1)))</f>
        <v/>
      </c>
      <c r="N277" s="0" t="str">
        <f aca="false">IFERROR(INDEX(CSV貼付A!$N$5:$N$1004,MATCH(ROW()-4,$M$5:$M$1004,0)),"")</f>
        <v/>
      </c>
      <c r="O277" s="0" t="str">
        <f aca="false">IF(CSV貼付B!$N277="","",IF(COUNTIF($B$37:$B$48,CSV貼付B!$H277)&gt;0,"",IF(SUMPRODUCT((CSV貼付B!$N$5:$N277=CSV貼付B!$N277)*(COUNTIF($B$37:$B$48,CSV貼付B!$H$5:$H277)=0))&gt;1,"",MAX($O$4:O276)+1)))</f>
        <v/>
      </c>
      <c r="P277" s="0" t="str">
        <f aca="false">IFERROR(INDEX(CSV貼付B!$N$5:$N$1004,MATCH(ROW()-4,$O$5:$O$1004,0)),"")</f>
        <v/>
      </c>
      <c r="Q277" s="0" t="str">
        <f aca="false">IF(ROW()-4&lt;=MAX($M$5:$M$1004),IFERROR(INDEX($N$5:$N$1004,ROW()-4),""),IFERROR(INDEX($P$5:$P$1004,ROW()-4-MAX($M$5:$M$1004)),""))</f>
        <v/>
      </c>
    </row>
    <row r="278" customFormat="false" ht="15" hidden="false" customHeight="false" outlineLevel="0" collapsed="false">
      <c r="M278" s="0" t="str">
        <f aca="false">IF(CSV貼付A!$N278="","",IF(COUNTIF($B$37:$B$48,CSV貼付A!$H278)&gt;0,"",IF(SUMPRODUCT((CSV貼付A!$N$5:$N278=CSV貼付A!$N278)*(COUNTIF($B$37:$B$48,CSV貼付A!$H$5:$H278)=0))&gt;1,"",MAX($M$4:M277)+1)))</f>
        <v/>
      </c>
      <c r="N278" s="0" t="str">
        <f aca="false">IFERROR(INDEX(CSV貼付A!$N$5:$N$1004,MATCH(ROW()-4,$M$5:$M$1004,0)),"")</f>
        <v/>
      </c>
      <c r="O278" s="0" t="str">
        <f aca="false">IF(CSV貼付B!$N278="","",IF(COUNTIF($B$37:$B$48,CSV貼付B!$H278)&gt;0,"",IF(SUMPRODUCT((CSV貼付B!$N$5:$N278=CSV貼付B!$N278)*(COUNTIF($B$37:$B$48,CSV貼付B!$H$5:$H278)=0))&gt;1,"",MAX($O$4:O277)+1)))</f>
        <v/>
      </c>
      <c r="P278" s="0" t="str">
        <f aca="false">IFERROR(INDEX(CSV貼付B!$N$5:$N$1004,MATCH(ROW()-4,$O$5:$O$1004,0)),"")</f>
        <v/>
      </c>
      <c r="Q278" s="0" t="str">
        <f aca="false">IF(ROW()-4&lt;=MAX($M$5:$M$1004),IFERROR(INDEX($N$5:$N$1004,ROW()-4),""),IFERROR(INDEX($P$5:$P$1004,ROW()-4-MAX($M$5:$M$1004)),""))</f>
        <v/>
      </c>
    </row>
    <row r="279" customFormat="false" ht="15" hidden="false" customHeight="false" outlineLevel="0" collapsed="false">
      <c r="M279" s="0" t="str">
        <f aca="false">IF(CSV貼付A!$N279="","",IF(COUNTIF($B$37:$B$48,CSV貼付A!$H279)&gt;0,"",IF(SUMPRODUCT((CSV貼付A!$N$5:$N279=CSV貼付A!$N279)*(COUNTIF($B$37:$B$48,CSV貼付A!$H$5:$H279)=0))&gt;1,"",MAX($M$4:M278)+1)))</f>
        <v/>
      </c>
      <c r="N279" s="0" t="str">
        <f aca="false">IFERROR(INDEX(CSV貼付A!$N$5:$N$1004,MATCH(ROW()-4,$M$5:$M$1004,0)),"")</f>
        <v/>
      </c>
      <c r="O279" s="0" t="str">
        <f aca="false">IF(CSV貼付B!$N279="","",IF(COUNTIF($B$37:$B$48,CSV貼付B!$H279)&gt;0,"",IF(SUMPRODUCT((CSV貼付B!$N$5:$N279=CSV貼付B!$N279)*(COUNTIF($B$37:$B$48,CSV貼付B!$H$5:$H279)=0))&gt;1,"",MAX($O$4:O278)+1)))</f>
        <v/>
      </c>
      <c r="P279" s="0" t="str">
        <f aca="false">IFERROR(INDEX(CSV貼付B!$N$5:$N$1004,MATCH(ROW()-4,$O$5:$O$1004,0)),"")</f>
        <v/>
      </c>
      <c r="Q279" s="0" t="str">
        <f aca="false">IF(ROW()-4&lt;=MAX($M$5:$M$1004),IFERROR(INDEX($N$5:$N$1004,ROW()-4),""),IFERROR(INDEX($P$5:$P$1004,ROW()-4-MAX($M$5:$M$1004)),""))</f>
        <v/>
      </c>
    </row>
    <row r="280" customFormat="false" ht="15" hidden="false" customHeight="false" outlineLevel="0" collapsed="false">
      <c r="M280" s="0" t="str">
        <f aca="false">IF(CSV貼付A!$N280="","",IF(COUNTIF($B$37:$B$48,CSV貼付A!$H280)&gt;0,"",IF(SUMPRODUCT((CSV貼付A!$N$5:$N280=CSV貼付A!$N280)*(COUNTIF($B$37:$B$48,CSV貼付A!$H$5:$H280)=0))&gt;1,"",MAX($M$4:M279)+1)))</f>
        <v/>
      </c>
      <c r="N280" s="0" t="str">
        <f aca="false">IFERROR(INDEX(CSV貼付A!$N$5:$N$1004,MATCH(ROW()-4,$M$5:$M$1004,0)),"")</f>
        <v/>
      </c>
      <c r="O280" s="0" t="str">
        <f aca="false">IF(CSV貼付B!$N280="","",IF(COUNTIF($B$37:$B$48,CSV貼付B!$H280)&gt;0,"",IF(SUMPRODUCT((CSV貼付B!$N$5:$N280=CSV貼付B!$N280)*(COUNTIF($B$37:$B$48,CSV貼付B!$H$5:$H280)=0))&gt;1,"",MAX($O$4:O279)+1)))</f>
        <v/>
      </c>
      <c r="P280" s="0" t="str">
        <f aca="false">IFERROR(INDEX(CSV貼付B!$N$5:$N$1004,MATCH(ROW()-4,$O$5:$O$1004,0)),"")</f>
        <v/>
      </c>
      <c r="Q280" s="0" t="str">
        <f aca="false">IF(ROW()-4&lt;=MAX($M$5:$M$1004),IFERROR(INDEX($N$5:$N$1004,ROW()-4),""),IFERROR(INDEX($P$5:$P$1004,ROW()-4-MAX($M$5:$M$1004)),""))</f>
        <v/>
      </c>
    </row>
    <row r="281" customFormat="false" ht="15" hidden="false" customHeight="false" outlineLevel="0" collapsed="false">
      <c r="M281" s="0" t="str">
        <f aca="false">IF(CSV貼付A!$N281="","",IF(COUNTIF($B$37:$B$48,CSV貼付A!$H281)&gt;0,"",IF(SUMPRODUCT((CSV貼付A!$N$5:$N281=CSV貼付A!$N281)*(COUNTIF($B$37:$B$48,CSV貼付A!$H$5:$H281)=0))&gt;1,"",MAX($M$4:M280)+1)))</f>
        <v/>
      </c>
      <c r="N281" s="0" t="str">
        <f aca="false">IFERROR(INDEX(CSV貼付A!$N$5:$N$1004,MATCH(ROW()-4,$M$5:$M$1004,0)),"")</f>
        <v/>
      </c>
      <c r="O281" s="0" t="str">
        <f aca="false">IF(CSV貼付B!$N281="","",IF(COUNTIF($B$37:$B$48,CSV貼付B!$H281)&gt;0,"",IF(SUMPRODUCT((CSV貼付B!$N$5:$N281=CSV貼付B!$N281)*(COUNTIF($B$37:$B$48,CSV貼付B!$H$5:$H281)=0))&gt;1,"",MAX($O$4:O280)+1)))</f>
        <v/>
      </c>
      <c r="P281" s="0" t="str">
        <f aca="false">IFERROR(INDEX(CSV貼付B!$N$5:$N$1004,MATCH(ROW()-4,$O$5:$O$1004,0)),"")</f>
        <v/>
      </c>
      <c r="Q281" s="0" t="str">
        <f aca="false">IF(ROW()-4&lt;=MAX($M$5:$M$1004),IFERROR(INDEX($N$5:$N$1004,ROW()-4),""),IFERROR(INDEX($P$5:$P$1004,ROW()-4-MAX($M$5:$M$1004)),""))</f>
        <v/>
      </c>
    </row>
    <row r="282" customFormat="false" ht="15" hidden="false" customHeight="false" outlineLevel="0" collapsed="false">
      <c r="M282" s="0" t="str">
        <f aca="false">IF(CSV貼付A!$N282="","",IF(COUNTIF($B$37:$B$48,CSV貼付A!$H282)&gt;0,"",IF(SUMPRODUCT((CSV貼付A!$N$5:$N282=CSV貼付A!$N282)*(COUNTIF($B$37:$B$48,CSV貼付A!$H$5:$H282)=0))&gt;1,"",MAX($M$4:M281)+1)))</f>
        <v/>
      </c>
      <c r="N282" s="0" t="str">
        <f aca="false">IFERROR(INDEX(CSV貼付A!$N$5:$N$1004,MATCH(ROW()-4,$M$5:$M$1004,0)),"")</f>
        <v/>
      </c>
      <c r="O282" s="0" t="str">
        <f aca="false">IF(CSV貼付B!$N282="","",IF(COUNTIF($B$37:$B$48,CSV貼付B!$H282)&gt;0,"",IF(SUMPRODUCT((CSV貼付B!$N$5:$N282=CSV貼付B!$N282)*(COUNTIF($B$37:$B$48,CSV貼付B!$H$5:$H282)=0))&gt;1,"",MAX($O$4:O281)+1)))</f>
        <v/>
      </c>
      <c r="P282" s="0" t="str">
        <f aca="false">IFERROR(INDEX(CSV貼付B!$N$5:$N$1004,MATCH(ROW()-4,$O$5:$O$1004,0)),"")</f>
        <v/>
      </c>
      <c r="Q282" s="0" t="str">
        <f aca="false">IF(ROW()-4&lt;=MAX($M$5:$M$1004),IFERROR(INDEX($N$5:$N$1004,ROW()-4),""),IFERROR(INDEX($P$5:$P$1004,ROW()-4-MAX($M$5:$M$1004)),""))</f>
        <v/>
      </c>
    </row>
    <row r="283" customFormat="false" ht="15" hidden="false" customHeight="false" outlineLevel="0" collapsed="false">
      <c r="M283" s="0" t="str">
        <f aca="false">IF(CSV貼付A!$N283="","",IF(COUNTIF($B$37:$B$48,CSV貼付A!$H283)&gt;0,"",IF(SUMPRODUCT((CSV貼付A!$N$5:$N283=CSV貼付A!$N283)*(COUNTIF($B$37:$B$48,CSV貼付A!$H$5:$H283)=0))&gt;1,"",MAX($M$4:M282)+1)))</f>
        <v/>
      </c>
      <c r="N283" s="0" t="str">
        <f aca="false">IFERROR(INDEX(CSV貼付A!$N$5:$N$1004,MATCH(ROW()-4,$M$5:$M$1004,0)),"")</f>
        <v/>
      </c>
      <c r="O283" s="0" t="str">
        <f aca="false">IF(CSV貼付B!$N283="","",IF(COUNTIF($B$37:$B$48,CSV貼付B!$H283)&gt;0,"",IF(SUMPRODUCT((CSV貼付B!$N$5:$N283=CSV貼付B!$N283)*(COUNTIF($B$37:$B$48,CSV貼付B!$H$5:$H283)=0))&gt;1,"",MAX($O$4:O282)+1)))</f>
        <v/>
      </c>
      <c r="P283" s="0" t="str">
        <f aca="false">IFERROR(INDEX(CSV貼付B!$N$5:$N$1004,MATCH(ROW()-4,$O$5:$O$1004,0)),"")</f>
        <v/>
      </c>
      <c r="Q283" s="0" t="str">
        <f aca="false">IF(ROW()-4&lt;=MAX($M$5:$M$1004),IFERROR(INDEX($N$5:$N$1004,ROW()-4),""),IFERROR(INDEX($P$5:$P$1004,ROW()-4-MAX($M$5:$M$1004)),""))</f>
        <v/>
      </c>
    </row>
    <row r="284" customFormat="false" ht="15" hidden="false" customHeight="false" outlineLevel="0" collapsed="false">
      <c r="M284" s="0" t="str">
        <f aca="false">IF(CSV貼付A!$N284="","",IF(COUNTIF($B$37:$B$48,CSV貼付A!$H284)&gt;0,"",IF(SUMPRODUCT((CSV貼付A!$N$5:$N284=CSV貼付A!$N284)*(COUNTIF($B$37:$B$48,CSV貼付A!$H$5:$H284)=0))&gt;1,"",MAX($M$4:M283)+1)))</f>
        <v/>
      </c>
      <c r="N284" s="0" t="str">
        <f aca="false">IFERROR(INDEX(CSV貼付A!$N$5:$N$1004,MATCH(ROW()-4,$M$5:$M$1004,0)),"")</f>
        <v/>
      </c>
      <c r="O284" s="0" t="str">
        <f aca="false">IF(CSV貼付B!$N284="","",IF(COUNTIF($B$37:$B$48,CSV貼付B!$H284)&gt;0,"",IF(SUMPRODUCT((CSV貼付B!$N$5:$N284=CSV貼付B!$N284)*(COUNTIF($B$37:$B$48,CSV貼付B!$H$5:$H284)=0))&gt;1,"",MAX($O$4:O283)+1)))</f>
        <v/>
      </c>
      <c r="P284" s="0" t="str">
        <f aca="false">IFERROR(INDEX(CSV貼付B!$N$5:$N$1004,MATCH(ROW()-4,$O$5:$O$1004,0)),"")</f>
        <v/>
      </c>
      <c r="Q284" s="0" t="str">
        <f aca="false">IF(ROW()-4&lt;=MAX($M$5:$M$1004),IFERROR(INDEX($N$5:$N$1004,ROW()-4),""),IFERROR(INDEX($P$5:$P$1004,ROW()-4-MAX($M$5:$M$1004)),""))</f>
        <v/>
      </c>
    </row>
    <row r="285" customFormat="false" ht="15" hidden="false" customHeight="false" outlineLevel="0" collapsed="false">
      <c r="M285" s="0" t="str">
        <f aca="false">IF(CSV貼付A!$N285="","",IF(COUNTIF($B$37:$B$48,CSV貼付A!$H285)&gt;0,"",IF(SUMPRODUCT((CSV貼付A!$N$5:$N285=CSV貼付A!$N285)*(COUNTIF($B$37:$B$48,CSV貼付A!$H$5:$H285)=0))&gt;1,"",MAX($M$4:M284)+1)))</f>
        <v/>
      </c>
      <c r="N285" s="0" t="str">
        <f aca="false">IFERROR(INDEX(CSV貼付A!$N$5:$N$1004,MATCH(ROW()-4,$M$5:$M$1004,0)),"")</f>
        <v/>
      </c>
      <c r="O285" s="0" t="str">
        <f aca="false">IF(CSV貼付B!$N285="","",IF(COUNTIF($B$37:$B$48,CSV貼付B!$H285)&gt;0,"",IF(SUMPRODUCT((CSV貼付B!$N$5:$N285=CSV貼付B!$N285)*(COUNTIF($B$37:$B$48,CSV貼付B!$H$5:$H285)=0))&gt;1,"",MAX($O$4:O284)+1)))</f>
        <v/>
      </c>
      <c r="P285" s="0" t="str">
        <f aca="false">IFERROR(INDEX(CSV貼付B!$N$5:$N$1004,MATCH(ROW()-4,$O$5:$O$1004,0)),"")</f>
        <v/>
      </c>
      <c r="Q285" s="0" t="str">
        <f aca="false">IF(ROW()-4&lt;=MAX($M$5:$M$1004),IFERROR(INDEX($N$5:$N$1004,ROW()-4),""),IFERROR(INDEX($P$5:$P$1004,ROW()-4-MAX($M$5:$M$1004)),""))</f>
        <v/>
      </c>
    </row>
    <row r="286" customFormat="false" ht="15" hidden="false" customHeight="false" outlineLevel="0" collapsed="false">
      <c r="M286" s="0" t="str">
        <f aca="false">IF(CSV貼付A!$N286="","",IF(COUNTIF($B$37:$B$48,CSV貼付A!$H286)&gt;0,"",IF(SUMPRODUCT((CSV貼付A!$N$5:$N286=CSV貼付A!$N286)*(COUNTIF($B$37:$B$48,CSV貼付A!$H$5:$H286)=0))&gt;1,"",MAX($M$4:M285)+1)))</f>
        <v/>
      </c>
      <c r="N286" s="0" t="str">
        <f aca="false">IFERROR(INDEX(CSV貼付A!$N$5:$N$1004,MATCH(ROW()-4,$M$5:$M$1004,0)),"")</f>
        <v/>
      </c>
      <c r="O286" s="0" t="str">
        <f aca="false">IF(CSV貼付B!$N286="","",IF(COUNTIF($B$37:$B$48,CSV貼付B!$H286)&gt;0,"",IF(SUMPRODUCT((CSV貼付B!$N$5:$N286=CSV貼付B!$N286)*(COUNTIF($B$37:$B$48,CSV貼付B!$H$5:$H286)=0))&gt;1,"",MAX($O$4:O285)+1)))</f>
        <v/>
      </c>
      <c r="P286" s="0" t="str">
        <f aca="false">IFERROR(INDEX(CSV貼付B!$N$5:$N$1004,MATCH(ROW()-4,$O$5:$O$1004,0)),"")</f>
        <v/>
      </c>
      <c r="Q286" s="0" t="str">
        <f aca="false">IF(ROW()-4&lt;=MAX($M$5:$M$1004),IFERROR(INDEX($N$5:$N$1004,ROW()-4),""),IFERROR(INDEX($P$5:$P$1004,ROW()-4-MAX($M$5:$M$1004)),""))</f>
        <v/>
      </c>
    </row>
    <row r="287" customFormat="false" ht="15" hidden="false" customHeight="false" outlineLevel="0" collapsed="false">
      <c r="M287" s="0" t="str">
        <f aca="false">IF(CSV貼付A!$N287="","",IF(COUNTIF($B$37:$B$48,CSV貼付A!$H287)&gt;0,"",IF(SUMPRODUCT((CSV貼付A!$N$5:$N287=CSV貼付A!$N287)*(COUNTIF($B$37:$B$48,CSV貼付A!$H$5:$H287)=0))&gt;1,"",MAX($M$4:M286)+1)))</f>
        <v/>
      </c>
      <c r="N287" s="0" t="str">
        <f aca="false">IFERROR(INDEX(CSV貼付A!$N$5:$N$1004,MATCH(ROW()-4,$M$5:$M$1004,0)),"")</f>
        <v/>
      </c>
      <c r="O287" s="0" t="str">
        <f aca="false">IF(CSV貼付B!$N287="","",IF(COUNTIF($B$37:$B$48,CSV貼付B!$H287)&gt;0,"",IF(SUMPRODUCT((CSV貼付B!$N$5:$N287=CSV貼付B!$N287)*(COUNTIF($B$37:$B$48,CSV貼付B!$H$5:$H287)=0))&gt;1,"",MAX($O$4:O286)+1)))</f>
        <v/>
      </c>
      <c r="P287" s="0" t="str">
        <f aca="false">IFERROR(INDEX(CSV貼付B!$N$5:$N$1004,MATCH(ROW()-4,$O$5:$O$1004,0)),"")</f>
        <v/>
      </c>
      <c r="Q287" s="0" t="str">
        <f aca="false">IF(ROW()-4&lt;=MAX($M$5:$M$1004),IFERROR(INDEX($N$5:$N$1004,ROW()-4),""),IFERROR(INDEX($P$5:$P$1004,ROW()-4-MAX($M$5:$M$1004)),""))</f>
        <v/>
      </c>
    </row>
    <row r="288" customFormat="false" ht="15" hidden="false" customHeight="false" outlineLevel="0" collapsed="false">
      <c r="M288" s="0" t="str">
        <f aca="false">IF(CSV貼付A!$N288="","",IF(COUNTIF($B$37:$B$48,CSV貼付A!$H288)&gt;0,"",IF(SUMPRODUCT((CSV貼付A!$N$5:$N288=CSV貼付A!$N288)*(COUNTIF($B$37:$B$48,CSV貼付A!$H$5:$H288)=0))&gt;1,"",MAX($M$4:M287)+1)))</f>
        <v/>
      </c>
      <c r="N288" s="0" t="str">
        <f aca="false">IFERROR(INDEX(CSV貼付A!$N$5:$N$1004,MATCH(ROW()-4,$M$5:$M$1004,0)),"")</f>
        <v/>
      </c>
      <c r="O288" s="0" t="str">
        <f aca="false">IF(CSV貼付B!$N288="","",IF(COUNTIF($B$37:$B$48,CSV貼付B!$H288)&gt;0,"",IF(SUMPRODUCT((CSV貼付B!$N$5:$N288=CSV貼付B!$N288)*(COUNTIF($B$37:$B$48,CSV貼付B!$H$5:$H288)=0))&gt;1,"",MAX($O$4:O287)+1)))</f>
        <v/>
      </c>
      <c r="P288" s="0" t="str">
        <f aca="false">IFERROR(INDEX(CSV貼付B!$N$5:$N$1004,MATCH(ROW()-4,$O$5:$O$1004,0)),"")</f>
        <v/>
      </c>
      <c r="Q288" s="0" t="str">
        <f aca="false">IF(ROW()-4&lt;=MAX($M$5:$M$1004),IFERROR(INDEX($N$5:$N$1004,ROW()-4),""),IFERROR(INDEX($P$5:$P$1004,ROW()-4-MAX($M$5:$M$1004)),""))</f>
        <v/>
      </c>
    </row>
    <row r="289" customFormat="false" ht="15" hidden="false" customHeight="false" outlineLevel="0" collapsed="false">
      <c r="M289" s="0" t="str">
        <f aca="false">IF(CSV貼付A!$N289="","",IF(COUNTIF($B$37:$B$48,CSV貼付A!$H289)&gt;0,"",IF(SUMPRODUCT((CSV貼付A!$N$5:$N289=CSV貼付A!$N289)*(COUNTIF($B$37:$B$48,CSV貼付A!$H$5:$H289)=0))&gt;1,"",MAX($M$4:M288)+1)))</f>
        <v/>
      </c>
      <c r="N289" s="0" t="str">
        <f aca="false">IFERROR(INDEX(CSV貼付A!$N$5:$N$1004,MATCH(ROW()-4,$M$5:$M$1004,0)),"")</f>
        <v/>
      </c>
      <c r="O289" s="0" t="str">
        <f aca="false">IF(CSV貼付B!$N289="","",IF(COUNTIF($B$37:$B$48,CSV貼付B!$H289)&gt;0,"",IF(SUMPRODUCT((CSV貼付B!$N$5:$N289=CSV貼付B!$N289)*(COUNTIF($B$37:$B$48,CSV貼付B!$H$5:$H289)=0))&gt;1,"",MAX($O$4:O288)+1)))</f>
        <v/>
      </c>
      <c r="P289" s="0" t="str">
        <f aca="false">IFERROR(INDEX(CSV貼付B!$N$5:$N$1004,MATCH(ROW()-4,$O$5:$O$1004,0)),"")</f>
        <v/>
      </c>
      <c r="Q289" s="0" t="str">
        <f aca="false">IF(ROW()-4&lt;=MAX($M$5:$M$1004),IFERROR(INDEX($N$5:$N$1004,ROW()-4),""),IFERROR(INDEX($P$5:$P$1004,ROW()-4-MAX($M$5:$M$1004)),""))</f>
        <v/>
      </c>
    </row>
    <row r="290" customFormat="false" ht="15" hidden="false" customHeight="false" outlineLevel="0" collapsed="false">
      <c r="M290" s="0" t="str">
        <f aca="false">IF(CSV貼付A!$N290="","",IF(COUNTIF($B$37:$B$48,CSV貼付A!$H290)&gt;0,"",IF(SUMPRODUCT((CSV貼付A!$N$5:$N290=CSV貼付A!$N290)*(COUNTIF($B$37:$B$48,CSV貼付A!$H$5:$H290)=0))&gt;1,"",MAX($M$4:M289)+1)))</f>
        <v/>
      </c>
      <c r="N290" s="0" t="str">
        <f aca="false">IFERROR(INDEX(CSV貼付A!$N$5:$N$1004,MATCH(ROW()-4,$M$5:$M$1004,0)),"")</f>
        <v/>
      </c>
      <c r="O290" s="0" t="str">
        <f aca="false">IF(CSV貼付B!$N290="","",IF(COUNTIF($B$37:$B$48,CSV貼付B!$H290)&gt;0,"",IF(SUMPRODUCT((CSV貼付B!$N$5:$N290=CSV貼付B!$N290)*(COUNTIF($B$37:$B$48,CSV貼付B!$H$5:$H290)=0))&gt;1,"",MAX($O$4:O289)+1)))</f>
        <v/>
      </c>
      <c r="P290" s="0" t="str">
        <f aca="false">IFERROR(INDEX(CSV貼付B!$N$5:$N$1004,MATCH(ROW()-4,$O$5:$O$1004,0)),"")</f>
        <v/>
      </c>
      <c r="Q290" s="0" t="str">
        <f aca="false">IF(ROW()-4&lt;=MAX($M$5:$M$1004),IFERROR(INDEX($N$5:$N$1004,ROW()-4),""),IFERROR(INDEX($P$5:$P$1004,ROW()-4-MAX($M$5:$M$1004)),""))</f>
        <v/>
      </c>
    </row>
    <row r="291" customFormat="false" ht="15" hidden="false" customHeight="false" outlineLevel="0" collapsed="false">
      <c r="M291" s="0" t="str">
        <f aca="false">IF(CSV貼付A!$N291="","",IF(COUNTIF($B$37:$B$48,CSV貼付A!$H291)&gt;0,"",IF(SUMPRODUCT((CSV貼付A!$N$5:$N291=CSV貼付A!$N291)*(COUNTIF($B$37:$B$48,CSV貼付A!$H$5:$H291)=0))&gt;1,"",MAX($M$4:M290)+1)))</f>
        <v/>
      </c>
      <c r="N291" s="0" t="str">
        <f aca="false">IFERROR(INDEX(CSV貼付A!$N$5:$N$1004,MATCH(ROW()-4,$M$5:$M$1004,0)),"")</f>
        <v/>
      </c>
      <c r="O291" s="0" t="str">
        <f aca="false">IF(CSV貼付B!$N291="","",IF(COUNTIF($B$37:$B$48,CSV貼付B!$H291)&gt;0,"",IF(SUMPRODUCT((CSV貼付B!$N$5:$N291=CSV貼付B!$N291)*(COUNTIF($B$37:$B$48,CSV貼付B!$H$5:$H291)=0))&gt;1,"",MAX($O$4:O290)+1)))</f>
        <v/>
      </c>
      <c r="P291" s="0" t="str">
        <f aca="false">IFERROR(INDEX(CSV貼付B!$N$5:$N$1004,MATCH(ROW()-4,$O$5:$O$1004,0)),"")</f>
        <v/>
      </c>
      <c r="Q291" s="0" t="str">
        <f aca="false">IF(ROW()-4&lt;=MAX($M$5:$M$1004),IFERROR(INDEX($N$5:$N$1004,ROW()-4),""),IFERROR(INDEX($P$5:$P$1004,ROW()-4-MAX($M$5:$M$1004)),""))</f>
        <v/>
      </c>
    </row>
    <row r="292" customFormat="false" ht="15" hidden="false" customHeight="false" outlineLevel="0" collapsed="false">
      <c r="M292" s="0" t="str">
        <f aca="false">IF(CSV貼付A!$N292="","",IF(COUNTIF($B$37:$B$48,CSV貼付A!$H292)&gt;0,"",IF(SUMPRODUCT((CSV貼付A!$N$5:$N292=CSV貼付A!$N292)*(COUNTIF($B$37:$B$48,CSV貼付A!$H$5:$H292)=0))&gt;1,"",MAX($M$4:M291)+1)))</f>
        <v/>
      </c>
      <c r="N292" s="0" t="str">
        <f aca="false">IFERROR(INDEX(CSV貼付A!$N$5:$N$1004,MATCH(ROW()-4,$M$5:$M$1004,0)),"")</f>
        <v/>
      </c>
      <c r="O292" s="0" t="str">
        <f aca="false">IF(CSV貼付B!$N292="","",IF(COUNTIF($B$37:$B$48,CSV貼付B!$H292)&gt;0,"",IF(SUMPRODUCT((CSV貼付B!$N$5:$N292=CSV貼付B!$N292)*(COUNTIF($B$37:$B$48,CSV貼付B!$H$5:$H292)=0))&gt;1,"",MAX($O$4:O291)+1)))</f>
        <v/>
      </c>
      <c r="P292" s="0" t="str">
        <f aca="false">IFERROR(INDEX(CSV貼付B!$N$5:$N$1004,MATCH(ROW()-4,$O$5:$O$1004,0)),"")</f>
        <v/>
      </c>
      <c r="Q292" s="0" t="str">
        <f aca="false">IF(ROW()-4&lt;=MAX($M$5:$M$1004),IFERROR(INDEX($N$5:$N$1004,ROW()-4),""),IFERROR(INDEX($P$5:$P$1004,ROW()-4-MAX($M$5:$M$1004)),""))</f>
        <v/>
      </c>
    </row>
    <row r="293" customFormat="false" ht="15" hidden="false" customHeight="false" outlineLevel="0" collapsed="false">
      <c r="M293" s="0" t="str">
        <f aca="false">IF(CSV貼付A!$N293="","",IF(COUNTIF($B$37:$B$48,CSV貼付A!$H293)&gt;0,"",IF(SUMPRODUCT((CSV貼付A!$N$5:$N293=CSV貼付A!$N293)*(COUNTIF($B$37:$B$48,CSV貼付A!$H$5:$H293)=0))&gt;1,"",MAX($M$4:M292)+1)))</f>
        <v/>
      </c>
      <c r="N293" s="0" t="str">
        <f aca="false">IFERROR(INDEX(CSV貼付A!$N$5:$N$1004,MATCH(ROW()-4,$M$5:$M$1004,0)),"")</f>
        <v/>
      </c>
      <c r="O293" s="0" t="str">
        <f aca="false">IF(CSV貼付B!$N293="","",IF(COUNTIF($B$37:$B$48,CSV貼付B!$H293)&gt;0,"",IF(SUMPRODUCT((CSV貼付B!$N$5:$N293=CSV貼付B!$N293)*(COUNTIF($B$37:$B$48,CSV貼付B!$H$5:$H293)=0))&gt;1,"",MAX($O$4:O292)+1)))</f>
        <v/>
      </c>
      <c r="P293" s="0" t="str">
        <f aca="false">IFERROR(INDEX(CSV貼付B!$N$5:$N$1004,MATCH(ROW()-4,$O$5:$O$1004,0)),"")</f>
        <v/>
      </c>
      <c r="Q293" s="0" t="str">
        <f aca="false">IF(ROW()-4&lt;=MAX($M$5:$M$1004),IFERROR(INDEX($N$5:$N$1004,ROW()-4),""),IFERROR(INDEX($P$5:$P$1004,ROW()-4-MAX($M$5:$M$1004)),""))</f>
        <v/>
      </c>
    </row>
    <row r="294" customFormat="false" ht="15" hidden="false" customHeight="false" outlineLevel="0" collapsed="false">
      <c r="M294" s="0" t="str">
        <f aca="false">IF(CSV貼付A!$N294="","",IF(COUNTIF($B$37:$B$48,CSV貼付A!$H294)&gt;0,"",IF(SUMPRODUCT((CSV貼付A!$N$5:$N294=CSV貼付A!$N294)*(COUNTIF($B$37:$B$48,CSV貼付A!$H$5:$H294)=0))&gt;1,"",MAX($M$4:M293)+1)))</f>
        <v/>
      </c>
      <c r="N294" s="0" t="str">
        <f aca="false">IFERROR(INDEX(CSV貼付A!$N$5:$N$1004,MATCH(ROW()-4,$M$5:$M$1004,0)),"")</f>
        <v/>
      </c>
      <c r="O294" s="0" t="str">
        <f aca="false">IF(CSV貼付B!$N294="","",IF(COUNTIF($B$37:$B$48,CSV貼付B!$H294)&gt;0,"",IF(SUMPRODUCT((CSV貼付B!$N$5:$N294=CSV貼付B!$N294)*(COUNTIF($B$37:$B$48,CSV貼付B!$H$5:$H294)=0))&gt;1,"",MAX($O$4:O293)+1)))</f>
        <v/>
      </c>
      <c r="P294" s="0" t="str">
        <f aca="false">IFERROR(INDEX(CSV貼付B!$N$5:$N$1004,MATCH(ROW()-4,$O$5:$O$1004,0)),"")</f>
        <v/>
      </c>
      <c r="Q294" s="0" t="str">
        <f aca="false">IF(ROW()-4&lt;=MAX($M$5:$M$1004),IFERROR(INDEX($N$5:$N$1004,ROW()-4),""),IFERROR(INDEX($P$5:$P$1004,ROW()-4-MAX($M$5:$M$1004)),""))</f>
        <v/>
      </c>
    </row>
    <row r="295" customFormat="false" ht="15" hidden="false" customHeight="false" outlineLevel="0" collapsed="false">
      <c r="M295" s="0" t="str">
        <f aca="false">IF(CSV貼付A!$N295="","",IF(COUNTIF($B$37:$B$48,CSV貼付A!$H295)&gt;0,"",IF(SUMPRODUCT((CSV貼付A!$N$5:$N295=CSV貼付A!$N295)*(COUNTIF($B$37:$B$48,CSV貼付A!$H$5:$H295)=0))&gt;1,"",MAX($M$4:M294)+1)))</f>
        <v/>
      </c>
      <c r="N295" s="0" t="str">
        <f aca="false">IFERROR(INDEX(CSV貼付A!$N$5:$N$1004,MATCH(ROW()-4,$M$5:$M$1004,0)),"")</f>
        <v/>
      </c>
      <c r="O295" s="0" t="str">
        <f aca="false">IF(CSV貼付B!$N295="","",IF(COUNTIF($B$37:$B$48,CSV貼付B!$H295)&gt;0,"",IF(SUMPRODUCT((CSV貼付B!$N$5:$N295=CSV貼付B!$N295)*(COUNTIF($B$37:$B$48,CSV貼付B!$H$5:$H295)=0))&gt;1,"",MAX($O$4:O294)+1)))</f>
        <v/>
      </c>
      <c r="P295" s="0" t="str">
        <f aca="false">IFERROR(INDEX(CSV貼付B!$N$5:$N$1004,MATCH(ROW()-4,$O$5:$O$1004,0)),"")</f>
        <v/>
      </c>
      <c r="Q295" s="0" t="str">
        <f aca="false">IF(ROW()-4&lt;=MAX($M$5:$M$1004),IFERROR(INDEX($N$5:$N$1004,ROW()-4),""),IFERROR(INDEX($P$5:$P$1004,ROW()-4-MAX($M$5:$M$1004)),""))</f>
        <v/>
      </c>
    </row>
    <row r="296" customFormat="false" ht="15" hidden="false" customHeight="false" outlineLevel="0" collapsed="false">
      <c r="M296" s="0" t="str">
        <f aca="false">IF(CSV貼付A!$N296="","",IF(COUNTIF($B$37:$B$48,CSV貼付A!$H296)&gt;0,"",IF(SUMPRODUCT((CSV貼付A!$N$5:$N296=CSV貼付A!$N296)*(COUNTIF($B$37:$B$48,CSV貼付A!$H$5:$H296)=0))&gt;1,"",MAX($M$4:M295)+1)))</f>
        <v/>
      </c>
      <c r="N296" s="0" t="str">
        <f aca="false">IFERROR(INDEX(CSV貼付A!$N$5:$N$1004,MATCH(ROW()-4,$M$5:$M$1004,0)),"")</f>
        <v/>
      </c>
      <c r="O296" s="0" t="str">
        <f aca="false">IF(CSV貼付B!$N296="","",IF(COUNTIF($B$37:$B$48,CSV貼付B!$H296)&gt;0,"",IF(SUMPRODUCT((CSV貼付B!$N$5:$N296=CSV貼付B!$N296)*(COUNTIF($B$37:$B$48,CSV貼付B!$H$5:$H296)=0))&gt;1,"",MAX($O$4:O295)+1)))</f>
        <v/>
      </c>
      <c r="P296" s="0" t="str">
        <f aca="false">IFERROR(INDEX(CSV貼付B!$N$5:$N$1004,MATCH(ROW()-4,$O$5:$O$1004,0)),"")</f>
        <v/>
      </c>
      <c r="Q296" s="0" t="str">
        <f aca="false">IF(ROW()-4&lt;=MAX($M$5:$M$1004),IFERROR(INDEX($N$5:$N$1004,ROW()-4),""),IFERROR(INDEX($P$5:$P$1004,ROW()-4-MAX($M$5:$M$1004)),""))</f>
        <v/>
      </c>
    </row>
    <row r="297" customFormat="false" ht="15" hidden="false" customHeight="false" outlineLevel="0" collapsed="false">
      <c r="M297" s="0" t="str">
        <f aca="false">IF(CSV貼付A!$N297="","",IF(COUNTIF($B$37:$B$48,CSV貼付A!$H297)&gt;0,"",IF(SUMPRODUCT((CSV貼付A!$N$5:$N297=CSV貼付A!$N297)*(COUNTIF($B$37:$B$48,CSV貼付A!$H$5:$H297)=0))&gt;1,"",MAX($M$4:M296)+1)))</f>
        <v/>
      </c>
      <c r="N297" s="0" t="str">
        <f aca="false">IFERROR(INDEX(CSV貼付A!$N$5:$N$1004,MATCH(ROW()-4,$M$5:$M$1004,0)),"")</f>
        <v/>
      </c>
      <c r="O297" s="0" t="str">
        <f aca="false">IF(CSV貼付B!$N297="","",IF(COUNTIF($B$37:$B$48,CSV貼付B!$H297)&gt;0,"",IF(SUMPRODUCT((CSV貼付B!$N$5:$N297=CSV貼付B!$N297)*(COUNTIF($B$37:$B$48,CSV貼付B!$H$5:$H297)=0))&gt;1,"",MAX($O$4:O296)+1)))</f>
        <v/>
      </c>
      <c r="P297" s="0" t="str">
        <f aca="false">IFERROR(INDEX(CSV貼付B!$N$5:$N$1004,MATCH(ROW()-4,$O$5:$O$1004,0)),"")</f>
        <v/>
      </c>
      <c r="Q297" s="0" t="str">
        <f aca="false">IF(ROW()-4&lt;=MAX($M$5:$M$1004),IFERROR(INDEX($N$5:$N$1004,ROW()-4),""),IFERROR(INDEX($P$5:$P$1004,ROW()-4-MAX($M$5:$M$1004)),""))</f>
        <v/>
      </c>
    </row>
    <row r="298" customFormat="false" ht="15" hidden="false" customHeight="false" outlineLevel="0" collapsed="false">
      <c r="M298" s="0" t="str">
        <f aca="false">IF(CSV貼付A!$N298="","",IF(COUNTIF($B$37:$B$48,CSV貼付A!$H298)&gt;0,"",IF(SUMPRODUCT((CSV貼付A!$N$5:$N298=CSV貼付A!$N298)*(COUNTIF($B$37:$B$48,CSV貼付A!$H$5:$H298)=0))&gt;1,"",MAX($M$4:M297)+1)))</f>
        <v/>
      </c>
      <c r="N298" s="0" t="str">
        <f aca="false">IFERROR(INDEX(CSV貼付A!$N$5:$N$1004,MATCH(ROW()-4,$M$5:$M$1004,0)),"")</f>
        <v/>
      </c>
      <c r="O298" s="0" t="str">
        <f aca="false">IF(CSV貼付B!$N298="","",IF(COUNTIF($B$37:$B$48,CSV貼付B!$H298)&gt;0,"",IF(SUMPRODUCT((CSV貼付B!$N$5:$N298=CSV貼付B!$N298)*(COUNTIF($B$37:$B$48,CSV貼付B!$H$5:$H298)=0))&gt;1,"",MAX($O$4:O297)+1)))</f>
        <v/>
      </c>
      <c r="P298" s="0" t="str">
        <f aca="false">IFERROR(INDEX(CSV貼付B!$N$5:$N$1004,MATCH(ROW()-4,$O$5:$O$1004,0)),"")</f>
        <v/>
      </c>
      <c r="Q298" s="0" t="str">
        <f aca="false">IF(ROW()-4&lt;=MAX($M$5:$M$1004),IFERROR(INDEX($N$5:$N$1004,ROW()-4),""),IFERROR(INDEX($P$5:$P$1004,ROW()-4-MAX($M$5:$M$1004)),""))</f>
        <v/>
      </c>
    </row>
    <row r="299" customFormat="false" ht="15" hidden="false" customHeight="false" outlineLevel="0" collapsed="false">
      <c r="M299" s="0" t="str">
        <f aca="false">IF(CSV貼付A!$N299="","",IF(COUNTIF($B$37:$B$48,CSV貼付A!$H299)&gt;0,"",IF(SUMPRODUCT((CSV貼付A!$N$5:$N299=CSV貼付A!$N299)*(COUNTIF($B$37:$B$48,CSV貼付A!$H$5:$H299)=0))&gt;1,"",MAX($M$4:M298)+1)))</f>
        <v/>
      </c>
      <c r="N299" s="0" t="str">
        <f aca="false">IFERROR(INDEX(CSV貼付A!$N$5:$N$1004,MATCH(ROW()-4,$M$5:$M$1004,0)),"")</f>
        <v/>
      </c>
      <c r="O299" s="0" t="str">
        <f aca="false">IF(CSV貼付B!$N299="","",IF(COUNTIF($B$37:$B$48,CSV貼付B!$H299)&gt;0,"",IF(SUMPRODUCT((CSV貼付B!$N$5:$N299=CSV貼付B!$N299)*(COUNTIF($B$37:$B$48,CSV貼付B!$H$5:$H299)=0))&gt;1,"",MAX($O$4:O298)+1)))</f>
        <v/>
      </c>
      <c r="P299" s="0" t="str">
        <f aca="false">IFERROR(INDEX(CSV貼付B!$N$5:$N$1004,MATCH(ROW()-4,$O$5:$O$1004,0)),"")</f>
        <v/>
      </c>
      <c r="Q299" s="0" t="str">
        <f aca="false">IF(ROW()-4&lt;=MAX($M$5:$M$1004),IFERROR(INDEX($N$5:$N$1004,ROW()-4),""),IFERROR(INDEX($P$5:$P$1004,ROW()-4-MAX($M$5:$M$1004)),""))</f>
        <v/>
      </c>
    </row>
    <row r="300" customFormat="false" ht="15" hidden="false" customHeight="false" outlineLevel="0" collapsed="false">
      <c r="M300" s="0" t="str">
        <f aca="false">IF(CSV貼付A!$N300="","",IF(COUNTIF($B$37:$B$48,CSV貼付A!$H300)&gt;0,"",IF(SUMPRODUCT((CSV貼付A!$N$5:$N300=CSV貼付A!$N300)*(COUNTIF($B$37:$B$48,CSV貼付A!$H$5:$H300)=0))&gt;1,"",MAX($M$4:M299)+1)))</f>
        <v/>
      </c>
      <c r="N300" s="0" t="str">
        <f aca="false">IFERROR(INDEX(CSV貼付A!$N$5:$N$1004,MATCH(ROW()-4,$M$5:$M$1004,0)),"")</f>
        <v/>
      </c>
      <c r="O300" s="0" t="str">
        <f aca="false">IF(CSV貼付B!$N300="","",IF(COUNTIF($B$37:$B$48,CSV貼付B!$H300)&gt;0,"",IF(SUMPRODUCT((CSV貼付B!$N$5:$N300=CSV貼付B!$N300)*(COUNTIF($B$37:$B$48,CSV貼付B!$H$5:$H300)=0))&gt;1,"",MAX($O$4:O299)+1)))</f>
        <v/>
      </c>
      <c r="P300" s="0" t="str">
        <f aca="false">IFERROR(INDEX(CSV貼付B!$N$5:$N$1004,MATCH(ROW()-4,$O$5:$O$1004,0)),"")</f>
        <v/>
      </c>
      <c r="Q300" s="0" t="str">
        <f aca="false">IF(ROW()-4&lt;=MAX($M$5:$M$1004),IFERROR(INDEX($N$5:$N$1004,ROW()-4),""),IFERROR(INDEX($P$5:$P$1004,ROW()-4-MAX($M$5:$M$1004)),""))</f>
        <v/>
      </c>
    </row>
    <row r="301" customFormat="false" ht="15" hidden="false" customHeight="false" outlineLevel="0" collapsed="false">
      <c r="M301" s="0" t="str">
        <f aca="false">IF(CSV貼付A!$N301="","",IF(COUNTIF($B$37:$B$48,CSV貼付A!$H301)&gt;0,"",IF(SUMPRODUCT((CSV貼付A!$N$5:$N301=CSV貼付A!$N301)*(COUNTIF($B$37:$B$48,CSV貼付A!$H$5:$H301)=0))&gt;1,"",MAX($M$4:M300)+1)))</f>
        <v/>
      </c>
      <c r="N301" s="0" t="str">
        <f aca="false">IFERROR(INDEX(CSV貼付A!$N$5:$N$1004,MATCH(ROW()-4,$M$5:$M$1004,0)),"")</f>
        <v/>
      </c>
      <c r="O301" s="0" t="str">
        <f aca="false">IF(CSV貼付B!$N301="","",IF(COUNTIF($B$37:$B$48,CSV貼付B!$H301)&gt;0,"",IF(SUMPRODUCT((CSV貼付B!$N$5:$N301=CSV貼付B!$N301)*(COUNTIF($B$37:$B$48,CSV貼付B!$H$5:$H301)=0))&gt;1,"",MAX($O$4:O300)+1)))</f>
        <v/>
      </c>
      <c r="P301" s="0" t="str">
        <f aca="false">IFERROR(INDEX(CSV貼付B!$N$5:$N$1004,MATCH(ROW()-4,$O$5:$O$1004,0)),"")</f>
        <v/>
      </c>
      <c r="Q301" s="0" t="str">
        <f aca="false">IF(ROW()-4&lt;=MAX($M$5:$M$1004),IFERROR(INDEX($N$5:$N$1004,ROW()-4),""),IFERROR(INDEX($P$5:$P$1004,ROW()-4-MAX($M$5:$M$1004)),""))</f>
        <v/>
      </c>
    </row>
    <row r="302" customFormat="false" ht="15" hidden="false" customHeight="false" outlineLevel="0" collapsed="false">
      <c r="M302" s="0" t="str">
        <f aca="false">IF(CSV貼付A!$N302="","",IF(COUNTIF($B$37:$B$48,CSV貼付A!$H302)&gt;0,"",IF(SUMPRODUCT((CSV貼付A!$N$5:$N302=CSV貼付A!$N302)*(COUNTIF($B$37:$B$48,CSV貼付A!$H$5:$H302)=0))&gt;1,"",MAX($M$4:M301)+1)))</f>
        <v/>
      </c>
      <c r="N302" s="0" t="str">
        <f aca="false">IFERROR(INDEX(CSV貼付A!$N$5:$N$1004,MATCH(ROW()-4,$M$5:$M$1004,0)),"")</f>
        <v/>
      </c>
      <c r="O302" s="0" t="str">
        <f aca="false">IF(CSV貼付B!$N302="","",IF(COUNTIF($B$37:$B$48,CSV貼付B!$H302)&gt;0,"",IF(SUMPRODUCT((CSV貼付B!$N$5:$N302=CSV貼付B!$N302)*(COUNTIF($B$37:$B$48,CSV貼付B!$H$5:$H302)=0))&gt;1,"",MAX($O$4:O301)+1)))</f>
        <v/>
      </c>
      <c r="P302" s="0" t="str">
        <f aca="false">IFERROR(INDEX(CSV貼付B!$N$5:$N$1004,MATCH(ROW()-4,$O$5:$O$1004,0)),"")</f>
        <v/>
      </c>
      <c r="Q302" s="0" t="str">
        <f aca="false">IF(ROW()-4&lt;=MAX($M$5:$M$1004),IFERROR(INDEX($N$5:$N$1004,ROW()-4),""),IFERROR(INDEX($P$5:$P$1004,ROW()-4-MAX($M$5:$M$1004)),""))</f>
        <v/>
      </c>
    </row>
    <row r="303" customFormat="false" ht="15" hidden="false" customHeight="false" outlineLevel="0" collapsed="false">
      <c r="M303" s="0" t="str">
        <f aca="false">IF(CSV貼付A!$N303="","",IF(COUNTIF($B$37:$B$48,CSV貼付A!$H303)&gt;0,"",IF(SUMPRODUCT((CSV貼付A!$N$5:$N303=CSV貼付A!$N303)*(COUNTIF($B$37:$B$48,CSV貼付A!$H$5:$H303)=0))&gt;1,"",MAX($M$4:M302)+1)))</f>
        <v/>
      </c>
      <c r="N303" s="0" t="str">
        <f aca="false">IFERROR(INDEX(CSV貼付A!$N$5:$N$1004,MATCH(ROW()-4,$M$5:$M$1004,0)),"")</f>
        <v/>
      </c>
      <c r="O303" s="0" t="str">
        <f aca="false">IF(CSV貼付B!$N303="","",IF(COUNTIF($B$37:$B$48,CSV貼付B!$H303)&gt;0,"",IF(SUMPRODUCT((CSV貼付B!$N$5:$N303=CSV貼付B!$N303)*(COUNTIF($B$37:$B$48,CSV貼付B!$H$5:$H303)=0))&gt;1,"",MAX($O$4:O302)+1)))</f>
        <v/>
      </c>
      <c r="P303" s="0" t="str">
        <f aca="false">IFERROR(INDEX(CSV貼付B!$N$5:$N$1004,MATCH(ROW()-4,$O$5:$O$1004,0)),"")</f>
        <v/>
      </c>
      <c r="Q303" s="0" t="str">
        <f aca="false">IF(ROW()-4&lt;=MAX($M$5:$M$1004),IFERROR(INDEX($N$5:$N$1004,ROW()-4),""),IFERROR(INDEX($P$5:$P$1004,ROW()-4-MAX($M$5:$M$1004)),""))</f>
        <v/>
      </c>
    </row>
    <row r="304" customFormat="false" ht="15" hidden="false" customHeight="false" outlineLevel="0" collapsed="false">
      <c r="M304" s="0" t="str">
        <f aca="false">IF(CSV貼付A!$N304="","",IF(COUNTIF($B$37:$B$48,CSV貼付A!$H304)&gt;0,"",IF(SUMPRODUCT((CSV貼付A!$N$5:$N304=CSV貼付A!$N304)*(COUNTIF($B$37:$B$48,CSV貼付A!$H$5:$H304)=0))&gt;1,"",MAX($M$4:M303)+1)))</f>
        <v/>
      </c>
      <c r="N304" s="0" t="str">
        <f aca="false">IFERROR(INDEX(CSV貼付A!$N$5:$N$1004,MATCH(ROW()-4,$M$5:$M$1004,0)),"")</f>
        <v/>
      </c>
      <c r="O304" s="0" t="str">
        <f aca="false">IF(CSV貼付B!$N304="","",IF(COUNTIF($B$37:$B$48,CSV貼付B!$H304)&gt;0,"",IF(SUMPRODUCT((CSV貼付B!$N$5:$N304=CSV貼付B!$N304)*(COUNTIF($B$37:$B$48,CSV貼付B!$H$5:$H304)=0))&gt;1,"",MAX($O$4:O303)+1)))</f>
        <v/>
      </c>
      <c r="P304" s="0" t="str">
        <f aca="false">IFERROR(INDEX(CSV貼付B!$N$5:$N$1004,MATCH(ROW()-4,$O$5:$O$1004,0)),"")</f>
        <v/>
      </c>
      <c r="Q304" s="0" t="str">
        <f aca="false">IF(ROW()-4&lt;=MAX($M$5:$M$1004),IFERROR(INDEX($N$5:$N$1004,ROW()-4),""),IFERROR(INDEX($P$5:$P$1004,ROW()-4-MAX($M$5:$M$1004)),""))</f>
        <v/>
      </c>
    </row>
    <row r="305" customFormat="false" ht="15" hidden="false" customHeight="false" outlineLevel="0" collapsed="false">
      <c r="M305" s="0" t="str">
        <f aca="false">IF(CSV貼付A!$N305="","",IF(COUNTIF($B$37:$B$48,CSV貼付A!$H305)&gt;0,"",IF(SUMPRODUCT((CSV貼付A!$N$5:$N305=CSV貼付A!$N305)*(COUNTIF($B$37:$B$48,CSV貼付A!$H$5:$H305)=0))&gt;1,"",MAX($M$4:M304)+1)))</f>
        <v/>
      </c>
      <c r="N305" s="0" t="str">
        <f aca="false">IFERROR(INDEX(CSV貼付A!$N$5:$N$1004,MATCH(ROW()-4,$M$5:$M$1004,0)),"")</f>
        <v/>
      </c>
      <c r="O305" s="0" t="str">
        <f aca="false">IF(CSV貼付B!$N305="","",IF(COUNTIF($B$37:$B$48,CSV貼付B!$H305)&gt;0,"",IF(SUMPRODUCT((CSV貼付B!$N$5:$N305=CSV貼付B!$N305)*(COUNTIF($B$37:$B$48,CSV貼付B!$H$5:$H305)=0))&gt;1,"",MAX($O$4:O304)+1)))</f>
        <v/>
      </c>
      <c r="P305" s="0" t="str">
        <f aca="false">IFERROR(INDEX(CSV貼付B!$N$5:$N$1004,MATCH(ROW()-4,$O$5:$O$1004,0)),"")</f>
        <v/>
      </c>
      <c r="Q305" s="0" t="str">
        <f aca="false">IF(ROW()-4&lt;=MAX($M$5:$M$1004),IFERROR(INDEX($N$5:$N$1004,ROW()-4),""),IFERROR(INDEX($P$5:$P$1004,ROW()-4-MAX($M$5:$M$1004)),""))</f>
        <v/>
      </c>
    </row>
    <row r="306" customFormat="false" ht="15" hidden="false" customHeight="false" outlineLevel="0" collapsed="false">
      <c r="M306" s="0" t="str">
        <f aca="false">IF(CSV貼付A!$N306="","",IF(COUNTIF($B$37:$B$48,CSV貼付A!$H306)&gt;0,"",IF(SUMPRODUCT((CSV貼付A!$N$5:$N306=CSV貼付A!$N306)*(COUNTIF($B$37:$B$48,CSV貼付A!$H$5:$H306)=0))&gt;1,"",MAX($M$4:M305)+1)))</f>
        <v/>
      </c>
      <c r="N306" s="0" t="str">
        <f aca="false">IFERROR(INDEX(CSV貼付A!$N$5:$N$1004,MATCH(ROW()-4,$M$5:$M$1004,0)),"")</f>
        <v/>
      </c>
      <c r="O306" s="0" t="str">
        <f aca="false">IF(CSV貼付B!$N306="","",IF(COUNTIF($B$37:$B$48,CSV貼付B!$H306)&gt;0,"",IF(SUMPRODUCT((CSV貼付B!$N$5:$N306=CSV貼付B!$N306)*(COUNTIF($B$37:$B$48,CSV貼付B!$H$5:$H306)=0))&gt;1,"",MAX($O$4:O305)+1)))</f>
        <v/>
      </c>
      <c r="P306" s="0" t="str">
        <f aca="false">IFERROR(INDEX(CSV貼付B!$N$5:$N$1004,MATCH(ROW()-4,$O$5:$O$1004,0)),"")</f>
        <v/>
      </c>
      <c r="Q306" s="0" t="str">
        <f aca="false">IF(ROW()-4&lt;=MAX($M$5:$M$1004),IFERROR(INDEX($N$5:$N$1004,ROW()-4),""),IFERROR(INDEX($P$5:$P$1004,ROW()-4-MAX($M$5:$M$1004)),""))</f>
        <v/>
      </c>
    </row>
    <row r="307" customFormat="false" ht="15" hidden="false" customHeight="false" outlineLevel="0" collapsed="false">
      <c r="M307" s="0" t="str">
        <f aca="false">IF(CSV貼付A!$N307="","",IF(COUNTIF($B$37:$B$48,CSV貼付A!$H307)&gt;0,"",IF(SUMPRODUCT((CSV貼付A!$N$5:$N307=CSV貼付A!$N307)*(COUNTIF($B$37:$B$48,CSV貼付A!$H$5:$H307)=0))&gt;1,"",MAX($M$4:M306)+1)))</f>
        <v/>
      </c>
      <c r="N307" s="0" t="str">
        <f aca="false">IFERROR(INDEX(CSV貼付A!$N$5:$N$1004,MATCH(ROW()-4,$M$5:$M$1004,0)),"")</f>
        <v/>
      </c>
      <c r="O307" s="0" t="str">
        <f aca="false">IF(CSV貼付B!$N307="","",IF(COUNTIF($B$37:$B$48,CSV貼付B!$H307)&gt;0,"",IF(SUMPRODUCT((CSV貼付B!$N$5:$N307=CSV貼付B!$N307)*(COUNTIF($B$37:$B$48,CSV貼付B!$H$5:$H307)=0))&gt;1,"",MAX($O$4:O306)+1)))</f>
        <v/>
      </c>
      <c r="P307" s="0" t="str">
        <f aca="false">IFERROR(INDEX(CSV貼付B!$N$5:$N$1004,MATCH(ROW()-4,$O$5:$O$1004,0)),"")</f>
        <v/>
      </c>
      <c r="Q307" s="0" t="str">
        <f aca="false">IF(ROW()-4&lt;=MAX($M$5:$M$1004),IFERROR(INDEX($N$5:$N$1004,ROW()-4),""),IFERROR(INDEX($P$5:$P$1004,ROW()-4-MAX($M$5:$M$1004)),""))</f>
        <v/>
      </c>
    </row>
    <row r="308" customFormat="false" ht="15" hidden="false" customHeight="false" outlineLevel="0" collapsed="false">
      <c r="M308" s="0" t="str">
        <f aca="false">IF(CSV貼付A!$N308="","",IF(COUNTIF($B$37:$B$48,CSV貼付A!$H308)&gt;0,"",IF(SUMPRODUCT((CSV貼付A!$N$5:$N308=CSV貼付A!$N308)*(COUNTIF($B$37:$B$48,CSV貼付A!$H$5:$H308)=0))&gt;1,"",MAX($M$4:M307)+1)))</f>
        <v/>
      </c>
      <c r="N308" s="0" t="str">
        <f aca="false">IFERROR(INDEX(CSV貼付A!$N$5:$N$1004,MATCH(ROW()-4,$M$5:$M$1004,0)),"")</f>
        <v/>
      </c>
      <c r="O308" s="0" t="str">
        <f aca="false">IF(CSV貼付B!$N308="","",IF(COUNTIF($B$37:$B$48,CSV貼付B!$H308)&gt;0,"",IF(SUMPRODUCT((CSV貼付B!$N$5:$N308=CSV貼付B!$N308)*(COUNTIF($B$37:$B$48,CSV貼付B!$H$5:$H308)=0))&gt;1,"",MAX($O$4:O307)+1)))</f>
        <v/>
      </c>
      <c r="P308" s="0" t="str">
        <f aca="false">IFERROR(INDEX(CSV貼付B!$N$5:$N$1004,MATCH(ROW()-4,$O$5:$O$1004,0)),"")</f>
        <v/>
      </c>
      <c r="Q308" s="0" t="str">
        <f aca="false">IF(ROW()-4&lt;=MAX($M$5:$M$1004),IFERROR(INDEX($N$5:$N$1004,ROW()-4),""),IFERROR(INDEX($P$5:$P$1004,ROW()-4-MAX($M$5:$M$1004)),""))</f>
        <v/>
      </c>
    </row>
    <row r="309" customFormat="false" ht="15" hidden="false" customHeight="false" outlineLevel="0" collapsed="false">
      <c r="M309" s="0" t="str">
        <f aca="false">IF(CSV貼付A!$N309="","",IF(COUNTIF($B$37:$B$48,CSV貼付A!$H309)&gt;0,"",IF(SUMPRODUCT((CSV貼付A!$N$5:$N309=CSV貼付A!$N309)*(COUNTIF($B$37:$B$48,CSV貼付A!$H$5:$H309)=0))&gt;1,"",MAX($M$4:M308)+1)))</f>
        <v/>
      </c>
      <c r="N309" s="0" t="str">
        <f aca="false">IFERROR(INDEX(CSV貼付A!$N$5:$N$1004,MATCH(ROW()-4,$M$5:$M$1004,0)),"")</f>
        <v/>
      </c>
      <c r="O309" s="0" t="str">
        <f aca="false">IF(CSV貼付B!$N309="","",IF(COUNTIF($B$37:$B$48,CSV貼付B!$H309)&gt;0,"",IF(SUMPRODUCT((CSV貼付B!$N$5:$N309=CSV貼付B!$N309)*(COUNTIF($B$37:$B$48,CSV貼付B!$H$5:$H309)=0))&gt;1,"",MAX($O$4:O308)+1)))</f>
        <v/>
      </c>
      <c r="P309" s="0" t="str">
        <f aca="false">IFERROR(INDEX(CSV貼付B!$N$5:$N$1004,MATCH(ROW()-4,$O$5:$O$1004,0)),"")</f>
        <v/>
      </c>
      <c r="Q309" s="0" t="str">
        <f aca="false">IF(ROW()-4&lt;=MAX($M$5:$M$1004),IFERROR(INDEX($N$5:$N$1004,ROW()-4),""),IFERROR(INDEX($P$5:$P$1004,ROW()-4-MAX($M$5:$M$1004)),""))</f>
        <v/>
      </c>
    </row>
    <row r="310" customFormat="false" ht="15" hidden="false" customHeight="false" outlineLevel="0" collapsed="false">
      <c r="M310" s="0" t="str">
        <f aca="false">IF(CSV貼付A!$N310="","",IF(COUNTIF($B$37:$B$48,CSV貼付A!$H310)&gt;0,"",IF(SUMPRODUCT((CSV貼付A!$N$5:$N310=CSV貼付A!$N310)*(COUNTIF($B$37:$B$48,CSV貼付A!$H$5:$H310)=0))&gt;1,"",MAX($M$4:M309)+1)))</f>
        <v/>
      </c>
      <c r="N310" s="0" t="str">
        <f aca="false">IFERROR(INDEX(CSV貼付A!$N$5:$N$1004,MATCH(ROW()-4,$M$5:$M$1004,0)),"")</f>
        <v/>
      </c>
      <c r="O310" s="0" t="str">
        <f aca="false">IF(CSV貼付B!$N310="","",IF(COUNTIF($B$37:$B$48,CSV貼付B!$H310)&gt;0,"",IF(SUMPRODUCT((CSV貼付B!$N$5:$N310=CSV貼付B!$N310)*(COUNTIF($B$37:$B$48,CSV貼付B!$H$5:$H310)=0))&gt;1,"",MAX($O$4:O309)+1)))</f>
        <v/>
      </c>
      <c r="P310" s="0" t="str">
        <f aca="false">IFERROR(INDEX(CSV貼付B!$N$5:$N$1004,MATCH(ROW()-4,$O$5:$O$1004,0)),"")</f>
        <v/>
      </c>
      <c r="Q310" s="0" t="str">
        <f aca="false">IF(ROW()-4&lt;=MAX($M$5:$M$1004),IFERROR(INDEX($N$5:$N$1004,ROW()-4),""),IFERROR(INDEX($P$5:$P$1004,ROW()-4-MAX($M$5:$M$1004)),""))</f>
        <v/>
      </c>
    </row>
    <row r="311" customFormat="false" ht="15" hidden="false" customHeight="false" outlineLevel="0" collapsed="false">
      <c r="M311" s="0" t="str">
        <f aca="false">IF(CSV貼付A!$N311="","",IF(COUNTIF($B$37:$B$48,CSV貼付A!$H311)&gt;0,"",IF(SUMPRODUCT((CSV貼付A!$N$5:$N311=CSV貼付A!$N311)*(COUNTIF($B$37:$B$48,CSV貼付A!$H$5:$H311)=0))&gt;1,"",MAX($M$4:M310)+1)))</f>
        <v/>
      </c>
      <c r="N311" s="0" t="str">
        <f aca="false">IFERROR(INDEX(CSV貼付A!$N$5:$N$1004,MATCH(ROW()-4,$M$5:$M$1004,0)),"")</f>
        <v/>
      </c>
      <c r="O311" s="0" t="str">
        <f aca="false">IF(CSV貼付B!$N311="","",IF(COUNTIF($B$37:$B$48,CSV貼付B!$H311)&gt;0,"",IF(SUMPRODUCT((CSV貼付B!$N$5:$N311=CSV貼付B!$N311)*(COUNTIF($B$37:$B$48,CSV貼付B!$H$5:$H311)=0))&gt;1,"",MAX($O$4:O310)+1)))</f>
        <v/>
      </c>
      <c r="P311" s="0" t="str">
        <f aca="false">IFERROR(INDEX(CSV貼付B!$N$5:$N$1004,MATCH(ROW()-4,$O$5:$O$1004,0)),"")</f>
        <v/>
      </c>
      <c r="Q311" s="0" t="str">
        <f aca="false">IF(ROW()-4&lt;=MAX($M$5:$M$1004),IFERROR(INDEX($N$5:$N$1004,ROW()-4),""),IFERROR(INDEX($P$5:$P$1004,ROW()-4-MAX($M$5:$M$1004)),""))</f>
        <v/>
      </c>
    </row>
    <row r="312" customFormat="false" ht="15" hidden="false" customHeight="false" outlineLevel="0" collapsed="false">
      <c r="M312" s="0" t="str">
        <f aca="false">IF(CSV貼付A!$N312="","",IF(COUNTIF($B$37:$B$48,CSV貼付A!$H312)&gt;0,"",IF(SUMPRODUCT((CSV貼付A!$N$5:$N312=CSV貼付A!$N312)*(COUNTIF($B$37:$B$48,CSV貼付A!$H$5:$H312)=0))&gt;1,"",MAX($M$4:M311)+1)))</f>
        <v/>
      </c>
      <c r="N312" s="0" t="str">
        <f aca="false">IFERROR(INDEX(CSV貼付A!$N$5:$N$1004,MATCH(ROW()-4,$M$5:$M$1004,0)),"")</f>
        <v/>
      </c>
      <c r="O312" s="0" t="str">
        <f aca="false">IF(CSV貼付B!$N312="","",IF(COUNTIF($B$37:$B$48,CSV貼付B!$H312)&gt;0,"",IF(SUMPRODUCT((CSV貼付B!$N$5:$N312=CSV貼付B!$N312)*(COUNTIF($B$37:$B$48,CSV貼付B!$H$5:$H312)=0))&gt;1,"",MAX($O$4:O311)+1)))</f>
        <v/>
      </c>
      <c r="P312" s="0" t="str">
        <f aca="false">IFERROR(INDEX(CSV貼付B!$N$5:$N$1004,MATCH(ROW()-4,$O$5:$O$1004,0)),"")</f>
        <v/>
      </c>
      <c r="Q312" s="0" t="str">
        <f aca="false">IF(ROW()-4&lt;=MAX($M$5:$M$1004),IFERROR(INDEX($N$5:$N$1004,ROW()-4),""),IFERROR(INDEX($P$5:$P$1004,ROW()-4-MAX($M$5:$M$1004)),""))</f>
        <v/>
      </c>
    </row>
    <row r="313" customFormat="false" ht="15" hidden="false" customHeight="false" outlineLevel="0" collapsed="false">
      <c r="M313" s="0" t="str">
        <f aca="false">IF(CSV貼付A!$N313="","",IF(COUNTIF($B$37:$B$48,CSV貼付A!$H313)&gt;0,"",IF(SUMPRODUCT((CSV貼付A!$N$5:$N313=CSV貼付A!$N313)*(COUNTIF($B$37:$B$48,CSV貼付A!$H$5:$H313)=0))&gt;1,"",MAX($M$4:M312)+1)))</f>
        <v/>
      </c>
      <c r="N313" s="0" t="str">
        <f aca="false">IFERROR(INDEX(CSV貼付A!$N$5:$N$1004,MATCH(ROW()-4,$M$5:$M$1004,0)),"")</f>
        <v/>
      </c>
      <c r="O313" s="0" t="str">
        <f aca="false">IF(CSV貼付B!$N313="","",IF(COUNTIF($B$37:$B$48,CSV貼付B!$H313)&gt;0,"",IF(SUMPRODUCT((CSV貼付B!$N$5:$N313=CSV貼付B!$N313)*(COUNTIF($B$37:$B$48,CSV貼付B!$H$5:$H313)=0))&gt;1,"",MAX($O$4:O312)+1)))</f>
        <v/>
      </c>
      <c r="P313" s="0" t="str">
        <f aca="false">IFERROR(INDEX(CSV貼付B!$N$5:$N$1004,MATCH(ROW()-4,$O$5:$O$1004,0)),"")</f>
        <v/>
      </c>
      <c r="Q313" s="0" t="str">
        <f aca="false">IF(ROW()-4&lt;=MAX($M$5:$M$1004),IFERROR(INDEX($N$5:$N$1004,ROW()-4),""),IFERROR(INDEX($P$5:$P$1004,ROW()-4-MAX($M$5:$M$1004)),""))</f>
        <v/>
      </c>
    </row>
    <row r="314" customFormat="false" ht="15" hidden="false" customHeight="false" outlineLevel="0" collapsed="false">
      <c r="M314" s="0" t="str">
        <f aca="false">IF(CSV貼付A!$N314="","",IF(COUNTIF($B$37:$B$48,CSV貼付A!$H314)&gt;0,"",IF(SUMPRODUCT((CSV貼付A!$N$5:$N314=CSV貼付A!$N314)*(COUNTIF($B$37:$B$48,CSV貼付A!$H$5:$H314)=0))&gt;1,"",MAX($M$4:M313)+1)))</f>
        <v/>
      </c>
      <c r="N314" s="0" t="str">
        <f aca="false">IFERROR(INDEX(CSV貼付A!$N$5:$N$1004,MATCH(ROW()-4,$M$5:$M$1004,0)),"")</f>
        <v/>
      </c>
      <c r="O314" s="0" t="str">
        <f aca="false">IF(CSV貼付B!$N314="","",IF(COUNTIF($B$37:$B$48,CSV貼付B!$H314)&gt;0,"",IF(SUMPRODUCT((CSV貼付B!$N$5:$N314=CSV貼付B!$N314)*(COUNTIF($B$37:$B$48,CSV貼付B!$H$5:$H314)=0))&gt;1,"",MAX($O$4:O313)+1)))</f>
        <v/>
      </c>
      <c r="P314" s="0" t="str">
        <f aca="false">IFERROR(INDEX(CSV貼付B!$N$5:$N$1004,MATCH(ROW()-4,$O$5:$O$1004,0)),"")</f>
        <v/>
      </c>
      <c r="Q314" s="0" t="str">
        <f aca="false">IF(ROW()-4&lt;=MAX($M$5:$M$1004),IFERROR(INDEX($N$5:$N$1004,ROW()-4),""),IFERROR(INDEX($P$5:$P$1004,ROW()-4-MAX($M$5:$M$1004)),""))</f>
        <v/>
      </c>
    </row>
    <row r="315" customFormat="false" ht="15" hidden="false" customHeight="false" outlineLevel="0" collapsed="false">
      <c r="M315" s="0" t="str">
        <f aca="false">IF(CSV貼付A!$N315="","",IF(COUNTIF($B$37:$B$48,CSV貼付A!$H315)&gt;0,"",IF(SUMPRODUCT((CSV貼付A!$N$5:$N315=CSV貼付A!$N315)*(COUNTIF($B$37:$B$48,CSV貼付A!$H$5:$H315)=0))&gt;1,"",MAX($M$4:M314)+1)))</f>
        <v/>
      </c>
      <c r="N315" s="0" t="str">
        <f aca="false">IFERROR(INDEX(CSV貼付A!$N$5:$N$1004,MATCH(ROW()-4,$M$5:$M$1004,0)),"")</f>
        <v/>
      </c>
      <c r="O315" s="0" t="str">
        <f aca="false">IF(CSV貼付B!$N315="","",IF(COUNTIF($B$37:$B$48,CSV貼付B!$H315)&gt;0,"",IF(SUMPRODUCT((CSV貼付B!$N$5:$N315=CSV貼付B!$N315)*(COUNTIF($B$37:$B$48,CSV貼付B!$H$5:$H315)=0))&gt;1,"",MAX($O$4:O314)+1)))</f>
        <v/>
      </c>
      <c r="P315" s="0" t="str">
        <f aca="false">IFERROR(INDEX(CSV貼付B!$N$5:$N$1004,MATCH(ROW()-4,$O$5:$O$1004,0)),"")</f>
        <v/>
      </c>
      <c r="Q315" s="0" t="str">
        <f aca="false">IF(ROW()-4&lt;=MAX($M$5:$M$1004),IFERROR(INDEX($N$5:$N$1004,ROW()-4),""),IFERROR(INDEX($P$5:$P$1004,ROW()-4-MAX($M$5:$M$1004)),""))</f>
        <v/>
      </c>
    </row>
    <row r="316" customFormat="false" ht="15" hidden="false" customHeight="false" outlineLevel="0" collapsed="false">
      <c r="M316" s="0" t="str">
        <f aca="false">IF(CSV貼付A!$N316="","",IF(COUNTIF($B$37:$B$48,CSV貼付A!$H316)&gt;0,"",IF(SUMPRODUCT((CSV貼付A!$N$5:$N316=CSV貼付A!$N316)*(COUNTIF($B$37:$B$48,CSV貼付A!$H$5:$H316)=0))&gt;1,"",MAX($M$4:M315)+1)))</f>
        <v/>
      </c>
      <c r="N316" s="0" t="str">
        <f aca="false">IFERROR(INDEX(CSV貼付A!$N$5:$N$1004,MATCH(ROW()-4,$M$5:$M$1004,0)),"")</f>
        <v/>
      </c>
      <c r="O316" s="0" t="str">
        <f aca="false">IF(CSV貼付B!$N316="","",IF(COUNTIF($B$37:$B$48,CSV貼付B!$H316)&gt;0,"",IF(SUMPRODUCT((CSV貼付B!$N$5:$N316=CSV貼付B!$N316)*(COUNTIF($B$37:$B$48,CSV貼付B!$H$5:$H316)=0))&gt;1,"",MAX($O$4:O315)+1)))</f>
        <v/>
      </c>
      <c r="P316" s="0" t="str">
        <f aca="false">IFERROR(INDEX(CSV貼付B!$N$5:$N$1004,MATCH(ROW()-4,$O$5:$O$1004,0)),"")</f>
        <v/>
      </c>
      <c r="Q316" s="0" t="str">
        <f aca="false">IF(ROW()-4&lt;=MAX($M$5:$M$1004),IFERROR(INDEX($N$5:$N$1004,ROW()-4),""),IFERROR(INDEX($P$5:$P$1004,ROW()-4-MAX($M$5:$M$1004)),""))</f>
        <v/>
      </c>
    </row>
    <row r="317" customFormat="false" ht="15" hidden="false" customHeight="false" outlineLevel="0" collapsed="false">
      <c r="M317" s="0" t="str">
        <f aca="false">IF(CSV貼付A!$N317="","",IF(COUNTIF($B$37:$B$48,CSV貼付A!$H317)&gt;0,"",IF(SUMPRODUCT((CSV貼付A!$N$5:$N317=CSV貼付A!$N317)*(COUNTIF($B$37:$B$48,CSV貼付A!$H$5:$H317)=0))&gt;1,"",MAX($M$4:M316)+1)))</f>
        <v/>
      </c>
      <c r="N317" s="0" t="str">
        <f aca="false">IFERROR(INDEX(CSV貼付A!$N$5:$N$1004,MATCH(ROW()-4,$M$5:$M$1004,0)),"")</f>
        <v/>
      </c>
      <c r="O317" s="0" t="str">
        <f aca="false">IF(CSV貼付B!$N317="","",IF(COUNTIF($B$37:$B$48,CSV貼付B!$H317)&gt;0,"",IF(SUMPRODUCT((CSV貼付B!$N$5:$N317=CSV貼付B!$N317)*(COUNTIF($B$37:$B$48,CSV貼付B!$H$5:$H317)=0))&gt;1,"",MAX($O$4:O316)+1)))</f>
        <v/>
      </c>
      <c r="P317" s="0" t="str">
        <f aca="false">IFERROR(INDEX(CSV貼付B!$N$5:$N$1004,MATCH(ROW()-4,$O$5:$O$1004,0)),"")</f>
        <v/>
      </c>
      <c r="Q317" s="0" t="str">
        <f aca="false">IF(ROW()-4&lt;=MAX($M$5:$M$1004),IFERROR(INDEX($N$5:$N$1004,ROW()-4),""),IFERROR(INDEX($P$5:$P$1004,ROW()-4-MAX($M$5:$M$1004)),""))</f>
        <v/>
      </c>
    </row>
    <row r="318" customFormat="false" ht="15" hidden="false" customHeight="false" outlineLevel="0" collapsed="false">
      <c r="M318" s="0" t="str">
        <f aca="false">IF(CSV貼付A!$N318="","",IF(COUNTIF($B$37:$B$48,CSV貼付A!$H318)&gt;0,"",IF(SUMPRODUCT((CSV貼付A!$N$5:$N318=CSV貼付A!$N318)*(COUNTIF($B$37:$B$48,CSV貼付A!$H$5:$H318)=0))&gt;1,"",MAX($M$4:M317)+1)))</f>
        <v/>
      </c>
      <c r="N318" s="0" t="str">
        <f aca="false">IFERROR(INDEX(CSV貼付A!$N$5:$N$1004,MATCH(ROW()-4,$M$5:$M$1004,0)),"")</f>
        <v/>
      </c>
      <c r="O318" s="0" t="str">
        <f aca="false">IF(CSV貼付B!$N318="","",IF(COUNTIF($B$37:$B$48,CSV貼付B!$H318)&gt;0,"",IF(SUMPRODUCT((CSV貼付B!$N$5:$N318=CSV貼付B!$N318)*(COUNTIF($B$37:$B$48,CSV貼付B!$H$5:$H318)=0))&gt;1,"",MAX($O$4:O317)+1)))</f>
        <v/>
      </c>
      <c r="P318" s="0" t="str">
        <f aca="false">IFERROR(INDEX(CSV貼付B!$N$5:$N$1004,MATCH(ROW()-4,$O$5:$O$1004,0)),"")</f>
        <v/>
      </c>
      <c r="Q318" s="0" t="str">
        <f aca="false">IF(ROW()-4&lt;=MAX($M$5:$M$1004),IFERROR(INDEX($N$5:$N$1004,ROW()-4),""),IFERROR(INDEX($P$5:$P$1004,ROW()-4-MAX($M$5:$M$1004)),""))</f>
        <v/>
      </c>
    </row>
    <row r="319" customFormat="false" ht="15" hidden="false" customHeight="false" outlineLevel="0" collapsed="false">
      <c r="M319" s="0" t="str">
        <f aca="false">IF(CSV貼付A!$N319="","",IF(COUNTIF($B$37:$B$48,CSV貼付A!$H319)&gt;0,"",IF(SUMPRODUCT((CSV貼付A!$N$5:$N319=CSV貼付A!$N319)*(COUNTIF($B$37:$B$48,CSV貼付A!$H$5:$H319)=0))&gt;1,"",MAX($M$4:M318)+1)))</f>
        <v/>
      </c>
      <c r="N319" s="0" t="str">
        <f aca="false">IFERROR(INDEX(CSV貼付A!$N$5:$N$1004,MATCH(ROW()-4,$M$5:$M$1004,0)),"")</f>
        <v/>
      </c>
      <c r="O319" s="0" t="str">
        <f aca="false">IF(CSV貼付B!$N319="","",IF(COUNTIF($B$37:$B$48,CSV貼付B!$H319)&gt;0,"",IF(SUMPRODUCT((CSV貼付B!$N$5:$N319=CSV貼付B!$N319)*(COUNTIF($B$37:$B$48,CSV貼付B!$H$5:$H319)=0))&gt;1,"",MAX($O$4:O318)+1)))</f>
        <v/>
      </c>
      <c r="P319" s="0" t="str">
        <f aca="false">IFERROR(INDEX(CSV貼付B!$N$5:$N$1004,MATCH(ROW()-4,$O$5:$O$1004,0)),"")</f>
        <v/>
      </c>
      <c r="Q319" s="0" t="str">
        <f aca="false">IF(ROW()-4&lt;=MAX($M$5:$M$1004),IFERROR(INDEX($N$5:$N$1004,ROW()-4),""),IFERROR(INDEX($P$5:$P$1004,ROW()-4-MAX($M$5:$M$1004)),""))</f>
        <v/>
      </c>
    </row>
    <row r="320" customFormat="false" ht="15" hidden="false" customHeight="false" outlineLevel="0" collapsed="false">
      <c r="M320" s="0" t="str">
        <f aca="false">IF(CSV貼付A!$N320="","",IF(COUNTIF($B$37:$B$48,CSV貼付A!$H320)&gt;0,"",IF(SUMPRODUCT((CSV貼付A!$N$5:$N320=CSV貼付A!$N320)*(COUNTIF($B$37:$B$48,CSV貼付A!$H$5:$H320)=0))&gt;1,"",MAX($M$4:M319)+1)))</f>
        <v/>
      </c>
      <c r="N320" s="0" t="str">
        <f aca="false">IFERROR(INDEX(CSV貼付A!$N$5:$N$1004,MATCH(ROW()-4,$M$5:$M$1004,0)),"")</f>
        <v/>
      </c>
      <c r="O320" s="0" t="str">
        <f aca="false">IF(CSV貼付B!$N320="","",IF(COUNTIF($B$37:$B$48,CSV貼付B!$H320)&gt;0,"",IF(SUMPRODUCT((CSV貼付B!$N$5:$N320=CSV貼付B!$N320)*(COUNTIF($B$37:$B$48,CSV貼付B!$H$5:$H320)=0))&gt;1,"",MAX($O$4:O319)+1)))</f>
        <v/>
      </c>
      <c r="P320" s="0" t="str">
        <f aca="false">IFERROR(INDEX(CSV貼付B!$N$5:$N$1004,MATCH(ROW()-4,$O$5:$O$1004,0)),"")</f>
        <v/>
      </c>
      <c r="Q320" s="0" t="str">
        <f aca="false">IF(ROW()-4&lt;=MAX($M$5:$M$1004),IFERROR(INDEX($N$5:$N$1004,ROW()-4),""),IFERROR(INDEX($P$5:$P$1004,ROW()-4-MAX($M$5:$M$1004)),""))</f>
        <v/>
      </c>
    </row>
    <row r="321" customFormat="false" ht="15" hidden="false" customHeight="false" outlineLevel="0" collapsed="false">
      <c r="M321" s="0" t="str">
        <f aca="false">IF(CSV貼付A!$N321="","",IF(COUNTIF($B$37:$B$48,CSV貼付A!$H321)&gt;0,"",IF(SUMPRODUCT((CSV貼付A!$N$5:$N321=CSV貼付A!$N321)*(COUNTIF($B$37:$B$48,CSV貼付A!$H$5:$H321)=0))&gt;1,"",MAX($M$4:M320)+1)))</f>
        <v/>
      </c>
      <c r="N321" s="0" t="str">
        <f aca="false">IFERROR(INDEX(CSV貼付A!$N$5:$N$1004,MATCH(ROW()-4,$M$5:$M$1004,0)),"")</f>
        <v/>
      </c>
      <c r="O321" s="0" t="str">
        <f aca="false">IF(CSV貼付B!$N321="","",IF(COUNTIF($B$37:$B$48,CSV貼付B!$H321)&gt;0,"",IF(SUMPRODUCT((CSV貼付B!$N$5:$N321=CSV貼付B!$N321)*(COUNTIF($B$37:$B$48,CSV貼付B!$H$5:$H321)=0))&gt;1,"",MAX($O$4:O320)+1)))</f>
        <v/>
      </c>
      <c r="P321" s="0" t="str">
        <f aca="false">IFERROR(INDEX(CSV貼付B!$N$5:$N$1004,MATCH(ROW()-4,$O$5:$O$1004,0)),"")</f>
        <v/>
      </c>
      <c r="Q321" s="0" t="str">
        <f aca="false">IF(ROW()-4&lt;=MAX($M$5:$M$1004),IFERROR(INDEX($N$5:$N$1004,ROW()-4),""),IFERROR(INDEX($P$5:$P$1004,ROW()-4-MAX($M$5:$M$1004)),""))</f>
        <v/>
      </c>
    </row>
    <row r="322" customFormat="false" ht="15" hidden="false" customHeight="false" outlineLevel="0" collapsed="false">
      <c r="M322" s="0" t="str">
        <f aca="false">IF(CSV貼付A!$N322="","",IF(COUNTIF($B$37:$B$48,CSV貼付A!$H322)&gt;0,"",IF(SUMPRODUCT((CSV貼付A!$N$5:$N322=CSV貼付A!$N322)*(COUNTIF($B$37:$B$48,CSV貼付A!$H$5:$H322)=0))&gt;1,"",MAX($M$4:M321)+1)))</f>
        <v/>
      </c>
      <c r="N322" s="0" t="str">
        <f aca="false">IFERROR(INDEX(CSV貼付A!$N$5:$N$1004,MATCH(ROW()-4,$M$5:$M$1004,0)),"")</f>
        <v/>
      </c>
      <c r="O322" s="0" t="str">
        <f aca="false">IF(CSV貼付B!$N322="","",IF(COUNTIF($B$37:$B$48,CSV貼付B!$H322)&gt;0,"",IF(SUMPRODUCT((CSV貼付B!$N$5:$N322=CSV貼付B!$N322)*(COUNTIF($B$37:$B$48,CSV貼付B!$H$5:$H322)=0))&gt;1,"",MAX($O$4:O321)+1)))</f>
        <v/>
      </c>
      <c r="P322" s="0" t="str">
        <f aca="false">IFERROR(INDEX(CSV貼付B!$N$5:$N$1004,MATCH(ROW()-4,$O$5:$O$1004,0)),"")</f>
        <v/>
      </c>
      <c r="Q322" s="0" t="str">
        <f aca="false">IF(ROW()-4&lt;=MAX($M$5:$M$1004),IFERROR(INDEX($N$5:$N$1004,ROW()-4),""),IFERROR(INDEX($P$5:$P$1004,ROW()-4-MAX($M$5:$M$1004)),""))</f>
        <v/>
      </c>
    </row>
    <row r="323" customFormat="false" ht="15" hidden="false" customHeight="false" outlineLevel="0" collapsed="false">
      <c r="M323" s="0" t="str">
        <f aca="false">IF(CSV貼付A!$N323="","",IF(COUNTIF($B$37:$B$48,CSV貼付A!$H323)&gt;0,"",IF(SUMPRODUCT((CSV貼付A!$N$5:$N323=CSV貼付A!$N323)*(COUNTIF($B$37:$B$48,CSV貼付A!$H$5:$H323)=0))&gt;1,"",MAX($M$4:M322)+1)))</f>
        <v/>
      </c>
      <c r="N323" s="0" t="str">
        <f aca="false">IFERROR(INDEX(CSV貼付A!$N$5:$N$1004,MATCH(ROW()-4,$M$5:$M$1004,0)),"")</f>
        <v/>
      </c>
      <c r="O323" s="0" t="str">
        <f aca="false">IF(CSV貼付B!$N323="","",IF(COUNTIF($B$37:$B$48,CSV貼付B!$H323)&gt;0,"",IF(SUMPRODUCT((CSV貼付B!$N$5:$N323=CSV貼付B!$N323)*(COUNTIF($B$37:$B$48,CSV貼付B!$H$5:$H323)=0))&gt;1,"",MAX($O$4:O322)+1)))</f>
        <v/>
      </c>
      <c r="P323" s="0" t="str">
        <f aca="false">IFERROR(INDEX(CSV貼付B!$N$5:$N$1004,MATCH(ROW()-4,$O$5:$O$1004,0)),"")</f>
        <v/>
      </c>
      <c r="Q323" s="0" t="str">
        <f aca="false">IF(ROW()-4&lt;=MAX($M$5:$M$1004),IFERROR(INDEX($N$5:$N$1004,ROW()-4),""),IFERROR(INDEX($P$5:$P$1004,ROW()-4-MAX($M$5:$M$1004)),""))</f>
        <v/>
      </c>
    </row>
    <row r="324" customFormat="false" ht="15" hidden="false" customHeight="false" outlineLevel="0" collapsed="false">
      <c r="M324" s="0" t="str">
        <f aca="false">IF(CSV貼付A!$N324="","",IF(COUNTIF($B$37:$B$48,CSV貼付A!$H324)&gt;0,"",IF(SUMPRODUCT((CSV貼付A!$N$5:$N324=CSV貼付A!$N324)*(COUNTIF($B$37:$B$48,CSV貼付A!$H$5:$H324)=0))&gt;1,"",MAX($M$4:M323)+1)))</f>
        <v/>
      </c>
      <c r="N324" s="0" t="str">
        <f aca="false">IFERROR(INDEX(CSV貼付A!$N$5:$N$1004,MATCH(ROW()-4,$M$5:$M$1004,0)),"")</f>
        <v/>
      </c>
      <c r="O324" s="0" t="str">
        <f aca="false">IF(CSV貼付B!$N324="","",IF(COUNTIF($B$37:$B$48,CSV貼付B!$H324)&gt;0,"",IF(SUMPRODUCT((CSV貼付B!$N$5:$N324=CSV貼付B!$N324)*(COUNTIF($B$37:$B$48,CSV貼付B!$H$5:$H324)=0))&gt;1,"",MAX($O$4:O323)+1)))</f>
        <v/>
      </c>
      <c r="P324" s="0" t="str">
        <f aca="false">IFERROR(INDEX(CSV貼付B!$N$5:$N$1004,MATCH(ROW()-4,$O$5:$O$1004,0)),"")</f>
        <v/>
      </c>
      <c r="Q324" s="0" t="str">
        <f aca="false">IF(ROW()-4&lt;=MAX($M$5:$M$1004),IFERROR(INDEX($N$5:$N$1004,ROW()-4),""),IFERROR(INDEX($P$5:$P$1004,ROW()-4-MAX($M$5:$M$1004)),""))</f>
        <v/>
      </c>
    </row>
    <row r="325" customFormat="false" ht="15" hidden="false" customHeight="false" outlineLevel="0" collapsed="false">
      <c r="M325" s="0" t="str">
        <f aca="false">IF(CSV貼付A!$N325="","",IF(COUNTIF($B$37:$B$48,CSV貼付A!$H325)&gt;0,"",IF(SUMPRODUCT((CSV貼付A!$N$5:$N325=CSV貼付A!$N325)*(COUNTIF($B$37:$B$48,CSV貼付A!$H$5:$H325)=0))&gt;1,"",MAX($M$4:M324)+1)))</f>
        <v/>
      </c>
      <c r="N325" s="0" t="str">
        <f aca="false">IFERROR(INDEX(CSV貼付A!$N$5:$N$1004,MATCH(ROW()-4,$M$5:$M$1004,0)),"")</f>
        <v/>
      </c>
      <c r="O325" s="0" t="str">
        <f aca="false">IF(CSV貼付B!$N325="","",IF(COUNTIF($B$37:$B$48,CSV貼付B!$H325)&gt;0,"",IF(SUMPRODUCT((CSV貼付B!$N$5:$N325=CSV貼付B!$N325)*(COUNTIF($B$37:$B$48,CSV貼付B!$H$5:$H325)=0))&gt;1,"",MAX($O$4:O324)+1)))</f>
        <v/>
      </c>
      <c r="P325" s="0" t="str">
        <f aca="false">IFERROR(INDEX(CSV貼付B!$N$5:$N$1004,MATCH(ROW()-4,$O$5:$O$1004,0)),"")</f>
        <v/>
      </c>
      <c r="Q325" s="0" t="str">
        <f aca="false">IF(ROW()-4&lt;=MAX($M$5:$M$1004),IFERROR(INDEX($N$5:$N$1004,ROW()-4),""),IFERROR(INDEX($P$5:$P$1004,ROW()-4-MAX($M$5:$M$1004)),""))</f>
        <v/>
      </c>
    </row>
    <row r="326" customFormat="false" ht="15" hidden="false" customHeight="false" outlineLevel="0" collapsed="false">
      <c r="M326" s="0" t="str">
        <f aca="false">IF(CSV貼付A!$N326="","",IF(COUNTIF($B$37:$B$48,CSV貼付A!$H326)&gt;0,"",IF(SUMPRODUCT((CSV貼付A!$N$5:$N326=CSV貼付A!$N326)*(COUNTIF($B$37:$B$48,CSV貼付A!$H$5:$H326)=0))&gt;1,"",MAX($M$4:M325)+1)))</f>
        <v/>
      </c>
      <c r="N326" s="0" t="str">
        <f aca="false">IFERROR(INDEX(CSV貼付A!$N$5:$N$1004,MATCH(ROW()-4,$M$5:$M$1004,0)),"")</f>
        <v/>
      </c>
      <c r="O326" s="0" t="str">
        <f aca="false">IF(CSV貼付B!$N326="","",IF(COUNTIF($B$37:$B$48,CSV貼付B!$H326)&gt;0,"",IF(SUMPRODUCT((CSV貼付B!$N$5:$N326=CSV貼付B!$N326)*(COUNTIF($B$37:$B$48,CSV貼付B!$H$5:$H326)=0))&gt;1,"",MAX($O$4:O325)+1)))</f>
        <v/>
      </c>
      <c r="P326" s="0" t="str">
        <f aca="false">IFERROR(INDEX(CSV貼付B!$N$5:$N$1004,MATCH(ROW()-4,$O$5:$O$1004,0)),"")</f>
        <v/>
      </c>
      <c r="Q326" s="0" t="str">
        <f aca="false">IF(ROW()-4&lt;=MAX($M$5:$M$1004),IFERROR(INDEX($N$5:$N$1004,ROW()-4),""),IFERROR(INDEX($P$5:$P$1004,ROW()-4-MAX($M$5:$M$1004)),""))</f>
        <v/>
      </c>
    </row>
    <row r="327" customFormat="false" ht="15" hidden="false" customHeight="false" outlineLevel="0" collapsed="false">
      <c r="M327" s="0" t="str">
        <f aca="false">IF(CSV貼付A!$N327="","",IF(COUNTIF($B$37:$B$48,CSV貼付A!$H327)&gt;0,"",IF(SUMPRODUCT((CSV貼付A!$N$5:$N327=CSV貼付A!$N327)*(COUNTIF($B$37:$B$48,CSV貼付A!$H$5:$H327)=0))&gt;1,"",MAX($M$4:M326)+1)))</f>
        <v/>
      </c>
      <c r="N327" s="0" t="str">
        <f aca="false">IFERROR(INDEX(CSV貼付A!$N$5:$N$1004,MATCH(ROW()-4,$M$5:$M$1004,0)),"")</f>
        <v/>
      </c>
      <c r="O327" s="0" t="str">
        <f aca="false">IF(CSV貼付B!$N327="","",IF(COUNTIF($B$37:$B$48,CSV貼付B!$H327)&gt;0,"",IF(SUMPRODUCT((CSV貼付B!$N$5:$N327=CSV貼付B!$N327)*(COUNTIF($B$37:$B$48,CSV貼付B!$H$5:$H327)=0))&gt;1,"",MAX($O$4:O326)+1)))</f>
        <v/>
      </c>
      <c r="P327" s="0" t="str">
        <f aca="false">IFERROR(INDEX(CSV貼付B!$N$5:$N$1004,MATCH(ROW()-4,$O$5:$O$1004,0)),"")</f>
        <v/>
      </c>
      <c r="Q327" s="0" t="str">
        <f aca="false">IF(ROW()-4&lt;=MAX($M$5:$M$1004),IFERROR(INDEX($N$5:$N$1004,ROW()-4),""),IFERROR(INDEX($P$5:$P$1004,ROW()-4-MAX($M$5:$M$1004)),""))</f>
        <v/>
      </c>
    </row>
    <row r="328" customFormat="false" ht="15" hidden="false" customHeight="false" outlineLevel="0" collapsed="false">
      <c r="M328" s="0" t="str">
        <f aca="false">IF(CSV貼付A!$N328="","",IF(COUNTIF($B$37:$B$48,CSV貼付A!$H328)&gt;0,"",IF(SUMPRODUCT((CSV貼付A!$N$5:$N328=CSV貼付A!$N328)*(COUNTIF($B$37:$B$48,CSV貼付A!$H$5:$H328)=0))&gt;1,"",MAX($M$4:M327)+1)))</f>
        <v/>
      </c>
      <c r="N328" s="0" t="str">
        <f aca="false">IFERROR(INDEX(CSV貼付A!$N$5:$N$1004,MATCH(ROW()-4,$M$5:$M$1004,0)),"")</f>
        <v/>
      </c>
      <c r="O328" s="0" t="str">
        <f aca="false">IF(CSV貼付B!$N328="","",IF(COUNTIF($B$37:$B$48,CSV貼付B!$H328)&gt;0,"",IF(SUMPRODUCT((CSV貼付B!$N$5:$N328=CSV貼付B!$N328)*(COUNTIF($B$37:$B$48,CSV貼付B!$H$5:$H328)=0))&gt;1,"",MAX($O$4:O327)+1)))</f>
        <v/>
      </c>
      <c r="P328" s="0" t="str">
        <f aca="false">IFERROR(INDEX(CSV貼付B!$N$5:$N$1004,MATCH(ROW()-4,$O$5:$O$1004,0)),"")</f>
        <v/>
      </c>
      <c r="Q328" s="0" t="str">
        <f aca="false">IF(ROW()-4&lt;=MAX($M$5:$M$1004),IFERROR(INDEX($N$5:$N$1004,ROW()-4),""),IFERROR(INDEX($P$5:$P$1004,ROW()-4-MAX($M$5:$M$1004)),""))</f>
        <v/>
      </c>
    </row>
    <row r="329" customFormat="false" ht="15" hidden="false" customHeight="false" outlineLevel="0" collapsed="false">
      <c r="M329" s="0" t="str">
        <f aca="false">IF(CSV貼付A!$N329="","",IF(COUNTIF($B$37:$B$48,CSV貼付A!$H329)&gt;0,"",IF(SUMPRODUCT((CSV貼付A!$N$5:$N329=CSV貼付A!$N329)*(COUNTIF($B$37:$B$48,CSV貼付A!$H$5:$H329)=0))&gt;1,"",MAX($M$4:M328)+1)))</f>
        <v/>
      </c>
      <c r="N329" s="0" t="str">
        <f aca="false">IFERROR(INDEX(CSV貼付A!$N$5:$N$1004,MATCH(ROW()-4,$M$5:$M$1004,0)),"")</f>
        <v/>
      </c>
      <c r="O329" s="0" t="str">
        <f aca="false">IF(CSV貼付B!$N329="","",IF(COUNTIF($B$37:$B$48,CSV貼付B!$H329)&gt;0,"",IF(SUMPRODUCT((CSV貼付B!$N$5:$N329=CSV貼付B!$N329)*(COUNTIF($B$37:$B$48,CSV貼付B!$H$5:$H329)=0))&gt;1,"",MAX($O$4:O328)+1)))</f>
        <v/>
      </c>
      <c r="P329" s="0" t="str">
        <f aca="false">IFERROR(INDEX(CSV貼付B!$N$5:$N$1004,MATCH(ROW()-4,$O$5:$O$1004,0)),"")</f>
        <v/>
      </c>
      <c r="Q329" s="0" t="str">
        <f aca="false">IF(ROW()-4&lt;=MAX($M$5:$M$1004),IFERROR(INDEX($N$5:$N$1004,ROW()-4),""),IFERROR(INDEX($P$5:$P$1004,ROW()-4-MAX($M$5:$M$1004)),""))</f>
        <v/>
      </c>
    </row>
    <row r="330" customFormat="false" ht="15" hidden="false" customHeight="false" outlineLevel="0" collapsed="false">
      <c r="M330" s="0" t="str">
        <f aca="false">IF(CSV貼付A!$N330="","",IF(COUNTIF($B$37:$B$48,CSV貼付A!$H330)&gt;0,"",IF(SUMPRODUCT((CSV貼付A!$N$5:$N330=CSV貼付A!$N330)*(COUNTIF($B$37:$B$48,CSV貼付A!$H$5:$H330)=0))&gt;1,"",MAX($M$4:M329)+1)))</f>
        <v/>
      </c>
      <c r="N330" s="0" t="str">
        <f aca="false">IFERROR(INDEX(CSV貼付A!$N$5:$N$1004,MATCH(ROW()-4,$M$5:$M$1004,0)),"")</f>
        <v/>
      </c>
      <c r="O330" s="0" t="str">
        <f aca="false">IF(CSV貼付B!$N330="","",IF(COUNTIF($B$37:$B$48,CSV貼付B!$H330)&gt;0,"",IF(SUMPRODUCT((CSV貼付B!$N$5:$N330=CSV貼付B!$N330)*(COUNTIF($B$37:$B$48,CSV貼付B!$H$5:$H330)=0))&gt;1,"",MAX($O$4:O329)+1)))</f>
        <v/>
      </c>
      <c r="P330" s="0" t="str">
        <f aca="false">IFERROR(INDEX(CSV貼付B!$N$5:$N$1004,MATCH(ROW()-4,$O$5:$O$1004,0)),"")</f>
        <v/>
      </c>
      <c r="Q330" s="0" t="str">
        <f aca="false">IF(ROW()-4&lt;=MAX($M$5:$M$1004),IFERROR(INDEX($N$5:$N$1004,ROW()-4),""),IFERROR(INDEX($P$5:$P$1004,ROW()-4-MAX($M$5:$M$1004)),""))</f>
        <v/>
      </c>
    </row>
    <row r="331" customFormat="false" ht="15" hidden="false" customHeight="false" outlineLevel="0" collapsed="false">
      <c r="M331" s="0" t="str">
        <f aca="false">IF(CSV貼付A!$N331="","",IF(COUNTIF($B$37:$B$48,CSV貼付A!$H331)&gt;0,"",IF(SUMPRODUCT((CSV貼付A!$N$5:$N331=CSV貼付A!$N331)*(COUNTIF($B$37:$B$48,CSV貼付A!$H$5:$H331)=0))&gt;1,"",MAX($M$4:M330)+1)))</f>
        <v/>
      </c>
      <c r="N331" s="0" t="str">
        <f aca="false">IFERROR(INDEX(CSV貼付A!$N$5:$N$1004,MATCH(ROW()-4,$M$5:$M$1004,0)),"")</f>
        <v/>
      </c>
      <c r="O331" s="0" t="str">
        <f aca="false">IF(CSV貼付B!$N331="","",IF(COUNTIF($B$37:$B$48,CSV貼付B!$H331)&gt;0,"",IF(SUMPRODUCT((CSV貼付B!$N$5:$N331=CSV貼付B!$N331)*(COUNTIF($B$37:$B$48,CSV貼付B!$H$5:$H331)=0))&gt;1,"",MAX($O$4:O330)+1)))</f>
        <v/>
      </c>
      <c r="P331" s="0" t="str">
        <f aca="false">IFERROR(INDEX(CSV貼付B!$N$5:$N$1004,MATCH(ROW()-4,$O$5:$O$1004,0)),"")</f>
        <v/>
      </c>
      <c r="Q331" s="0" t="str">
        <f aca="false">IF(ROW()-4&lt;=MAX($M$5:$M$1004),IFERROR(INDEX($N$5:$N$1004,ROW()-4),""),IFERROR(INDEX($P$5:$P$1004,ROW()-4-MAX($M$5:$M$1004)),""))</f>
        <v/>
      </c>
    </row>
    <row r="332" customFormat="false" ht="15" hidden="false" customHeight="false" outlineLevel="0" collapsed="false">
      <c r="M332" s="0" t="str">
        <f aca="false">IF(CSV貼付A!$N332="","",IF(COUNTIF($B$37:$B$48,CSV貼付A!$H332)&gt;0,"",IF(SUMPRODUCT((CSV貼付A!$N$5:$N332=CSV貼付A!$N332)*(COUNTIF($B$37:$B$48,CSV貼付A!$H$5:$H332)=0))&gt;1,"",MAX($M$4:M331)+1)))</f>
        <v/>
      </c>
      <c r="N332" s="0" t="str">
        <f aca="false">IFERROR(INDEX(CSV貼付A!$N$5:$N$1004,MATCH(ROW()-4,$M$5:$M$1004,0)),"")</f>
        <v/>
      </c>
      <c r="O332" s="0" t="str">
        <f aca="false">IF(CSV貼付B!$N332="","",IF(COUNTIF($B$37:$B$48,CSV貼付B!$H332)&gt;0,"",IF(SUMPRODUCT((CSV貼付B!$N$5:$N332=CSV貼付B!$N332)*(COUNTIF($B$37:$B$48,CSV貼付B!$H$5:$H332)=0))&gt;1,"",MAX($O$4:O331)+1)))</f>
        <v/>
      </c>
      <c r="P332" s="0" t="str">
        <f aca="false">IFERROR(INDEX(CSV貼付B!$N$5:$N$1004,MATCH(ROW()-4,$O$5:$O$1004,0)),"")</f>
        <v/>
      </c>
      <c r="Q332" s="0" t="str">
        <f aca="false">IF(ROW()-4&lt;=MAX($M$5:$M$1004),IFERROR(INDEX($N$5:$N$1004,ROW()-4),""),IFERROR(INDEX($P$5:$P$1004,ROW()-4-MAX($M$5:$M$1004)),""))</f>
        <v/>
      </c>
    </row>
    <row r="333" customFormat="false" ht="15" hidden="false" customHeight="false" outlineLevel="0" collapsed="false">
      <c r="M333" s="0" t="str">
        <f aca="false">IF(CSV貼付A!$N333="","",IF(COUNTIF($B$37:$B$48,CSV貼付A!$H333)&gt;0,"",IF(SUMPRODUCT((CSV貼付A!$N$5:$N333=CSV貼付A!$N333)*(COUNTIF($B$37:$B$48,CSV貼付A!$H$5:$H333)=0))&gt;1,"",MAX($M$4:M332)+1)))</f>
        <v/>
      </c>
      <c r="N333" s="0" t="str">
        <f aca="false">IFERROR(INDEX(CSV貼付A!$N$5:$N$1004,MATCH(ROW()-4,$M$5:$M$1004,0)),"")</f>
        <v/>
      </c>
      <c r="O333" s="0" t="str">
        <f aca="false">IF(CSV貼付B!$N333="","",IF(COUNTIF($B$37:$B$48,CSV貼付B!$H333)&gt;0,"",IF(SUMPRODUCT((CSV貼付B!$N$5:$N333=CSV貼付B!$N333)*(COUNTIF($B$37:$B$48,CSV貼付B!$H$5:$H333)=0))&gt;1,"",MAX($O$4:O332)+1)))</f>
        <v/>
      </c>
      <c r="P333" s="0" t="str">
        <f aca="false">IFERROR(INDEX(CSV貼付B!$N$5:$N$1004,MATCH(ROW()-4,$O$5:$O$1004,0)),"")</f>
        <v/>
      </c>
      <c r="Q333" s="0" t="str">
        <f aca="false">IF(ROW()-4&lt;=MAX($M$5:$M$1004),IFERROR(INDEX($N$5:$N$1004,ROW()-4),""),IFERROR(INDEX($P$5:$P$1004,ROW()-4-MAX($M$5:$M$1004)),""))</f>
        <v/>
      </c>
    </row>
    <row r="334" customFormat="false" ht="15" hidden="false" customHeight="false" outlineLevel="0" collapsed="false">
      <c r="M334" s="0" t="str">
        <f aca="false">IF(CSV貼付A!$N334="","",IF(COUNTIF($B$37:$B$48,CSV貼付A!$H334)&gt;0,"",IF(SUMPRODUCT((CSV貼付A!$N$5:$N334=CSV貼付A!$N334)*(COUNTIF($B$37:$B$48,CSV貼付A!$H$5:$H334)=0))&gt;1,"",MAX($M$4:M333)+1)))</f>
        <v/>
      </c>
      <c r="N334" s="0" t="str">
        <f aca="false">IFERROR(INDEX(CSV貼付A!$N$5:$N$1004,MATCH(ROW()-4,$M$5:$M$1004,0)),"")</f>
        <v/>
      </c>
      <c r="O334" s="0" t="str">
        <f aca="false">IF(CSV貼付B!$N334="","",IF(COUNTIF($B$37:$B$48,CSV貼付B!$H334)&gt;0,"",IF(SUMPRODUCT((CSV貼付B!$N$5:$N334=CSV貼付B!$N334)*(COUNTIF($B$37:$B$48,CSV貼付B!$H$5:$H334)=0))&gt;1,"",MAX($O$4:O333)+1)))</f>
        <v/>
      </c>
      <c r="P334" s="0" t="str">
        <f aca="false">IFERROR(INDEX(CSV貼付B!$N$5:$N$1004,MATCH(ROW()-4,$O$5:$O$1004,0)),"")</f>
        <v/>
      </c>
      <c r="Q334" s="0" t="str">
        <f aca="false">IF(ROW()-4&lt;=MAX($M$5:$M$1004),IFERROR(INDEX($N$5:$N$1004,ROW()-4),""),IFERROR(INDEX($P$5:$P$1004,ROW()-4-MAX($M$5:$M$1004)),""))</f>
        <v/>
      </c>
    </row>
    <row r="335" customFormat="false" ht="15" hidden="false" customHeight="false" outlineLevel="0" collapsed="false">
      <c r="M335" s="0" t="str">
        <f aca="false">IF(CSV貼付A!$N335="","",IF(COUNTIF($B$37:$B$48,CSV貼付A!$H335)&gt;0,"",IF(SUMPRODUCT((CSV貼付A!$N$5:$N335=CSV貼付A!$N335)*(COUNTIF($B$37:$B$48,CSV貼付A!$H$5:$H335)=0))&gt;1,"",MAX($M$4:M334)+1)))</f>
        <v/>
      </c>
      <c r="N335" s="0" t="str">
        <f aca="false">IFERROR(INDEX(CSV貼付A!$N$5:$N$1004,MATCH(ROW()-4,$M$5:$M$1004,0)),"")</f>
        <v/>
      </c>
      <c r="O335" s="0" t="str">
        <f aca="false">IF(CSV貼付B!$N335="","",IF(COUNTIF($B$37:$B$48,CSV貼付B!$H335)&gt;0,"",IF(SUMPRODUCT((CSV貼付B!$N$5:$N335=CSV貼付B!$N335)*(COUNTIF($B$37:$B$48,CSV貼付B!$H$5:$H335)=0))&gt;1,"",MAX($O$4:O334)+1)))</f>
        <v/>
      </c>
      <c r="P335" s="0" t="str">
        <f aca="false">IFERROR(INDEX(CSV貼付B!$N$5:$N$1004,MATCH(ROW()-4,$O$5:$O$1004,0)),"")</f>
        <v/>
      </c>
      <c r="Q335" s="0" t="str">
        <f aca="false">IF(ROW()-4&lt;=MAX($M$5:$M$1004),IFERROR(INDEX($N$5:$N$1004,ROW()-4),""),IFERROR(INDEX($P$5:$P$1004,ROW()-4-MAX($M$5:$M$1004)),""))</f>
        <v/>
      </c>
    </row>
    <row r="336" customFormat="false" ht="15" hidden="false" customHeight="false" outlineLevel="0" collapsed="false">
      <c r="M336" s="0" t="str">
        <f aca="false">IF(CSV貼付A!$N336="","",IF(COUNTIF($B$37:$B$48,CSV貼付A!$H336)&gt;0,"",IF(SUMPRODUCT((CSV貼付A!$N$5:$N336=CSV貼付A!$N336)*(COUNTIF($B$37:$B$48,CSV貼付A!$H$5:$H336)=0))&gt;1,"",MAX($M$4:M335)+1)))</f>
        <v/>
      </c>
      <c r="N336" s="0" t="str">
        <f aca="false">IFERROR(INDEX(CSV貼付A!$N$5:$N$1004,MATCH(ROW()-4,$M$5:$M$1004,0)),"")</f>
        <v/>
      </c>
      <c r="O336" s="0" t="str">
        <f aca="false">IF(CSV貼付B!$N336="","",IF(COUNTIF($B$37:$B$48,CSV貼付B!$H336)&gt;0,"",IF(SUMPRODUCT((CSV貼付B!$N$5:$N336=CSV貼付B!$N336)*(COUNTIF($B$37:$B$48,CSV貼付B!$H$5:$H336)=0))&gt;1,"",MAX($O$4:O335)+1)))</f>
        <v/>
      </c>
      <c r="P336" s="0" t="str">
        <f aca="false">IFERROR(INDEX(CSV貼付B!$N$5:$N$1004,MATCH(ROW()-4,$O$5:$O$1004,0)),"")</f>
        <v/>
      </c>
      <c r="Q336" s="0" t="str">
        <f aca="false">IF(ROW()-4&lt;=MAX($M$5:$M$1004),IFERROR(INDEX($N$5:$N$1004,ROW()-4),""),IFERROR(INDEX($P$5:$P$1004,ROW()-4-MAX($M$5:$M$1004)),""))</f>
        <v/>
      </c>
    </row>
    <row r="337" customFormat="false" ht="15" hidden="false" customHeight="false" outlineLevel="0" collapsed="false">
      <c r="M337" s="0" t="str">
        <f aca="false">IF(CSV貼付A!$N337="","",IF(COUNTIF($B$37:$B$48,CSV貼付A!$H337)&gt;0,"",IF(SUMPRODUCT((CSV貼付A!$N$5:$N337=CSV貼付A!$N337)*(COUNTIF($B$37:$B$48,CSV貼付A!$H$5:$H337)=0))&gt;1,"",MAX($M$4:M336)+1)))</f>
        <v/>
      </c>
      <c r="N337" s="0" t="str">
        <f aca="false">IFERROR(INDEX(CSV貼付A!$N$5:$N$1004,MATCH(ROW()-4,$M$5:$M$1004,0)),"")</f>
        <v/>
      </c>
      <c r="O337" s="0" t="str">
        <f aca="false">IF(CSV貼付B!$N337="","",IF(COUNTIF($B$37:$B$48,CSV貼付B!$H337)&gt;0,"",IF(SUMPRODUCT((CSV貼付B!$N$5:$N337=CSV貼付B!$N337)*(COUNTIF($B$37:$B$48,CSV貼付B!$H$5:$H337)=0))&gt;1,"",MAX($O$4:O336)+1)))</f>
        <v/>
      </c>
      <c r="P337" s="0" t="str">
        <f aca="false">IFERROR(INDEX(CSV貼付B!$N$5:$N$1004,MATCH(ROW()-4,$O$5:$O$1004,0)),"")</f>
        <v/>
      </c>
      <c r="Q337" s="0" t="str">
        <f aca="false">IF(ROW()-4&lt;=MAX($M$5:$M$1004),IFERROR(INDEX($N$5:$N$1004,ROW()-4),""),IFERROR(INDEX($P$5:$P$1004,ROW()-4-MAX($M$5:$M$1004)),""))</f>
        <v/>
      </c>
    </row>
    <row r="338" customFormat="false" ht="15" hidden="false" customHeight="false" outlineLevel="0" collapsed="false">
      <c r="M338" s="0" t="str">
        <f aca="false">IF(CSV貼付A!$N338="","",IF(COUNTIF($B$37:$B$48,CSV貼付A!$H338)&gt;0,"",IF(SUMPRODUCT((CSV貼付A!$N$5:$N338=CSV貼付A!$N338)*(COUNTIF($B$37:$B$48,CSV貼付A!$H$5:$H338)=0))&gt;1,"",MAX($M$4:M337)+1)))</f>
        <v/>
      </c>
      <c r="N338" s="0" t="str">
        <f aca="false">IFERROR(INDEX(CSV貼付A!$N$5:$N$1004,MATCH(ROW()-4,$M$5:$M$1004,0)),"")</f>
        <v/>
      </c>
      <c r="O338" s="0" t="str">
        <f aca="false">IF(CSV貼付B!$N338="","",IF(COUNTIF($B$37:$B$48,CSV貼付B!$H338)&gt;0,"",IF(SUMPRODUCT((CSV貼付B!$N$5:$N338=CSV貼付B!$N338)*(COUNTIF($B$37:$B$48,CSV貼付B!$H$5:$H338)=0))&gt;1,"",MAX($O$4:O337)+1)))</f>
        <v/>
      </c>
      <c r="P338" s="0" t="str">
        <f aca="false">IFERROR(INDEX(CSV貼付B!$N$5:$N$1004,MATCH(ROW()-4,$O$5:$O$1004,0)),"")</f>
        <v/>
      </c>
      <c r="Q338" s="0" t="str">
        <f aca="false">IF(ROW()-4&lt;=MAX($M$5:$M$1004),IFERROR(INDEX($N$5:$N$1004,ROW()-4),""),IFERROR(INDEX($P$5:$P$1004,ROW()-4-MAX($M$5:$M$1004)),""))</f>
        <v/>
      </c>
    </row>
    <row r="339" customFormat="false" ht="15" hidden="false" customHeight="false" outlineLevel="0" collapsed="false">
      <c r="M339" s="0" t="str">
        <f aca="false">IF(CSV貼付A!$N339="","",IF(COUNTIF($B$37:$B$48,CSV貼付A!$H339)&gt;0,"",IF(SUMPRODUCT((CSV貼付A!$N$5:$N339=CSV貼付A!$N339)*(COUNTIF($B$37:$B$48,CSV貼付A!$H$5:$H339)=0))&gt;1,"",MAX($M$4:M338)+1)))</f>
        <v/>
      </c>
      <c r="N339" s="0" t="str">
        <f aca="false">IFERROR(INDEX(CSV貼付A!$N$5:$N$1004,MATCH(ROW()-4,$M$5:$M$1004,0)),"")</f>
        <v/>
      </c>
      <c r="O339" s="0" t="str">
        <f aca="false">IF(CSV貼付B!$N339="","",IF(COUNTIF($B$37:$B$48,CSV貼付B!$H339)&gt;0,"",IF(SUMPRODUCT((CSV貼付B!$N$5:$N339=CSV貼付B!$N339)*(COUNTIF($B$37:$B$48,CSV貼付B!$H$5:$H339)=0))&gt;1,"",MAX($O$4:O338)+1)))</f>
        <v/>
      </c>
      <c r="P339" s="0" t="str">
        <f aca="false">IFERROR(INDEX(CSV貼付B!$N$5:$N$1004,MATCH(ROW()-4,$O$5:$O$1004,0)),"")</f>
        <v/>
      </c>
      <c r="Q339" s="0" t="str">
        <f aca="false">IF(ROW()-4&lt;=MAX($M$5:$M$1004),IFERROR(INDEX($N$5:$N$1004,ROW()-4),""),IFERROR(INDEX($P$5:$P$1004,ROW()-4-MAX($M$5:$M$1004)),""))</f>
        <v/>
      </c>
    </row>
    <row r="340" customFormat="false" ht="15" hidden="false" customHeight="false" outlineLevel="0" collapsed="false">
      <c r="M340" s="0" t="str">
        <f aca="false">IF(CSV貼付A!$N340="","",IF(COUNTIF($B$37:$B$48,CSV貼付A!$H340)&gt;0,"",IF(SUMPRODUCT((CSV貼付A!$N$5:$N340=CSV貼付A!$N340)*(COUNTIF($B$37:$B$48,CSV貼付A!$H$5:$H340)=0))&gt;1,"",MAX($M$4:M339)+1)))</f>
        <v/>
      </c>
      <c r="N340" s="0" t="str">
        <f aca="false">IFERROR(INDEX(CSV貼付A!$N$5:$N$1004,MATCH(ROW()-4,$M$5:$M$1004,0)),"")</f>
        <v/>
      </c>
      <c r="O340" s="0" t="str">
        <f aca="false">IF(CSV貼付B!$N340="","",IF(COUNTIF($B$37:$B$48,CSV貼付B!$H340)&gt;0,"",IF(SUMPRODUCT((CSV貼付B!$N$5:$N340=CSV貼付B!$N340)*(COUNTIF($B$37:$B$48,CSV貼付B!$H$5:$H340)=0))&gt;1,"",MAX($O$4:O339)+1)))</f>
        <v/>
      </c>
      <c r="P340" s="0" t="str">
        <f aca="false">IFERROR(INDEX(CSV貼付B!$N$5:$N$1004,MATCH(ROW()-4,$O$5:$O$1004,0)),"")</f>
        <v/>
      </c>
      <c r="Q340" s="0" t="str">
        <f aca="false">IF(ROW()-4&lt;=MAX($M$5:$M$1004),IFERROR(INDEX($N$5:$N$1004,ROW()-4),""),IFERROR(INDEX($P$5:$P$1004,ROW()-4-MAX($M$5:$M$1004)),""))</f>
        <v/>
      </c>
    </row>
    <row r="341" customFormat="false" ht="15" hidden="false" customHeight="false" outlineLevel="0" collapsed="false">
      <c r="M341" s="0" t="str">
        <f aca="false">IF(CSV貼付A!$N341="","",IF(COUNTIF($B$37:$B$48,CSV貼付A!$H341)&gt;0,"",IF(SUMPRODUCT((CSV貼付A!$N$5:$N341=CSV貼付A!$N341)*(COUNTIF($B$37:$B$48,CSV貼付A!$H$5:$H341)=0))&gt;1,"",MAX($M$4:M340)+1)))</f>
        <v/>
      </c>
      <c r="N341" s="0" t="str">
        <f aca="false">IFERROR(INDEX(CSV貼付A!$N$5:$N$1004,MATCH(ROW()-4,$M$5:$M$1004,0)),"")</f>
        <v/>
      </c>
      <c r="O341" s="0" t="str">
        <f aca="false">IF(CSV貼付B!$N341="","",IF(COUNTIF($B$37:$B$48,CSV貼付B!$H341)&gt;0,"",IF(SUMPRODUCT((CSV貼付B!$N$5:$N341=CSV貼付B!$N341)*(COUNTIF($B$37:$B$48,CSV貼付B!$H$5:$H341)=0))&gt;1,"",MAX($O$4:O340)+1)))</f>
        <v/>
      </c>
      <c r="P341" s="0" t="str">
        <f aca="false">IFERROR(INDEX(CSV貼付B!$N$5:$N$1004,MATCH(ROW()-4,$O$5:$O$1004,0)),"")</f>
        <v/>
      </c>
      <c r="Q341" s="0" t="str">
        <f aca="false">IF(ROW()-4&lt;=MAX($M$5:$M$1004),IFERROR(INDEX($N$5:$N$1004,ROW()-4),""),IFERROR(INDEX($P$5:$P$1004,ROW()-4-MAX($M$5:$M$1004)),""))</f>
        <v/>
      </c>
    </row>
    <row r="342" customFormat="false" ht="15" hidden="false" customHeight="false" outlineLevel="0" collapsed="false">
      <c r="M342" s="0" t="str">
        <f aca="false">IF(CSV貼付A!$N342="","",IF(COUNTIF($B$37:$B$48,CSV貼付A!$H342)&gt;0,"",IF(SUMPRODUCT((CSV貼付A!$N$5:$N342=CSV貼付A!$N342)*(COUNTIF($B$37:$B$48,CSV貼付A!$H$5:$H342)=0))&gt;1,"",MAX($M$4:M341)+1)))</f>
        <v/>
      </c>
      <c r="N342" s="0" t="str">
        <f aca="false">IFERROR(INDEX(CSV貼付A!$N$5:$N$1004,MATCH(ROW()-4,$M$5:$M$1004,0)),"")</f>
        <v/>
      </c>
      <c r="O342" s="0" t="str">
        <f aca="false">IF(CSV貼付B!$N342="","",IF(COUNTIF($B$37:$B$48,CSV貼付B!$H342)&gt;0,"",IF(SUMPRODUCT((CSV貼付B!$N$5:$N342=CSV貼付B!$N342)*(COUNTIF($B$37:$B$48,CSV貼付B!$H$5:$H342)=0))&gt;1,"",MAX($O$4:O341)+1)))</f>
        <v/>
      </c>
      <c r="P342" s="0" t="str">
        <f aca="false">IFERROR(INDEX(CSV貼付B!$N$5:$N$1004,MATCH(ROW()-4,$O$5:$O$1004,0)),"")</f>
        <v/>
      </c>
      <c r="Q342" s="0" t="str">
        <f aca="false">IF(ROW()-4&lt;=MAX($M$5:$M$1004),IFERROR(INDEX($N$5:$N$1004,ROW()-4),""),IFERROR(INDEX($P$5:$P$1004,ROW()-4-MAX($M$5:$M$1004)),""))</f>
        <v/>
      </c>
    </row>
    <row r="343" customFormat="false" ht="15" hidden="false" customHeight="false" outlineLevel="0" collapsed="false">
      <c r="M343" s="0" t="str">
        <f aca="false">IF(CSV貼付A!$N343="","",IF(COUNTIF($B$37:$B$48,CSV貼付A!$H343)&gt;0,"",IF(SUMPRODUCT((CSV貼付A!$N$5:$N343=CSV貼付A!$N343)*(COUNTIF($B$37:$B$48,CSV貼付A!$H$5:$H343)=0))&gt;1,"",MAX($M$4:M342)+1)))</f>
        <v/>
      </c>
      <c r="N343" s="0" t="str">
        <f aca="false">IFERROR(INDEX(CSV貼付A!$N$5:$N$1004,MATCH(ROW()-4,$M$5:$M$1004,0)),"")</f>
        <v/>
      </c>
      <c r="O343" s="0" t="str">
        <f aca="false">IF(CSV貼付B!$N343="","",IF(COUNTIF($B$37:$B$48,CSV貼付B!$H343)&gt;0,"",IF(SUMPRODUCT((CSV貼付B!$N$5:$N343=CSV貼付B!$N343)*(COUNTIF($B$37:$B$48,CSV貼付B!$H$5:$H343)=0))&gt;1,"",MAX($O$4:O342)+1)))</f>
        <v/>
      </c>
      <c r="P343" s="0" t="str">
        <f aca="false">IFERROR(INDEX(CSV貼付B!$N$5:$N$1004,MATCH(ROW()-4,$O$5:$O$1004,0)),"")</f>
        <v/>
      </c>
      <c r="Q343" s="0" t="str">
        <f aca="false">IF(ROW()-4&lt;=MAX($M$5:$M$1004),IFERROR(INDEX($N$5:$N$1004,ROW()-4),""),IFERROR(INDEX($P$5:$P$1004,ROW()-4-MAX($M$5:$M$1004)),""))</f>
        <v/>
      </c>
    </row>
    <row r="344" customFormat="false" ht="15" hidden="false" customHeight="false" outlineLevel="0" collapsed="false">
      <c r="M344" s="0" t="str">
        <f aca="false">IF(CSV貼付A!$N344="","",IF(COUNTIF($B$37:$B$48,CSV貼付A!$H344)&gt;0,"",IF(SUMPRODUCT((CSV貼付A!$N$5:$N344=CSV貼付A!$N344)*(COUNTIF($B$37:$B$48,CSV貼付A!$H$5:$H344)=0))&gt;1,"",MAX($M$4:M343)+1)))</f>
        <v/>
      </c>
      <c r="N344" s="0" t="str">
        <f aca="false">IFERROR(INDEX(CSV貼付A!$N$5:$N$1004,MATCH(ROW()-4,$M$5:$M$1004,0)),"")</f>
        <v/>
      </c>
      <c r="O344" s="0" t="str">
        <f aca="false">IF(CSV貼付B!$N344="","",IF(COUNTIF($B$37:$B$48,CSV貼付B!$H344)&gt;0,"",IF(SUMPRODUCT((CSV貼付B!$N$5:$N344=CSV貼付B!$N344)*(COUNTIF($B$37:$B$48,CSV貼付B!$H$5:$H344)=0))&gt;1,"",MAX($O$4:O343)+1)))</f>
        <v/>
      </c>
      <c r="P344" s="0" t="str">
        <f aca="false">IFERROR(INDEX(CSV貼付B!$N$5:$N$1004,MATCH(ROW()-4,$O$5:$O$1004,0)),"")</f>
        <v/>
      </c>
      <c r="Q344" s="0" t="str">
        <f aca="false">IF(ROW()-4&lt;=MAX($M$5:$M$1004),IFERROR(INDEX($N$5:$N$1004,ROW()-4),""),IFERROR(INDEX($P$5:$P$1004,ROW()-4-MAX($M$5:$M$1004)),""))</f>
        <v/>
      </c>
    </row>
    <row r="345" customFormat="false" ht="15" hidden="false" customHeight="false" outlineLevel="0" collapsed="false">
      <c r="M345" s="0" t="str">
        <f aca="false">IF(CSV貼付A!$N345="","",IF(COUNTIF($B$37:$B$48,CSV貼付A!$H345)&gt;0,"",IF(SUMPRODUCT((CSV貼付A!$N$5:$N345=CSV貼付A!$N345)*(COUNTIF($B$37:$B$48,CSV貼付A!$H$5:$H345)=0))&gt;1,"",MAX($M$4:M344)+1)))</f>
        <v/>
      </c>
      <c r="N345" s="0" t="str">
        <f aca="false">IFERROR(INDEX(CSV貼付A!$N$5:$N$1004,MATCH(ROW()-4,$M$5:$M$1004,0)),"")</f>
        <v/>
      </c>
      <c r="O345" s="0" t="str">
        <f aca="false">IF(CSV貼付B!$N345="","",IF(COUNTIF($B$37:$B$48,CSV貼付B!$H345)&gt;0,"",IF(SUMPRODUCT((CSV貼付B!$N$5:$N345=CSV貼付B!$N345)*(COUNTIF($B$37:$B$48,CSV貼付B!$H$5:$H345)=0))&gt;1,"",MAX($O$4:O344)+1)))</f>
        <v/>
      </c>
      <c r="P345" s="0" t="str">
        <f aca="false">IFERROR(INDEX(CSV貼付B!$N$5:$N$1004,MATCH(ROW()-4,$O$5:$O$1004,0)),"")</f>
        <v/>
      </c>
      <c r="Q345" s="0" t="str">
        <f aca="false">IF(ROW()-4&lt;=MAX($M$5:$M$1004),IFERROR(INDEX($N$5:$N$1004,ROW()-4),""),IFERROR(INDEX($P$5:$P$1004,ROW()-4-MAX($M$5:$M$1004)),""))</f>
        <v/>
      </c>
    </row>
    <row r="346" customFormat="false" ht="15" hidden="false" customHeight="false" outlineLevel="0" collapsed="false">
      <c r="M346" s="0" t="str">
        <f aca="false">IF(CSV貼付A!$N346="","",IF(COUNTIF($B$37:$B$48,CSV貼付A!$H346)&gt;0,"",IF(SUMPRODUCT((CSV貼付A!$N$5:$N346=CSV貼付A!$N346)*(COUNTIF($B$37:$B$48,CSV貼付A!$H$5:$H346)=0))&gt;1,"",MAX($M$4:M345)+1)))</f>
        <v/>
      </c>
      <c r="N346" s="0" t="str">
        <f aca="false">IFERROR(INDEX(CSV貼付A!$N$5:$N$1004,MATCH(ROW()-4,$M$5:$M$1004,0)),"")</f>
        <v/>
      </c>
      <c r="O346" s="0" t="str">
        <f aca="false">IF(CSV貼付B!$N346="","",IF(COUNTIF($B$37:$B$48,CSV貼付B!$H346)&gt;0,"",IF(SUMPRODUCT((CSV貼付B!$N$5:$N346=CSV貼付B!$N346)*(COUNTIF($B$37:$B$48,CSV貼付B!$H$5:$H346)=0))&gt;1,"",MAX($O$4:O345)+1)))</f>
        <v/>
      </c>
      <c r="P346" s="0" t="str">
        <f aca="false">IFERROR(INDEX(CSV貼付B!$N$5:$N$1004,MATCH(ROW()-4,$O$5:$O$1004,0)),"")</f>
        <v/>
      </c>
      <c r="Q346" s="0" t="str">
        <f aca="false">IF(ROW()-4&lt;=MAX($M$5:$M$1004),IFERROR(INDEX($N$5:$N$1004,ROW()-4),""),IFERROR(INDEX($P$5:$P$1004,ROW()-4-MAX($M$5:$M$1004)),""))</f>
        <v/>
      </c>
    </row>
    <row r="347" customFormat="false" ht="15" hidden="false" customHeight="false" outlineLevel="0" collapsed="false">
      <c r="M347" s="0" t="str">
        <f aca="false">IF(CSV貼付A!$N347="","",IF(COUNTIF($B$37:$B$48,CSV貼付A!$H347)&gt;0,"",IF(SUMPRODUCT((CSV貼付A!$N$5:$N347=CSV貼付A!$N347)*(COUNTIF($B$37:$B$48,CSV貼付A!$H$5:$H347)=0))&gt;1,"",MAX($M$4:M346)+1)))</f>
        <v/>
      </c>
      <c r="N347" s="0" t="str">
        <f aca="false">IFERROR(INDEX(CSV貼付A!$N$5:$N$1004,MATCH(ROW()-4,$M$5:$M$1004,0)),"")</f>
        <v/>
      </c>
      <c r="O347" s="0" t="str">
        <f aca="false">IF(CSV貼付B!$N347="","",IF(COUNTIF($B$37:$B$48,CSV貼付B!$H347)&gt;0,"",IF(SUMPRODUCT((CSV貼付B!$N$5:$N347=CSV貼付B!$N347)*(COUNTIF($B$37:$B$48,CSV貼付B!$H$5:$H347)=0))&gt;1,"",MAX($O$4:O346)+1)))</f>
        <v/>
      </c>
      <c r="P347" s="0" t="str">
        <f aca="false">IFERROR(INDEX(CSV貼付B!$N$5:$N$1004,MATCH(ROW()-4,$O$5:$O$1004,0)),"")</f>
        <v/>
      </c>
      <c r="Q347" s="0" t="str">
        <f aca="false">IF(ROW()-4&lt;=MAX($M$5:$M$1004),IFERROR(INDEX($N$5:$N$1004,ROW()-4),""),IFERROR(INDEX($P$5:$P$1004,ROW()-4-MAX($M$5:$M$1004)),""))</f>
        <v/>
      </c>
    </row>
    <row r="348" customFormat="false" ht="15" hidden="false" customHeight="false" outlineLevel="0" collapsed="false">
      <c r="M348" s="0" t="str">
        <f aca="false">IF(CSV貼付A!$N348="","",IF(COUNTIF($B$37:$B$48,CSV貼付A!$H348)&gt;0,"",IF(SUMPRODUCT((CSV貼付A!$N$5:$N348=CSV貼付A!$N348)*(COUNTIF($B$37:$B$48,CSV貼付A!$H$5:$H348)=0))&gt;1,"",MAX($M$4:M347)+1)))</f>
        <v/>
      </c>
      <c r="N348" s="0" t="str">
        <f aca="false">IFERROR(INDEX(CSV貼付A!$N$5:$N$1004,MATCH(ROW()-4,$M$5:$M$1004,0)),"")</f>
        <v/>
      </c>
      <c r="O348" s="0" t="str">
        <f aca="false">IF(CSV貼付B!$N348="","",IF(COUNTIF($B$37:$B$48,CSV貼付B!$H348)&gt;0,"",IF(SUMPRODUCT((CSV貼付B!$N$5:$N348=CSV貼付B!$N348)*(COUNTIF($B$37:$B$48,CSV貼付B!$H$5:$H348)=0))&gt;1,"",MAX($O$4:O347)+1)))</f>
        <v/>
      </c>
      <c r="P348" s="0" t="str">
        <f aca="false">IFERROR(INDEX(CSV貼付B!$N$5:$N$1004,MATCH(ROW()-4,$O$5:$O$1004,0)),"")</f>
        <v/>
      </c>
      <c r="Q348" s="0" t="str">
        <f aca="false">IF(ROW()-4&lt;=MAX($M$5:$M$1004),IFERROR(INDEX($N$5:$N$1004,ROW()-4),""),IFERROR(INDEX($P$5:$P$1004,ROW()-4-MAX($M$5:$M$1004)),""))</f>
        <v/>
      </c>
    </row>
    <row r="349" customFormat="false" ht="15" hidden="false" customHeight="false" outlineLevel="0" collapsed="false">
      <c r="M349" s="0" t="str">
        <f aca="false">IF(CSV貼付A!$N349="","",IF(COUNTIF($B$37:$B$48,CSV貼付A!$H349)&gt;0,"",IF(SUMPRODUCT((CSV貼付A!$N$5:$N349=CSV貼付A!$N349)*(COUNTIF($B$37:$B$48,CSV貼付A!$H$5:$H349)=0))&gt;1,"",MAX($M$4:M348)+1)))</f>
        <v/>
      </c>
      <c r="N349" s="0" t="str">
        <f aca="false">IFERROR(INDEX(CSV貼付A!$N$5:$N$1004,MATCH(ROW()-4,$M$5:$M$1004,0)),"")</f>
        <v/>
      </c>
      <c r="O349" s="0" t="str">
        <f aca="false">IF(CSV貼付B!$N349="","",IF(COUNTIF($B$37:$B$48,CSV貼付B!$H349)&gt;0,"",IF(SUMPRODUCT((CSV貼付B!$N$5:$N349=CSV貼付B!$N349)*(COUNTIF($B$37:$B$48,CSV貼付B!$H$5:$H349)=0))&gt;1,"",MAX($O$4:O348)+1)))</f>
        <v/>
      </c>
      <c r="P349" s="0" t="str">
        <f aca="false">IFERROR(INDEX(CSV貼付B!$N$5:$N$1004,MATCH(ROW()-4,$O$5:$O$1004,0)),"")</f>
        <v/>
      </c>
      <c r="Q349" s="0" t="str">
        <f aca="false">IF(ROW()-4&lt;=MAX($M$5:$M$1004),IFERROR(INDEX($N$5:$N$1004,ROW()-4),""),IFERROR(INDEX($P$5:$P$1004,ROW()-4-MAX($M$5:$M$1004)),""))</f>
        <v/>
      </c>
    </row>
    <row r="350" customFormat="false" ht="15" hidden="false" customHeight="false" outlineLevel="0" collapsed="false">
      <c r="M350" s="0" t="str">
        <f aca="false">IF(CSV貼付A!$N350="","",IF(COUNTIF($B$37:$B$48,CSV貼付A!$H350)&gt;0,"",IF(SUMPRODUCT((CSV貼付A!$N$5:$N350=CSV貼付A!$N350)*(COUNTIF($B$37:$B$48,CSV貼付A!$H$5:$H350)=0))&gt;1,"",MAX($M$4:M349)+1)))</f>
        <v/>
      </c>
      <c r="N350" s="0" t="str">
        <f aca="false">IFERROR(INDEX(CSV貼付A!$N$5:$N$1004,MATCH(ROW()-4,$M$5:$M$1004,0)),"")</f>
        <v/>
      </c>
      <c r="O350" s="0" t="str">
        <f aca="false">IF(CSV貼付B!$N350="","",IF(COUNTIF($B$37:$B$48,CSV貼付B!$H350)&gt;0,"",IF(SUMPRODUCT((CSV貼付B!$N$5:$N350=CSV貼付B!$N350)*(COUNTIF($B$37:$B$48,CSV貼付B!$H$5:$H350)=0))&gt;1,"",MAX($O$4:O349)+1)))</f>
        <v/>
      </c>
      <c r="P350" s="0" t="str">
        <f aca="false">IFERROR(INDEX(CSV貼付B!$N$5:$N$1004,MATCH(ROW()-4,$O$5:$O$1004,0)),"")</f>
        <v/>
      </c>
      <c r="Q350" s="0" t="str">
        <f aca="false">IF(ROW()-4&lt;=MAX($M$5:$M$1004),IFERROR(INDEX($N$5:$N$1004,ROW()-4),""),IFERROR(INDEX($P$5:$P$1004,ROW()-4-MAX($M$5:$M$1004)),""))</f>
        <v/>
      </c>
    </row>
    <row r="351" customFormat="false" ht="15" hidden="false" customHeight="false" outlineLevel="0" collapsed="false">
      <c r="M351" s="0" t="str">
        <f aca="false">IF(CSV貼付A!$N351="","",IF(COUNTIF($B$37:$B$48,CSV貼付A!$H351)&gt;0,"",IF(SUMPRODUCT((CSV貼付A!$N$5:$N351=CSV貼付A!$N351)*(COUNTIF($B$37:$B$48,CSV貼付A!$H$5:$H351)=0))&gt;1,"",MAX($M$4:M350)+1)))</f>
        <v/>
      </c>
      <c r="N351" s="0" t="str">
        <f aca="false">IFERROR(INDEX(CSV貼付A!$N$5:$N$1004,MATCH(ROW()-4,$M$5:$M$1004,0)),"")</f>
        <v/>
      </c>
      <c r="O351" s="0" t="str">
        <f aca="false">IF(CSV貼付B!$N351="","",IF(COUNTIF($B$37:$B$48,CSV貼付B!$H351)&gt;0,"",IF(SUMPRODUCT((CSV貼付B!$N$5:$N351=CSV貼付B!$N351)*(COUNTIF($B$37:$B$48,CSV貼付B!$H$5:$H351)=0))&gt;1,"",MAX($O$4:O350)+1)))</f>
        <v/>
      </c>
      <c r="P351" s="0" t="str">
        <f aca="false">IFERROR(INDEX(CSV貼付B!$N$5:$N$1004,MATCH(ROW()-4,$O$5:$O$1004,0)),"")</f>
        <v/>
      </c>
      <c r="Q351" s="0" t="str">
        <f aca="false">IF(ROW()-4&lt;=MAX($M$5:$M$1004),IFERROR(INDEX($N$5:$N$1004,ROW()-4),""),IFERROR(INDEX($P$5:$P$1004,ROW()-4-MAX($M$5:$M$1004)),""))</f>
        <v/>
      </c>
    </row>
    <row r="352" customFormat="false" ht="15" hidden="false" customHeight="false" outlineLevel="0" collapsed="false">
      <c r="M352" s="0" t="str">
        <f aca="false">IF(CSV貼付A!$N352="","",IF(COUNTIF($B$37:$B$48,CSV貼付A!$H352)&gt;0,"",IF(SUMPRODUCT((CSV貼付A!$N$5:$N352=CSV貼付A!$N352)*(COUNTIF($B$37:$B$48,CSV貼付A!$H$5:$H352)=0))&gt;1,"",MAX($M$4:M351)+1)))</f>
        <v/>
      </c>
      <c r="N352" s="0" t="str">
        <f aca="false">IFERROR(INDEX(CSV貼付A!$N$5:$N$1004,MATCH(ROW()-4,$M$5:$M$1004,0)),"")</f>
        <v/>
      </c>
      <c r="O352" s="0" t="str">
        <f aca="false">IF(CSV貼付B!$N352="","",IF(COUNTIF($B$37:$B$48,CSV貼付B!$H352)&gt;0,"",IF(SUMPRODUCT((CSV貼付B!$N$5:$N352=CSV貼付B!$N352)*(COUNTIF($B$37:$B$48,CSV貼付B!$H$5:$H352)=0))&gt;1,"",MAX($O$4:O351)+1)))</f>
        <v/>
      </c>
      <c r="P352" s="0" t="str">
        <f aca="false">IFERROR(INDEX(CSV貼付B!$N$5:$N$1004,MATCH(ROW()-4,$O$5:$O$1004,0)),"")</f>
        <v/>
      </c>
      <c r="Q352" s="0" t="str">
        <f aca="false">IF(ROW()-4&lt;=MAX($M$5:$M$1004),IFERROR(INDEX($N$5:$N$1004,ROW()-4),""),IFERROR(INDEX($P$5:$P$1004,ROW()-4-MAX($M$5:$M$1004)),""))</f>
        <v/>
      </c>
    </row>
    <row r="353" customFormat="false" ht="15" hidden="false" customHeight="false" outlineLevel="0" collapsed="false">
      <c r="M353" s="0" t="str">
        <f aca="false">IF(CSV貼付A!$N353="","",IF(COUNTIF($B$37:$B$48,CSV貼付A!$H353)&gt;0,"",IF(SUMPRODUCT((CSV貼付A!$N$5:$N353=CSV貼付A!$N353)*(COUNTIF($B$37:$B$48,CSV貼付A!$H$5:$H353)=0))&gt;1,"",MAX($M$4:M352)+1)))</f>
        <v/>
      </c>
      <c r="N353" s="0" t="str">
        <f aca="false">IFERROR(INDEX(CSV貼付A!$N$5:$N$1004,MATCH(ROW()-4,$M$5:$M$1004,0)),"")</f>
        <v/>
      </c>
      <c r="O353" s="0" t="str">
        <f aca="false">IF(CSV貼付B!$N353="","",IF(COUNTIF($B$37:$B$48,CSV貼付B!$H353)&gt;0,"",IF(SUMPRODUCT((CSV貼付B!$N$5:$N353=CSV貼付B!$N353)*(COUNTIF($B$37:$B$48,CSV貼付B!$H$5:$H353)=0))&gt;1,"",MAX($O$4:O352)+1)))</f>
        <v/>
      </c>
      <c r="P353" s="0" t="str">
        <f aca="false">IFERROR(INDEX(CSV貼付B!$N$5:$N$1004,MATCH(ROW()-4,$O$5:$O$1004,0)),"")</f>
        <v/>
      </c>
      <c r="Q353" s="0" t="str">
        <f aca="false">IF(ROW()-4&lt;=MAX($M$5:$M$1004),IFERROR(INDEX($N$5:$N$1004,ROW()-4),""),IFERROR(INDEX($P$5:$P$1004,ROW()-4-MAX($M$5:$M$1004)),""))</f>
        <v/>
      </c>
    </row>
    <row r="354" customFormat="false" ht="15" hidden="false" customHeight="false" outlineLevel="0" collapsed="false">
      <c r="M354" s="0" t="str">
        <f aca="false">IF(CSV貼付A!$N354="","",IF(COUNTIF($B$37:$B$48,CSV貼付A!$H354)&gt;0,"",IF(SUMPRODUCT((CSV貼付A!$N$5:$N354=CSV貼付A!$N354)*(COUNTIF($B$37:$B$48,CSV貼付A!$H$5:$H354)=0))&gt;1,"",MAX($M$4:M353)+1)))</f>
        <v/>
      </c>
      <c r="N354" s="0" t="str">
        <f aca="false">IFERROR(INDEX(CSV貼付A!$N$5:$N$1004,MATCH(ROW()-4,$M$5:$M$1004,0)),"")</f>
        <v/>
      </c>
      <c r="O354" s="0" t="str">
        <f aca="false">IF(CSV貼付B!$N354="","",IF(COUNTIF($B$37:$B$48,CSV貼付B!$H354)&gt;0,"",IF(SUMPRODUCT((CSV貼付B!$N$5:$N354=CSV貼付B!$N354)*(COUNTIF($B$37:$B$48,CSV貼付B!$H$5:$H354)=0))&gt;1,"",MAX($O$4:O353)+1)))</f>
        <v/>
      </c>
      <c r="P354" s="0" t="str">
        <f aca="false">IFERROR(INDEX(CSV貼付B!$N$5:$N$1004,MATCH(ROW()-4,$O$5:$O$1004,0)),"")</f>
        <v/>
      </c>
      <c r="Q354" s="0" t="str">
        <f aca="false">IF(ROW()-4&lt;=MAX($M$5:$M$1004),IFERROR(INDEX($N$5:$N$1004,ROW()-4),""),IFERROR(INDEX($P$5:$P$1004,ROW()-4-MAX($M$5:$M$1004)),""))</f>
        <v/>
      </c>
    </row>
    <row r="355" customFormat="false" ht="15" hidden="false" customHeight="false" outlineLevel="0" collapsed="false">
      <c r="M355" s="0" t="str">
        <f aca="false">IF(CSV貼付A!$N355="","",IF(COUNTIF($B$37:$B$48,CSV貼付A!$H355)&gt;0,"",IF(SUMPRODUCT((CSV貼付A!$N$5:$N355=CSV貼付A!$N355)*(COUNTIF($B$37:$B$48,CSV貼付A!$H$5:$H355)=0))&gt;1,"",MAX($M$4:M354)+1)))</f>
        <v/>
      </c>
      <c r="N355" s="0" t="str">
        <f aca="false">IFERROR(INDEX(CSV貼付A!$N$5:$N$1004,MATCH(ROW()-4,$M$5:$M$1004,0)),"")</f>
        <v/>
      </c>
      <c r="O355" s="0" t="str">
        <f aca="false">IF(CSV貼付B!$N355="","",IF(COUNTIF($B$37:$B$48,CSV貼付B!$H355)&gt;0,"",IF(SUMPRODUCT((CSV貼付B!$N$5:$N355=CSV貼付B!$N355)*(COUNTIF($B$37:$B$48,CSV貼付B!$H$5:$H355)=0))&gt;1,"",MAX($O$4:O354)+1)))</f>
        <v/>
      </c>
      <c r="P355" s="0" t="str">
        <f aca="false">IFERROR(INDEX(CSV貼付B!$N$5:$N$1004,MATCH(ROW()-4,$O$5:$O$1004,0)),"")</f>
        <v/>
      </c>
      <c r="Q355" s="0" t="str">
        <f aca="false">IF(ROW()-4&lt;=MAX($M$5:$M$1004),IFERROR(INDEX($N$5:$N$1004,ROW()-4),""),IFERROR(INDEX($P$5:$P$1004,ROW()-4-MAX($M$5:$M$1004)),""))</f>
        <v/>
      </c>
    </row>
    <row r="356" customFormat="false" ht="15" hidden="false" customHeight="false" outlineLevel="0" collapsed="false">
      <c r="M356" s="0" t="str">
        <f aca="false">IF(CSV貼付A!$N356="","",IF(COUNTIF($B$37:$B$48,CSV貼付A!$H356)&gt;0,"",IF(SUMPRODUCT((CSV貼付A!$N$5:$N356=CSV貼付A!$N356)*(COUNTIF($B$37:$B$48,CSV貼付A!$H$5:$H356)=0))&gt;1,"",MAX($M$4:M355)+1)))</f>
        <v/>
      </c>
      <c r="N356" s="0" t="str">
        <f aca="false">IFERROR(INDEX(CSV貼付A!$N$5:$N$1004,MATCH(ROW()-4,$M$5:$M$1004,0)),"")</f>
        <v/>
      </c>
      <c r="O356" s="0" t="str">
        <f aca="false">IF(CSV貼付B!$N356="","",IF(COUNTIF($B$37:$B$48,CSV貼付B!$H356)&gt;0,"",IF(SUMPRODUCT((CSV貼付B!$N$5:$N356=CSV貼付B!$N356)*(COUNTIF($B$37:$B$48,CSV貼付B!$H$5:$H356)=0))&gt;1,"",MAX($O$4:O355)+1)))</f>
        <v/>
      </c>
      <c r="P356" s="0" t="str">
        <f aca="false">IFERROR(INDEX(CSV貼付B!$N$5:$N$1004,MATCH(ROW()-4,$O$5:$O$1004,0)),"")</f>
        <v/>
      </c>
      <c r="Q356" s="0" t="str">
        <f aca="false">IF(ROW()-4&lt;=MAX($M$5:$M$1004),IFERROR(INDEX($N$5:$N$1004,ROW()-4),""),IFERROR(INDEX($P$5:$P$1004,ROW()-4-MAX($M$5:$M$1004)),""))</f>
        <v/>
      </c>
    </row>
    <row r="357" customFormat="false" ht="15" hidden="false" customHeight="false" outlineLevel="0" collapsed="false">
      <c r="M357" s="0" t="str">
        <f aca="false">IF(CSV貼付A!$N357="","",IF(COUNTIF($B$37:$B$48,CSV貼付A!$H357)&gt;0,"",IF(SUMPRODUCT((CSV貼付A!$N$5:$N357=CSV貼付A!$N357)*(COUNTIF($B$37:$B$48,CSV貼付A!$H$5:$H357)=0))&gt;1,"",MAX($M$4:M356)+1)))</f>
        <v/>
      </c>
      <c r="N357" s="0" t="str">
        <f aca="false">IFERROR(INDEX(CSV貼付A!$N$5:$N$1004,MATCH(ROW()-4,$M$5:$M$1004,0)),"")</f>
        <v/>
      </c>
      <c r="O357" s="0" t="str">
        <f aca="false">IF(CSV貼付B!$N357="","",IF(COUNTIF($B$37:$B$48,CSV貼付B!$H357)&gt;0,"",IF(SUMPRODUCT((CSV貼付B!$N$5:$N357=CSV貼付B!$N357)*(COUNTIF($B$37:$B$48,CSV貼付B!$H$5:$H357)=0))&gt;1,"",MAX($O$4:O356)+1)))</f>
        <v/>
      </c>
      <c r="P357" s="0" t="str">
        <f aca="false">IFERROR(INDEX(CSV貼付B!$N$5:$N$1004,MATCH(ROW()-4,$O$5:$O$1004,0)),"")</f>
        <v/>
      </c>
      <c r="Q357" s="0" t="str">
        <f aca="false">IF(ROW()-4&lt;=MAX($M$5:$M$1004),IFERROR(INDEX($N$5:$N$1004,ROW()-4),""),IFERROR(INDEX($P$5:$P$1004,ROW()-4-MAX($M$5:$M$1004)),""))</f>
        <v/>
      </c>
    </row>
    <row r="358" customFormat="false" ht="15" hidden="false" customHeight="false" outlineLevel="0" collapsed="false">
      <c r="M358" s="0" t="str">
        <f aca="false">IF(CSV貼付A!$N358="","",IF(COUNTIF($B$37:$B$48,CSV貼付A!$H358)&gt;0,"",IF(SUMPRODUCT((CSV貼付A!$N$5:$N358=CSV貼付A!$N358)*(COUNTIF($B$37:$B$48,CSV貼付A!$H$5:$H358)=0))&gt;1,"",MAX($M$4:M357)+1)))</f>
        <v/>
      </c>
      <c r="N358" s="0" t="str">
        <f aca="false">IFERROR(INDEX(CSV貼付A!$N$5:$N$1004,MATCH(ROW()-4,$M$5:$M$1004,0)),"")</f>
        <v/>
      </c>
      <c r="O358" s="0" t="str">
        <f aca="false">IF(CSV貼付B!$N358="","",IF(COUNTIF($B$37:$B$48,CSV貼付B!$H358)&gt;0,"",IF(SUMPRODUCT((CSV貼付B!$N$5:$N358=CSV貼付B!$N358)*(COUNTIF($B$37:$B$48,CSV貼付B!$H$5:$H358)=0))&gt;1,"",MAX($O$4:O357)+1)))</f>
        <v/>
      </c>
      <c r="P358" s="0" t="str">
        <f aca="false">IFERROR(INDEX(CSV貼付B!$N$5:$N$1004,MATCH(ROW()-4,$O$5:$O$1004,0)),"")</f>
        <v/>
      </c>
      <c r="Q358" s="0" t="str">
        <f aca="false">IF(ROW()-4&lt;=MAX($M$5:$M$1004),IFERROR(INDEX($N$5:$N$1004,ROW()-4),""),IFERROR(INDEX($P$5:$P$1004,ROW()-4-MAX($M$5:$M$1004)),""))</f>
        <v/>
      </c>
    </row>
    <row r="359" customFormat="false" ht="15" hidden="false" customHeight="false" outlineLevel="0" collapsed="false">
      <c r="M359" s="0" t="str">
        <f aca="false">IF(CSV貼付A!$N359="","",IF(COUNTIF($B$37:$B$48,CSV貼付A!$H359)&gt;0,"",IF(SUMPRODUCT((CSV貼付A!$N$5:$N359=CSV貼付A!$N359)*(COUNTIF($B$37:$B$48,CSV貼付A!$H$5:$H359)=0))&gt;1,"",MAX($M$4:M358)+1)))</f>
        <v/>
      </c>
      <c r="N359" s="0" t="str">
        <f aca="false">IFERROR(INDEX(CSV貼付A!$N$5:$N$1004,MATCH(ROW()-4,$M$5:$M$1004,0)),"")</f>
        <v/>
      </c>
      <c r="O359" s="0" t="str">
        <f aca="false">IF(CSV貼付B!$N359="","",IF(COUNTIF($B$37:$B$48,CSV貼付B!$H359)&gt;0,"",IF(SUMPRODUCT((CSV貼付B!$N$5:$N359=CSV貼付B!$N359)*(COUNTIF($B$37:$B$48,CSV貼付B!$H$5:$H359)=0))&gt;1,"",MAX($O$4:O358)+1)))</f>
        <v/>
      </c>
      <c r="P359" s="0" t="str">
        <f aca="false">IFERROR(INDEX(CSV貼付B!$N$5:$N$1004,MATCH(ROW()-4,$O$5:$O$1004,0)),"")</f>
        <v/>
      </c>
      <c r="Q359" s="0" t="str">
        <f aca="false">IF(ROW()-4&lt;=MAX($M$5:$M$1004),IFERROR(INDEX($N$5:$N$1004,ROW()-4),""),IFERROR(INDEX($P$5:$P$1004,ROW()-4-MAX($M$5:$M$1004)),""))</f>
        <v/>
      </c>
    </row>
    <row r="360" customFormat="false" ht="15" hidden="false" customHeight="false" outlineLevel="0" collapsed="false">
      <c r="M360" s="0" t="str">
        <f aca="false">IF(CSV貼付A!$N360="","",IF(COUNTIF($B$37:$B$48,CSV貼付A!$H360)&gt;0,"",IF(SUMPRODUCT((CSV貼付A!$N$5:$N360=CSV貼付A!$N360)*(COUNTIF($B$37:$B$48,CSV貼付A!$H$5:$H360)=0))&gt;1,"",MAX($M$4:M359)+1)))</f>
        <v/>
      </c>
      <c r="N360" s="0" t="str">
        <f aca="false">IFERROR(INDEX(CSV貼付A!$N$5:$N$1004,MATCH(ROW()-4,$M$5:$M$1004,0)),"")</f>
        <v/>
      </c>
      <c r="O360" s="0" t="str">
        <f aca="false">IF(CSV貼付B!$N360="","",IF(COUNTIF($B$37:$B$48,CSV貼付B!$H360)&gt;0,"",IF(SUMPRODUCT((CSV貼付B!$N$5:$N360=CSV貼付B!$N360)*(COUNTIF($B$37:$B$48,CSV貼付B!$H$5:$H360)=0))&gt;1,"",MAX($O$4:O359)+1)))</f>
        <v/>
      </c>
      <c r="P360" s="0" t="str">
        <f aca="false">IFERROR(INDEX(CSV貼付B!$N$5:$N$1004,MATCH(ROW()-4,$O$5:$O$1004,0)),"")</f>
        <v/>
      </c>
      <c r="Q360" s="0" t="str">
        <f aca="false">IF(ROW()-4&lt;=MAX($M$5:$M$1004),IFERROR(INDEX($N$5:$N$1004,ROW()-4),""),IFERROR(INDEX($P$5:$P$1004,ROW()-4-MAX($M$5:$M$1004)),""))</f>
        <v/>
      </c>
    </row>
    <row r="361" customFormat="false" ht="15" hidden="false" customHeight="false" outlineLevel="0" collapsed="false">
      <c r="M361" s="0" t="str">
        <f aca="false">IF(CSV貼付A!$N361="","",IF(COUNTIF($B$37:$B$48,CSV貼付A!$H361)&gt;0,"",IF(SUMPRODUCT((CSV貼付A!$N$5:$N361=CSV貼付A!$N361)*(COUNTIF($B$37:$B$48,CSV貼付A!$H$5:$H361)=0))&gt;1,"",MAX($M$4:M360)+1)))</f>
        <v/>
      </c>
      <c r="N361" s="0" t="str">
        <f aca="false">IFERROR(INDEX(CSV貼付A!$N$5:$N$1004,MATCH(ROW()-4,$M$5:$M$1004,0)),"")</f>
        <v/>
      </c>
      <c r="O361" s="0" t="str">
        <f aca="false">IF(CSV貼付B!$N361="","",IF(COUNTIF($B$37:$B$48,CSV貼付B!$H361)&gt;0,"",IF(SUMPRODUCT((CSV貼付B!$N$5:$N361=CSV貼付B!$N361)*(COUNTIF($B$37:$B$48,CSV貼付B!$H$5:$H361)=0))&gt;1,"",MAX($O$4:O360)+1)))</f>
        <v/>
      </c>
      <c r="P361" s="0" t="str">
        <f aca="false">IFERROR(INDEX(CSV貼付B!$N$5:$N$1004,MATCH(ROW()-4,$O$5:$O$1004,0)),"")</f>
        <v/>
      </c>
      <c r="Q361" s="0" t="str">
        <f aca="false">IF(ROW()-4&lt;=MAX($M$5:$M$1004),IFERROR(INDEX($N$5:$N$1004,ROW()-4),""),IFERROR(INDEX($P$5:$P$1004,ROW()-4-MAX($M$5:$M$1004)),""))</f>
        <v/>
      </c>
    </row>
    <row r="362" customFormat="false" ht="15" hidden="false" customHeight="false" outlineLevel="0" collapsed="false">
      <c r="M362" s="0" t="str">
        <f aca="false">IF(CSV貼付A!$N362="","",IF(COUNTIF($B$37:$B$48,CSV貼付A!$H362)&gt;0,"",IF(SUMPRODUCT((CSV貼付A!$N$5:$N362=CSV貼付A!$N362)*(COUNTIF($B$37:$B$48,CSV貼付A!$H$5:$H362)=0))&gt;1,"",MAX($M$4:M361)+1)))</f>
        <v/>
      </c>
      <c r="N362" s="0" t="str">
        <f aca="false">IFERROR(INDEX(CSV貼付A!$N$5:$N$1004,MATCH(ROW()-4,$M$5:$M$1004,0)),"")</f>
        <v/>
      </c>
      <c r="O362" s="0" t="str">
        <f aca="false">IF(CSV貼付B!$N362="","",IF(COUNTIF($B$37:$B$48,CSV貼付B!$H362)&gt;0,"",IF(SUMPRODUCT((CSV貼付B!$N$5:$N362=CSV貼付B!$N362)*(COUNTIF($B$37:$B$48,CSV貼付B!$H$5:$H362)=0))&gt;1,"",MAX($O$4:O361)+1)))</f>
        <v/>
      </c>
      <c r="P362" s="0" t="str">
        <f aca="false">IFERROR(INDEX(CSV貼付B!$N$5:$N$1004,MATCH(ROW()-4,$O$5:$O$1004,0)),"")</f>
        <v/>
      </c>
      <c r="Q362" s="0" t="str">
        <f aca="false">IF(ROW()-4&lt;=MAX($M$5:$M$1004),IFERROR(INDEX($N$5:$N$1004,ROW()-4),""),IFERROR(INDEX($P$5:$P$1004,ROW()-4-MAX($M$5:$M$1004)),""))</f>
        <v/>
      </c>
    </row>
    <row r="363" customFormat="false" ht="15" hidden="false" customHeight="false" outlineLevel="0" collapsed="false">
      <c r="M363" s="0" t="str">
        <f aca="false">IF(CSV貼付A!$N363="","",IF(COUNTIF($B$37:$B$48,CSV貼付A!$H363)&gt;0,"",IF(SUMPRODUCT((CSV貼付A!$N$5:$N363=CSV貼付A!$N363)*(COUNTIF($B$37:$B$48,CSV貼付A!$H$5:$H363)=0))&gt;1,"",MAX($M$4:M362)+1)))</f>
        <v/>
      </c>
      <c r="N363" s="0" t="str">
        <f aca="false">IFERROR(INDEX(CSV貼付A!$N$5:$N$1004,MATCH(ROW()-4,$M$5:$M$1004,0)),"")</f>
        <v/>
      </c>
      <c r="O363" s="0" t="str">
        <f aca="false">IF(CSV貼付B!$N363="","",IF(COUNTIF($B$37:$B$48,CSV貼付B!$H363)&gt;0,"",IF(SUMPRODUCT((CSV貼付B!$N$5:$N363=CSV貼付B!$N363)*(COUNTIF($B$37:$B$48,CSV貼付B!$H$5:$H363)=0))&gt;1,"",MAX($O$4:O362)+1)))</f>
        <v/>
      </c>
      <c r="P363" s="0" t="str">
        <f aca="false">IFERROR(INDEX(CSV貼付B!$N$5:$N$1004,MATCH(ROW()-4,$O$5:$O$1004,0)),"")</f>
        <v/>
      </c>
      <c r="Q363" s="0" t="str">
        <f aca="false">IF(ROW()-4&lt;=MAX($M$5:$M$1004),IFERROR(INDEX($N$5:$N$1004,ROW()-4),""),IFERROR(INDEX($P$5:$P$1004,ROW()-4-MAX($M$5:$M$1004)),""))</f>
        <v/>
      </c>
    </row>
    <row r="364" customFormat="false" ht="15" hidden="false" customHeight="false" outlineLevel="0" collapsed="false">
      <c r="M364" s="0" t="str">
        <f aca="false">IF(CSV貼付A!$N364="","",IF(COUNTIF($B$37:$B$48,CSV貼付A!$H364)&gt;0,"",IF(SUMPRODUCT((CSV貼付A!$N$5:$N364=CSV貼付A!$N364)*(COUNTIF($B$37:$B$48,CSV貼付A!$H$5:$H364)=0))&gt;1,"",MAX($M$4:M363)+1)))</f>
        <v/>
      </c>
      <c r="N364" s="0" t="str">
        <f aca="false">IFERROR(INDEX(CSV貼付A!$N$5:$N$1004,MATCH(ROW()-4,$M$5:$M$1004,0)),"")</f>
        <v/>
      </c>
      <c r="O364" s="0" t="str">
        <f aca="false">IF(CSV貼付B!$N364="","",IF(COUNTIF($B$37:$B$48,CSV貼付B!$H364)&gt;0,"",IF(SUMPRODUCT((CSV貼付B!$N$5:$N364=CSV貼付B!$N364)*(COUNTIF($B$37:$B$48,CSV貼付B!$H$5:$H364)=0))&gt;1,"",MAX($O$4:O363)+1)))</f>
        <v/>
      </c>
      <c r="P364" s="0" t="str">
        <f aca="false">IFERROR(INDEX(CSV貼付B!$N$5:$N$1004,MATCH(ROW()-4,$O$5:$O$1004,0)),"")</f>
        <v/>
      </c>
      <c r="Q364" s="0" t="str">
        <f aca="false">IF(ROW()-4&lt;=MAX($M$5:$M$1004),IFERROR(INDEX($N$5:$N$1004,ROW()-4),""),IFERROR(INDEX($P$5:$P$1004,ROW()-4-MAX($M$5:$M$1004)),""))</f>
        <v/>
      </c>
    </row>
    <row r="365" customFormat="false" ht="15" hidden="false" customHeight="false" outlineLevel="0" collapsed="false">
      <c r="M365" s="0" t="str">
        <f aca="false">IF(CSV貼付A!$N365="","",IF(COUNTIF($B$37:$B$48,CSV貼付A!$H365)&gt;0,"",IF(SUMPRODUCT((CSV貼付A!$N$5:$N365=CSV貼付A!$N365)*(COUNTIF($B$37:$B$48,CSV貼付A!$H$5:$H365)=0))&gt;1,"",MAX($M$4:M364)+1)))</f>
        <v/>
      </c>
      <c r="N365" s="0" t="str">
        <f aca="false">IFERROR(INDEX(CSV貼付A!$N$5:$N$1004,MATCH(ROW()-4,$M$5:$M$1004,0)),"")</f>
        <v/>
      </c>
      <c r="O365" s="0" t="str">
        <f aca="false">IF(CSV貼付B!$N365="","",IF(COUNTIF($B$37:$B$48,CSV貼付B!$H365)&gt;0,"",IF(SUMPRODUCT((CSV貼付B!$N$5:$N365=CSV貼付B!$N365)*(COUNTIF($B$37:$B$48,CSV貼付B!$H$5:$H365)=0))&gt;1,"",MAX($O$4:O364)+1)))</f>
        <v/>
      </c>
      <c r="P365" s="0" t="str">
        <f aca="false">IFERROR(INDEX(CSV貼付B!$N$5:$N$1004,MATCH(ROW()-4,$O$5:$O$1004,0)),"")</f>
        <v/>
      </c>
      <c r="Q365" s="0" t="str">
        <f aca="false">IF(ROW()-4&lt;=MAX($M$5:$M$1004),IFERROR(INDEX($N$5:$N$1004,ROW()-4),""),IFERROR(INDEX($P$5:$P$1004,ROW()-4-MAX($M$5:$M$1004)),""))</f>
        <v/>
      </c>
    </row>
    <row r="366" customFormat="false" ht="15" hidden="false" customHeight="false" outlineLevel="0" collapsed="false">
      <c r="M366" s="0" t="str">
        <f aca="false">IF(CSV貼付A!$N366="","",IF(COUNTIF($B$37:$B$48,CSV貼付A!$H366)&gt;0,"",IF(SUMPRODUCT((CSV貼付A!$N$5:$N366=CSV貼付A!$N366)*(COUNTIF($B$37:$B$48,CSV貼付A!$H$5:$H366)=0))&gt;1,"",MAX($M$4:M365)+1)))</f>
        <v/>
      </c>
      <c r="N366" s="0" t="str">
        <f aca="false">IFERROR(INDEX(CSV貼付A!$N$5:$N$1004,MATCH(ROW()-4,$M$5:$M$1004,0)),"")</f>
        <v/>
      </c>
      <c r="O366" s="0" t="str">
        <f aca="false">IF(CSV貼付B!$N366="","",IF(COUNTIF($B$37:$B$48,CSV貼付B!$H366)&gt;0,"",IF(SUMPRODUCT((CSV貼付B!$N$5:$N366=CSV貼付B!$N366)*(COUNTIF($B$37:$B$48,CSV貼付B!$H$5:$H366)=0))&gt;1,"",MAX($O$4:O365)+1)))</f>
        <v/>
      </c>
      <c r="P366" s="0" t="str">
        <f aca="false">IFERROR(INDEX(CSV貼付B!$N$5:$N$1004,MATCH(ROW()-4,$O$5:$O$1004,0)),"")</f>
        <v/>
      </c>
      <c r="Q366" s="0" t="str">
        <f aca="false">IF(ROW()-4&lt;=MAX($M$5:$M$1004),IFERROR(INDEX($N$5:$N$1004,ROW()-4),""),IFERROR(INDEX($P$5:$P$1004,ROW()-4-MAX($M$5:$M$1004)),""))</f>
        <v/>
      </c>
    </row>
    <row r="367" customFormat="false" ht="15" hidden="false" customHeight="false" outlineLevel="0" collapsed="false">
      <c r="M367" s="0" t="str">
        <f aca="false">IF(CSV貼付A!$N367="","",IF(COUNTIF($B$37:$B$48,CSV貼付A!$H367)&gt;0,"",IF(SUMPRODUCT((CSV貼付A!$N$5:$N367=CSV貼付A!$N367)*(COUNTIF($B$37:$B$48,CSV貼付A!$H$5:$H367)=0))&gt;1,"",MAX($M$4:M366)+1)))</f>
        <v/>
      </c>
      <c r="N367" s="0" t="str">
        <f aca="false">IFERROR(INDEX(CSV貼付A!$N$5:$N$1004,MATCH(ROW()-4,$M$5:$M$1004,0)),"")</f>
        <v/>
      </c>
      <c r="O367" s="0" t="str">
        <f aca="false">IF(CSV貼付B!$N367="","",IF(COUNTIF($B$37:$B$48,CSV貼付B!$H367)&gt;0,"",IF(SUMPRODUCT((CSV貼付B!$N$5:$N367=CSV貼付B!$N367)*(COUNTIF($B$37:$B$48,CSV貼付B!$H$5:$H367)=0))&gt;1,"",MAX($O$4:O366)+1)))</f>
        <v/>
      </c>
      <c r="P367" s="0" t="str">
        <f aca="false">IFERROR(INDEX(CSV貼付B!$N$5:$N$1004,MATCH(ROW()-4,$O$5:$O$1004,0)),"")</f>
        <v/>
      </c>
      <c r="Q367" s="0" t="str">
        <f aca="false">IF(ROW()-4&lt;=MAX($M$5:$M$1004),IFERROR(INDEX($N$5:$N$1004,ROW()-4),""),IFERROR(INDEX($P$5:$P$1004,ROW()-4-MAX($M$5:$M$1004)),""))</f>
        <v/>
      </c>
    </row>
    <row r="368" customFormat="false" ht="15" hidden="false" customHeight="false" outlineLevel="0" collapsed="false">
      <c r="M368" s="0" t="str">
        <f aca="false">IF(CSV貼付A!$N368="","",IF(COUNTIF($B$37:$B$48,CSV貼付A!$H368)&gt;0,"",IF(SUMPRODUCT((CSV貼付A!$N$5:$N368=CSV貼付A!$N368)*(COUNTIF($B$37:$B$48,CSV貼付A!$H$5:$H368)=0))&gt;1,"",MAX($M$4:M367)+1)))</f>
        <v/>
      </c>
      <c r="N368" s="0" t="str">
        <f aca="false">IFERROR(INDEX(CSV貼付A!$N$5:$N$1004,MATCH(ROW()-4,$M$5:$M$1004,0)),"")</f>
        <v/>
      </c>
      <c r="O368" s="0" t="str">
        <f aca="false">IF(CSV貼付B!$N368="","",IF(COUNTIF($B$37:$B$48,CSV貼付B!$H368)&gt;0,"",IF(SUMPRODUCT((CSV貼付B!$N$5:$N368=CSV貼付B!$N368)*(COUNTIF($B$37:$B$48,CSV貼付B!$H$5:$H368)=0))&gt;1,"",MAX($O$4:O367)+1)))</f>
        <v/>
      </c>
      <c r="P368" s="0" t="str">
        <f aca="false">IFERROR(INDEX(CSV貼付B!$N$5:$N$1004,MATCH(ROW()-4,$O$5:$O$1004,0)),"")</f>
        <v/>
      </c>
      <c r="Q368" s="0" t="str">
        <f aca="false">IF(ROW()-4&lt;=MAX($M$5:$M$1004),IFERROR(INDEX($N$5:$N$1004,ROW()-4),""),IFERROR(INDEX($P$5:$P$1004,ROW()-4-MAX($M$5:$M$1004)),""))</f>
        <v/>
      </c>
    </row>
    <row r="369" customFormat="false" ht="15" hidden="false" customHeight="false" outlineLevel="0" collapsed="false">
      <c r="M369" s="0" t="str">
        <f aca="false">IF(CSV貼付A!$N369="","",IF(COUNTIF($B$37:$B$48,CSV貼付A!$H369)&gt;0,"",IF(SUMPRODUCT((CSV貼付A!$N$5:$N369=CSV貼付A!$N369)*(COUNTIF($B$37:$B$48,CSV貼付A!$H$5:$H369)=0))&gt;1,"",MAX($M$4:M368)+1)))</f>
        <v/>
      </c>
      <c r="N369" s="0" t="str">
        <f aca="false">IFERROR(INDEX(CSV貼付A!$N$5:$N$1004,MATCH(ROW()-4,$M$5:$M$1004,0)),"")</f>
        <v/>
      </c>
      <c r="O369" s="0" t="str">
        <f aca="false">IF(CSV貼付B!$N369="","",IF(COUNTIF($B$37:$B$48,CSV貼付B!$H369)&gt;0,"",IF(SUMPRODUCT((CSV貼付B!$N$5:$N369=CSV貼付B!$N369)*(COUNTIF($B$37:$B$48,CSV貼付B!$H$5:$H369)=0))&gt;1,"",MAX($O$4:O368)+1)))</f>
        <v/>
      </c>
      <c r="P369" s="0" t="str">
        <f aca="false">IFERROR(INDEX(CSV貼付B!$N$5:$N$1004,MATCH(ROW()-4,$O$5:$O$1004,0)),"")</f>
        <v/>
      </c>
      <c r="Q369" s="0" t="str">
        <f aca="false">IF(ROW()-4&lt;=MAX($M$5:$M$1004),IFERROR(INDEX($N$5:$N$1004,ROW()-4),""),IFERROR(INDEX($P$5:$P$1004,ROW()-4-MAX($M$5:$M$1004)),""))</f>
        <v/>
      </c>
    </row>
    <row r="370" customFormat="false" ht="15" hidden="false" customHeight="false" outlineLevel="0" collapsed="false">
      <c r="M370" s="0" t="str">
        <f aca="false">IF(CSV貼付A!$N370="","",IF(COUNTIF($B$37:$B$48,CSV貼付A!$H370)&gt;0,"",IF(SUMPRODUCT((CSV貼付A!$N$5:$N370=CSV貼付A!$N370)*(COUNTIF($B$37:$B$48,CSV貼付A!$H$5:$H370)=0))&gt;1,"",MAX($M$4:M369)+1)))</f>
        <v/>
      </c>
      <c r="N370" s="0" t="str">
        <f aca="false">IFERROR(INDEX(CSV貼付A!$N$5:$N$1004,MATCH(ROW()-4,$M$5:$M$1004,0)),"")</f>
        <v/>
      </c>
      <c r="O370" s="0" t="str">
        <f aca="false">IF(CSV貼付B!$N370="","",IF(COUNTIF($B$37:$B$48,CSV貼付B!$H370)&gt;0,"",IF(SUMPRODUCT((CSV貼付B!$N$5:$N370=CSV貼付B!$N370)*(COUNTIF($B$37:$B$48,CSV貼付B!$H$5:$H370)=0))&gt;1,"",MAX($O$4:O369)+1)))</f>
        <v/>
      </c>
      <c r="P370" s="0" t="str">
        <f aca="false">IFERROR(INDEX(CSV貼付B!$N$5:$N$1004,MATCH(ROW()-4,$O$5:$O$1004,0)),"")</f>
        <v/>
      </c>
      <c r="Q370" s="0" t="str">
        <f aca="false">IF(ROW()-4&lt;=MAX($M$5:$M$1004),IFERROR(INDEX($N$5:$N$1004,ROW()-4),""),IFERROR(INDEX($P$5:$P$1004,ROW()-4-MAX($M$5:$M$1004)),""))</f>
        <v/>
      </c>
    </row>
    <row r="371" customFormat="false" ht="15" hidden="false" customHeight="false" outlineLevel="0" collapsed="false">
      <c r="M371" s="0" t="str">
        <f aca="false">IF(CSV貼付A!$N371="","",IF(COUNTIF($B$37:$B$48,CSV貼付A!$H371)&gt;0,"",IF(SUMPRODUCT((CSV貼付A!$N$5:$N371=CSV貼付A!$N371)*(COUNTIF($B$37:$B$48,CSV貼付A!$H$5:$H371)=0))&gt;1,"",MAX($M$4:M370)+1)))</f>
        <v/>
      </c>
      <c r="N371" s="0" t="str">
        <f aca="false">IFERROR(INDEX(CSV貼付A!$N$5:$N$1004,MATCH(ROW()-4,$M$5:$M$1004,0)),"")</f>
        <v/>
      </c>
      <c r="O371" s="0" t="str">
        <f aca="false">IF(CSV貼付B!$N371="","",IF(COUNTIF($B$37:$B$48,CSV貼付B!$H371)&gt;0,"",IF(SUMPRODUCT((CSV貼付B!$N$5:$N371=CSV貼付B!$N371)*(COUNTIF($B$37:$B$48,CSV貼付B!$H$5:$H371)=0))&gt;1,"",MAX($O$4:O370)+1)))</f>
        <v/>
      </c>
      <c r="P371" s="0" t="str">
        <f aca="false">IFERROR(INDEX(CSV貼付B!$N$5:$N$1004,MATCH(ROW()-4,$O$5:$O$1004,0)),"")</f>
        <v/>
      </c>
      <c r="Q371" s="0" t="str">
        <f aca="false">IF(ROW()-4&lt;=MAX($M$5:$M$1004),IFERROR(INDEX($N$5:$N$1004,ROW()-4),""),IFERROR(INDEX($P$5:$P$1004,ROW()-4-MAX($M$5:$M$1004)),""))</f>
        <v/>
      </c>
    </row>
    <row r="372" customFormat="false" ht="15" hidden="false" customHeight="false" outlineLevel="0" collapsed="false">
      <c r="M372" s="0" t="str">
        <f aca="false">IF(CSV貼付A!$N372="","",IF(COUNTIF($B$37:$B$48,CSV貼付A!$H372)&gt;0,"",IF(SUMPRODUCT((CSV貼付A!$N$5:$N372=CSV貼付A!$N372)*(COUNTIF($B$37:$B$48,CSV貼付A!$H$5:$H372)=0))&gt;1,"",MAX($M$4:M371)+1)))</f>
        <v/>
      </c>
      <c r="N372" s="0" t="str">
        <f aca="false">IFERROR(INDEX(CSV貼付A!$N$5:$N$1004,MATCH(ROW()-4,$M$5:$M$1004,0)),"")</f>
        <v/>
      </c>
      <c r="O372" s="0" t="str">
        <f aca="false">IF(CSV貼付B!$N372="","",IF(COUNTIF($B$37:$B$48,CSV貼付B!$H372)&gt;0,"",IF(SUMPRODUCT((CSV貼付B!$N$5:$N372=CSV貼付B!$N372)*(COUNTIF($B$37:$B$48,CSV貼付B!$H$5:$H372)=0))&gt;1,"",MAX($O$4:O371)+1)))</f>
        <v/>
      </c>
      <c r="P372" s="0" t="str">
        <f aca="false">IFERROR(INDEX(CSV貼付B!$N$5:$N$1004,MATCH(ROW()-4,$O$5:$O$1004,0)),"")</f>
        <v/>
      </c>
      <c r="Q372" s="0" t="str">
        <f aca="false">IF(ROW()-4&lt;=MAX($M$5:$M$1004),IFERROR(INDEX($N$5:$N$1004,ROW()-4),""),IFERROR(INDEX($P$5:$P$1004,ROW()-4-MAX($M$5:$M$1004)),""))</f>
        <v/>
      </c>
    </row>
    <row r="373" customFormat="false" ht="15" hidden="false" customHeight="false" outlineLevel="0" collapsed="false">
      <c r="M373" s="0" t="str">
        <f aca="false">IF(CSV貼付A!$N373="","",IF(COUNTIF($B$37:$B$48,CSV貼付A!$H373)&gt;0,"",IF(SUMPRODUCT((CSV貼付A!$N$5:$N373=CSV貼付A!$N373)*(COUNTIF($B$37:$B$48,CSV貼付A!$H$5:$H373)=0))&gt;1,"",MAX($M$4:M372)+1)))</f>
        <v/>
      </c>
      <c r="N373" s="0" t="str">
        <f aca="false">IFERROR(INDEX(CSV貼付A!$N$5:$N$1004,MATCH(ROW()-4,$M$5:$M$1004,0)),"")</f>
        <v/>
      </c>
      <c r="O373" s="0" t="str">
        <f aca="false">IF(CSV貼付B!$N373="","",IF(COUNTIF($B$37:$B$48,CSV貼付B!$H373)&gt;0,"",IF(SUMPRODUCT((CSV貼付B!$N$5:$N373=CSV貼付B!$N373)*(COUNTIF($B$37:$B$48,CSV貼付B!$H$5:$H373)=0))&gt;1,"",MAX($O$4:O372)+1)))</f>
        <v/>
      </c>
      <c r="P373" s="0" t="str">
        <f aca="false">IFERROR(INDEX(CSV貼付B!$N$5:$N$1004,MATCH(ROW()-4,$O$5:$O$1004,0)),"")</f>
        <v/>
      </c>
      <c r="Q373" s="0" t="str">
        <f aca="false">IF(ROW()-4&lt;=MAX($M$5:$M$1004),IFERROR(INDEX($N$5:$N$1004,ROW()-4),""),IFERROR(INDEX($P$5:$P$1004,ROW()-4-MAX($M$5:$M$1004)),""))</f>
        <v/>
      </c>
    </row>
    <row r="374" customFormat="false" ht="15" hidden="false" customHeight="false" outlineLevel="0" collapsed="false">
      <c r="M374" s="0" t="str">
        <f aca="false">IF(CSV貼付A!$N374="","",IF(COUNTIF($B$37:$B$48,CSV貼付A!$H374)&gt;0,"",IF(SUMPRODUCT((CSV貼付A!$N$5:$N374=CSV貼付A!$N374)*(COUNTIF($B$37:$B$48,CSV貼付A!$H$5:$H374)=0))&gt;1,"",MAX($M$4:M373)+1)))</f>
        <v/>
      </c>
      <c r="N374" s="0" t="str">
        <f aca="false">IFERROR(INDEX(CSV貼付A!$N$5:$N$1004,MATCH(ROW()-4,$M$5:$M$1004,0)),"")</f>
        <v/>
      </c>
      <c r="O374" s="0" t="str">
        <f aca="false">IF(CSV貼付B!$N374="","",IF(COUNTIF($B$37:$B$48,CSV貼付B!$H374)&gt;0,"",IF(SUMPRODUCT((CSV貼付B!$N$5:$N374=CSV貼付B!$N374)*(COUNTIF($B$37:$B$48,CSV貼付B!$H$5:$H374)=0))&gt;1,"",MAX($O$4:O373)+1)))</f>
        <v/>
      </c>
      <c r="P374" s="0" t="str">
        <f aca="false">IFERROR(INDEX(CSV貼付B!$N$5:$N$1004,MATCH(ROW()-4,$O$5:$O$1004,0)),"")</f>
        <v/>
      </c>
      <c r="Q374" s="0" t="str">
        <f aca="false">IF(ROW()-4&lt;=MAX($M$5:$M$1004),IFERROR(INDEX($N$5:$N$1004,ROW()-4),""),IFERROR(INDEX($P$5:$P$1004,ROW()-4-MAX($M$5:$M$1004)),""))</f>
        <v/>
      </c>
    </row>
    <row r="375" customFormat="false" ht="15" hidden="false" customHeight="false" outlineLevel="0" collapsed="false">
      <c r="M375" s="0" t="str">
        <f aca="false">IF(CSV貼付A!$N375="","",IF(COUNTIF($B$37:$B$48,CSV貼付A!$H375)&gt;0,"",IF(SUMPRODUCT((CSV貼付A!$N$5:$N375=CSV貼付A!$N375)*(COUNTIF($B$37:$B$48,CSV貼付A!$H$5:$H375)=0))&gt;1,"",MAX($M$4:M374)+1)))</f>
        <v/>
      </c>
      <c r="N375" s="0" t="str">
        <f aca="false">IFERROR(INDEX(CSV貼付A!$N$5:$N$1004,MATCH(ROW()-4,$M$5:$M$1004,0)),"")</f>
        <v/>
      </c>
      <c r="O375" s="0" t="str">
        <f aca="false">IF(CSV貼付B!$N375="","",IF(COUNTIF($B$37:$B$48,CSV貼付B!$H375)&gt;0,"",IF(SUMPRODUCT((CSV貼付B!$N$5:$N375=CSV貼付B!$N375)*(COUNTIF($B$37:$B$48,CSV貼付B!$H$5:$H375)=0))&gt;1,"",MAX($O$4:O374)+1)))</f>
        <v/>
      </c>
      <c r="P375" s="0" t="str">
        <f aca="false">IFERROR(INDEX(CSV貼付B!$N$5:$N$1004,MATCH(ROW()-4,$O$5:$O$1004,0)),"")</f>
        <v/>
      </c>
      <c r="Q375" s="0" t="str">
        <f aca="false">IF(ROW()-4&lt;=MAX($M$5:$M$1004),IFERROR(INDEX($N$5:$N$1004,ROW()-4),""),IFERROR(INDEX($P$5:$P$1004,ROW()-4-MAX($M$5:$M$1004)),""))</f>
        <v/>
      </c>
    </row>
    <row r="376" customFormat="false" ht="15" hidden="false" customHeight="false" outlineLevel="0" collapsed="false">
      <c r="M376" s="0" t="str">
        <f aca="false">IF(CSV貼付A!$N376="","",IF(COUNTIF($B$37:$B$48,CSV貼付A!$H376)&gt;0,"",IF(SUMPRODUCT((CSV貼付A!$N$5:$N376=CSV貼付A!$N376)*(COUNTIF($B$37:$B$48,CSV貼付A!$H$5:$H376)=0))&gt;1,"",MAX($M$4:M375)+1)))</f>
        <v/>
      </c>
      <c r="N376" s="0" t="str">
        <f aca="false">IFERROR(INDEX(CSV貼付A!$N$5:$N$1004,MATCH(ROW()-4,$M$5:$M$1004,0)),"")</f>
        <v/>
      </c>
      <c r="O376" s="0" t="str">
        <f aca="false">IF(CSV貼付B!$N376="","",IF(COUNTIF($B$37:$B$48,CSV貼付B!$H376)&gt;0,"",IF(SUMPRODUCT((CSV貼付B!$N$5:$N376=CSV貼付B!$N376)*(COUNTIF($B$37:$B$48,CSV貼付B!$H$5:$H376)=0))&gt;1,"",MAX($O$4:O375)+1)))</f>
        <v/>
      </c>
      <c r="P376" s="0" t="str">
        <f aca="false">IFERROR(INDEX(CSV貼付B!$N$5:$N$1004,MATCH(ROW()-4,$O$5:$O$1004,0)),"")</f>
        <v/>
      </c>
      <c r="Q376" s="0" t="str">
        <f aca="false">IF(ROW()-4&lt;=MAX($M$5:$M$1004),IFERROR(INDEX($N$5:$N$1004,ROW()-4),""),IFERROR(INDEX($P$5:$P$1004,ROW()-4-MAX($M$5:$M$1004)),""))</f>
        <v/>
      </c>
    </row>
    <row r="377" customFormat="false" ht="15" hidden="false" customHeight="false" outlineLevel="0" collapsed="false">
      <c r="M377" s="0" t="str">
        <f aca="false">IF(CSV貼付A!$N377="","",IF(COUNTIF($B$37:$B$48,CSV貼付A!$H377)&gt;0,"",IF(SUMPRODUCT((CSV貼付A!$N$5:$N377=CSV貼付A!$N377)*(COUNTIF($B$37:$B$48,CSV貼付A!$H$5:$H377)=0))&gt;1,"",MAX($M$4:M376)+1)))</f>
        <v/>
      </c>
      <c r="N377" s="0" t="str">
        <f aca="false">IFERROR(INDEX(CSV貼付A!$N$5:$N$1004,MATCH(ROW()-4,$M$5:$M$1004,0)),"")</f>
        <v/>
      </c>
      <c r="O377" s="0" t="str">
        <f aca="false">IF(CSV貼付B!$N377="","",IF(COUNTIF($B$37:$B$48,CSV貼付B!$H377)&gt;0,"",IF(SUMPRODUCT((CSV貼付B!$N$5:$N377=CSV貼付B!$N377)*(COUNTIF($B$37:$B$48,CSV貼付B!$H$5:$H377)=0))&gt;1,"",MAX($O$4:O376)+1)))</f>
        <v/>
      </c>
      <c r="P377" s="0" t="str">
        <f aca="false">IFERROR(INDEX(CSV貼付B!$N$5:$N$1004,MATCH(ROW()-4,$O$5:$O$1004,0)),"")</f>
        <v/>
      </c>
      <c r="Q377" s="0" t="str">
        <f aca="false">IF(ROW()-4&lt;=MAX($M$5:$M$1004),IFERROR(INDEX($N$5:$N$1004,ROW()-4),""),IFERROR(INDEX($P$5:$P$1004,ROW()-4-MAX($M$5:$M$1004)),""))</f>
        <v/>
      </c>
    </row>
    <row r="378" customFormat="false" ht="15" hidden="false" customHeight="false" outlineLevel="0" collapsed="false">
      <c r="M378" s="0" t="str">
        <f aca="false">IF(CSV貼付A!$N378="","",IF(COUNTIF($B$37:$B$48,CSV貼付A!$H378)&gt;0,"",IF(SUMPRODUCT((CSV貼付A!$N$5:$N378=CSV貼付A!$N378)*(COUNTIF($B$37:$B$48,CSV貼付A!$H$5:$H378)=0))&gt;1,"",MAX($M$4:M377)+1)))</f>
        <v/>
      </c>
      <c r="N378" s="0" t="str">
        <f aca="false">IFERROR(INDEX(CSV貼付A!$N$5:$N$1004,MATCH(ROW()-4,$M$5:$M$1004,0)),"")</f>
        <v/>
      </c>
      <c r="O378" s="0" t="str">
        <f aca="false">IF(CSV貼付B!$N378="","",IF(COUNTIF($B$37:$B$48,CSV貼付B!$H378)&gt;0,"",IF(SUMPRODUCT((CSV貼付B!$N$5:$N378=CSV貼付B!$N378)*(COUNTIF($B$37:$B$48,CSV貼付B!$H$5:$H378)=0))&gt;1,"",MAX($O$4:O377)+1)))</f>
        <v/>
      </c>
      <c r="P378" s="0" t="str">
        <f aca="false">IFERROR(INDEX(CSV貼付B!$N$5:$N$1004,MATCH(ROW()-4,$O$5:$O$1004,0)),"")</f>
        <v/>
      </c>
      <c r="Q378" s="0" t="str">
        <f aca="false">IF(ROW()-4&lt;=MAX($M$5:$M$1004),IFERROR(INDEX($N$5:$N$1004,ROW()-4),""),IFERROR(INDEX($P$5:$P$1004,ROW()-4-MAX($M$5:$M$1004)),""))</f>
        <v/>
      </c>
    </row>
    <row r="379" customFormat="false" ht="15" hidden="false" customHeight="false" outlineLevel="0" collapsed="false">
      <c r="M379" s="0" t="str">
        <f aca="false">IF(CSV貼付A!$N379="","",IF(COUNTIF($B$37:$B$48,CSV貼付A!$H379)&gt;0,"",IF(SUMPRODUCT((CSV貼付A!$N$5:$N379=CSV貼付A!$N379)*(COUNTIF($B$37:$B$48,CSV貼付A!$H$5:$H379)=0))&gt;1,"",MAX($M$4:M378)+1)))</f>
        <v/>
      </c>
      <c r="N379" s="0" t="str">
        <f aca="false">IFERROR(INDEX(CSV貼付A!$N$5:$N$1004,MATCH(ROW()-4,$M$5:$M$1004,0)),"")</f>
        <v/>
      </c>
      <c r="O379" s="0" t="str">
        <f aca="false">IF(CSV貼付B!$N379="","",IF(COUNTIF($B$37:$B$48,CSV貼付B!$H379)&gt;0,"",IF(SUMPRODUCT((CSV貼付B!$N$5:$N379=CSV貼付B!$N379)*(COUNTIF($B$37:$B$48,CSV貼付B!$H$5:$H379)=0))&gt;1,"",MAX($O$4:O378)+1)))</f>
        <v/>
      </c>
      <c r="P379" s="0" t="str">
        <f aca="false">IFERROR(INDEX(CSV貼付B!$N$5:$N$1004,MATCH(ROW()-4,$O$5:$O$1004,0)),"")</f>
        <v/>
      </c>
      <c r="Q379" s="0" t="str">
        <f aca="false">IF(ROW()-4&lt;=MAX($M$5:$M$1004),IFERROR(INDEX($N$5:$N$1004,ROW()-4),""),IFERROR(INDEX($P$5:$P$1004,ROW()-4-MAX($M$5:$M$1004)),""))</f>
        <v/>
      </c>
    </row>
    <row r="380" customFormat="false" ht="15" hidden="false" customHeight="false" outlineLevel="0" collapsed="false">
      <c r="M380" s="0" t="str">
        <f aca="false">IF(CSV貼付A!$N380="","",IF(COUNTIF($B$37:$B$48,CSV貼付A!$H380)&gt;0,"",IF(SUMPRODUCT((CSV貼付A!$N$5:$N380=CSV貼付A!$N380)*(COUNTIF($B$37:$B$48,CSV貼付A!$H$5:$H380)=0))&gt;1,"",MAX($M$4:M379)+1)))</f>
        <v/>
      </c>
      <c r="N380" s="0" t="str">
        <f aca="false">IFERROR(INDEX(CSV貼付A!$N$5:$N$1004,MATCH(ROW()-4,$M$5:$M$1004,0)),"")</f>
        <v/>
      </c>
      <c r="O380" s="0" t="str">
        <f aca="false">IF(CSV貼付B!$N380="","",IF(COUNTIF($B$37:$B$48,CSV貼付B!$H380)&gt;0,"",IF(SUMPRODUCT((CSV貼付B!$N$5:$N380=CSV貼付B!$N380)*(COUNTIF($B$37:$B$48,CSV貼付B!$H$5:$H380)=0))&gt;1,"",MAX($O$4:O379)+1)))</f>
        <v/>
      </c>
      <c r="P380" s="0" t="str">
        <f aca="false">IFERROR(INDEX(CSV貼付B!$N$5:$N$1004,MATCH(ROW()-4,$O$5:$O$1004,0)),"")</f>
        <v/>
      </c>
      <c r="Q380" s="0" t="str">
        <f aca="false">IF(ROW()-4&lt;=MAX($M$5:$M$1004),IFERROR(INDEX($N$5:$N$1004,ROW()-4),""),IFERROR(INDEX($P$5:$P$1004,ROW()-4-MAX($M$5:$M$1004)),""))</f>
        <v/>
      </c>
    </row>
    <row r="381" customFormat="false" ht="15" hidden="false" customHeight="false" outlineLevel="0" collapsed="false">
      <c r="M381" s="0" t="str">
        <f aca="false">IF(CSV貼付A!$N381="","",IF(COUNTIF($B$37:$B$48,CSV貼付A!$H381)&gt;0,"",IF(SUMPRODUCT((CSV貼付A!$N$5:$N381=CSV貼付A!$N381)*(COUNTIF($B$37:$B$48,CSV貼付A!$H$5:$H381)=0))&gt;1,"",MAX($M$4:M380)+1)))</f>
        <v/>
      </c>
      <c r="N381" s="0" t="str">
        <f aca="false">IFERROR(INDEX(CSV貼付A!$N$5:$N$1004,MATCH(ROW()-4,$M$5:$M$1004,0)),"")</f>
        <v/>
      </c>
      <c r="O381" s="0" t="str">
        <f aca="false">IF(CSV貼付B!$N381="","",IF(COUNTIF($B$37:$B$48,CSV貼付B!$H381)&gt;0,"",IF(SUMPRODUCT((CSV貼付B!$N$5:$N381=CSV貼付B!$N381)*(COUNTIF($B$37:$B$48,CSV貼付B!$H$5:$H381)=0))&gt;1,"",MAX($O$4:O380)+1)))</f>
        <v/>
      </c>
      <c r="P381" s="0" t="str">
        <f aca="false">IFERROR(INDEX(CSV貼付B!$N$5:$N$1004,MATCH(ROW()-4,$O$5:$O$1004,0)),"")</f>
        <v/>
      </c>
      <c r="Q381" s="0" t="str">
        <f aca="false">IF(ROW()-4&lt;=MAX($M$5:$M$1004),IFERROR(INDEX($N$5:$N$1004,ROW()-4),""),IFERROR(INDEX($P$5:$P$1004,ROW()-4-MAX($M$5:$M$1004)),""))</f>
        <v/>
      </c>
    </row>
    <row r="382" customFormat="false" ht="15" hidden="false" customHeight="false" outlineLevel="0" collapsed="false">
      <c r="M382" s="0" t="str">
        <f aca="false">IF(CSV貼付A!$N382="","",IF(COUNTIF($B$37:$B$48,CSV貼付A!$H382)&gt;0,"",IF(SUMPRODUCT((CSV貼付A!$N$5:$N382=CSV貼付A!$N382)*(COUNTIF($B$37:$B$48,CSV貼付A!$H$5:$H382)=0))&gt;1,"",MAX($M$4:M381)+1)))</f>
        <v/>
      </c>
      <c r="N382" s="0" t="str">
        <f aca="false">IFERROR(INDEX(CSV貼付A!$N$5:$N$1004,MATCH(ROW()-4,$M$5:$M$1004,0)),"")</f>
        <v/>
      </c>
      <c r="O382" s="0" t="str">
        <f aca="false">IF(CSV貼付B!$N382="","",IF(COUNTIF($B$37:$B$48,CSV貼付B!$H382)&gt;0,"",IF(SUMPRODUCT((CSV貼付B!$N$5:$N382=CSV貼付B!$N382)*(COUNTIF($B$37:$B$48,CSV貼付B!$H$5:$H382)=0))&gt;1,"",MAX($O$4:O381)+1)))</f>
        <v/>
      </c>
      <c r="P382" s="0" t="str">
        <f aca="false">IFERROR(INDEX(CSV貼付B!$N$5:$N$1004,MATCH(ROW()-4,$O$5:$O$1004,0)),"")</f>
        <v/>
      </c>
      <c r="Q382" s="0" t="str">
        <f aca="false">IF(ROW()-4&lt;=MAX($M$5:$M$1004),IFERROR(INDEX($N$5:$N$1004,ROW()-4),""),IFERROR(INDEX($P$5:$P$1004,ROW()-4-MAX($M$5:$M$1004)),""))</f>
        <v/>
      </c>
    </row>
    <row r="383" customFormat="false" ht="15" hidden="false" customHeight="false" outlineLevel="0" collapsed="false">
      <c r="M383" s="0" t="str">
        <f aca="false">IF(CSV貼付A!$N383="","",IF(COUNTIF($B$37:$B$48,CSV貼付A!$H383)&gt;0,"",IF(SUMPRODUCT((CSV貼付A!$N$5:$N383=CSV貼付A!$N383)*(COUNTIF($B$37:$B$48,CSV貼付A!$H$5:$H383)=0))&gt;1,"",MAX($M$4:M382)+1)))</f>
        <v/>
      </c>
      <c r="N383" s="0" t="str">
        <f aca="false">IFERROR(INDEX(CSV貼付A!$N$5:$N$1004,MATCH(ROW()-4,$M$5:$M$1004,0)),"")</f>
        <v/>
      </c>
      <c r="O383" s="0" t="str">
        <f aca="false">IF(CSV貼付B!$N383="","",IF(COUNTIF($B$37:$B$48,CSV貼付B!$H383)&gt;0,"",IF(SUMPRODUCT((CSV貼付B!$N$5:$N383=CSV貼付B!$N383)*(COUNTIF($B$37:$B$48,CSV貼付B!$H$5:$H383)=0))&gt;1,"",MAX($O$4:O382)+1)))</f>
        <v/>
      </c>
      <c r="P383" s="0" t="str">
        <f aca="false">IFERROR(INDEX(CSV貼付B!$N$5:$N$1004,MATCH(ROW()-4,$O$5:$O$1004,0)),"")</f>
        <v/>
      </c>
      <c r="Q383" s="0" t="str">
        <f aca="false">IF(ROW()-4&lt;=MAX($M$5:$M$1004),IFERROR(INDEX($N$5:$N$1004,ROW()-4),""),IFERROR(INDEX($P$5:$P$1004,ROW()-4-MAX($M$5:$M$1004)),""))</f>
        <v/>
      </c>
    </row>
    <row r="384" customFormat="false" ht="15" hidden="false" customHeight="false" outlineLevel="0" collapsed="false">
      <c r="M384" s="0" t="str">
        <f aca="false">IF(CSV貼付A!$N384="","",IF(COUNTIF($B$37:$B$48,CSV貼付A!$H384)&gt;0,"",IF(SUMPRODUCT((CSV貼付A!$N$5:$N384=CSV貼付A!$N384)*(COUNTIF($B$37:$B$48,CSV貼付A!$H$5:$H384)=0))&gt;1,"",MAX($M$4:M383)+1)))</f>
        <v/>
      </c>
      <c r="N384" s="0" t="str">
        <f aca="false">IFERROR(INDEX(CSV貼付A!$N$5:$N$1004,MATCH(ROW()-4,$M$5:$M$1004,0)),"")</f>
        <v/>
      </c>
      <c r="O384" s="0" t="str">
        <f aca="false">IF(CSV貼付B!$N384="","",IF(COUNTIF($B$37:$B$48,CSV貼付B!$H384)&gt;0,"",IF(SUMPRODUCT((CSV貼付B!$N$5:$N384=CSV貼付B!$N384)*(COUNTIF($B$37:$B$48,CSV貼付B!$H$5:$H384)=0))&gt;1,"",MAX($O$4:O383)+1)))</f>
        <v/>
      </c>
      <c r="P384" s="0" t="str">
        <f aca="false">IFERROR(INDEX(CSV貼付B!$N$5:$N$1004,MATCH(ROW()-4,$O$5:$O$1004,0)),"")</f>
        <v/>
      </c>
      <c r="Q384" s="0" t="str">
        <f aca="false">IF(ROW()-4&lt;=MAX($M$5:$M$1004),IFERROR(INDEX($N$5:$N$1004,ROW()-4),""),IFERROR(INDEX($P$5:$P$1004,ROW()-4-MAX($M$5:$M$1004)),""))</f>
        <v/>
      </c>
    </row>
    <row r="385" customFormat="false" ht="15" hidden="false" customHeight="false" outlineLevel="0" collapsed="false">
      <c r="M385" s="0" t="str">
        <f aca="false">IF(CSV貼付A!$N385="","",IF(COUNTIF($B$37:$B$48,CSV貼付A!$H385)&gt;0,"",IF(SUMPRODUCT((CSV貼付A!$N$5:$N385=CSV貼付A!$N385)*(COUNTIF($B$37:$B$48,CSV貼付A!$H$5:$H385)=0))&gt;1,"",MAX($M$4:M384)+1)))</f>
        <v/>
      </c>
      <c r="N385" s="0" t="str">
        <f aca="false">IFERROR(INDEX(CSV貼付A!$N$5:$N$1004,MATCH(ROW()-4,$M$5:$M$1004,0)),"")</f>
        <v/>
      </c>
      <c r="O385" s="0" t="str">
        <f aca="false">IF(CSV貼付B!$N385="","",IF(COUNTIF($B$37:$B$48,CSV貼付B!$H385)&gt;0,"",IF(SUMPRODUCT((CSV貼付B!$N$5:$N385=CSV貼付B!$N385)*(COUNTIF($B$37:$B$48,CSV貼付B!$H$5:$H385)=0))&gt;1,"",MAX($O$4:O384)+1)))</f>
        <v/>
      </c>
      <c r="P385" s="0" t="str">
        <f aca="false">IFERROR(INDEX(CSV貼付B!$N$5:$N$1004,MATCH(ROW()-4,$O$5:$O$1004,0)),"")</f>
        <v/>
      </c>
      <c r="Q385" s="0" t="str">
        <f aca="false">IF(ROW()-4&lt;=MAX($M$5:$M$1004),IFERROR(INDEX($N$5:$N$1004,ROW()-4),""),IFERROR(INDEX($P$5:$P$1004,ROW()-4-MAX($M$5:$M$1004)),""))</f>
        <v/>
      </c>
    </row>
    <row r="386" customFormat="false" ht="15" hidden="false" customHeight="false" outlineLevel="0" collapsed="false">
      <c r="M386" s="0" t="str">
        <f aca="false">IF(CSV貼付A!$N386="","",IF(COUNTIF($B$37:$B$48,CSV貼付A!$H386)&gt;0,"",IF(SUMPRODUCT((CSV貼付A!$N$5:$N386=CSV貼付A!$N386)*(COUNTIF($B$37:$B$48,CSV貼付A!$H$5:$H386)=0))&gt;1,"",MAX($M$4:M385)+1)))</f>
        <v/>
      </c>
      <c r="N386" s="0" t="str">
        <f aca="false">IFERROR(INDEX(CSV貼付A!$N$5:$N$1004,MATCH(ROW()-4,$M$5:$M$1004,0)),"")</f>
        <v/>
      </c>
      <c r="O386" s="0" t="str">
        <f aca="false">IF(CSV貼付B!$N386="","",IF(COUNTIF($B$37:$B$48,CSV貼付B!$H386)&gt;0,"",IF(SUMPRODUCT((CSV貼付B!$N$5:$N386=CSV貼付B!$N386)*(COUNTIF($B$37:$B$48,CSV貼付B!$H$5:$H386)=0))&gt;1,"",MAX($O$4:O385)+1)))</f>
        <v/>
      </c>
      <c r="P386" s="0" t="str">
        <f aca="false">IFERROR(INDEX(CSV貼付B!$N$5:$N$1004,MATCH(ROW()-4,$O$5:$O$1004,0)),"")</f>
        <v/>
      </c>
      <c r="Q386" s="0" t="str">
        <f aca="false">IF(ROW()-4&lt;=MAX($M$5:$M$1004),IFERROR(INDEX($N$5:$N$1004,ROW()-4),""),IFERROR(INDEX($P$5:$P$1004,ROW()-4-MAX($M$5:$M$1004)),""))</f>
        <v/>
      </c>
    </row>
    <row r="387" customFormat="false" ht="15" hidden="false" customHeight="false" outlineLevel="0" collapsed="false">
      <c r="M387" s="0" t="str">
        <f aca="false">IF(CSV貼付A!$N387="","",IF(COUNTIF($B$37:$B$48,CSV貼付A!$H387)&gt;0,"",IF(SUMPRODUCT((CSV貼付A!$N$5:$N387=CSV貼付A!$N387)*(COUNTIF($B$37:$B$48,CSV貼付A!$H$5:$H387)=0))&gt;1,"",MAX($M$4:M386)+1)))</f>
        <v/>
      </c>
      <c r="N387" s="0" t="str">
        <f aca="false">IFERROR(INDEX(CSV貼付A!$N$5:$N$1004,MATCH(ROW()-4,$M$5:$M$1004,0)),"")</f>
        <v/>
      </c>
      <c r="O387" s="0" t="str">
        <f aca="false">IF(CSV貼付B!$N387="","",IF(COUNTIF($B$37:$B$48,CSV貼付B!$H387)&gt;0,"",IF(SUMPRODUCT((CSV貼付B!$N$5:$N387=CSV貼付B!$N387)*(COUNTIF($B$37:$B$48,CSV貼付B!$H$5:$H387)=0))&gt;1,"",MAX($O$4:O386)+1)))</f>
        <v/>
      </c>
      <c r="P387" s="0" t="str">
        <f aca="false">IFERROR(INDEX(CSV貼付B!$N$5:$N$1004,MATCH(ROW()-4,$O$5:$O$1004,0)),"")</f>
        <v/>
      </c>
      <c r="Q387" s="0" t="str">
        <f aca="false">IF(ROW()-4&lt;=MAX($M$5:$M$1004),IFERROR(INDEX($N$5:$N$1004,ROW()-4),""),IFERROR(INDEX($P$5:$P$1004,ROW()-4-MAX($M$5:$M$1004)),""))</f>
        <v/>
      </c>
    </row>
    <row r="388" customFormat="false" ht="15" hidden="false" customHeight="false" outlineLevel="0" collapsed="false">
      <c r="M388" s="0" t="str">
        <f aca="false">IF(CSV貼付A!$N388="","",IF(COUNTIF($B$37:$B$48,CSV貼付A!$H388)&gt;0,"",IF(SUMPRODUCT((CSV貼付A!$N$5:$N388=CSV貼付A!$N388)*(COUNTIF($B$37:$B$48,CSV貼付A!$H$5:$H388)=0))&gt;1,"",MAX($M$4:M387)+1)))</f>
        <v/>
      </c>
      <c r="N388" s="0" t="str">
        <f aca="false">IFERROR(INDEX(CSV貼付A!$N$5:$N$1004,MATCH(ROW()-4,$M$5:$M$1004,0)),"")</f>
        <v/>
      </c>
      <c r="O388" s="0" t="str">
        <f aca="false">IF(CSV貼付B!$N388="","",IF(COUNTIF($B$37:$B$48,CSV貼付B!$H388)&gt;0,"",IF(SUMPRODUCT((CSV貼付B!$N$5:$N388=CSV貼付B!$N388)*(COUNTIF($B$37:$B$48,CSV貼付B!$H$5:$H388)=0))&gt;1,"",MAX($O$4:O387)+1)))</f>
        <v/>
      </c>
      <c r="P388" s="0" t="str">
        <f aca="false">IFERROR(INDEX(CSV貼付B!$N$5:$N$1004,MATCH(ROW()-4,$O$5:$O$1004,0)),"")</f>
        <v/>
      </c>
      <c r="Q388" s="0" t="str">
        <f aca="false">IF(ROW()-4&lt;=MAX($M$5:$M$1004),IFERROR(INDEX($N$5:$N$1004,ROW()-4),""),IFERROR(INDEX($P$5:$P$1004,ROW()-4-MAX($M$5:$M$1004)),""))</f>
        <v/>
      </c>
    </row>
    <row r="389" customFormat="false" ht="15" hidden="false" customHeight="false" outlineLevel="0" collapsed="false">
      <c r="M389" s="0" t="str">
        <f aca="false">IF(CSV貼付A!$N389="","",IF(COUNTIF($B$37:$B$48,CSV貼付A!$H389)&gt;0,"",IF(SUMPRODUCT((CSV貼付A!$N$5:$N389=CSV貼付A!$N389)*(COUNTIF($B$37:$B$48,CSV貼付A!$H$5:$H389)=0))&gt;1,"",MAX($M$4:M388)+1)))</f>
        <v/>
      </c>
      <c r="N389" s="0" t="str">
        <f aca="false">IFERROR(INDEX(CSV貼付A!$N$5:$N$1004,MATCH(ROW()-4,$M$5:$M$1004,0)),"")</f>
        <v/>
      </c>
      <c r="O389" s="0" t="str">
        <f aca="false">IF(CSV貼付B!$N389="","",IF(COUNTIF($B$37:$B$48,CSV貼付B!$H389)&gt;0,"",IF(SUMPRODUCT((CSV貼付B!$N$5:$N389=CSV貼付B!$N389)*(COUNTIF($B$37:$B$48,CSV貼付B!$H$5:$H389)=0))&gt;1,"",MAX($O$4:O388)+1)))</f>
        <v/>
      </c>
      <c r="P389" s="0" t="str">
        <f aca="false">IFERROR(INDEX(CSV貼付B!$N$5:$N$1004,MATCH(ROW()-4,$O$5:$O$1004,0)),"")</f>
        <v/>
      </c>
      <c r="Q389" s="0" t="str">
        <f aca="false">IF(ROW()-4&lt;=MAX($M$5:$M$1004),IFERROR(INDEX($N$5:$N$1004,ROW()-4),""),IFERROR(INDEX($P$5:$P$1004,ROW()-4-MAX($M$5:$M$1004)),""))</f>
        <v/>
      </c>
    </row>
    <row r="390" customFormat="false" ht="15" hidden="false" customHeight="false" outlineLevel="0" collapsed="false">
      <c r="M390" s="0" t="str">
        <f aca="false">IF(CSV貼付A!$N390="","",IF(COUNTIF($B$37:$B$48,CSV貼付A!$H390)&gt;0,"",IF(SUMPRODUCT((CSV貼付A!$N$5:$N390=CSV貼付A!$N390)*(COUNTIF($B$37:$B$48,CSV貼付A!$H$5:$H390)=0))&gt;1,"",MAX($M$4:M389)+1)))</f>
        <v/>
      </c>
      <c r="N390" s="0" t="str">
        <f aca="false">IFERROR(INDEX(CSV貼付A!$N$5:$N$1004,MATCH(ROW()-4,$M$5:$M$1004,0)),"")</f>
        <v/>
      </c>
      <c r="O390" s="0" t="str">
        <f aca="false">IF(CSV貼付B!$N390="","",IF(COUNTIF($B$37:$B$48,CSV貼付B!$H390)&gt;0,"",IF(SUMPRODUCT((CSV貼付B!$N$5:$N390=CSV貼付B!$N390)*(COUNTIF($B$37:$B$48,CSV貼付B!$H$5:$H390)=0))&gt;1,"",MAX($O$4:O389)+1)))</f>
        <v/>
      </c>
      <c r="P390" s="0" t="str">
        <f aca="false">IFERROR(INDEX(CSV貼付B!$N$5:$N$1004,MATCH(ROW()-4,$O$5:$O$1004,0)),"")</f>
        <v/>
      </c>
      <c r="Q390" s="0" t="str">
        <f aca="false">IF(ROW()-4&lt;=MAX($M$5:$M$1004),IFERROR(INDEX($N$5:$N$1004,ROW()-4),""),IFERROR(INDEX($P$5:$P$1004,ROW()-4-MAX($M$5:$M$1004)),""))</f>
        <v/>
      </c>
    </row>
    <row r="391" customFormat="false" ht="15" hidden="false" customHeight="false" outlineLevel="0" collapsed="false">
      <c r="M391" s="0" t="str">
        <f aca="false">IF(CSV貼付A!$N391="","",IF(COUNTIF($B$37:$B$48,CSV貼付A!$H391)&gt;0,"",IF(SUMPRODUCT((CSV貼付A!$N$5:$N391=CSV貼付A!$N391)*(COUNTIF($B$37:$B$48,CSV貼付A!$H$5:$H391)=0))&gt;1,"",MAX($M$4:M390)+1)))</f>
        <v/>
      </c>
      <c r="N391" s="0" t="str">
        <f aca="false">IFERROR(INDEX(CSV貼付A!$N$5:$N$1004,MATCH(ROW()-4,$M$5:$M$1004,0)),"")</f>
        <v/>
      </c>
      <c r="O391" s="0" t="str">
        <f aca="false">IF(CSV貼付B!$N391="","",IF(COUNTIF($B$37:$B$48,CSV貼付B!$H391)&gt;0,"",IF(SUMPRODUCT((CSV貼付B!$N$5:$N391=CSV貼付B!$N391)*(COUNTIF($B$37:$B$48,CSV貼付B!$H$5:$H391)=0))&gt;1,"",MAX($O$4:O390)+1)))</f>
        <v/>
      </c>
      <c r="P391" s="0" t="str">
        <f aca="false">IFERROR(INDEX(CSV貼付B!$N$5:$N$1004,MATCH(ROW()-4,$O$5:$O$1004,0)),"")</f>
        <v/>
      </c>
      <c r="Q391" s="0" t="str">
        <f aca="false">IF(ROW()-4&lt;=MAX($M$5:$M$1004),IFERROR(INDEX($N$5:$N$1004,ROW()-4),""),IFERROR(INDEX($P$5:$P$1004,ROW()-4-MAX($M$5:$M$1004)),""))</f>
        <v/>
      </c>
    </row>
    <row r="392" customFormat="false" ht="15" hidden="false" customHeight="false" outlineLevel="0" collapsed="false">
      <c r="M392" s="0" t="str">
        <f aca="false">IF(CSV貼付A!$N392="","",IF(COUNTIF($B$37:$B$48,CSV貼付A!$H392)&gt;0,"",IF(SUMPRODUCT((CSV貼付A!$N$5:$N392=CSV貼付A!$N392)*(COUNTIF($B$37:$B$48,CSV貼付A!$H$5:$H392)=0))&gt;1,"",MAX($M$4:M391)+1)))</f>
        <v/>
      </c>
      <c r="N392" s="0" t="str">
        <f aca="false">IFERROR(INDEX(CSV貼付A!$N$5:$N$1004,MATCH(ROW()-4,$M$5:$M$1004,0)),"")</f>
        <v/>
      </c>
      <c r="O392" s="0" t="str">
        <f aca="false">IF(CSV貼付B!$N392="","",IF(COUNTIF($B$37:$B$48,CSV貼付B!$H392)&gt;0,"",IF(SUMPRODUCT((CSV貼付B!$N$5:$N392=CSV貼付B!$N392)*(COUNTIF($B$37:$B$48,CSV貼付B!$H$5:$H392)=0))&gt;1,"",MAX($O$4:O391)+1)))</f>
        <v/>
      </c>
      <c r="P392" s="0" t="str">
        <f aca="false">IFERROR(INDEX(CSV貼付B!$N$5:$N$1004,MATCH(ROW()-4,$O$5:$O$1004,0)),"")</f>
        <v/>
      </c>
      <c r="Q392" s="0" t="str">
        <f aca="false">IF(ROW()-4&lt;=MAX($M$5:$M$1004),IFERROR(INDEX($N$5:$N$1004,ROW()-4),""),IFERROR(INDEX($P$5:$P$1004,ROW()-4-MAX($M$5:$M$1004)),""))</f>
        <v/>
      </c>
    </row>
    <row r="393" customFormat="false" ht="15" hidden="false" customHeight="false" outlineLevel="0" collapsed="false">
      <c r="M393" s="0" t="str">
        <f aca="false">IF(CSV貼付A!$N393="","",IF(COUNTIF($B$37:$B$48,CSV貼付A!$H393)&gt;0,"",IF(SUMPRODUCT((CSV貼付A!$N$5:$N393=CSV貼付A!$N393)*(COUNTIF($B$37:$B$48,CSV貼付A!$H$5:$H393)=0))&gt;1,"",MAX($M$4:M392)+1)))</f>
        <v/>
      </c>
      <c r="N393" s="0" t="str">
        <f aca="false">IFERROR(INDEX(CSV貼付A!$N$5:$N$1004,MATCH(ROW()-4,$M$5:$M$1004,0)),"")</f>
        <v/>
      </c>
      <c r="O393" s="0" t="str">
        <f aca="false">IF(CSV貼付B!$N393="","",IF(COUNTIF($B$37:$B$48,CSV貼付B!$H393)&gt;0,"",IF(SUMPRODUCT((CSV貼付B!$N$5:$N393=CSV貼付B!$N393)*(COUNTIF($B$37:$B$48,CSV貼付B!$H$5:$H393)=0))&gt;1,"",MAX($O$4:O392)+1)))</f>
        <v/>
      </c>
      <c r="P393" s="0" t="str">
        <f aca="false">IFERROR(INDEX(CSV貼付B!$N$5:$N$1004,MATCH(ROW()-4,$O$5:$O$1004,0)),"")</f>
        <v/>
      </c>
      <c r="Q393" s="0" t="str">
        <f aca="false">IF(ROW()-4&lt;=MAX($M$5:$M$1004),IFERROR(INDEX($N$5:$N$1004,ROW()-4),""),IFERROR(INDEX($P$5:$P$1004,ROW()-4-MAX($M$5:$M$1004)),""))</f>
        <v/>
      </c>
    </row>
    <row r="394" customFormat="false" ht="15" hidden="false" customHeight="false" outlineLevel="0" collapsed="false">
      <c r="M394" s="0" t="str">
        <f aca="false">IF(CSV貼付A!$N394="","",IF(COUNTIF($B$37:$B$48,CSV貼付A!$H394)&gt;0,"",IF(SUMPRODUCT((CSV貼付A!$N$5:$N394=CSV貼付A!$N394)*(COUNTIF($B$37:$B$48,CSV貼付A!$H$5:$H394)=0))&gt;1,"",MAX($M$4:M393)+1)))</f>
        <v/>
      </c>
      <c r="N394" s="0" t="str">
        <f aca="false">IFERROR(INDEX(CSV貼付A!$N$5:$N$1004,MATCH(ROW()-4,$M$5:$M$1004,0)),"")</f>
        <v/>
      </c>
      <c r="O394" s="0" t="str">
        <f aca="false">IF(CSV貼付B!$N394="","",IF(COUNTIF($B$37:$B$48,CSV貼付B!$H394)&gt;0,"",IF(SUMPRODUCT((CSV貼付B!$N$5:$N394=CSV貼付B!$N394)*(COUNTIF($B$37:$B$48,CSV貼付B!$H$5:$H394)=0))&gt;1,"",MAX($O$4:O393)+1)))</f>
        <v/>
      </c>
      <c r="P394" s="0" t="str">
        <f aca="false">IFERROR(INDEX(CSV貼付B!$N$5:$N$1004,MATCH(ROW()-4,$O$5:$O$1004,0)),"")</f>
        <v/>
      </c>
      <c r="Q394" s="0" t="str">
        <f aca="false">IF(ROW()-4&lt;=MAX($M$5:$M$1004),IFERROR(INDEX($N$5:$N$1004,ROW()-4),""),IFERROR(INDEX($P$5:$P$1004,ROW()-4-MAX($M$5:$M$1004)),""))</f>
        <v/>
      </c>
    </row>
    <row r="395" customFormat="false" ht="15" hidden="false" customHeight="false" outlineLevel="0" collapsed="false">
      <c r="M395" s="0" t="str">
        <f aca="false">IF(CSV貼付A!$N395="","",IF(COUNTIF($B$37:$B$48,CSV貼付A!$H395)&gt;0,"",IF(SUMPRODUCT((CSV貼付A!$N$5:$N395=CSV貼付A!$N395)*(COUNTIF($B$37:$B$48,CSV貼付A!$H$5:$H395)=0))&gt;1,"",MAX($M$4:M394)+1)))</f>
        <v/>
      </c>
      <c r="N395" s="0" t="str">
        <f aca="false">IFERROR(INDEX(CSV貼付A!$N$5:$N$1004,MATCH(ROW()-4,$M$5:$M$1004,0)),"")</f>
        <v/>
      </c>
      <c r="O395" s="0" t="str">
        <f aca="false">IF(CSV貼付B!$N395="","",IF(COUNTIF($B$37:$B$48,CSV貼付B!$H395)&gt;0,"",IF(SUMPRODUCT((CSV貼付B!$N$5:$N395=CSV貼付B!$N395)*(COUNTIF($B$37:$B$48,CSV貼付B!$H$5:$H395)=0))&gt;1,"",MAX($O$4:O394)+1)))</f>
        <v/>
      </c>
      <c r="P395" s="0" t="str">
        <f aca="false">IFERROR(INDEX(CSV貼付B!$N$5:$N$1004,MATCH(ROW()-4,$O$5:$O$1004,0)),"")</f>
        <v/>
      </c>
      <c r="Q395" s="0" t="str">
        <f aca="false">IF(ROW()-4&lt;=MAX($M$5:$M$1004),IFERROR(INDEX($N$5:$N$1004,ROW()-4),""),IFERROR(INDEX($P$5:$P$1004,ROW()-4-MAX($M$5:$M$1004)),""))</f>
        <v/>
      </c>
    </row>
    <row r="396" customFormat="false" ht="15" hidden="false" customHeight="false" outlineLevel="0" collapsed="false">
      <c r="M396" s="0" t="str">
        <f aca="false">IF(CSV貼付A!$N396="","",IF(COUNTIF($B$37:$B$48,CSV貼付A!$H396)&gt;0,"",IF(SUMPRODUCT((CSV貼付A!$N$5:$N396=CSV貼付A!$N396)*(COUNTIF($B$37:$B$48,CSV貼付A!$H$5:$H396)=0))&gt;1,"",MAX($M$4:M395)+1)))</f>
        <v/>
      </c>
      <c r="N396" s="0" t="str">
        <f aca="false">IFERROR(INDEX(CSV貼付A!$N$5:$N$1004,MATCH(ROW()-4,$M$5:$M$1004,0)),"")</f>
        <v/>
      </c>
      <c r="O396" s="0" t="str">
        <f aca="false">IF(CSV貼付B!$N396="","",IF(COUNTIF($B$37:$B$48,CSV貼付B!$H396)&gt;0,"",IF(SUMPRODUCT((CSV貼付B!$N$5:$N396=CSV貼付B!$N396)*(COUNTIF($B$37:$B$48,CSV貼付B!$H$5:$H396)=0))&gt;1,"",MAX($O$4:O395)+1)))</f>
        <v/>
      </c>
      <c r="P396" s="0" t="str">
        <f aca="false">IFERROR(INDEX(CSV貼付B!$N$5:$N$1004,MATCH(ROW()-4,$O$5:$O$1004,0)),"")</f>
        <v/>
      </c>
      <c r="Q396" s="0" t="str">
        <f aca="false">IF(ROW()-4&lt;=MAX($M$5:$M$1004),IFERROR(INDEX($N$5:$N$1004,ROW()-4),""),IFERROR(INDEX($P$5:$P$1004,ROW()-4-MAX($M$5:$M$1004)),""))</f>
        <v/>
      </c>
    </row>
    <row r="397" customFormat="false" ht="15" hidden="false" customHeight="false" outlineLevel="0" collapsed="false">
      <c r="M397" s="0" t="str">
        <f aca="false">IF(CSV貼付A!$N397="","",IF(COUNTIF($B$37:$B$48,CSV貼付A!$H397)&gt;0,"",IF(SUMPRODUCT((CSV貼付A!$N$5:$N397=CSV貼付A!$N397)*(COUNTIF($B$37:$B$48,CSV貼付A!$H$5:$H397)=0))&gt;1,"",MAX($M$4:M396)+1)))</f>
        <v/>
      </c>
      <c r="N397" s="0" t="str">
        <f aca="false">IFERROR(INDEX(CSV貼付A!$N$5:$N$1004,MATCH(ROW()-4,$M$5:$M$1004,0)),"")</f>
        <v/>
      </c>
      <c r="O397" s="0" t="str">
        <f aca="false">IF(CSV貼付B!$N397="","",IF(COUNTIF($B$37:$B$48,CSV貼付B!$H397)&gt;0,"",IF(SUMPRODUCT((CSV貼付B!$N$5:$N397=CSV貼付B!$N397)*(COUNTIF($B$37:$B$48,CSV貼付B!$H$5:$H397)=0))&gt;1,"",MAX($O$4:O396)+1)))</f>
        <v/>
      </c>
      <c r="P397" s="0" t="str">
        <f aca="false">IFERROR(INDEX(CSV貼付B!$N$5:$N$1004,MATCH(ROW()-4,$O$5:$O$1004,0)),"")</f>
        <v/>
      </c>
      <c r="Q397" s="0" t="str">
        <f aca="false">IF(ROW()-4&lt;=MAX($M$5:$M$1004),IFERROR(INDEX($N$5:$N$1004,ROW()-4),""),IFERROR(INDEX($P$5:$P$1004,ROW()-4-MAX($M$5:$M$1004)),""))</f>
        <v/>
      </c>
    </row>
    <row r="398" customFormat="false" ht="15" hidden="false" customHeight="false" outlineLevel="0" collapsed="false">
      <c r="M398" s="0" t="str">
        <f aca="false">IF(CSV貼付A!$N398="","",IF(COUNTIF($B$37:$B$48,CSV貼付A!$H398)&gt;0,"",IF(SUMPRODUCT((CSV貼付A!$N$5:$N398=CSV貼付A!$N398)*(COUNTIF($B$37:$B$48,CSV貼付A!$H$5:$H398)=0))&gt;1,"",MAX($M$4:M397)+1)))</f>
        <v/>
      </c>
      <c r="N398" s="0" t="str">
        <f aca="false">IFERROR(INDEX(CSV貼付A!$N$5:$N$1004,MATCH(ROW()-4,$M$5:$M$1004,0)),"")</f>
        <v/>
      </c>
      <c r="O398" s="0" t="str">
        <f aca="false">IF(CSV貼付B!$N398="","",IF(COUNTIF($B$37:$B$48,CSV貼付B!$H398)&gt;0,"",IF(SUMPRODUCT((CSV貼付B!$N$5:$N398=CSV貼付B!$N398)*(COUNTIF($B$37:$B$48,CSV貼付B!$H$5:$H398)=0))&gt;1,"",MAX($O$4:O397)+1)))</f>
        <v/>
      </c>
      <c r="P398" s="0" t="str">
        <f aca="false">IFERROR(INDEX(CSV貼付B!$N$5:$N$1004,MATCH(ROW()-4,$O$5:$O$1004,0)),"")</f>
        <v/>
      </c>
      <c r="Q398" s="0" t="str">
        <f aca="false">IF(ROW()-4&lt;=MAX($M$5:$M$1004),IFERROR(INDEX($N$5:$N$1004,ROW()-4),""),IFERROR(INDEX($P$5:$P$1004,ROW()-4-MAX($M$5:$M$1004)),""))</f>
        <v/>
      </c>
    </row>
    <row r="399" customFormat="false" ht="15" hidden="false" customHeight="false" outlineLevel="0" collapsed="false">
      <c r="M399" s="0" t="str">
        <f aca="false">IF(CSV貼付A!$N399="","",IF(COUNTIF($B$37:$B$48,CSV貼付A!$H399)&gt;0,"",IF(SUMPRODUCT((CSV貼付A!$N$5:$N399=CSV貼付A!$N399)*(COUNTIF($B$37:$B$48,CSV貼付A!$H$5:$H399)=0))&gt;1,"",MAX($M$4:M398)+1)))</f>
        <v/>
      </c>
      <c r="N399" s="0" t="str">
        <f aca="false">IFERROR(INDEX(CSV貼付A!$N$5:$N$1004,MATCH(ROW()-4,$M$5:$M$1004,0)),"")</f>
        <v/>
      </c>
      <c r="O399" s="0" t="str">
        <f aca="false">IF(CSV貼付B!$N399="","",IF(COUNTIF($B$37:$B$48,CSV貼付B!$H399)&gt;0,"",IF(SUMPRODUCT((CSV貼付B!$N$5:$N399=CSV貼付B!$N399)*(COUNTIF($B$37:$B$48,CSV貼付B!$H$5:$H399)=0))&gt;1,"",MAX($O$4:O398)+1)))</f>
        <v/>
      </c>
      <c r="P399" s="0" t="str">
        <f aca="false">IFERROR(INDEX(CSV貼付B!$N$5:$N$1004,MATCH(ROW()-4,$O$5:$O$1004,0)),"")</f>
        <v/>
      </c>
      <c r="Q399" s="0" t="str">
        <f aca="false">IF(ROW()-4&lt;=MAX($M$5:$M$1004),IFERROR(INDEX($N$5:$N$1004,ROW()-4),""),IFERROR(INDEX($P$5:$P$1004,ROW()-4-MAX($M$5:$M$1004)),""))</f>
        <v/>
      </c>
    </row>
    <row r="400" customFormat="false" ht="15" hidden="false" customHeight="false" outlineLevel="0" collapsed="false">
      <c r="M400" s="0" t="str">
        <f aca="false">IF(CSV貼付A!$N400="","",IF(COUNTIF($B$37:$B$48,CSV貼付A!$H400)&gt;0,"",IF(SUMPRODUCT((CSV貼付A!$N$5:$N400=CSV貼付A!$N400)*(COUNTIF($B$37:$B$48,CSV貼付A!$H$5:$H400)=0))&gt;1,"",MAX($M$4:M399)+1)))</f>
        <v/>
      </c>
      <c r="N400" s="0" t="str">
        <f aca="false">IFERROR(INDEX(CSV貼付A!$N$5:$N$1004,MATCH(ROW()-4,$M$5:$M$1004,0)),"")</f>
        <v/>
      </c>
      <c r="O400" s="0" t="str">
        <f aca="false">IF(CSV貼付B!$N400="","",IF(COUNTIF($B$37:$B$48,CSV貼付B!$H400)&gt;0,"",IF(SUMPRODUCT((CSV貼付B!$N$5:$N400=CSV貼付B!$N400)*(COUNTIF($B$37:$B$48,CSV貼付B!$H$5:$H400)=0))&gt;1,"",MAX($O$4:O399)+1)))</f>
        <v/>
      </c>
      <c r="P400" s="0" t="str">
        <f aca="false">IFERROR(INDEX(CSV貼付B!$N$5:$N$1004,MATCH(ROW()-4,$O$5:$O$1004,0)),"")</f>
        <v/>
      </c>
      <c r="Q400" s="0" t="str">
        <f aca="false">IF(ROW()-4&lt;=MAX($M$5:$M$1004),IFERROR(INDEX($N$5:$N$1004,ROW()-4),""),IFERROR(INDEX($P$5:$P$1004,ROW()-4-MAX($M$5:$M$1004)),""))</f>
        <v/>
      </c>
    </row>
    <row r="401" customFormat="false" ht="15" hidden="false" customHeight="false" outlineLevel="0" collapsed="false">
      <c r="M401" s="0" t="str">
        <f aca="false">IF(CSV貼付A!$N401="","",IF(COUNTIF($B$37:$B$48,CSV貼付A!$H401)&gt;0,"",IF(SUMPRODUCT((CSV貼付A!$N$5:$N401=CSV貼付A!$N401)*(COUNTIF($B$37:$B$48,CSV貼付A!$H$5:$H401)=0))&gt;1,"",MAX($M$4:M400)+1)))</f>
        <v/>
      </c>
      <c r="N401" s="0" t="str">
        <f aca="false">IFERROR(INDEX(CSV貼付A!$N$5:$N$1004,MATCH(ROW()-4,$M$5:$M$1004,0)),"")</f>
        <v/>
      </c>
      <c r="O401" s="0" t="str">
        <f aca="false">IF(CSV貼付B!$N401="","",IF(COUNTIF($B$37:$B$48,CSV貼付B!$H401)&gt;0,"",IF(SUMPRODUCT((CSV貼付B!$N$5:$N401=CSV貼付B!$N401)*(COUNTIF($B$37:$B$48,CSV貼付B!$H$5:$H401)=0))&gt;1,"",MAX($O$4:O400)+1)))</f>
        <v/>
      </c>
      <c r="P401" s="0" t="str">
        <f aca="false">IFERROR(INDEX(CSV貼付B!$N$5:$N$1004,MATCH(ROW()-4,$O$5:$O$1004,0)),"")</f>
        <v/>
      </c>
      <c r="Q401" s="0" t="str">
        <f aca="false">IF(ROW()-4&lt;=MAX($M$5:$M$1004),IFERROR(INDEX($N$5:$N$1004,ROW()-4),""),IFERROR(INDEX($P$5:$P$1004,ROW()-4-MAX($M$5:$M$1004)),""))</f>
        <v/>
      </c>
    </row>
    <row r="402" customFormat="false" ht="15" hidden="false" customHeight="false" outlineLevel="0" collapsed="false">
      <c r="M402" s="0" t="str">
        <f aca="false">IF(CSV貼付A!$N402="","",IF(COUNTIF($B$37:$B$48,CSV貼付A!$H402)&gt;0,"",IF(SUMPRODUCT((CSV貼付A!$N$5:$N402=CSV貼付A!$N402)*(COUNTIF($B$37:$B$48,CSV貼付A!$H$5:$H402)=0))&gt;1,"",MAX($M$4:M401)+1)))</f>
        <v/>
      </c>
      <c r="N402" s="0" t="str">
        <f aca="false">IFERROR(INDEX(CSV貼付A!$N$5:$N$1004,MATCH(ROW()-4,$M$5:$M$1004,0)),"")</f>
        <v/>
      </c>
      <c r="O402" s="0" t="str">
        <f aca="false">IF(CSV貼付B!$N402="","",IF(COUNTIF($B$37:$B$48,CSV貼付B!$H402)&gt;0,"",IF(SUMPRODUCT((CSV貼付B!$N$5:$N402=CSV貼付B!$N402)*(COUNTIF($B$37:$B$48,CSV貼付B!$H$5:$H402)=0))&gt;1,"",MAX($O$4:O401)+1)))</f>
        <v/>
      </c>
      <c r="P402" s="0" t="str">
        <f aca="false">IFERROR(INDEX(CSV貼付B!$N$5:$N$1004,MATCH(ROW()-4,$O$5:$O$1004,0)),"")</f>
        <v/>
      </c>
      <c r="Q402" s="0" t="str">
        <f aca="false">IF(ROW()-4&lt;=MAX($M$5:$M$1004),IFERROR(INDEX($N$5:$N$1004,ROW()-4),""),IFERROR(INDEX($P$5:$P$1004,ROW()-4-MAX($M$5:$M$1004)),""))</f>
        <v/>
      </c>
    </row>
    <row r="403" customFormat="false" ht="15" hidden="false" customHeight="false" outlineLevel="0" collapsed="false">
      <c r="M403" s="0" t="str">
        <f aca="false">IF(CSV貼付A!$N403="","",IF(COUNTIF($B$37:$B$48,CSV貼付A!$H403)&gt;0,"",IF(SUMPRODUCT((CSV貼付A!$N$5:$N403=CSV貼付A!$N403)*(COUNTIF($B$37:$B$48,CSV貼付A!$H$5:$H403)=0))&gt;1,"",MAX($M$4:M402)+1)))</f>
        <v/>
      </c>
      <c r="N403" s="0" t="str">
        <f aca="false">IFERROR(INDEX(CSV貼付A!$N$5:$N$1004,MATCH(ROW()-4,$M$5:$M$1004,0)),"")</f>
        <v/>
      </c>
      <c r="O403" s="0" t="str">
        <f aca="false">IF(CSV貼付B!$N403="","",IF(COUNTIF($B$37:$B$48,CSV貼付B!$H403)&gt;0,"",IF(SUMPRODUCT((CSV貼付B!$N$5:$N403=CSV貼付B!$N403)*(COUNTIF($B$37:$B$48,CSV貼付B!$H$5:$H403)=0))&gt;1,"",MAX($O$4:O402)+1)))</f>
        <v/>
      </c>
      <c r="P403" s="0" t="str">
        <f aca="false">IFERROR(INDEX(CSV貼付B!$N$5:$N$1004,MATCH(ROW()-4,$O$5:$O$1004,0)),"")</f>
        <v/>
      </c>
      <c r="Q403" s="0" t="str">
        <f aca="false">IF(ROW()-4&lt;=MAX($M$5:$M$1004),IFERROR(INDEX($N$5:$N$1004,ROW()-4),""),IFERROR(INDEX($P$5:$P$1004,ROW()-4-MAX($M$5:$M$1004)),""))</f>
        <v/>
      </c>
    </row>
    <row r="404" customFormat="false" ht="15" hidden="false" customHeight="false" outlineLevel="0" collapsed="false">
      <c r="M404" s="0" t="str">
        <f aca="false">IF(CSV貼付A!$N404="","",IF(COUNTIF($B$37:$B$48,CSV貼付A!$H404)&gt;0,"",IF(SUMPRODUCT((CSV貼付A!$N$5:$N404=CSV貼付A!$N404)*(COUNTIF($B$37:$B$48,CSV貼付A!$H$5:$H404)=0))&gt;1,"",MAX($M$4:M403)+1)))</f>
        <v/>
      </c>
      <c r="N404" s="0" t="str">
        <f aca="false">IFERROR(INDEX(CSV貼付A!$N$5:$N$1004,MATCH(ROW()-4,$M$5:$M$1004,0)),"")</f>
        <v/>
      </c>
      <c r="O404" s="0" t="str">
        <f aca="false">IF(CSV貼付B!$N404="","",IF(COUNTIF($B$37:$B$48,CSV貼付B!$H404)&gt;0,"",IF(SUMPRODUCT((CSV貼付B!$N$5:$N404=CSV貼付B!$N404)*(COUNTIF($B$37:$B$48,CSV貼付B!$H$5:$H404)=0))&gt;1,"",MAX($O$4:O403)+1)))</f>
        <v/>
      </c>
      <c r="P404" s="0" t="str">
        <f aca="false">IFERROR(INDEX(CSV貼付B!$N$5:$N$1004,MATCH(ROW()-4,$O$5:$O$1004,0)),"")</f>
        <v/>
      </c>
      <c r="Q404" s="0" t="str">
        <f aca="false">IF(ROW()-4&lt;=MAX($M$5:$M$1004),IFERROR(INDEX($N$5:$N$1004,ROW()-4),""),IFERROR(INDEX($P$5:$P$1004,ROW()-4-MAX($M$5:$M$1004)),""))</f>
        <v/>
      </c>
    </row>
    <row r="405" customFormat="false" ht="15" hidden="false" customHeight="false" outlineLevel="0" collapsed="false">
      <c r="M405" s="0" t="str">
        <f aca="false">IF(CSV貼付A!$N405="","",IF(COUNTIF($B$37:$B$48,CSV貼付A!$H405)&gt;0,"",IF(SUMPRODUCT((CSV貼付A!$N$5:$N405=CSV貼付A!$N405)*(COUNTIF($B$37:$B$48,CSV貼付A!$H$5:$H405)=0))&gt;1,"",MAX($M$4:M404)+1)))</f>
        <v/>
      </c>
      <c r="N405" s="0" t="str">
        <f aca="false">IFERROR(INDEX(CSV貼付A!$N$5:$N$1004,MATCH(ROW()-4,$M$5:$M$1004,0)),"")</f>
        <v/>
      </c>
      <c r="O405" s="0" t="str">
        <f aca="false">IF(CSV貼付B!$N405="","",IF(COUNTIF($B$37:$B$48,CSV貼付B!$H405)&gt;0,"",IF(SUMPRODUCT((CSV貼付B!$N$5:$N405=CSV貼付B!$N405)*(COUNTIF($B$37:$B$48,CSV貼付B!$H$5:$H405)=0))&gt;1,"",MAX($O$4:O404)+1)))</f>
        <v/>
      </c>
      <c r="P405" s="0" t="str">
        <f aca="false">IFERROR(INDEX(CSV貼付B!$N$5:$N$1004,MATCH(ROW()-4,$O$5:$O$1004,0)),"")</f>
        <v/>
      </c>
      <c r="Q405" s="0" t="str">
        <f aca="false">IF(ROW()-4&lt;=MAX($M$5:$M$1004),IFERROR(INDEX($N$5:$N$1004,ROW()-4),""),IFERROR(INDEX($P$5:$P$1004,ROW()-4-MAX($M$5:$M$1004)),""))</f>
        <v/>
      </c>
    </row>
    <row r="406" customFormat="false" ht="15" hidden="false" customHeight="false" outlineLevel="0" collapsed="false">
      <c r="M406" s="0" t="str">
        <f aca="false">IF(CSV貼付A!$N406="","",IF(COUNTIF($B$37:$B$48,CSV貼付A!$H406)&gt;0,"",IF(SUMPRODUCT((CSV貼付A!$N$5:$N406=CSV貼付A!$N406)*(COUNTIF($B$37:$B$48,CSV貼付A!$H$5:$H406)=0))&gt;1,"",MAX($M$4:M405)+1)))</f>
        <v/>
      </c>
      <c r="N406" s="0" t="str">
        <f aca="false">IFERROR(INDEX(CSV貼付A!$N$5:$N$1004,MATCH(ROW()-4,$M$5:$M$1004,0)),"")</f>
        <v/>
      </c>
      <c r="O406" s="0" t="str">
        <f aca="false">IF(CSV貼付B!$N406="","",IF(COUNTIF($B$37:$B$48,CSV貼付B!$H406)&gt;0,"",IF(SUMPRODUCT((CSV貼付B!$N$5:$N406=CSV貼付B!$N406)*(COUNTIF($B$37:$B$48,CSV貼付B!$H$5:$H406)=0))&gt;1,"",MAX($O$4:O405)+1)))</f>
        <v/>
      </c>
      <c r="P406" s="0" t="str">
        <f aca="false">IFERROR(INDEX(CSV貼付B!$N$5:$N$1004,MATCH(ROW()-4,$O$5:$O$1004,0)),"")</f>
        <v/>
      </c>
      <c r="Q406" s="0" t="str">
        <f aca="false">IF(ROW()-4&lt;=MAX($M$5:$M$1004),IFERROR(INDEX($N$5:$N$1004,ROW()-4),""),IFERROR(INDEX($P$5:$P$1004,ROW()-4-MAX($M$5:$M$1004)),""))</f>
        <v/>
      </c>
    </row>
    <row r="407" customFormat="false" ht="15" hidden="false" customHeight="false" outlineLevel="0" collapsed="false">
      <c r="M407" s="0" t="str">
        <f aca="false">IF(CSV貼付A!$N407="","",IF(COUNTIF($B$37:$B$48,CSV貼付A!$H407)&gt;0,"",IF(SUMPRODUCT((CSV貼付A!$N$5:$N407=CSV貼付A!$N407)*(COUNTIF($B$37:$B$48,CSV貼付A!$H$5:$H407)=0))&gt;1,"",MAX($M$4:M406)+1)))</f>
        <v/>
      </c>
      <c r="N407" s="0" t="str">
        <f aca="false">IFERROR(INDEX(CSV貼付A!$N$5:$N$1004,MATCH(ROW()-4,$M$5:$M$1004,0)),"")</f>
        <v/>
      </c>
      <c r="O407" s="0" t="str">
        <f aca="false">IF(CSV貼付B!$N407="","",IF(COUNTIF($B$37:$B$48,CSV貼付B!$H407)&gt;0,"",IF(SUMPRODUCT((CSV貼付B!$N$5:$N407=CSV貼付B!$N407)*(COUNTIF($B$37:$B$48,CSV貼付B!$H$5:$H407)=0))&gt;1,"",MAX($O$4:O406)+1)))</f>
        <v/>
      </c>
      <c r="P407" s="0" t="str">
        <f aca="false">IFERROR(INDEX(CSV貼付B!$N$5:$N$1004,MATCH(ROW()-4,$O$5:$O$1004,0)),"")</f>
        <v/>
      </c>
      <c r="Q407" s="0" t="str">
        <f aca="false">IF(ROW()-4&lt;=MAX($M$5:$M$1004),IFERROR(INDEX($N$5:$N$1004,ROW()-4),""),IFERROR(INDEX($P$5:$P$1004,ROW()-4-MAX($M$5:$M$1004)),""))</f>
        <v/>
      </c>
    </row>
    <row r="408" customFormat="false" ht="15" hidden="false" customHeight="false" outlineLevel="0" collapsed="false">
      <c r="M408" s="0" t="str">
        <f aca="false">IF(CSV貼付A!$N408="","",IF(COUNTIF($B$37:$B$48,CSV貼付A!$H408)&gt;0,"",IF(SUMPRODUCT((CSV貼付A!$N$5:$N408=CSV貼付A!$N408)*(COUNTIF($B$37:$B$48,CSV貼付A!$H$5:$H408)=0))&gt;1,"",MAX($M$4:M407)+1)))</f>
        <v/>
      </c>
      <c r="N408" s="0" t="str">
        <f aca="false">IFERROR(INDEX(CSV貼付A!$N$5:$N$1004,MATCH(ROW()-4,$M$5:$M$1004,0)),"")</f>
        <v/>
      </c>
      <c r="O408" s="0" t="str">
        <f aca="false">IF(CSV貼付B!$N408="","",IF(COUNTIF($B$37:$B$48,CSV貼付B!$H408)&gt;0,"",IF(SUMPRODUCT((CSV貼付B!$N$5:$N408=CSV貼付B!$N408)*(COUNTIF($B$37:$B$48,CSV貼付B!$H$5:$H408)=0))&gt;1,"",MAX($O$4:O407)+1)))</f>
        <v/>
      </c>
      <c r="P408" s="0" t="str">
        <f aca="false">IFERROR(INDEX(CSV貼付B!$N$5:$N$1004,MATCH(ROW()-4,$O$5:$O$1004,0)),"")</f>
        <v/>
      </c>
      <c r="Q408" s="0" t="str">
        <f aca="false">IF(ROW()-4&lt;=MAX($M$5:$M$1004),IFERROR(INDEX($N$5:$N$1004,ROW()-4),""),IFERROR(INDEX($P$5:$P$1004,ROW()-4-MAX($M$5:$M$1004)),""))</f>
        <v/>
      </c>
    </row>
    <row r="409" customFormat="false" ht="15" hidden="false" customHeight="false" outlineLevel="0" collapsed="false">
      <c r="M409" s="0" t="str">
        <f aca="false">IF(CSV貼付A!$N409="","",IF(COUNTIF($B$37:$B$48,CSV貼付A!$H409)&gt;0,"",IF(SUMPRODUCT((CSV貼付A!$N$5:$N409=CSV貼付A!$N409)*(COUNTIF($B$37:$B$48,CSV貼付A!$H$5:$H409)=0))&gt;1,"",MAX($M$4:M408)+1)))</f>
        <v/>
      </c>
      <c r="N409" s="0" t="str">
        <f aca="false">IFERROR(INDEX(CSV貼付A!$N$5:$N$1004,MATCH(ROW()-4,$M$5:$M$1004,0)),"")</f>
        <v/>
      </c>
      <c r="O409" s="0" t="str">
        <f aca="false">IF(CSV貼付B!$N409="","",IF(COUNTIF($B$37:$B$48,CSV貼付B!$H409)&gt;0,"",IF(SUMPRODUCT((CSV貼付B!$N$5:$N409=CSV貼付B!$N409)*(COUNTIF($B$37:$B$48,CSV貼付B!$H$5:$H409)=0))&gt;1,"",MAX($O$4:O408)+1)))</f>
        <v/>
      </c>
      <c r="P409" s="0" t="str">
        <f aca="false">IFERROR(INDEX(CSV貼付B!$N$5:$N$1004,MATCH(ROW()-4,$O$5:$O$1004,0)),"")</f>
        <v/>
      </c>
      <c r="Q409" s="0" t="str">
        <f aca="false">IF(ROW()-4&lt;=MAX($M$5:$M$1004),IFERROR(INDEX($N$5:$N$1004,ROW()-4),""),IFERROR(INDEX($P$5:$P$1004,ROW()-4-MAX($M$5:$M$1004)),""))</f>
        <v/>
      </c>
    </row>
    <row r="410" customFormat="false" ht="15" hidden="false" customHeight="false" outlineLevel="0" collapsed="false">
      <c r="M410" s="0" t="str">
        <f aca="false">IF(CSV貼付A!$N410="","",IF(COUNTIF($B$37:$B$48,CSV貼付A!$H410)&gt;0,"",IF(SUMPRODUCT((CSV貼付A!$N$5:$N410=CSV貼付A!$N410)*(COUNTIF($B$37:$B$48,CSV貼付A!$H$5:$H410)=0))&gt;1,"",MAX($M$4:M409)+1)))</f>
        <v/>
      </c>
      <c r="N410" s="0" t="str">
        <f aca="false">IFERROR(INDEX(CSV貼付A!$N$5:$N$1004,MATCH(ROW()-4,$M$5:$M$1004,0)),"")</f>
        <v/>
      </c>
      <c r="O410" s="0" t="str">
        <f aca="false">IF(CSV貼付B!$N410="","",IF(COUNTIF($B$37:$B$48,CSV貼付B!$H410)&gt;0,"",IF(SUMPRODUCT((CSV貼付B!$N$5:$N410=CSV貼付B!$N410)*(COUNTIF($B$37:$B$48,CSV貼付B!$H$5:$H410)=0))&gt;1,"",MAX($O$4:O409)+1)))</f>
        <v/>
      </c>
      <c r="P410" s="0" t="str">
        <f aca="false">IFERROR(INDEX(CSV貼付B!$N$5:$N$1004,MATCH(ROW()-4,$O$5:$O$1004,0)),"")</f>
        <v/>
      </c>
      <c r="Q410" s="0" t="str">
        <f aca="false">IF(ROW()-4&lt;=MAX($M$5:$M$1004),IFERROR(INDEX($N$5:$N$1004,ROW()-4),""),IFERROR(INDEX($P$5:$P$1004,ROW()-4-MAX($M$5:$M$1004)),""))</f>
        <v/>
      </c>
    </row>
    <row r="411" customFormat="false" ht="15" hidden="false" customHeight="false" outlineLevel="0" collapsed="false">
      <c r="M411" s="0" t="str">
        <f aca="false">IF(CSV貼付A!$N411="","",IF(COUNTIF($B$37:$B$48,CSV貼付A!$H411)&gt;0,"",IF(SUMPRODUCT((CSV貼付A!$N$5:$N411=CSV貼付A!$N411)*(COUNTIF($B$37:$B$48,CSV貼付A!$H$5:$H411)=0))&gt;1,"",MAX($M$4:M410)+1)))</f>
        <v/>
      </c>
      <c r="N411" s="0" t="str">
        <f aca="false">IFERROR(INDEX(CSV貼付A!$N$5:$N$1004,MATCH(ROW()-4,$M$5:$M$1004,0)),"")</f>
        <v/>
      </c>
      <c r="O411" s="0" t="str">
        <f aca="false">IF(CSV貼付B!$N411="","",IF(COUNTIF($B$37:$B$48,CSV貼付B!$H411)&gt;0,"",IF(SUMPRODUCT((CSV貼付B!$N$5:$N411=CSV貼付B!$N411)*(COUNTIF($B$37:$B$48,CSV貼付B!$H$5:$H411)=0))&gt;1,"",MAX($O$4:O410)+1)))</f>
        <v/>
      </c>
      <c r="P411" s="0" t="str">
        <f aca="false">IFERROR(INDEX(CSV貼付B!$N$5:$N$1004,MATCH(ROW()-4,$O$5:$O$1004,0)),"")</f>
        <v/>
      </c>
      <c r="Q411" s="0" t="str">
        <f aca="false">IF(ROW()-4&lt;=MAX($M$5:$M$1004),IFERROR(INDEX($N$5:$N$1004,ROW()-4),""),IFERROR(INDEX($P$5:$P$1004,ROW()-4-MAX($M$5:$M$1004)),""))</f>
        <v/>
      </c>
    </row>
    <row r="412" customFormat="false" ht="15" hidden="false" customHeight="false" outlineLevel="0" collapsed="false">
      <c r="M412" s="0" t="str">
        <f aca="false">IF(CSV貼付A!$N412="","",IF(COUNTIF($B$37:$B$48,CSV貼付A!$H412)&gt;0,"",IF(SUMPRODUCT((CSV貼付A!$N$5:$N412=CSV貼付A!$N412)*(COUNTIF($B$37:$B$48,CSV貼付A!$H$5:$H412)=0))&gt;1,"",MAX($M$4:M411)+1)))</f>
        <v/>
      </c>
      <c r="N412" s="0" t="str">
        <f aca="false">IFERROR(INDEX(CSV貼付A!$N$5:$N$1004,MATCH(ROW()-4,$M$5:$M$1004,0)),"")</f>
        <v/>
      </c>
      <c r="O412" s="0" t="str">
        <f aca="false">IF(CSV貼付B!$N412="","",IF(COUNTIF($B$37:$B$48,CSV貼付B!$H412)&gt;0,"",IF(SUMPRODUCT((CSV貼付B!$N$5:$N412=CSV貼付B!$N412)*(COUNTIF($B$37:$B$48,CSV貼付B!$H$5:$H412)=0))&gt;1,"",MAX($O$4:O411)+1)))</f>
        <v/>
      </c>
      <c r="P412" s="0" t="str">
        <f aca="false">IFERROR(INDEX(CSV貼付B!$N$5:$N$1004,MATCH(ROW()-4,$O$5:$O$1004,0)),"")</f>
        <v/>
      </c>
      <c r="Q412" s="0" t="str">
        <f aca="false">IF(ROW()-4&lt;=MAX($M$5:$M$1004),IFERROR(INDEX($N$5:$N$1004,ROW()-4),""),IFERROR(INDEX($P$5:$P$1004,ROW()-4-MAX($M$5:$M$1004)),""))</f>
        <v/>
      </c>
    </row>
    <row r="413" customFormat="false" ht="15" hidden="false" customHeight="false" outlineLevel="0" collapsed="false">
      <c r="M413" s="0" t="str">
        <f aca="false">IF(CSV貼付A!$N413="","",IF(COUNTIF($B$37:$B$48,CSV貼付A!$H413)&gt;0,"",IF(SUMPRODUCT((CSV貼付A!$N$5:$N413=CSV貼付A!$N413)*(COUNTIF($B$37:$B$48,CSV貼付A!$H$5:$H413)=0))&gt;1,"",MAX($M$4:M412)+1)))</f>
        <v/>
      </c>
      <c r="N413" s="0" t="str">
        <f aca="false">IFERROR(INDEX(CSV貼付A!$N$5:$N$1004,MATCH(ROW()-4,$M$5:$M$1004,0)),"")</f>
        <v/>
      </c>
      <c r="O413" s="0" t="str">
        <f aca="false">IF(CSV貼付B!$N413="","",IF(COUNTIF($B$37:$B$48,CSV貼付B!$H413)&gt;0,"",IF(SUMPRODUCT((CSV貼付B!$N$5:$N413=CSV貼付B!$N413)*(COUNTIF($B$37:$B$48,CSV貼付B!$H$5:$H413)=0))&gt;1,"",MAX($O$4:O412)+1)))</f>
        <v/>
      </c>
      <c r="P413" s="0" t="str">
        <f aca="false">IFERROR(INDEX(CSV貼付B!$N$5:$N$1004,MATCH(ROW()-4,$O$5:$O$1004,0)),"")</f>
        <v/>
      </c>
      <c r="Q413" s="0" t="str">
        <f aca="false">IF(ROW()-4&lt;=MAX($M$5:$M$1004),IFERROR(INDEX($N$5:$N$1004,ROW()-4),""),IFERROR(INDEX($P$5:$P$1004,ROW()-4-MAX($M$5:$M$1004)),""))</f>
        <v/>
      </c>
    </row>
    <row r="414" customFormat="false" ht="15" hidden="false" customHeight="false" outlineLevel="0" collapsed="false">
      <c r="M414" s="0" t="str">
        <f aca="false">IF(CSV貼付A!$N414="","",IF(COUNTIF($B$37:$B$48,CSV貼付A!$H414)&gt;0,"",IF(SUMPRODUCT((CSV貼付A!$N$5:$N414=CSV貼付A!$N414)*(COUNTIF($B$37:$B$48,CSV貼付A!$H$5:$H414)=0))&gt;1,"",MAX($M$4:M413)+1)))</f>
        <v/>
      </c>
      <c r="N414" s="0" t="str">
        <f aca="false">IFERROR(INDEX(CSV貼付A!$N$5:$N$1004,MATCH(ROW()-4,$M$5:$M$1004,0)),"")</f>
        <v/>
      </c>
      <c r="O414" s="0" t="str">
        <f aca="false">IF(CSV貼付B!$N414="","",IF(COUNTIF($B$37:$B$48,CSV貼付B!$H414)&gt;0,"",IF(SUMPRODUCT((CSV貼付B!$N$5:$N414=CSV貼付B!$N414)*(COUNTIF($B$37:$B$48,CSV貼付B!$H$5:$H414)=0))&gt;1,"",MAX($O$4:O413)+1)))</f>
        <v/>
      </c>
      <c r="P414" s="0" t="str">
        <f aca="false">IFERROR(INDEX(CSV貼付B!$N$5:$N$1004,MATCH(ROW()-4,$O$5:$O$1004,0)),"")</f>
        <v/>
      </c>
      <c r="Q414" s="0" t="str">
        <f aca="false">IF(ROW()-4&lt;=MAX($M$5:$M$1004),IFERROR(INDEX($N$5:$N$1004,ROW()-4),""),IFERROR(INDEX($P$5:$P$1004,ROW()-4-MAX($M$5:$M$1004)),""))</f>
        <v/>
      </c>
    </row>
    <row r="415" customFormat="false" ht="15" hidden="false" customHeight="false" outlineLevel="0" collapsed="false">
      <c r="M415" s="0" t="str">
        <f aca="false">IF(CSV貼付A!$N415="","",IF(COUNTIF($B$37:$B$48,CSV貼付A!$H415)&gt;0,"",IF(SUMPRODUCT((CSV貼付A!$N$5:$N415=CSV貼付A!$N415)*(COUNTIF($B$37:$B$48,CSV貼付A!$H$5:$H415)=0))&gt;1,"",MAX($M$4:M414)+1)))</f>
        <v/>
      </c>
      <c r="N415" s="0" t="str">
        <f aca="false">IFERROR(INDEX(CSV貼付A!$N$5:$N$1004,MATCH(ROW()-4,$M$5:$M$1004,0)),"")</f>
        <v/>
      </c>
      <c r="O415" s="0" t="str">
        <f aca="false">IF(CSV貼付B!$N415="","",IF(COUNTIF($B$37:$B$48,CSV貼付B!$H415)&gt;0,"",IF(SUMPRODUCT((CSV貼付B!$N$5:$N415=CSV貼付B!$N415)*(COUNTIF($B$37:$B$48,CSV貼付B!$H$5:$H415)=0))&gt;1,"",MAX($O$4:O414)+1)))</f>
        <v/>
      </c>
      <c r="P415" s="0" t="str">
        <f aca="false">IFERROR(INDEX(CSV貼付B!$N$5:$N$1004,MATCH(ROW()-4,$O$5:$O$1004,0)),"")</f>
        <v/>
      </c>
      <c r="Q415" s="0" t="str">
        <f aca="false">IF(ROW()-4&lt;=MAX($M$5:$M$1004),IFERROR(INDEX($N$5:$N$1004,ROW()-4),""),IFERROR(INDEX($P$5:$P$1004,ROW()-4-MAX($M$5:$M$1004)),""))</f>
        <v/>
      </c>
    </row>
    <row r="416" customFormat="false" ht="15" hidden="false" customHeight="false" outlineLevel="0" collapsed="false">
      <c r="M416" s="0" t="str">
        <f aca="false">IF(CSV貼付A!$N416="","",IF(COUNTIF($B$37:$B$48,CSV貼付A!$H416)&gt;0,"",IF(SUMPRODUCT((CSV貼付A!$N$5:$N416=CSV貼付A!$N416)*(COUNTIF($B$37:$B$48,CSV貼付A!$H$5:$H416)=0))&gt;1,"",MAX($M$4:M415)+1)))</f>
        <v/>
      </c>
      <c r="N416" s="0" t="str">
        <f aca="false">IFERROR(INDEX(CSV貼付A!$N$5:$N$1004,MATCH(ROW()-4,$M$5:$M$1004,0)),"")</f>
        <v/>
      </c>
      <c r="O416" s="0" t="str">
        <f aca="false">IF(CSV貼付B!$N416="","",IF(COUNTIF($B$37:$B$48,CSV貼付B!$H416)&gt;0,"",IF(SUMPRODUCT((CSV貼付B!$N$5:$N416=CSV貼付B!$N416)*(COUNTIF($B$37:$B$48,CSV貼付B!$H$5:$H416)=0))&gt;1,"",MAX($O$4:O415)+1)))</f>
        <v/>
      </c>
      <c r="P416" s="0" t="str">
        <f aca="false">IFERROR(INDEX(CSV貼付B!$N$5:$N$1004,MATCH(ROW()-4,$O$5:$O$1004,0)),"")</f>
        <v/>
      </c>
      <c r="Q416" s="0" t="str">
        <f aca="false">IF(ROW()-4&lt;=MAX($M$5:$M$1004),IFERROR(INDEX($N$5:$N$1004,ROW()-4),""),IFERROR(INDEX($P$5:$P$1004,ROW()-4-MAX($M$5:$M$1004)),""))</f>
        <v/>
      </c>
    </row>
    <row r="417" customFormat="false" ht="15" hidden="false" customHeight="false" outlineLevel="0" collapsed="false">
      <c r="M417" s="0" t="str">
        <f aca="false">IF(CSV貼付A!$N417="","",IF(COUNTIF($B$37:$B$48,CSV貼付A!$H417)&gt;0,"",IF(SUMPRODUCT((CSV貼付A!$N$5:$N417=CSV貼付A!$N417)*(COUNTIF($B$37:$B$48,CSV貼付A!$H$5:$H417)=0))&gt;1,"",MAX($M$4:M416)+1)))</f>
        <v/>
      </c>
      <c r="N417" s="0" t="str">
        <f aca="false">IFERROR(INDEX(CSV貼付A!$N$5:$N$1004,MATCH(ROW()-4,$M$5:$M$1004,0)),"")</f>
        <v/>
      </c>
      <c r="O417" s="0" t="str">
        <f aca="false">IF(CSV貼付B!$N417="","",IF(COUNTIF($B$37:$B$48,CSV貼付B!$H417)&gt;0,"",IF(SUMPRODUCT((CSV貼付B!$N$5:$N417=CSV貼付B!$N417)*(COUNTIF($B$37:$B$48,CSV貼付B!$H$5:$H417)=0))&gt;1,"",MAX($O$4:O416)+1)))</f>
        <v/>
      </c>
      <c r="P417" s="0" t="str">
        <f aca="false">IFERROR(INDEX(CSV貼付B!$N$5:$N$1004,MATCH(ROW()-4,$O$5:$O$1004,0)),"")</f>
        <v/>
      </c>
      <c r="Q417" s="0" t="str">
        <f aca="false">IF(ROW()-4&lt;=MAX($M$5:$M$1004),IFERROR(INDEX($N$5:$N$1004,ROW()-4),""),IFERROR(INDEX($P$5:$P$1004,ROW()-4-MAX($M$5:$M$1004)),""))</f>
        <v/>
      </c>
    </row>
    <row r="418" customFormat="false" ht="15" hidden="false" customHeight="false" outlineLevel="0" collapsed="false">
      <c r="M418" s="0" t="str">
        <f aca="false">IF(CSV貼付A!$N418="","",IF(COUNTIF($B$37:$B$48,CSV貼付A!$H418)&gt;0,"",IF(SUMPRODUCT((CSV貼付A!$N$5:$N418=CSV貼付A!$N418)*(COUNTIF($B$37:$B$48,CSV貼付A!$H$5:$H418)=0))&gt;1,"",MAX($M$4:M417)+1)))</f>
        <v/>
      </c>
      <c r="N418" s="0" t="str">
        <f aca="false">IFERROR(INDEX(CSV貼付A!$N$5:$N$1004,MATCH(ROW()-4,$M$5:$M$1004,0)),"")</f>
        <v/>
      </c>
      <c r="O418" s="0" t="str">
        <f aca="false">IF(CSV貼付B!$N418="","",IF(COUNTIF($B$37:$B$48,CSV貼付B!$H418)&gt;0,"",IF(SUMPRODUCT((CSV貼付B!$N$5:$N418=CSV貼付B!$N418)*(COUNTIF($B$37:$B$48,CSV貼付B!$H$5:$H418)=0))&gt;1,"",MAX($O$4:O417)+1)))</f>
        <v/>
      </c>
      <c r="P418" s="0" t="str">
        <f aca="false">IFERROR(INDEX(CSV貼付B!$N$5:$N$1004,MATCH(ROW()-4,$O$5:$O$1004,0)),"")</f>
        <v/>
      </c>
      <c r="Q418" s="0" t="str">
        <f aca="false">IF(ROW()-4&lt;=MAX($M$5:$M$1004),IFERROR(INDEX($N$5:$N$1004,ROW()-4),""),IFERROR(INDEX($P$5:$P$1004,ROW()-4-MAX($M$5:$M$1004)),""))</f>
        <v/>
      </c>
    </row>
    <row r="419" customFormat="false" ht="15" hidden="false" customHeight="false" outlineLevel="0" collapsed="false">
      <c r="M419" s="0" t="str">
        <f aca="false">IF(CSV貼付A!$N419="","",IF(COUNTIF($B$37:$B$48,CSV貼付A!$H419)&gt;0,"",IF(SUMPRODUCT((CSV貼付A!$N$5:$N419=CSV貼付A!$N419)*(COUNTIF($B$37:$B$48,CSV貼付A!$H$5:$H419)=0))&gt;1,"",MAX($M$4:M418)+1)))</f>
        <v/>
      </c>
      <c r="N419" s="0" t="str">
        <f aca="false">IFERROR(INDEX(CSV貼付A!$N$5:$N$1004,MATCH(ROW()-4,$M$5:$M$1004,0)),"")</f>
        <v/>
      </c>
      <c r="O419" s="0" t="str">
        <f aca="false">IF(CSV貼付B!$N419="","",IF(COUNTIF($B$37:$B$48,CSV貼付B!$H419)&gt;0,"",IF(SUMPRODUCT((CSV貼付B!$N$5:$N419=CSV貼付B!$N419)*(COUNTIF($B$37:$B$48,CSV貼付B!$H$5:$H419)=0))&gt;1,"",MAX($O$4:O418)+1)))</f>
        <v/>
      </c>
      <c r="P419" s="0" t="str">
        <f aca="false">IFERROR(INDEX(CSV貼付B!$N$5:$N$1004,MATCH(ROW()-4,$O$5:$O$1004,0)),"")</f>
        <v/>
      </c>
      <c r="Q419" s="0" t="str">
        <f aca="false">IF(ROW()-4&lt;=MAX($M$5:$M$1004),IFERROR(INDEX($N$5:$N$1004,ROW()-4),""),IFERROR(INDEX($P$5:$P$1004,ROW()-4-MAX($M$5:$M$1004)),""))</f>
        <v/>
      </c>
    </row>
    <row r="420" customFormat="false" ht="15" hidden="false" customHeight="false" outlineLevel="0" collapsed="false">
      <c r="M420" s="0" t="str">
        <f aca="false">IF(CSV貼付A!$N420="","",IF(COUNTIF($B$37:$B$48,CSV貼付A!$H420)&gt;0,"",IF(SUMPRODUCT((CSV貼付A!$N$5:$N420=CSV貼付A!$N420)*(COUNTIF($B$37:$B$48,CSV貼付A!$H$5:$H420)=0))&gt;1,"",MAX($M$4:M419)+1)))</f>
        <v/>
      </c>
      <c r="N420" s="0" t="str">
        <f aca="false">IFERROR(INDEX(CSV貼付A!$N$5:$N$1004,MATCH(ROW()-4,$M$5:$M$1004,0)),"")</f>
        <v/>
      </c>
      <c r="O420" s="0" t="str">
        <f aca="false">IF(CSV貼付B!$N420="","",IF(COUNTIF($B$37:$B$48,CSV貼付B!$H420)&gt;0,"",IF(SUMPRODUCT((CSV貼付B!$N$5:$N420=CSV貼付B!$N420)*(COUNTIF($B$37:$B$48,CSV貼付B!$H$5:$H420)=0))&gt;1,"",MAX($O$4:O419)+1)))</f>
        <v/>
      </c>
      <c r="P420" s="0" t="str">
        <f aca="false">IFERROR(INDEX(CSV貼付B!$N$5:$N$1004,MATCH(ROW()-4,$O$5:$O$1004,0)),"")</f>
        <v/>
      </c>
      <c r="Q420" s="0" t="str">
        <f aca="false">IF(ROW()-4&lt;=MAX($M$5:$M$1004),IFERROR(INDEX($N$5:$N$1004,ROW()-4),""),IFERROR(INDEX($P$5:$P$1004,ROW()-4-MAX($M$5:$M$1004)),""))</f>
        <v/>
      </c>
    </row>
    <row r="421" customFormat="false" ht="15" hidden="false" customHeight="false" outlineLevel="0" collapsed="false">
      <c r="M421" s="0" t="str">
        <f aca="false">IF(CSV貼付A!$N421="","",IF(COUNTIF($B$37:$B$48,CSV貼付A!$H421)&gt;0,"",IF(SUMPRODUCT((CSV貼付A!$N$5:$N421=CSV貼付A!$N421)*(COUNTIF($B$37:$B$48,CSV貼付A!$H$5:$H421)=0))&gt;1,"",MAX($M$4:M420)+1)))</f>
        <v/>
      </c>
      <c r="N421" s="0" t="str">
        <f aca="false">IFERROR(INDEX(CSV貼付A!$N$5:$N$1004,MATCH(ROW()-4,$M$5:$M$1004,0)),"")</f>
        <v/>
      </c>
      <c r="O421" s="0" t="str">
        <f aca="false">IF(CSV貼付B!$N421="","",IF(COUNTIF($B$37:$B$48,CSV貼付B!$H421)&gt;0,"",IF(SUMPRODUCT((CSV貼付B!$N$5:$N421=CSV貼付B!$N421)*(COUNTIF($B$37:$B$48,CSV貼付B!$H$5:$H421)=0))&gt;1,"",MAX($O$4:O420)+1)))</f>
        <v/>
      </c>
      <c r="P421" s="0" t="str">
        <f aca="false">IFERROR(INDEX(CSV貼付B!$N$5:$N$1004,MATCH(ROW()-4,$O$5:$O$1004,0)),"")</f>
        <v/>
      </c>
      <c r="Q421" s="0" t="str">
        <f aca="false">IF(ROW()-4&lt;=MAX($M$5:$M$1004),IFERROR(INDEX($N$5:$N$1004,ROW()-4),""),IFERROR(INDEX($P$5:$P$1004,ROW()-4-MAX($M$5:$M$1004)),""))</f>
        <v/>
      </c>
    </row>
    <row r="422" customFormat="false" ht="15" hidden="false" customHeight="false" outlineLevel="0" collapsed="false">
      <c r="M422" s="0" t="str">
        <f aca="false">IF(CSV貼付A!$N422="","",IF(COUNTIF($B$37:$B$48,CSV貼付A!$H422)&gt;0,"",IF(SUMPRODUCT((CSV貼付A!$N$5:$N422=CSV貼付A!$N422)*(COUNTIF($B$37:$B$48,CSV貼付A!$H$5:$H422)=0))&gt;1,"",MAX($M$4:M421)+1)))</f>
        <v/>
      </c>
      <c r="N422" s="0" t="str">
        <f aca="false">IFERROR(INDEX(CSV貼付A!$N$5:$N$1004,MATCH(ROW()-4,$M$5:$M$1004,0)),"")</f>
        <v/>
      </c>
      <c r="O422" s="0" t="str">
        <f aca="false">IF(CSV貼付B!$N422="","",IF(COUNTIF($B$37:$B$48,CSV貼付B!$H422)&gt;0,"",IF(SUMPRODUCT((CSV貼付B!$N$5:$N422=CSV貼付B!$N422)*(COUNTIF($B$37:$B$48,CSV貼付B!$H$5:$H422)=0))&gt;1,"",MAX($O$4:O421)+1)))</f>
        <v/>
      </c>
      <c r="P422" s="0" t="str">
        <f aca="false">IFERROR(INDEX(CSV貼付B!$N$5:$N$1004,MATCH(ROW()-4,$O$5:$O$1004,0)),"")</f>
        <v/>
      </c>
      <c r="Q422" s="0" t="str">
        <f aca="false">IF(ROW()-4&lt;=MAX($M$5:$M$1004),IFERROR(INDEX($N$5:$N$1004,ROW()-4),""),IFERROR(INDEX($P$5:$P$1004,ROW()-4-MAX($M$5:$M$1004)),""))</f>
        <v/>
      </c>
    </row>
    <row r="423" customFormat="false" ht="15" hidden="false" customHeight="false" outlineLevel="0" collapsed="false">
      <c r="M423" s="0" t="str">
        <f aca="false">IF(CSV貼付A!$N423="","",IF(COUNTIF($B$37:$B$48,CSV貼付A!$H423)&gt;0,"",IF(SUMPRODUCT((CSV貼付A!$N$5:$N423=CSV貼付A!$N423)*(COUNTIF($B$37:$B$48,CSV貼付A!$H$5:$H423)=0))&gt;1,"",MAX($M$4:M422)+1)))</f>
        <v/>
      </c>
      <c r="N423" s="0" t="str">
        <f aca="false">IFERROR(INDEX(CSV貼付A!$N$5:$N$1004,MATCH(ROW()-4,$M$5:$M$1004,0)),"")</f>
        <v/>
      </c>
      <c r="O423" s="0" t="str">
        <f aca="false">IF(CSV貼付B!$N423="","",IF(COUNTIF($B$37:$B$48,CSV貼付B!$H423)&gt;0,"",IF(SUMPRODUCT((CSV貼付B!$N$5:$N423=CSV貼付B!$N423)*(COUNTIF($B$37:$B$48,CSV貼付B!$H$5:$H423)=0))&gt;1,"",MAX($O$4:O422)+1)))</f>
        <v/>
      </c>
      <c r="P423" s="0" t="str">
        <f aca="false">IFERROR(INDEX(CSV貼付B!$N$5:$N$1004,MATCH(ROW()-4,$O$5:$O$1004,0)),"")</f>
        <v/>
      </c>
      <c r="Q423" s="0" t="str">
        <f aca="false">IF(ROW()-4&lt;=MAX($M$5:$M$1004),IFERROR(INDEX($N$5:$N$1004,ROW()-4),""),IFERROR(INDEX($P$5:$P$1004,ROW()-4-MAX($M$5:$M$1004)),""))</f>
        <v/>
      </c>
    </row>
    <row r="424" customFormat="false" ht="15" hidden="false" customHeight="false" outlineLevel="0" collapsed="false">
      <c r="M424" s="0" t="str">
        <f aca="false">IF(CSV貼付A!$N424="","",IF(COUNTIF($B$37:$B$48,CSV貼付A!$H424)&gt;0,"",IF(SUMPRODUCT((CSV貼付A!$N$5:$N424=CSV貼付A!$N424)*(COUNTIF($B$37:$B$48,CSV貼付A!$H$5:$H424)=0))&gt;1,"",MAX($M$4:M423)+1)))</f>
        <v/>
      </c>
      <c r="N424" s="0" t="str">
        <f aca="false">IFERROR(INDEX(CSV貼付A!$N$5:$N$1004,MATCH(ROW()-4,$M$5:$M$1004,0)),"")</f>
        <v/>
      </c>
      <c r="O424" s="0" t="str">
        <f aca="false">IF(CSV貼付B!$N424="","",IF(COUNTIF($B$37:$B$48,CSV貼付B!$H424)&gt;0,"",IF(SUMPRODUCT((CSV貼付B!$N$5:$N424=CSV貼付B!$N424)*(COUNTIF($B$37:$B$48,CSV貼付B!$H$5:$H424)=0))&gt;1,"",MAX($O$4:O423)+1)))</f>
        <v/>
      </c>
      <c r="P424" s="0" t="str">
        <f aca="false">IFERROR(INDEX(CSV貼付B!$N$5:$N$1004,MATCH(ROW()-4,$O$5:$O$1004,0)),"")</f>
        <v/>
      </c>
      <c r="Q424" s="0" t="str">
        <f aca="false">IF(ROW()-4&lt;=MAX($M$5:$M$1004),IFERROR(INDEX($N$5:$N$1004,ROW()-4),""),IFERROR(INDEX($P$5:$P$1004,ROW()-4-MAX($M$5:$M$1004)),""))</f>
        <v/>
      </c>
    </row>
    <row r="425" customFormat="false" ht="15" hidden="false" customHeight="false" outlineLevel="0" collapsed="false">
      <c r="M425" s="0" t="str">
        <f aca="false">IF(CSV貼付A!$N425="","",IF(COUNTIF($B$37:$B$48,CSV貼付A!$H425)&gt;0,"",IF(SUMPRODUCT((CSV貼付A!$N$5:$N425=CSV貼付A!$N425)*(COUNTIF($B$37:$B$48,CSV貼付A!$H$5:$H425)=0))&gt;1,"",MAX($M$4:M424)+1)))</f>
        <v/>
      </c>
      <c r="N425" s="0" t="str">
        <f aca="false">IFERROR(INDEX(CSV貼付A!$N$5:$N$1004,MATCH(ROW()-4,$M$5:$M$1004,0)),"")</f>
        <v/>
      </c>
      <c r="O425" s="0" t="str">
        <f aca="false">IF(CSV貼付B!$N425="","",IF(COUNTIF($B$37:$B$48,CSV貼付B!$H425)&gt;0,"",IF(SUMPRODUCT((CSV貼付B!$N$5:$N425=CSV貼付B!$N425)*(COUNTIF($B$37:$B$48,CSV貼付B!$H$5:$H425)=0))&gt;1,"",MAX($O$4:O424)+1)))</f>
        <v/>
      </c>
      <c r="P425" s="0" t="str">
        <f aca="false">IFERROR(INDEX(CSV貼付B!$N$5:$N$1004,MATCH(ROW()-4,$O$5:$O$1004,0)),"")</f>
        <v/>
      </c>
      <c r="Q425" s="0" t="str">
        <f aca="false">IF(ROW()-4&lt;=MAX($M$5:$M$1004),IFERROR(INDEX($N$5:$N$1004,ROW()-4),""),IFERROR(INDEX($P$5:$P$1004,ROW()-4-MAX($M$5:$M$1004)),""))</f>
        <v/>
      </c>
    </row>
    <row r="426" customFormat="false" ht="15" hidden="false" customHeight="false" outlineLevel="0" collapsed="false">
      <c r="M426" s="0" t="str">
        <f aca="false">IF(CSV貼付A!$N426="","",IF(COUNTIF($B$37:$B$48,CSV貼付A!$H426)&gt;0,"",IF(SUMPRODUCT((CSV貼付A!$N$5:$N426=CSV貼付A!$N426)*(COUNTIF($B$37:$B$48,CSV貼付A!$H$5:$H426)=0))&gt;1,"",MAX($M$4:M425)+1)))</f>
        <v/>
      </c>
      <c r="N426" s="0" t="str">
        <f aca="false">IFERROR(INDEX(CSV貼付A!$N$5:$N$1004,MATCH(ROW()-4,$M$5:$M$1004,0)),"")</f>
        <v/>
      </c>
      <c r="O426" s="0" t="str">
        <f aca="false">IF(CSV貼付B!$N426="","",IF(COUNTIF($B$37:$B$48,CSV貼付B!$H426)&gt;0,"",IF(SUMPRODUCT((CSV貼付B!$N$5:$N426=CSV貼付B!$N426)*(COUNTIF($B$37:$B$48,CSV貼付B!$H$5:$H426)=0))&gt;1,"",MAX($O$4:O425)+1)))</f>
        <v/>
      </c>
      <c r="P426" s="0" t="str">
        <f aca="false">IFERROR(INDEX(CSV貼付B!$N$5:$N$1004,MATCH(ROW()-4,$O$5:$O$1004,0)),"")</f>
        <v/>
      </c>
      <c r="Q426" s="0" t="str">
        <f aca="false">IF(ROW()-4&lt;=MAX($M$5:$M$1004),IFERROR(INDEX($N$5:$N$1004,ROW()-4),""),IFERROR(INDEX($P$5:$P$1004,ROW()-4-MAX($M$5:$M$1004)),""))</f>
        <v/>
      </c>
    </row>
    <row r="427" customFormat="false" ht="15" hidden="false" customHeight="false" outlineLevel="0" collapsed="false">
      <c r="M427" s="0" t="str">
        <f aca="false">IF(CSV貼付A!$N427="","",IF(COUNTIF($B$37:$B$48,CSV貼付A!$H427)&gt;0,"",IF(SUMPRODUCT((CSV貼付A!$N$5:$N427=CSV貼付A!$N427)*(COUNTIF($B$37:$B$48,CSV貼付A!$H$5:$H427)=0))&gt;1,"",MAX($M$4:M426)+1)))</f>
        <v/>
      </c>
      <c r="N427" s="0" t="str">
        <f aca="false">IFERROR(INDEX(CSV貼付A!$N$5:$N$1004,MATCH(ROW()-4,$M$5:$M$1004,0)),"")</f>
        <v/>
      </c>
      <c r="O427" s="0" t="str">
        <f aca="false">IF(CSV貼付B!$N427="","",IF(COUNTIF($B$37:$B$48,CSV貼付B!$H427)&gt;0,"",IF(SUMPRODUCT((CSV貼付B!$N$5:$N427=CSV貼付B!$N427)*(COUNTIF($B$37:$B$48,CSV貼付B!$H$5:$H427)=0))&gt;1,"",MAX($O$4:O426)+1)))</f>
        <v/>
      </c>
      <c r="P427" s="0" t="str">
        <f aca="false">IFERROR(INDEX(CSV貼付B!$N$5:$N$1004,MATCH(ROW()-4,$O$5:$O$1004,0)),"")</f>
        <v/>
      </c>
      <c r="Q427" s="0" t="str">
        <f aca="false">IF(ROW()-4&lt;=MAX($M$5:$M$1004),IFERROR(INDEX($N$5:$N$1004,ROW()-4),""),IFERROR(INDEX($P$5:$P$1004,ROW()-4-MAX($M$5:$M$1004)),""))</f>
        <v/>
      </c>
    </row>
    <row r="428" customFormat="false" ht="15" hidden="false" customHeight="false" outlineLevel="0" collapsed="false">
      <c r="M428" s="0" t="str">
        <f aca="false">IF(CSV貼付A!$N428="","",IF(COUNTIF($B$37:$B$48,CSV貼付A!$H428)&gt;0,"",IF(SUMPRODUCT((CSV貼付A!$N$5:$N428=CSV貼付A!$N428)*(COUNTIF($B$37:$B$48,CSV貼付A!$H$5:$H428)=0))&gt;1,"",MAX($M$4:M427)+1)))</f>
        <v/>
      </c>
      <c r="N428" s="0" t="str">
        <f aca="false">IFERROR(INDEX(CSV貼付A!$N$5:$N$1004,MATCH(ROW()-4,$M$5:$M$1004,0)),"")</f>
        <v/>
      </c>
      <c r="O428" s="0" t="str">
        <f aca="false">IF(CSV貼付B!$N428="","",IF(COUNTIF($B$37:$B$48,CSV貼付B!$H428)&gt;0,"",IF(SUMPRODUCT((CSV貼付B!$N$5:$N428=CSV貼付B!$N428)*(COUNTIF($B$37:$B$48,CSV貼付B!$H$5:$H428)=0))&gt;1,"",MAX($O$4:O427)+1)))</f>
        <v/>
      </c>
      <c r="P428" s="0" t="str">
        <f aca="false">IFERROR(INDEX(CSV貼付B!$N$5:$N$1004,MATCH(ROW()-4,$O$5:$O$1004,0)),"")</f>
        <v/>
      </c>
      <c r="Q428" s="0" t="str">
        <f aca="false">IF(ROW()-4&lt;=MAX($M$5:$M$1004),IFERROR(INDEX($N$5:$N$1004,ROW()-4),""),IFERROR(INDEX($P$5:$P$1004,ROW()-4-MAX($M$5:$M$1004)),""))</f>
        <v/>
      </c>
    </row>
    <row r="429" customFormat="false" ht="15" hidden="false" customHeight="false" outlineLevel="0" collapsed="false">
      <c r="M429" s="0" t="str">
        <f aca="false">IF(CSV貼付A!$N429="","",IF(COUNTIF($B$37:$B$48,CSV貼付A!$H429)&gt;0,"",IF(SUMPRODUCT((CSV貼付A!$N$5:$N429=CSV貼付A!$N429)*(COUNTIF($B$37:$B$48,CSV貼付A!$H$5:$H429)=0))&gt;1,"",MAX($M$4:M428)+1)))</f>
        <v/>
      </c>
      <c r="N429" s="0" t="str">
        <f aca="false">IFERROR(INDEX(CSV貼付A!$N$5:$N$1004,MATCH(ROW()-4,$M$5:$M$1004,0)),"")</f>
        <v/>
      </c>
      <c r="O429" s="0" t="str">
        <f aca="false">IF(CSV貼付B!$N429="","",IF(COUNTIF($B$37:$B$48,CSV貼付B!$H429)&gt;0,"",IF(SUMPRODUCT((CSV貼付B!$N$5:$N429=CSV貼付B!$N429)*(COUNTIF($B$37:$B$48,CSV貼付B!$H$5:$H429)=0))&gt;1,"",MAX($O$4:O428)+1)))</f>
        <v/>
      </c>
      <c r="P429" s="0" t="str">
        <f aca="false">IFERROR(INDEX(CSV貼付B!$N$5:$N$1004,MATCH(ROW()-4,$O$5:$O$1004,0)),"")</f>
        <v/>
      </c>
      <c r="Q429" s="0" t="str">
        <f aca="false">IF(ROW()-4&lt;=MAX($M$5:$M$1004),IFERROR(INDEX($N$5:$N$1004,ROW()-4),""),IFERROR(INDEX($P$5:$P$1004,ROW()-4-MAX($M$5:$M$1004)),""))</f>
        <v/>
      </c>
    </row>
    <row r="430" customFormat="false" ht="15" hidden="false" customHeight="false" outlineLevel="0" collapsed="false">
      <c r="M430" s="0" t="str">
        <f aca="false">IF(CSV貼付A!$N430="","",IF(COUNTIF($B$37:$B$48,CSV貼付A!$H430)&gt;0,"",IF(SUMPRODUCT((CSV貼付A!$N$5:$N430=CSV貼付A!$N430)*(COUNTIF($B$37:$B$48,CSV貼付A!$H$5:$H430)=0))&gt;1,"",MAX($M$4:M429)+1)))</f>
        <v/>
      </c>
      <c r="N430" s="0" t="str">
        <f aca="false">IFERROR(INDEX(CSV貼付A!$N$5:$N$1004,MATCH(ROW()-4,$M$5:$M$1004,0)),"")</f>
        <v/>
      </c>
      <c r="O430" s="0" t="str">
        <f aca="false">IF(CSV貼付B!$N430="","",IF(COUNTIF($B$37:$B$48,CSV貼付B!$H430)&gt;0,"",IF(SUMPRODUCT((CSV貼付B!$N$5:$N430=CSV貼付B!$N430)*(COUNTIF($B$37:$B$48,CSV貼付B!$H$5:$H430)=0))&gt;1,"",MAX($O$4:O429)+1)))</f>
        <v/>
      </c>
      <c r="P430" s="0" t="str">
        <f aca="false">IFERROR(INDEX(CSV貼付B!$N$5:$N$1004,MATCH(ROW()-4,$O$5:$O$1004,0)),"")</f>
        <v/>
      </c>
      <c r="Q430" s="0" t="str">
        <f aca="false">IF(ROW()-4&lt;=MAX($M$5:$M$1004),IFERROR(INDEX($N$5:$N$1004,ROW()-4),""),IFERROR(INDEX($P$5:$P$1004,ROW()-4-MAX($M$5:$M$1004)),""))</f>
        <v/>
      </c>
    </row>
    <row r="431" customFormat="false" ht="15" hidden="false" customHeight="false" outlineLevel="0" collapsed="false">
      <c r="M431" s="0" t="str">
        <f aca="false">IF(CSV貼付A!$N431="","",IF(COUNTIF($B$37:$B$48,CSV貼付A!$H431)&gt;0,"",IF(SUMPRODUCT((CSV貼付A!$N$5:$N431=CSV貼付A!$N431)*(COUNTIF($B$37:$B$48,CSV貼付A!$H$5:$H431)=0))&gt;1,"",MAX($M$4:M430)+1)))</f>
        <v/>
      </c>
      <c r="N431" s="0" t="str">
        <f aca="false">IFERROR(INDEX(CSV貼付A!$N$5:$N$1004,MATCH(ROW()-4,$M$5:$M$1004,0)),"")</f>
        <v/>
      </c>
      <c r="O431" s="0" t="str">
        <f aca="false">IF(CSV貼付B!$N431="","",IF(COUNTIF($B$37:$B$48,CSV貼付B!$H431)&gt;0,"",IF(SUMPRODUCT((CSV貼付B!$N$5:$N431=CSV貼付B!$N431)*(COUNTIF($B$37:$B$48,CSV貼付B!$H$5:$H431)=0))&gt;1,"",MAX($O$4:O430)+1)))</f>
        <v/>
      </c>
      <c r="P431" s="0" t="str">
        <f aca="false">IFERROR(INDEX(CSV貼付B!$N$5:$N$1004,MATCH(ROW()-4,$O$5:$O$1004,0)),"")</f>
        <v/>
      </c>
      <c r="Q431" s="0" t="str">
        <f aca="false">IF(ROW()-4&lt;=MAX($M$5:$M$1004),IFERROR(INDEX($N$5:$N$1004,ROW()-4),""),IFERROR(INDEX($P$5:$P$1004,ROW()-4-MAX($M$5:$M$1004)),""))</f>
        <v/>
      </c>
    </row>
    <row r="432" customFormat="false" ht="15" hidden="false" customHeight="false" outlineLevel="0" collapsed="false">
      <c r="M432" s="0" t="str">
        <f aca="false">IF(CSV貼付A!$N432="","",IF(COUNTIF($B$37:$B$48,CSV貼付A!$H432)&gt;0,"",IF(SUMPRODUCT((CSV貼付A!$N$5:$N432=CSV貼付A!$N432)*(COUNTIF($B$37:$B$48,CSV貼付A!$H$5:$H432)=0))&gt;1,"",MAX($M$4:M431)+1)))</f>
        <v/>
      </c>
      <c r="N432" s="0" t="str">
        <f aca="false">IFERROR(INDEX(CSV貼付A!$N$5:$N$1004,MATCH(ROW()-4,$M$5:$M$1004,0)),"")</f>
        <v/>
      </c>
      <c r="O432" s="0" t="str">
        <f aca="false">IF(CSV貼付B!$N432="","",IF(COUNTIF($B$37:$B$48,CSV貼付B!$H432)&gt;0,"",IF(SUMPRODUCT((CSV貼付B!$N$5:$N432=CSV貼付B!$N432)*(COUNTIF($B$37:$B$48,CSV貼付B!$H$5:$H432)=0))&gt;1,"",MAX($O$4:O431)+1)))</f>
        <v/>
      </c>
      <c r="P432" s="0" t="str">
        <f aca="false">IFERROR(INDEX(CSV貼付B!$N$5:$N$1004,MATCH(ROW()-4,$O$5:$O$1004,0)),"")</f>
        <v/>
      </c>
      <c r="Q432" s="0" t="str">
        <f aca="false">IF(ROW()-4&lt;=MAX($M$5:$M$1004),IFERROR(INDEX($N$5:$N$1004,ROW()-4),""),IFERROR(INDEX($P$5:$P$1004,ROW()-4-MAX($M$5:$M$1004)),""))</f>
        <v/>
      </c>
    </row>
    <row r="433" customFormat="false" ht="15" hidden="false" customHeight="false" outlineLevel="0" collapsed="false">
      <c r="M433" s="0" t="str">
        <f aca="false">IF(CSV貼付A!$N433="","",IF(COUNTIF($B$37:$B$48,CSV貼付A!$H433)&gt;0,"",IF(SUMPRODUCT((CSV貼付A!$N$5:$N433=CSV貼付A!$N433)*(COUNTIF($B$37:$B$48,CSV貼付A!$H$5:$H433)=0))&gt;1,"",MAX($M$4:M432)+1)))</f>
        <v/>
      </c>
      <c r="N433" s="0" t="str">
        <f aca="false">IFERROR(INDEX(CSV貼付A!$N$5:$N$1004,MATCH(ROW()-4,$M$5:$M$1004,0)),"")</f>
        <v/>
      </c>
      <c r="O433" s="0" t="str">
        <f aca="false">IF(CSV貼付B!$N433="","",IF(COUNTIF($B$37:$B$48,CSV貼付B!$H433)&gt;0,"",IF(SUMPRODUCT((CSV貼付B!$N$5:$N433=CSV貼付B!$N433)*(COUNTIF($B$37:$B$48,CSV貼付B!$H$5:$H433)=0))&gt;1,"",MAX($O$4:O432)+1)))</f>
        <v/>
      </c>
      <c r="P433" s="0" t="str">
        <f aca="false">IFERROR(INDEX(CSV貼付B!$N$5:$N$1004,MATCH(ROW()-4,$O$5:$O$1004,0)),"")</f>
        <v/>
      </c>
      <c r="Q433" s="0" t="str">
        <f aca="false">IF(ROW()-4&lt;=MAX($M$5:$M$1004),IFERROR(INDEX($N$5:$N$1004,ROW()-4),""),IFERROR(INDEX($P$5:$P$1004,ROW()-4-MAX($M$5:$M$1004)),""))</f>
        <v/>
      </c>
    </row>
    <row r="434" customFormat="false" ht="15" hidden="false" customHeight="false" outlineLevel="0" collapsed="false">
      <c r="M434" s="0" t="str">
        <f aca="false">IF(CSV貼付A!$N434="","",IF(COUNTIF($B$37:$B$48,CSV貼付A!$H434)&gt;0,"",IF(SUMPRODUCT((CSV貼付A!$N$5:$N434=CSV貼付A!$N434)*(COUNTIF($B$37:$B$48,CSV貼付A!$H$5:$H434)=0))&gt;1,"",MAX($M$4:M433)+1)))</f>
        <v/>
      </c>
      <c r="N434" s="0" t="str">
        <f aca="false">IFERROR(INDEX(CSV貼付A!$N$5:$N$1004,MATCH(ROW()-4,$M$5:$M$1004,0)),"")</f>
        <v/>
      </c>
      <c r="O434" s="0" t="str">
        <f aca="false">IF(CSV貼付B!$N434="","",IF(COUNTIF($B$37:$B$48,CSV貼付B!$H434)&gt;0,"",IF(SUMPRODUCT((CSV貼付B!$N$5:$N434=CSV貼付B!$N434)*(COUNTIF($B$37:$B$48,CSV貼付B!$H$5:$H434)=0))&gt;1,"",MAX($O$4:O433)+1)))</f>
        <v/>
      </c>
      <c r="P434" s="0" t="str">
        <f aca="false">IFERROR(INDEX(CSV貼付B!$N$5:$N$1004,MATCH(ROW()-4,$O$5:$O$1004,0)),"")</f>
        <v/>
      </c>
      <c r="Q434" s="0" t="str">
        <f aca="false">IF(ROW()-4&lt;=MAX($M$5:$M$1004),IFERROR(INDEX($N$5:$N$1004,ROW()-4),""),IFERROR(INDEX($P$5:$P$1004,ROW()-4-MAX($M$5:$M$1004)),""))</f>
        <v/>
      </c>
    </row>
    <row r="435" customFormat="false" ht="15" hidden="false" customHeight="false" outlineLevel="0" collapsed="false">
      <c r="M435" s="0" t="str">
        <f aca="false">IF(CSV貼付A!$N435="","",IF(COUNTIF($B$37:$B$48,CSV貼付A!$H435)&gt;0,"",IF(SUMPRODUCT((CSV貼付A!$N$5:$N435=CSV貼付A!$N435)*(COUNTIF($B$37:$B$48,CSV貼付A!$H$5:$H435)=0))&gt;1,"",MAX($M$4:M434)+1)))</f>
        <v/>
      </c>
      <c r="N435" s="0" t="str">
        <f aca="false">IFERROR(INDEX(CSV貼付A!$N$5:$N$1004,MATCH(ROW()-4,$M$5:$M$1004,0)),"")</f>
        <v/>
      </c>
      <c r="O435" s="0" t="str">
        <f aca="false">IF(CSV貼付B!$N435="","",IF(COUNTIF($B$37:$B$48,CSV貼付B!$H435)&gt;0,"",IF(SUMPRODUCT((CSV貼付B!$N$5:$N435=CSV貼付B!$N435)*(COUNTIF($B$37:$B$48,CSV貼付B!$H$5:$H435)=0))&gt;1,"",MAX($O$4:O434)+1)))</f>
        <v/>
      </c>
      <c r="P435" s="0" t="str">
        <f aca="false">IFERROR(INDEX(CSV貼付B!$N$5:$N$1004,MATCH(ROW()-4,$O$5:$O$1004,0)),"")</f>
        <v/>
      </c>
      <c r="Q435" s="0" t="str">
        <f aca="false">IF(ROW()-4&lt;=MAX($M$5:$M$1004),IFERROR(INDEX($N$5:$N$1004,ROW()-4),""),IFERROR(INDEX($P$5:$P$1004,ROW()-4-MAX($M$5:$M$1004)),""))</f>
        <v/>
      </c>
    </row>
    <row r="436" customFormat="false" ht="15" hidden="false" customHeight="false" outlineLevel="0" collapsed="false">
      <c r="M436" s="0" t="str">
        <f aca="false">IF(CSV貼付A!$N436="","",IF(COUNTIF($B$37:$B$48,CSV貼付A!$H436)&gt;0,"",IF(SUMPRODUCT((CSV貼付A!$N$5:$N436=CSV貼付A!$N436)*(COUNTIF($B$37:$B$48,CSV貼付A!$H$5:$H436)=0))&gt;1,"",MAX($M$4:M435)+1)))</f>
        <v/>
      </c>
      <c r="N436" s="0" t="str">
        <f aca="false">IFERROR(INDEX(CSV貼付A!$N$5:$N$1004,MATCH(ROW()-4,$M$5:$M$1004,0)),"")</f>
        <v/>
      </c>
      <c r="O436" s="0" t="str">
        <f aca="false">IF(CSV貼付B!$N436="","",IF(COUNTIF($B$37:$B$48,CSV貼付B!$H436)&gt;0,"",IF(SUMPRODUCT((CSV貼付B!$N$5:$N436=CSV貼付B!$N436)*(COUNTIF($B$37:$B$48,CSV貼付B!$H$5:$H436)=0))&gt;1,"",MAX($O$4:O435)+1)))</f>
        <v/>
      </c>
      <c r="P436" s="0" t="str">
        <f aca="false">IFERROR(INDEX(CSV貼付B!$N$5:$N$1004,MATCH(ROW()-4,$O$5:$O$1004,0)),"")</f>
        <v/>
      </c>
      <c r="Q436" s="0" t="str">
        <f aca="false">IF(ROW()-4&lt;=MAX($M$5:$M$1004),IFERROR(INDEX($N$5:$N$1004,ROW()-4),""),IFERROR(INDEX($P$5:$P$1004,ROW()-4-MAX($M$5:$M$1004)),""))</f>
        <v/>
      </c>
    </row>
    <row r="437" customFormat="false" ht="15" hidden="false" customHeight="false" outlineLevel="0" collapsed="false">
      <c r="M437" s="0" t="str">
        <f aca="false">IF(CSV貼付A!$N437="","",IF(COUNTIF($B$37:$B$48,CSV貼付A!$H437)&gt;0,"",IF(SUMPRODUCT((CSV貼付A!$N$5:$N437=CSV貼付A!$N437)*(COUNTIF($B$37:$B$48,CSV貼付A!$H$5:$H437)=0))&gt;1,"",MAX($M$4:M436)+1)))</f>
        <v/>
      </c>
      <c r="N437" s="0" t="str">
        <f aca="false">IFERROR(INDEX(CSV貼付A!$N$5:$N$1004,MATCH(ROW()-4,$M$5:$M$1004,0)),"")</f>
        <v/>
      </c>
      <c r="O437" s="0" t="str">
        <f aca="false">IF(CSV貼付B!$N437="","",IF(COUNTIF($B$37:$B$48,CSV貼付B!$H437)&gt;0,"",IF(SUMPRODUCT((CSV貼付B!$N$5:$N437=CSV貼付B!$N437)*(COUNTIF($B$37:$B$48,CSV貼付B!$H$5:$H437)=0))&gt;1,"",MAX($O$4:O436)+1)))</f>
        <v/>
      </c>
      <c r="P437" s="0" t="str">
        <f aca="false">IFERROR(INDEX(CSV貼付B!$N$5:$N$1004,MATCH(ROW()-4,$O$5:$O$1004,0)),"")</f>
        <v/>
      </c>
      <c r="Q437" s="0" t="str">
        <f aca="false">IF(ROW()-4&lt;=MAX($M$5:$M$1004),IFERROR(INDEX($N$5:$N$1004,ROW()-4),""),IFERROR(INDEX($P$5:$P$1004,ROW()-4-MAX($M$5:$M$1004)),""))</f>
        <v/>
      </c>
    </row>
    <row r="438" customFormat="false" ht="15" hidden="false" customHeight="false" outlineLevel="0" collapsed="false">
      <c r="M438" s="0" t="str">
        <f aca="false">IF(CSV貼付A!$N438="","",IF(COUNTIF($B$37:$B$48,CSV貼付A!$H438)&gt;0,"",IF(SUMPRODUCT((CSV貼付A!$N$5:$N438=CSV貼付A!$N438)*(COUNTIF($B$37:$B$48,CSV貼付A!$H$5:$H438)=0))&gt;1,"",MAX($M$4:M437)+1)))</f>
        <v/>
      </c>
      <c r="N438" s="0" t="str">
        <f aca="false">IFERROR(INDEX(CSV貼付A!$N$5:$N$1004,MATCH(ROW()-4,$M$5:$M$1004,0)),"")</f>
        <v/>
      </c>
      <c r="O438" s="0" t="str">
        <f aca="false">IF(CSV貼付B!$N438="","",IF(COUNTIF($B$37:$B$48,CSV貼付B!$H438)&gt;0,"",IF(SUMPRODUCT((CSV貼付B!$N$5:$N438=CSV貼付B!$N438)*(COUNTIF($B$37:$B$48,CSV貼付B!$H$5:$H438)=0))&gt;1,"",MAX($O$4:O437)+1)))</f>
        <v/>
      </c>
      <c r="P438" s="0" t="str">
        <f aca="false">IFERROR(INDEX(CSV貼付B!$N$5:$N$1004,MATCH(ROW()-4,$O$5:$O$1004,0)),"")</f>
        <v/>
      </c>
      <c r="Q438" s="0" t="str">
        <f aca="false">IF(ROW()-4&lt;=MAX($M$5:$M$1004),IFERROR(INDEX($N$5:$N$1004,ROW()-4),""),IFERROR(INDEX($P$5:$P$1004,ROW()-4-MAX($M$5:$M$1004)),""))</f>
        <v/>
      </c>
    </row>
    <row r="439" customFormat="false" ht="15" hidden="false" customHeight="false" outlineLevel="0" collapsed="false">
      <c r="M439" s="0" t="str">
        <f aca="false">IF(CSV貼付A!$N439="","",IF(COUNTIF($B$37:$B$48,CSV貼付A!$H439)&gt;0,"",IF(SUMPRODUCT((CSV貼付A!$N$5:$N439=CSV貼付A!$N439)*(COUNTIF($B$37:$B$48,CSV貼付A!$H$5:$H439)=0))&gt;1,"",MAX($M$4:M438)+1)))</f>
        <v/>
      </c>
      <c r="N439" s="0" t="str">
        <f aca="false">IFERROR(INDEX(CSV貼付A!$N$5:$N$1004,MATCH(ROW()-4,$M$5:$M$1004,0)),"")</f>
        <v/>
      </c>
      <c r="O439" s="0" t="str">
        <f aca="false">IF(CSV貼付B!$N439="","",IF(COUNTIF($B$37:$B$48,CSV貼付B!$H439)&gt;0,"",IF(SUMPRODUCT((CSV貼付B!$N$5:$N439=CSV貼付B!$N439)*(COUNTIF($B$37:$B$48,CSV貼付B!$H$5:$H439)=0))&gt;1,"",MAX($O$4:O438)+1)))</f>
        <v/>
      </c>
      <c r="P439" s="0" t="str">
        <f aca="false">IFERROR(INDEX(CSV貼付B!$N$5:$N$1004,MATCH(ROW()-4,$O$5:$O$1004,0)),"")</f>
        <v/>
      </c>
      <c r="Q439" s="0" t="str">
        <f aca="false">IF(ROW()-4&lt;=MAX($M$5:$M$1004),IFERROR(INDEX($N$5:$N$1004,ROW()-4),""),IFERROR(INDEX($P$5:$P$1004,ROW()-4-MAX($M$5:$M$1004)),""))</f>
        <v/>
      </c>
    </row>
    <row r="440" customFormat="false" ht="15" hidden="false" customHeight="false" outlineLevel="0" collapsed="false">
      <c r="M440" s="0" t="str">
        <f aca="false">IF(CSV貼付A!$N440="","",IF(COUNTIF($B$37:$B$48,CSV貼付A!$H440)&gt;0,"",IF(SUMPRODUCT((CSV貼付A!$N$5:$N440=CSV貼付A!$N440)*(COUNTIF($B$37:$B$48,CSV貼付A!$H$5:$H440)=0))&gt;1,"",MAX($M$4:M439)+1)))</f>
        <v/>
      </c>
      <c r="N440" s="0" t="str">
        <f aca="false">IFERROR(INDEX(CSV貼付A!$N$5:$N$1004,MATCH(ROW()-4,$M$5:$M$1004,0)),"")</f>
        <v/>
      </c>
      <c r="O440" s="0" t="str">
        <f aca="false">IF(CSV貼付B!$N440="","",IF(COUNTIF($B$37:$B$48,CSV貼付B!$H440)&gt;0,"",IF(SUMPRODUCT((CSV貼付B!$N$5:$N440=CSV貼付B!$N440)*(COUNTIF($B$37:$B$48,CSV貼付B!$H$5:$H440)=0))&gt;1,"",MAX($O$4:O439)+1)))</f>
        <v/>
      </c>
      <c r="P440" s="0" t="str">
        <f aca="false">IFERROR(INDEX(CSV貼付B!$N$5:$N$1004,MATCH(ROW()-4,$O$5:$O$1004,0)),"")</f>
        <v/>
      </c>
      <c r="Q440" s="0" t="str">
        <f aca="false">IF(ROW()-4&lt;=MAX($M$5:$M$1004),IFERROR(INDEX($N$5:$N$1004,ROW()-4),""),IFERROR(INDEX($P$5:$P$1004,ROW()-4-MAX($M$5:$M$1004)),""))</f>
        <v/>
      </c>
    </row>
    <row r="441" customFormat="false" ht="15" hidden="false" customHeight="false" outlineLevel="0" collapsed="false">
      <c r="M441" s="0" t="str">
        <f aca="false">IF(CSV貼付A!$N441="","",IF(COUNTIF($B$37:$B$48,CSV貼付A!$H441)&gt;0,"",IF(SUMPRODUCT((CSV貼付A!$N$5:$N441=CSV貼付A!$N441)*(COUNTIF($B$37:$B$48,CSV貼付A!$H$5:$H441)=0))&gt;1,"",MAX($M$4:M440)+1)))</f>
        <v/>
      </c>
      <c r="N441" s="0" t="str">
        <f aca="false">IFERROR(INDEX(CSV貼付A!$N$5:$N$1004,MATCH(ROW()-4,$M$5:$M$1004,0)),"")</f>
        <v/>
      </c>
      <c r="O441" s="0" t="str">
        <f aca="false">IF(CSV貼付B!$N441="","",IF(COUNTIF($B$37:$B$48,CSV貼付B!$H441)&gt;0,"",IF(SUMPRODUCT((CSV貼付B!$N$5:$N441=CSV貼付B!$N441)*(COUNTIF($B$37:$B$48,CSV貼付B!$H$5:$H441)=0))&gt;1,"",MAX($O$4:O440)+1)))</f>
        <v/>
      </c>
      <c r="P441" s="0" t="str">
        <f aca="false">IFERROR(INDEX(CSV貼付B!$N$5:$N$1004,MATCH(ROW()-4,$O$5:$O$1004,0)),"")</f>
        <v/>
      </c>
      <c r="Q441" s="0" t="str">
        <f aca="false">IF(ROW()-4&lt;=MAX($M$5:$M$1004),IFERROR(INDEX($N$5:$N$1004,ROW()-4),""),IFERROR(INDEX($P$5:$P$1004,ROW()-4-MAX($M$5:$M$1004)),""))</f>
        <v/>
      </c>
    </row>
    <row r="442" customFormat="false" ht="15" hidden="false" customHeight="false" outlineLevel="0" collapsed="false">
      <c r="M442" s="0" t="str">
        <f aca="false">IF(CSV貼付A!$N442="","",IF(COUNTIF($B$37:$B$48,CSV貼付A!$H442)&gt;0,"",IF(SUMPRODUCT((CSV貼付A!$N$5:$N442=CSV貼付A!$N442)*(COUNTIF($B$37:$B$48,CSV貼付A!$H$5:$H442)=0))&gt;1,"",MAX($M$4:M441)+1)))</f>
        <v/>
      </c>
      <c r="N442" s="0" t="str">
        <f aca="false">IFERROR(INDEX(CSV貼付A!$N$5:$N$1004,MATCH(ROW()-4,$M$5:$M$1004,0)),"")</f>
        <v/>
      </c>
      <c r="O442" s="0" t="str">
        <f aca="false">IF(CSV貼付B!$N442="","",IF(COUNTIF($B$37:$B$48,CSV貼付B!$H442)&gt;0,"",IF(SUMPRODUCT((CSV貼付B!$N$5:$N442=CSV貼付B!$N442)*(COUNTIF($B$37:$B$48,CSV貼付B!$H$5:$H442)=0))&gt;1,"",MAX($O$4:O441)+1)))</f>
        <v/>
      </c>
      <c r="P442" s="0" t="str">
        <f aca="false">IFERROR(INDEX(CSV貼付B!$N$5:$N$1004,MATCH(ROW()-4,$O$5:$O$1004,0)),"")</f>
        <v/>
      </c>
      <c r="Q442" s="0" t="str">
        <f aca="false">IF(ROW()-4&lt;=MAX($M$5:$M$1004),IFERROR(INDEX($N$5:$N$1004,ROW()-4),""),IFERROR(INDEX($P$5:$P$1004,ROW()-4-MAX($M$5:$M$1004)),""))</f>
        <v/>
      </c>
    </row>
    <row r="443" customFormat="false" ht="15" hidden="false" customHeight="false" outlineLevel="0" collapsed="false">
      <c r="M443" s="0" t="str">
        <f aca="false">IF(CSV貼付A!$N443="","",IF(COUNTIF($B$37:$B$48,CSV貼付A!$H443)&gt;0,"",IF(SUMPRODUCT((CSV貼付A!$N$5:$N443=CSV貼付A!$N443)*(COUNTIF($B$37:$B$48,CSV貼付A!$H$5:$H443)=0))&gt;1,"",MAX($M$4:M442)+1)))</f>
        <v/>
      </c>
      <c r="N443" s="0" t="str">
        <f aca="false">IFERROR(INDEX(CSV貼付A!$N$5:$N$1004,MATCH(ROW()-4,$M$5:$M$1004,0)),"")</f>
        <v/>
      </c>
      <c r="O443" s="0" t="str">
        <f aca="false">IF(CSV貼付B!$N443="","",IF(COUNTIF($B$37:$B$48,CSV貼付B!$H443)&gt;0,"",IF(SUMPRODUCT((CSV貼付B!$N$5:$N443=CSV貼付B!$N443)*(COUNTIF($B$37:$B$48,CSV貼付B!$H$5:$H443)=0))&gt;1,"",MAX($O$4:O442)+1)))</f>
        <v/>
      </c>
      <c r="P443" s="0" t="str">
        <f aca="false">IFERROR(INDEX(CSV貼付B!$N$5:$N$1004,MATCH(ROW()-4,$O$5:$O$1004,0)),"")</f>
        <v/>
      </c>
      <c r="Q443" s="0" t="str">
        <f aca="false">IF(ROW()-4&lt;=MAX($M$5:$M$1004),IFERROR(INDEX($N$5:$N$1004,ROW()-4),""),IFERROR(INDEX($P$5:$P$1004,ROW()-4-MAX($M$5:$M$1004)),""))</f>
        <v/>
      </c>
    </row>
    <row r="444" customFormat="false" ht="15" hidden="false" customHeight="false" outlineLevel="0" collapsed="false">
      <c r="M444" s="0" t="str">
        <f aca="false">IF(CSV貼付A!$N444="","",IF(COUNTIF($B$37:$B$48,CSV貼付A!$H444)&gt;0,"",IF(SUMPRODUCT((CSV貼付A!$N$5:$N444=CSV貼付A!$N444)*(COUNTIF($B$37:$B$48,CSV貼付A!$H$5:$H444)=0))&gt;1,"",MAX($M$4:M443)+1)))</f>
        <v/>
      </c>
      <c r="N444" s="0" t="str">
        <f aca="false">IFERROR(INDEX(CSV貼付A!$N$5:$N$1004,MATCH(ROW()-4,$M$5:$M$1004,0)),"")</f>
        <v/>
      </c>
      <c r="O444" s="0" t="str">
        <f aca="false">IF(CSV貼付B!$N444="","",IF(COUNTIF($B$37:$B$48,CSV貼付B!$H444)&gt;0,"",IF(SUMPRODUCT((CSV貼付B!$N$5:$N444=CSV貼付B!$N444)*(COUNTIF($B$37:$B$48,CSV貼付B!$H$5:$H444)=0))&gt;1,"",MAX($O$4:O443)+1)))</f>
        <v/>
      </c>
      <c r="P444" s="0" t="str">
        <f aca="false">IFERROR(INDEX(CSV貼付B!$N$5:$N$1004,MATCH(ROW()-4,$O$5:$O$1004,0)),"")</f>
        <v/>
      </c>
      <c r="Q444" s="0" t="str">
        <f aca="false">IF(ROW()-4&lt;=MAX($M$5:$M$1004),IFERROR(INDEX($N$5:$N$1004,ROW()-4),""),IFERROR(INDEX($P$5:$P$1004,ROW()-4-MAX($M$5:$M$1004)),""))</f>
        <v/>
      </c>
    </row>
    <row r="445" customFormat="false" ht="15" hidden="false" customHeight="false" outlineLevel="0" collapsed="false">
      <c r="M445" s="0" t="str">
        <f aca="false">IF(CSV貼付A!$N445="","",IF(COUNTIF($B$37:$B$48,CSV貼付A!$H445)&gt;0,"",IF(SUMPRODUCT((CSV貼付A!$N$5:$N445=CSV貼付A!$N445)*(COUNTIF($B$37:$B$48,CSV貼付A!$H$5:$H445)=0))&gt;1,"",MAX($M$4:M444)+1)))</f>
        <v/>
      </c>
      <c r="N445" s="0" t="str">
        <f aca="false">IFERROR(INDEX(CSV貼付A!$N$5:$N$1004,MATCH(ROW()-4,$M$5:$M$1004,0)),"")</f>
        <v/>
      </c>
      <c r="O445" s="0" t="str">
        <f aca="false">IF(CSV貼付B!$N445="","",IF(COUNTIF($B$37:$B$48,CSV貼付B!$H445)&gt;0,"",IF(SUMPRODUCT((CSV貼付B!$N$5:$N445=CSV貼付B!$N445)*(COUNTIF($B$37:$B$48,CSV貼付B!$H$5:$H445)=0))&gt;1,"",MAX($O$4:O444)+1)))</f>
        <v/>
      </c>
      <c r="P445" s="0" t="str">
        <f aca="false">IFERROR(INDEX(CSV貼付B!$N$5:$N$1004,MATCH(ROW()-4,$O$5:$O$1004,0)),"")</f>
        <v/>
      </c>
      <c r="Q445" s="0" t="str">
        <f aca="false">IF(ROW()-4&lt;=MAX($M$5:$M$1004),IFERROR(INDEX($N$5:$N$1004,ROW()-4),""),IFERROR(INDEX($P$5:$P$1004,ROW()-4-MAX($M$5:$M$1004)),""))</f>
        <v/>
      </c>
    </row>
    <row r="446" customFormat="false" ht="15" hidden="false" customHeight="false" outlineLevel="0" collapsed="false">
      <c r="M446" s="0" t="str">
        <f aca="false">IF(CSV貼付A!$N446="","",IF(COUNTIF($B$37:$B$48,CSV貼付A!$H446)&gt;0,"",IF(SUMPRODUCT((CSV貼付A!$N$5:$N446=CSV貼付A!$N446)*(COUNTIF($B$37:$B$48,CSV貼付A!$H$5:$H446)=0))&gt;1,"",MAX($M$4:M445)+1)))</f>
        <v/>
      </c>
      <c r="N446" s="0" t="str">
        <f aca="false">IFERROR(INDEX(CSV貼付A!$N$5:$N$1004,MATCH(ROW()-4,$M$5:$M$1004,0)),"")</f>
        <v/>
      </c>
      <c r="O446" s="0" t="str">
        <f aca="false">IF(CSV貼付B!$N446="","",IF(COUNTIF($B$37:$B$48,CSV貼付B!$H446)&gt;0,"",IF(SUMPRODUCT((CSV貼付B!$N$5:$N446=CSV貼付B!$N446)*(COUNTIF($B$37:$B$48,CSV貼付B!$H$5:$H446)=0))&gt;1,"",MAX($O$4:O445)+1)))</f>
        <v/>
      </c>
      <c r="P446" s="0" t="str">
        <f aca="false">IFERROR(INDEX(CSV貼付B!$N$5:$N$1004,MATCH(ROW()-4,$O$5:$O$1004,0)),"")</f>
        <v/>
      </c>
      <c r="Q446" s="0" t="str">
        <f aca="false">IF(ROW()-4&lt;=MAX($M$5:$M$1004),IFERROR(INDEX($N$5:$N$1004,ROW()-4),""),IFERROR(INDEX($P$5:$P$1004,ROW()-4-MAX($M$5:$M$1004)),""))</f>
        <v/>
      </c>
    </row>
    <row r="447" customFormat="false" ht="15" hidden="false" customHeight="false" outlineLevel="0" collapsed="false">
      <c r="M447" s="0" t="str">
        <f aca="false">IF(CSV貼付A!$N447="","",IF(COUNTIF($B$37:$B$48,CSV貼付A!$H447)&gt;0,"",IF(SUMPRODUCT((CSV貼付A!$N$5:$N447=CSV貼付A!$N447)*(COUNTIF($B$37:$B$48,CSV貼付A!$H$5:$H447)=0))&gt;1,"",MAX($M$4:M446)+1)))</f>
        <v/>
      </c>
      <c r="N447" s="0" t="str">
        <f aca="false">IFERROR(INDEX(CSV貼付A!$N$5:$N$1004,MATCH(ROW()-4,$M$5:$M$1004,0)),"")</f>
        <v/>
      </c>
      <c r="O447" s="0" t="str">
        <f aca="false">IF(CSV貼付B!$N447="","",IF(COUNTIF($B$37:$B$48,CSV貼付B!$H447)&gt;0,"",IF(SUMPRODUCT((CSV貼付B!$N$5:$N447=CSV貼付B!$N447)*(COUNTIF($B$37:$B$48,CSV貼付B!$H$5:$H447)=0))&gt;1,"",MAX($O$4:O446)+1)))</f>
        <v/>
      </c>
      <c r="P447" s="0" t="str">
        <f aca="false">IFERROR(INDEX(CSV貼付B!$N$5:$N$1004,MATCH(ROW()-4,$O$5:$O$1004,0)),"")</f>
        <v/>
      </c>
      <c r="Q447" s="0" t="str">
        <f aca="false">IF(ROW()-4&lt;=MAX($M$5:$M$1004),IFERROR(INDEX($N$5:$N$1004,ROW()-4),""),IFERROR(INDEX($P$5:$P$1004,ROW()-4-MAX($M$5:$M$1004)),""))</f>
        <v/>
      </c>
    </row>
    <row r="448" customFormat="false" ht="15" hidden="false" customHeight="false" outlineLevel="0" collapsed="false">
      <c r="M448" s="0" t="str">
        <f aca="false">IF(CSV貼付A!$N448="","",IF(COUNTIF($B$37:$B$48,CSV貼付A!$H448)&gt;0,"",IF(SUMPRODUCT((CSV貼付A!$N$5:$N448=CSV貼付A!$N448)*(COUNTIF($B$37:$B$48,CSV貼付A!$H$5:$H448)=0))&gt;1,"",MAX($M$4:M447)+1)))</f>
        <v/>
      </c>
      <c r="N448" s="0" t="str">
        <f aca="false">IFERROR(INDEX(CSV貼付A!$N$5:$N$1004,MATCH(ROW()-4,$M$5:$M$1004,0)),"")</f>
        <v/>
      </c>
      <c r="O448" s="0" t="str">
        <f aca="false">IF(CSV貼付B!$N448="","",IF(COUNTIF($B$37:$B$48,CSV貼付B!$H448)&gt;0,"",IF(SUMPRODUCT((CSV貼付B!$N$5:$N448=CSV貼付B!$N448)*(COUNTIF($B$37:$B$48,CSV貼付B!$H$5:$H448)=0))&gt;1,"",MAX($O$4:O447)+1)))</f>
        <v/>
      </c>
      <c r="P448" s="0" t="str">
        <f aca="false">IFERROR(INDEX(CSV貼付B!$N$5:$N$1004,MATCH(ROW()-4,$O$5:$O$1004,0)),"")</f>
        <v/>
      </c>
      <c r="Q448" s="0" t="str">
        <f aca="false">IF(ROW()-4&lt;=MAX($M$5:$M$1004),IFERROR(INDEX($N$5:$N$1004,ROW()-4),""),IFERROR(INDEX($P$5:$P$1004,ROW()-4-MAX($M$5:$M$1004)),""))</f>
        <v/>
      </c>
    </row>
    <row r="449" customFormat="false" ht="15" hidden="false" customHeight="false" outlineLevel="0" collapsed="false">
      <c r="M449" s="0" t="str">
        <f aca="false">IF(CSV貼付A!$N449="","",IF(COUNTIF($B$37:$B$48,CSV貼付A!$H449)&gt;0,"",IF(SUMPRODUCT((CSV貼付A!$N$5:$N449=CSV貼付A!$N449)*(COUNTIF($B$37:$B$48,CSV貼付A!$H$5:$H449)=0))&gt;1,"",MAX($M$4:M448)+1)))</f>
        <v/>
      </c>
      <c r="N449" s="0" t="str">
        <f aca="false">IFERROR(INDEX(CSV貼付A!$N$5:$N$1004,MATCH(ROW()-4,$M$5:$M$1004,0)),"")</f>
        <v/>
      </c>
      <c r="O449" s="0" t="str">
        <f aca="false">IF(CSV貼付B!$N449="","",IF(COUNTIF($B$37:$B$48,CSV貼付B!$H449)&gt;0,"",IF(SUMPRODUCT((CSV貼付B!$N$5:$N449=CSV貼付B!$N449)*(COUNTIF($B$37:$B$48,CSV貼付B!$H$5:$H449)=0))&gt;1,"",MAX($O$4:O448)+1)))</f>
        <v/>
      </c>
      <c r="P449" s="0" t="str">
        <f aca="false">IFERROR(INDEX(CSV貼付B!$N$5:$N$1004,MATCH(ROW()-4,$O$5:$O$1004,0)),"")</f>
        <v/>
      </c>
      <c r="Q449" s="0" t="str">
        <f aca="false">IF(ROW()-4&lt;=MAX($M$5:$M$1004),IFERROR(INDEX($N$5:$N$1004,ROW()-4),""),IFERROR(INDEX($P$5:$P$1004,ROW()-4-MAX($M$5:$M$1004)),""))</f>
        <v/>
      </c>
    </row>
    <row r="450" customFormat="false" ht="15" hidden="false" customHeight="false" outlineLevel="0" collapsed="false">
      <c r="M450" s="0" t="str">
        <f aca="false">IF(CSV貼付A!$N450="","",IF(COUNTIF($B$37:$B$48,CSV貼付A!$H450)&gt;0,"",IF(SUMPRODUCT((CSV貼付A!$N$5:$N450=CSV貼付A!$N450)*(COUNTIF($B$37:$B$48,CSV貼付A!$H$5:$H450)=0))&gt;1,"",MAX($M$4:M449)+1)))</f>
        <v/>
      </c>
      <c r="N450" s="0" t="str">
        <f aca="false">IFERROR(INDEX(CSV貼付A!$N$5:$N$1004,MATCH(ROW()-4,$M$5:$M$1004,0)),"")</f>
        <v/>
      </c>
      <c r="O450" s="0" t="str">
        <f aca="false">IF(CSV貼付B!$N450="","",IF(COUNTIF($B$37:$B$48,CSV貼付B!$H450)&gt;0,"",IF(SUMPRODUCT((CSV貼付B!$N$5:$N450=CSV貼付B!$N450)*(COUNTIF($B$37:$B$48,CSV貼付B!$H$5:$H450)=0))&gt;1,"",MAX($O$4:O449)+1)))</f>
        <v/>
      </c>
      <c r="P450" s="0" t="str">
        <f aca="false">IFERROR(INDEX(CSV貼付B!$N$5:$N$1004,MATCH(ROW()-4,$O$5:$O$1004,0)),"")</f>
        <v/>
      </c>
      <c r="Q450" s="0" t="str">
        <f aca="false">IF(ROW()-4&lt;=MAX($M$5:$M$1004),IFERROR(INDEX($N$5:$N$1004,ROW()-4),""),IFERROR(INDEX($P$5:$P$1004,ROW()-4-MAX($M$5:$M$1004)),""))</f>
        <v/>
      </c>
    </row>
    <row r="451" customFormat="false" ht="15" hidden="false" customHeight="false" outlineLevel="0" collapsed="false">
      <c r="M451" s="0" t="str">
        <f aca="false">IF(CSV貼付A!$N451="","",IF(COUNTIF($B$37:$B$48,CSV貼付A!$H451)&gt;0,"",IF(SUMPRODUCT((CSV貼付A!$N$5:$N451=CSV貼付A!$N451)*(COUNTIF($B$37:$B$48,CSV貼付A!$H$5:$H451)=0))&gt;1,"",MAX($M$4:M450)+1)))</f>
        <v/>
      </c>
      <c r="N451" s="0" t="str">
        <f aca="false">IFERROR(INDEX(CSV貼付A!$N$5:$N$1004,MATCH(ROW()-4,$M$5:$M$1004,0)),"")</f>
        <v/>
      </c>
      <c r="O451" s="0" t="str">
        <f aca="false">IF(CSV貼付B!$N451="","",IF(COUNTIF($B$37:$B$48,CSV貼付B!$H451)&gt;0,"",IF(SUMPRODUCT((CSV貼付B!$N$5:$N451=CSV貼付B!$N451)*(COUNTIF($B$37:$B$48,CSV貼付B!$H$5:$H451)=0))&gt;1,"",MAX($O$4:O450)+1)))</f>
        <v/>
      </c>
      <c r="P451" s="0" t="str">
        <f aca="false">IFERROR(INDEX(CSV貼付B!$N$5:$N$1004,MATCH(ROW()-4,$O$5:$O$1004,0)),"")</f>
        <v/>
      </c>
      <c r="Q451" s="0" t="str">
        <f aca="false">IF(ROW()-4&lt;=MAX($M$5:$M$1004),IFERROR(INDEX($N$5:$N$1004,ROW()-4),""),IFERROR(INDEX($P$5:$P$1004,ROW()-4-MAX($M$5:$M$1004)),""))</f>
        <v/>
      </c>
    </row>
    <row r="452" customFormat="false" ht="15" hidden="false" customHeight="false" outlineLevel="0" collapsed="false">
      <c r="M452" s="0" t="str">
        <f aca="false">IF(CSV貼付A!$N452="","",IF(COUNTIF($B$37:$B$48,CSV貼付A!$H452)&gt;0,"",IF(SUMPRODUCT((CSV貼付A!$N$5:$N452=CSV貼付A!$N452)*(COUNTIF($B$37:$B$48,CSV貼付A!$H$5:$H452)=0))&gt;1,"",MAX($M$4:M451)+1)))</f>
        <v/>
      </c>
      <c r="N452" s="0" t="str">
        <f aca="false">IFERROR(INDEX(CSV貼付A!$N$5:$N$1004,MATCH(ROW()-4,$M$5:$M$1004,0)),"")</f>
        <v/>
      </c>
      <c r="O452" s="0" t="str">
        <f aca="false">IF(CSV貼付B!$N452="","",IF(COUNTIF($B$37:$B$48,CSV貼付B!$H452)&gt;0,"",IF(SUMPRODUCT((CSV貼付B!$N$5:$N452=CSV貼付B!$N452)*(COUNTIF($B$37:$B$48,CSV貼付B!$H$5:$H452)=0))&gt;1,"",MAX($O$4:O451)+1)))</f>
        <v/>
      </c>
      <c r="P452" s="0" t="str">
        <f aca="false">IFERROR(INDEX(CSV貼付B!$N$5:$N$1004,MATCH(ROW()-4,$O$5:$O$1004,0)),"")</f>
        <v/>
      </c>
      <c r="Q452" s="0" t="str">
        <f aca="false">IF(ROW()-4&lt;=MAX($M$5:$M$1004),IFERROR(INDEX($N$5:$N$1004,ROW()-4),""),IFERROR(INDEX($P$5:$P$1004,ROW()-4-MAX($M$5:$M$1004)),""))</f>
        <v/>
      </c>
    </row>
    <row r="453" customFormat="false" ht="15" hidden="false" customHeight="false" outlineLevel="0" collapsed="false">
      <c r="M453" s="0" t="str">
        <f aca="false">IF(CSV貼付A!$N453="","",IF(COUNTIF($B$37:$B$48,CSV貼付A!$H453)&gt;0,"",IF(SUMPRODUCT((CSV貼付A!$N$5:$N453=CSV貼付A!$N453)*(COUNTIF($B$37:$B$48,CSV貼付A!$H$5:$H453)=0))&gt;1,"",MAX($M$4:M452)+1)))</f>
        <v/>
      </c>
      <c r="N453" s="0" t="str">
        <f aca="false">IFERROR(INDEX(CSV貼付A!$N$5:$N$1004,MATCH(ROW()-4,$M$5:$M$1004,0)),"")</f>
        <v/>
      </c>
      <c r="O453" s="0" t="str">
        <f aca="false">IF(CSV貼付B!$N453="","",IF(COUNTIF($B$37:$B$48,CSV貼付B!$H453)&gt;0,"",IF(SUMPRODUCT((CSV貼付B!$N$5:$N453=CSV貼付B!$N453)*(COUNTIF($B$37:$B$48,CSV貼付B!$H$5:$H453)=0))&gt;1,"",MAX($O$4:O452)+1)))</f>
        <v/>
      </c>
      <c r="P453" s="0" t="str">
        <f aca="false">IFERROR(INDEX(CSV貼付B!$N$5:$N$1004,MATCH(ROW()-4,$O$5:$O$1004,0)),"")</f>
        <v/>
      </c>
      <c r="Q453" s="0" t="str">
        <f aca="false">IF(ROW()-4&lt;=MAX($M$5:$M$1004),IFERROR(INDEX($N$5:$N$1004,ROW()-4),""),IFERROR(INDEX($P$5:$P$1004,ROW()-4-MAX($M$5:$M$1004)),""))</f>
        <v/>
      </c>
    </row>
    <row r="454" customFormat="false" ht="15" hidden="false" customHeight="false" outlineLevel="0" collapsed="false">
      <c r="M454" s="0" t="str">
        <f aca="false">IF(CSV貼付A!$N454="","",IF(COUNTIF($B$37:$B$48,CSV貼付A!$H454)&gt;0,"",IF(SUMPRODUCT((CSV貼付A!$N$5:$N454=CSV貼付A!$N454)*(COUNTIF($B$37:$B$48,CSV貼付A!$H$5:$H454)=0))&gt;1,"",MAX($M$4:M453)+1)))</f>
        <v/>
      </c>
      <c r="N454" s="0" t="str">
        <f aca="false">IFERROR(INDEX(CSV貼付A!$N$5:$N$1004,MATCH(ROW()-4,$M$5:$M$1004,0)),"")</f>
        <v/>
      </c>
      <c r="O454" s="0" t="str">
        <f aca="false">IF(CSV貼付B!$N454="","",IF(COUNTIF($B$37:$B$48,CSV貼付B!$H454)&gt;0,"",IF(SUMPRODUCT((CSV貼付B!$N$5:$N454=CSV貼付B!$N454)*(COUNTIF($B$37:$B$48,CSV貼付B!$H$5:$H454)=0))&gt;1,"",MAX($O$4:O453)+1)))</f>
        <v/>
      </c>
      <c r="P454" s="0" t="str">
        <f aca="false">IFERROR(INDEX(CSV貼付B!$N$5:$N$1004,MATCH(ROW()-4,$O$5:$O$1004,0)),"")</f>
        <v/>
      </c>
      <c r="Q454" s="0" t="str">
        <f aca="false">IF(ROW()-4&lt;=MAX($M$5:$M$1004),IFERROR(INDEX($N$5:$N$1004,ROW()-4),""),IFERROR(INDEX($P$5:$P$1004,ROW()-4-MAX($M$5:$M$1004)),""))</f>
        <v/>
      </c>
    </row>
    <row r="455" customFormat="false" ht="15" hidden="false" customHeight="false" outlineLevel="0" collapsed="false">
      <c r="M455" s="0" t="str">
        <f aca="false">IF(CSV貼付A!$N455="","",IF(COUNTIF($B$37:$B$48,CSV貼付A!$H455)&gt;0,"",IF(SUMPRODUCT((CSV貼付A!$N$5:$N455=CSV貼付A!$N455)*(COUNTIF($B$37:$B$48,CSV貼付A!$H$5:$H455)=0))&gt;1,"",MAX($M$4:M454)+1)))</f>
        <v/>
      </c>
      <c r="N455" s="0" t="str">
        <f aca="false">IFERROR(INDEX(CSV貼付A!$N$5:$N$1004,MATCH(ROW()-4,$M$5:$M$1004,0)),"")</f>
        <v/>
      </c>
      <c r="O455" s="0" t="str">
        <f aca="false">IF(CSV貼付B!$N455="","",IF(COUNTIF($B$37:$B$48,CSV貼付B!$H455)&gt;0,"",IF(SUMPRODUCT((CSV貼付B!$N$5:$N455=CSV貼付B!$N455)*(COUNTIF($B$37:$B$48,CSV貼付B!$H$5:$H455)=0))&gt;1,"",MAX($O$4:O454)+1)))</f>
        <v/>
      </c>
      <c r="P455" s="0" t="str">
        <f aca="false">IFERROR(INDEX(CSV貼付B!$N$5:$N$1004,MATCH(ROW()-4,$O$5:$O$1004,0)),"")</f>
        <v/>
      </c>
      <c r="Q455" s="0" t="str">
        <f aca="false">IF(ROW()-4&lt;=MAX($M$5:$M$1004),IFERROR(INDEX($N$5:$N$1004,ROW()-4),""),IFERROR(INDEX($P$5:$P$1004,ROW()-4-MAX($M$5:$M$1004)),""))</f>
        <v/>
      </c>
    </row>
    <row r="456" customFormat="false" ht="15" hidden="false" customHeight="false" outlineLevel="0" collapsed="false">
      <c r="M456" s="0" t="str">
        <f aca="false">IF(CSV貼付A!$N456="","",IF(COUNTIF($B$37:$B$48,CSV貼付A!$H456)&gt;0,"",IF(SUMPRODUCT((CSV貼付A!$N$5:$N456=CSV貼付A!$N456)*(COUNTIF($B$37:$B$48,CSV貼付A!$H$5:$H456)=0))&gt;1,"",MAX($M$4:M455)+1)))</f>
        <v/>
      </c>
      <c r="N456" s="0" t="str">
        <f aca="false">IFERROR(INDEX(CSV貼付A!$N$5:$N$1004,MATCH(ROW()-4,$M$5:$M$1004,0)),"")</f>
        <v/>
      </c>
      <c r="O456" s="0" t="str">
        <f aca="false">IF(CSV貼付B!$N456="","",IF(COUNTIF($B$37:$B$48,CSV貼付B!$H456)&gt;0,"",IF(SUMPRODUCT((CSV貼付B!$N$5:$N456=CSV貼付B!$N456)*(COUNTIF($B$37:$B$48,CSV貼付B!$H$5:$H456)=0))&gt;1,"",MAX($O$4:O455)+1)))</f>
        <v/>
      </c>
      <c r="P456" s="0" t="str">
        <f aca="false">IFERROR(INDEX(CSV貼付B!$N$5:$N$1004,MATCH(ROW()-4,$O$5:$O$1004,0)),"")</f>
        <v/>
      </c>
      <c r="Q456" s="0" t="str">
        <f aca="false">IF(ROW()-4&lt;=MAX($M$5:$M$1004),IFERROR(INDEX($N$5:$N$1004,ROW()-4),""),IFERROR(INDEX($P$5:$P$1004,ROW()-4-MAX($M$5:$M$1004)),""))</f>
        <v/>
      </c>
    </row>
    <row r="457" customFormat="false" ht="15" hidden="false" customHeight="false" outlineLevel="0" collapsed="false">
      <c r="M457" s="0" t="str">
        <f aca="false">IF(CSV貼付A!$N457="","",IF(COUNTIF($B$37:$B$48,CSV貼付A!$H457)&gt;0,"",IF(SUMPRODUCT((CSV貼付A!$N$5:$N457=CSV貼付A!$N457)*(COUNTIF($B$37:$B$48,CSV貼付A!$H$5:$H457)=0))&gt;1,"",MAX($M$4:M456)+1)))</f>
        <v/>
      </c>
      <c r="N457" s="0" t="str">
        <f aca="false">IFERROR(INDEX(CSV貼付A!$N$5:$N$1004,MATCH(ROW()-4,$M$5:$M$1004,0)),"")</f>
        <v/>
      </c>
      <c r="O457" s="0" t="str">
        <f aca="false">IF(CSV貼付B!$N457="","",IF(COUNTIF($B$37:$B$48,CSV貼付B!$H457)&gt;0,"",IF(SUMPRODUCT((CSV貼付B!$N$5:$N457=CSV貼付B!$N457)*(COUNTIF($B$37:$B$48,CSV貼付B!$H$5:$H457)=0))&gt;1,"",MAX($O$4:O456)+1)))</f>
        <v/>
      </c>
      <c r="P457" s="0" t="str">
        <f aca="false">IFERROR(INDEX(CSV貼付B!$N$5:$N$1004,MATCH(ROW()-4,$O$5:$O$1004,0)),"")</f>
        <v/>
      </c>
      <c r="Q457" s="0" t="str">
        <f aca="false">IF(ROW()-4&lt;=MAX($M$5:$M$1004),IFERROR(INDEX($N$5:$N$1004,ROW()-4),""),IFERROR(INDEX($P$5:$P$1004,ROW()-4-MAX($M$5:$M$1004)),""))</f>
        <v/>
      </c>
    </row>
    <row r="458" customFormat="false" ht="15" hidden="false" customHeight="false" outlineLevel="0" collapsed="false">
      <c r="M458" s="0" t="str">
        <f aca="false">IF(CSV貼付A!$N458="","",IF(COUNTIF($B$37:$B$48,CSV貼付A!$H458)&gt;0,"",IF(SUMPRODUCT((CSV貼付A!$N$5:$N458=CSV貼付A!$N458)*(COUNTIF($B$37:$B$48,CSV貼付A!$H$5:$H458)=0))&gt;1,"",MAX($M$4:M457)+1)))</f>
        <v/>
      </c>
      <c r="N458" s="0" t="str">
        <f aca="false">IFERROR(INDEX(CSV貼付A!$N$5:$N$1004,MATCH(ROW()-4,$M$5:$M$1004,0)),"")</f>
        <v/>
      </c>
      <c r="O458" s="0" t="str">
        <f aca="false">IF(CSV貼付B!$N458="","",IF(COUNTIF($B$37:$B$48,CSV貼付B!$H458)&gt;0,"",IF(SUMPRODUCT((CSV貼付B!$N$5:$N458=CSV貼付B!$N458)*(COUNTIF($B$37:$B$48,CSV貼付B!$H$5:$H458)=0))&gt;1,"",MAX($O$4:O457)+1)))</f>
        <v/>
      </c>
      <c r="P458" s="0" t="str">
        <f aca="false">IFERROR(INDEX(CSV貼付B!$N$5:$N$1004,MATCH(ROW()-4,$O$5:$O$1004,0)),"")</f>
        <v/>
      </c>
      <c r="Q458" s="0" t="str">
        <f aca="false">IF(ROW()-4&lt;=MAX($M$5:$M$1004),IFERROR(INDEX($N$5:$N$1004,ROW()-4),""),IFERROR(INDEX($P$5:$P$1004,ROW()-4-MAX($M$5:$M$1004)),""))</f>
        <v/>
      </c>
    </row>
    <row r="459" customFormat="false" ht="15" hidden="false" customHeight="false" outlineLevel="0" collapsed="false">
      <c r="M459" s="0" t="str">
        <f aca="false">IF(CSV貼付A!$N459="","",IF(COUNTIF($B$37:$B$48,CSV貼付A!$H459)&gt;0,"",IF(SUMPRODUCT((CSV貼付A!$N$5:$N459=CSV貼付A!$N459)*(COUNTIF($B$37:$B$48,CSV貼付A!$H$5:$H459)=0))&gt;1,"",MAX($M$4:M458)+1)))</f>
        <v/>
      </c>
      <c r="N459" s="0" t="str">
        <f aca="false">IFERROR(INDEX(CSV貼付A!$N$5:$N$1004,MATCH(ROW()-4,$M$5:$M$1004,0)),"")</f>
        <v/>
      </c>
      <c r="O459" s="0" t="str">
        <f aca="false">IF(CSV貼付B!$N459="","",IF(COUNTIF($B$37:$B$48,CSV貼付B!$H459)&gt;0,"",IF(SUMPRODUCT((CSV貼付B!$N$5:$N459=CSV貼付B!$N459)*(COUNTIF($B$37:$B$48,CSV貼付B!$H$5:$H459)=0))&gt;1,"",MAX($O$4:O458)+1)))</f>
        <v/>
      </c>
      <c r="P459" s="0" t="str">
        <f aca="false">IFERROR(INDEX(CSV貼付B!$N$5:$N$1004,MATCH(ROW()-4,$O$5:$O$1004,0)),"")</f>
        <v/>
      </c>
      <c r="Q459" s="0" t="str">
        <f aca="false">IF(ROW()-4&lt;=MAX($M$5:$M$1004),IFERROR(INDEX($N$5:$N$1004,ROW()-4),""),IFERROR(INDEX($P$5:$P$1004,ROW()-4-MAX($M$5:$M$1004)),""))</f>
        <v/>
      </c>
    </row>
    <row r="460" customFormat="false" ht="15" hidden="false" customHeight="false" outlineLevel="0" collapsed="false">
      <c r="M460" s="0" t="str">
        <f aca="false">IF(CSV貼付A!$N460="","",IF(COUNTIF($B$37:$B$48,CSV貼付A!$H460)&gt;0,"",IF(SUMPRODUCT((CSV貼付A!$N$5:$N460=CSV貼付A!$N460)*(COUNTIF($B$37:$B$48,CSV貼付A!$H$5:$H460)=0))&gt;1,"",MAX($M$4:M459)+1)))</f>
        <v/>
      </c>
      <c r="N460" s="0" t="str">
        <f aca="false">IFERROR(INDEX(CSV貼付A!$N$5:$N$1004,MATCH(ROW()-4,$M$5:$M$1004,0)),"")</f>
        <v/>
      </c>
      <c r="O460" s="0" t="str">
        <f aca="false">IF(CSV貼付B!$N460="","",IF(COUNTIF($B$37:$B$48,CSV貼付B!$H460)&gt;0,"",IF(SUMPRODUCT((CSV貼付B!$N$5:$N460=CSV貼付B!$N460)*(COUNTIF($B$37:$B$48,CSV貼付B!$H$5:$H460)=0))&gt;1,"",MAX($O$4:O459)+1)))</f>
        <v/>
      </c>
      <c r="P460" s="0" t="str">
        <f aca="false">IFERROR(INDEX(CSV貼付B!$N$5:$N$1004,MATCH(ROW()-4,$O$5:$O$1004,0)),"")</f>
        <v/>
      </c>
      <c r="Q460" s="0" t="str">
        <f aca="false">IF(ROW()-4&lt;=MAX($M$5:$M$1004),IFERROR(INDEX($N$5:$N$1004,ROW()-4),""),IFERROR(INDEX($P$5:$P$1004,ROW()-4-MAX($M$5:$M$1004)),""))</f>
        <v/>
      </c>
    </row>
    <row r="461" customFormat="false" ht="15" hidden="false" customHeight="false" outlineLevel="0" collapsed="false">
      <c r="M461" s="0" t="str">
        <f aca="false">IF(CSV貼付A!$N461="","",IF(COUNTIF($B$37:$B$48,CSV貼付A!$H461)&gt;0,"",IF(SUMPRODUCT((CSV貼付A!$N$5:$N461=CSV貼付A!$N461)*(COUNTIF($B$37:$B$48,CSV貼付A!$H$5:$H461)=0))&gt;1,"",MAX($M$4:M460)+1)))</f>
        <v/>
      </c>
      <c r="N461" s="0" t="str">
        <f aca="false">IFERROR(INDEX(CSV貼付A!$N$5:$N$1004,MATCH(ROW()-4,$M$5:$M$1004,0)),"")</f>
        <v/>
      </c>
      <c r="O461" s="0" t="str">
        <f aca="false">IF(CSV貼付B!$N461="","",IF(COUNTIF($B$37:$B$48,CSV貼付B!$H461)&gt;0,"",IF(SUMPRODUCT((CSV貼付B!$N$5:$N461=CSV貼付B!$N461)*(COUNTIF($B$37:$B$48,CSV貼付B!$H$5:$H461)=0))&gt;1,"",MAX($O$4:O460)+1)))</f>
        <v/>
      </c>
      <c r="P461" s="0" t="str">
        <f aca="false">IFERROR(INDEX(CSV貼付B!$N$5:$N$1004,MATCH(ROW()-4,$O$5:$O$1004,0)),"")</f>
        <v/>
      </c>
      <c r="Q461" s="0" t="str">
        <f aca="false">IF(ROW()-4&lt;=MAX($M$5:$M$1004),IFERROR(INDEX($N$5:$N$1004,ROW()-4),""),IFERROR(INDEX($P$5:$P$1004,ROW()-4-MAX($M$5:$M$1004)),""))</f>
        <v/>
      </c>
    </row>
    <row r="462" customFormat="false" ht="15" hidden="false" customHeight="false" outlineLevel="0" collapsed="false">
      <c r="M462" s="0" t="str">
        <f aca="false">IF(CSV貼付A!$N462="","",IF(COUNTIF($B$37:$B$48,CSV貼付A!$H462)&gt;0,"",IF(SUMPRODUCT((CSV貼付A!$N$5:$N462=CSV貼付A!$N462)*(COUNTIF($B$37:$B$48,CSV貼付A!$H$5:$H462)=0))&gt;1,"",MAX($M$4:M461)+1)))</f>
        <v/>
      </c>
      <c r="N462" s="0" t="str">
        <f aca="false">IFERROR(INDEX(CSV貼付A!$N$5:$N$1004,MATCH(ROW()-4,$M$5:$M$1004,0)),"")</f>
        <v/>
      </c>
      <c r="O462" s="0" t="str">
        <f aca="false">IF(CSV貼付B!$N462="","",IF(COUNTIF($B$37:$B$48,CSV貼付B!$H462)&gt;0,"",IF(SUMPRODUCT((CSV貼付B!$N$5:$N462=CSV貼付B!$N462)*(COUNTIF($B$37:$B$48,CSV貼付B!$H$5:$H462)=0))&gt;1,"",MAX($O$4:O461)+1)))</f>
        <v/>
      </c>
      <c r="P462" s="0" t="str">
        <f aca="false">IFERROR(INDEX(CSV貼付B!$N$5:$N$1004,MATCH(ROW()-4,$O$5:$O$1004,0)),"")</f>
        <v/>
      </c>
      <c r="Q462" s="0" t="str">
        <f aca="false">IF(ROW()-4&lt;=MAX($M$5:$M$1004),IFERROR(INDEX($N$5:$N$1004,ROW()-4),""),IFERROR(INDEX($P$5:$P$1004,ROW()-4-MAX($M$5:$M$1004)),""))</f>
        <v/>
      </c>
    </row>
    <row r="463" customFormat="false" ht="15" hidden="false" customHeight="false" outlineLevel="0" collapsed="false">
      <c r="M463" s="0" t="str">
        <f aca="false">IF(CSV貼付A!$N463="","",IF(COUNTIF($B$37:$B$48,CSV貼付A!$H463)&gt;0,"",IF(SUMPRODUCT((CSV貼付A!$N$5:$N463=CSV貼付A!$N463)*(COUNTIF($B$37:$B$48,CSV貼付A!$H$5:$H463)=0))&gt;1,"",MAX($M$4:M462)+1)))</f>
        <v/>
      </c>
      <c r="N463" s="0" t="str">
        <f aca="false">IFERROR(INDEX(CSV貼付A!$N$5:$N$1004,MATCH(ROW()-4,$M$5:$M$1004,0)),"")</f>
        <v/>
      </c>
      <c r="O463" s="0" t="str">
        <f aca="false">IF(CSV貼付B!$N463="","",IF(COUNTIF($B$37:$B$48,CSV貼付B!$H463)&gt;0,"",IF(SUMPRODUCT((CSV貼付B!$N$5:$N463=CSV貼付B!$N463)*(COUNTIF($B$37:$B$48,CSV貼付B!$H$5:$H463)=0))&gt;1,"",MAX($O$4:O462)+1)))</f>
        <v/>
      </c>
      <c r="P463" s="0" t="str">
        <f aca="false">IFERROR(INDEX(CSV貼付B!$N$5:$N$1004,MATCH(ROW()-4,$O$5:$O$1004,0)),"")</f>
        <v/>
      </c>
      <c r="Q463" s="0" t="str">
        <f aca="false">IF(ROW()-4&lt;=MAX($M$5:$M$1004),IFERROR(INDEX($N$5:$N$1004,ROW()-4),""),IFERROR(INDEX($P$5:$P$1004,ROW()-4-MAX($M$5:$M$1004)),""))</f>
        <v/>
      </c>
    </row>
    <row r="464" customFormat="false" ht="15" hidden="false" customHeight="false" outlineLevel="0" collapsed="false">
      <c r="M464" s="0" t="str">
        <f aca="false">IF(CSV貼付A!$N464="","",IF(COUNTIF($B$37:$B$48,CSV貼付A!$H464)&gt;0,"",IF(SUMPRODUCT((CSV貼付A!$N$5:$N464=CSV貼付A!$N464)*(COUNTIF($B$37:$B$48,CSV貼付A!$H$5:$H464)=0))&gt;1,"",MAX($M$4:M463)+1)))</f>
        <v/>
      </c>
      <c r="N464" s="0" t="str">
        <f aca="false">IFERROR(INDEX(CSV貼付A!$N$5:$N$1004,MATCH(ROW()-4,$M$5:$M$1004,0)),"")</f>
        <v/>
      </c>
      <c r="O464" s="0" t="str">
        <f aca="false">IF(CSV貼付B!$N464="","",IF(COUNTIF($B$37:$B$48,CSV貼付B!$H464)&gt;0,"",IF(SUMPRODUCT((CSV貼付B!$N$5:$N464=CSV貼付B!$N464)*(COUNTIF($B$37:$B$48,CSV貼付B!$H$5:$H464)=0))&gt;1,"",MAX($O$4:O463)+1)))</f>
        <v/>
      </c>
      <c r="P464" s="0" t="str">
        <f aca="false">IFERROR(INDEX(CSV貼付B!$N$5:$N$1004,MATCH(ROW()-4,$O$5:$O$1004,0)),"")</f>
        <v/>
      </c>
      <c r="Q464" s="0" t="str">
        <f aca="false">IF(ROW()-4&lt;=MAX($M$5:$M$1004),IFERROR(INDEX($N$5:$N$1004,ROW()-4),""),IFERROR(INDEX($P$5:$P$1004,ROW()-4-MAX($M$5:$M$1004)),""))</f>
        <v/>
      </c>
    </row>
    <row r="465" customFormat="false" ht="15" hidden="false" customHeight="false" outlineLevel="0" collapsed="false">
      <c r="M465" s="0" t="str">
        <f aca="false">IF(CSV貼付A!$N465="","",IF(COUNTIF($B$37:$B$48,CSV貼付A!$H465)&gt;0,"",IF(SUMPRODUCT((CSV貼付A!$N$5:$N465=CSV貼付A!$N465)*(COUNTIF($B$37:$B$48,CSV貼付A!$H$5:$H465)=0))&gt;1,"",MAX($M$4:M464)+1)))</f>
        <v/>
      </c>
      <c r="N465" s="0" t="str">
        <f aca="false">IFERROR(INDEX(CSV貼付A!$N$5:$N$1004,MATCH(ROW()-4,$M$5:$M$1004,0)),"")</f>
        <v/>
      </c>
      <c r="O465" s="0" t="str">
        <f aca="false">IF(CSV貼付B!$N465="","",IF(COUNTIF($B$37:$B$48,CSV貼付B!$H465)&gt;0,"",IF(SUMPRODUCT((CSV貼付B!$N$5:$N465=CSV貼付B!$N465)*(COUNTIF($B$37:$B$48,CSV貼付B!$H$5:$H465)=0))&gt;1,"",MAX($O$4:O464)+1)))</f>
        <v/>
      </c>
      <c r="P465" s="0" t="str">
        <f aca="false">IFERROR(INDEX(CSV貼付B!$N$5:$N$1004,MATCH(ROW()-4,$O$5:$O$1004,0)),"")</f>
        <v/>
      </c>
      <c r="Q465" s="0" t="str">
        <f aca="false">IF(ROW()-4&lt;=MAX($M$5:$M$1004),IFERROR(INDEX($N$5:$N$1004,ROW()-4),""),IFERROR(INDEX($P$5:$P$1004,ROW()-4-MAX($M$5:$M$1004)),""))</f>
        <v/>
      </c>
    </row>
    <row r="466" customFormat="false" ht="15" hidden="false" customHeight="false" outlineLevel="0" collapsed="false">
      <c r="M466" s="0" t="str">
        <f aca="false">IF(CSV貼付A!$N466="","",IF(COUNTIF($B$37:$B$48,CSV貼付A!$H466)&gt;0,"",IF(SUMPRODUCT((CSV貼付A!$N$5:$N466=CSV貼付A!$N466)*(COUNTIF($B$37:$B$48,CSV貼付A!$H$5:$H466)=0))&gt;1,"",MAX($M$4:M465)+1)))</f>
        <v/>
      </c>
      <c r="N466" s="0" t="str">
        <f aca="false">IFERROR(INDEX(CSV貼付A!$N$5:$N$1004,MATCH(ROW()-4,$M$5:$M$1004,0)),"")</f>
        <v/>
      </c>
      <c r="O466" s="0" t="str">
        <f aca="false">IF(CSV貼付B!$N466="","",IF(COUNTIF($B$37:$B$48,CSV貼付B!$H466)&gt;0,"",IF(SUMPRODUCT((CSV貼付B!$N$5:$N466=CSV貼付B!$N466)*(COUNTIF($B$37:$B$48,CSV貼付B!$H$5:$H466)=0))&gt;1,"",MAX($O$4:O465)+1)))</f>
        <v/>
      </c>
      <c r="P466" s="0" t="str">
        <f aca="false">IFERROR(INDEX(CSV貼付B!$N$5:$N$1004,MATCH(ROW()-4,$O$5:$O$1004,0)),"")</f>
        <v/>
      </c>
      <c r="Q466" s="0" t="str">
        <f aca="false">IF(ROW()-4&lt;=MAX($M$5:$M$1004),IFERROR(INDEX($N$5:$N$1004,ROW()-4),""),IFERROR(INDEX($P$5:$P$1004,ROW()-4-MAX($M$5:$M$1004)),""))</f>
        <v/>
      </c>
    </row>
    <row r="467" customFormat="false" ht="15" hidden="false" customHeight="false" outlineLevel="0" collapsed="false">
      <c r="M467" s="0" t="str">
        <f aca="false">IF(CSV貼付A!$N467="","",IF(COUNTIF($B$37:$B$48,CSV貼付A!$H467)&gt;0,"",IF(SUMPRODUCT((CSV貼付A!$N$5:$N467=CSV貼付A!$N467)*(COUNTIF($B$37:$B$48,CSV貼付A!$H$5:$H467)=0))&gt;1,"",MAX($M$4:M466)+1)))</f>
        <v/>
      </c>
      <c r="N467" s="0" t="str">
        <f aca="false">IFERROR(INDEX(CSV貼付A!$N$5:$N$1004,MATCH(ROW()-4,$M$5:$M$1004,0)),"")</f>
        <v/>
      </c>
      <c r="O467" s="0" t="str">
        <f aca="false">IF(CSV貼付B!$N467="","",IF(COUNTIF($B$37:$B$48,CSV貼付B!$H467)&gt;0,"",IF(SUMPRODUCT((CSV貼付B!$N$5:$N467=CSV貼付B!$N467)*(COUNTIF($B$37:$B$48,CSV貼付B!$H$5:$H467)=0))&gt;1,"",MAX($O$4:O466)+1)))</f>
        <v/>
      </c>
      <c r="P467" s="0" t="str">
        <f aca="false">IFERROR(INDEX(CSV貼付B!$N$5:$N$1004,MATCH(ROW()-4,$O$5:$O$1004,0)),"")</f>
        <v/>
      </c>
      <c r="Q467" s="0" t="str">
        <f aca="false">IF(ROW()-4&lt;=MAX($M$5:$M$1004),IFERROR(INDEX($N$5:$N$1004,ROW()-4),""),IFERROR(INDEX($P$5:$P$1004,ROW()-4-MAX($M$5:$M$1004)),""))</f>
        <v/>
      </c>
    </row>
    <row r="468" customFormat="false" ht="15" hidden="false" customHeight="false" outlineLevel="0" collapsed="false">
      <c r="M468" s="0" t="str">
        <f aca="false">IF(CSV貼付A!$N468="","",IF(COUNTIF($B$37:$B$48,CSV貼付A!$H468)&gt;0,"",IF(SUMPRODUCT((CSV貼付A!$N$5:$N468=CSV貼付A!$N468)*(COUNTIF($B$37:$B$48,CSV貼付A!$H$5:$H468)=0))&gt;1,"",MAX($M$4:M467)+1)))</f>
        <v/>
      </c>
      <c r="N468" s="0" t="str">
        <f aca="false">IFERROR(INDEX(CSV貼付A!$N$5:$N$1004,MATCH(ROW()-4,$M$5:$M$1004,0)),"")</f>
        <v/>
      </c>
      <c r="O468" s="0" t="str">
        <f aca="false">IF(CSV貼付B!$N468="","",IF(COUNTIF($B$37:$B$48,CSV貼付B!$H468)&gt;0,"",IF(SUMPRODUCT((CSV貼付B!$N$5:$N468=CSV貼付B!$N468)*(COUNTIF($B$37:$B$48,CSV貼付B!$H$5:$H468)=0))&gt;1,"",MAX($O$4:O467)+1)))</f>
        <v/>
      </c>
      <c r="P468" s="0" t="str">
        <f aca="false">IFERROR(INDEX(CSV貼付B!$N$5:$N$1004,MATCH(ROW()-4,$O$5:$O$1004,0)),"")</f>
        <v/>
      </c>
      <c r="Q468" s="0" t="str">
        <f aca="false">IF(ROW()-4&lt;=MAX($M$5:$M$1004),IFERROR(INDEX($N$5:$N$1004,ROW()-4),""),IFERROR(INDEX($P$5:$P$1004,ROW()-4-MAX($M$5:$M$1004)),""))</f>
        <v/>
      </c>
    </row>
    <row r="469" customFormat="false" ht="15" hidden="false" customHeight="false" outlineLevel="0" collapsed="false">
      <c r="M469" s="0" t="str">
        <f aca="false">IF(CSV貼付A!$N469="","",IF(COUNTIF($B$37:$B$48,CSV貼付A!$H469)&gt;0,"",IF(SUMPRODUCT((CSV貼付A!$N$5:$N469=CSV貼付A!$N469)*(COUNTIF($B$37:$B$48,CSV貼付A!$H$5:$H469)=0))&gt;1,"",MAX($M$4:M468)+1)))</f>
        <v/>
      </c>
      <c r="N469" s="0" t="str">
        <f aca="false">IFERROR(INDEX(CSV貼付A!$N$5:$N$1004,MATCH(ROW()-4,$M$5:$M$1004,0)),"")</f>
        <v/>
      </c>
      <c r="O469" s="0" t="str">
        <f aca="false">IF(CSV貼付B!$N469="","",IF(COUNTIF($B$37:$B$48,CSV貼付B!$H469)&gt;0,"",IF(SUMPRODUCT((CSV貼付B!$N$5:$N469=CSV貼付B!$N469)*(COUNTIF($B$37:$B$48,CSV貼付B!$H$5:$H469)=0))&gt;1,"",MAX($O$4:O468)+1)))</f>
        <v/>
      </c>
      <c r="P469" s="0" t="str">
        <f aca="false">IFERROR(INDEX(CSV貼付B!$N$5:$N$1004,MATCH(ROW()-4,$O$5:$O$1004,0)),"")</f>
        <v/>
      </c>
      <c r="Q469" s="0" t="str">
        <f aca="false">IF(ROW()-4&lt;=MAX($M$5:$M$1004),IFERROR(INDEX($N$5:$N$1004,ROW()-4),""),IFERROR(INDEX($P$5:$P$1004,ROW()-4-MAX($M$5:$M$1004)),""))</f>
        <v/>
      </c>
    </row>
    <row r="470" customFormat="false" ht="15" hidden="false" customHeight="false" outlineLevel="0" collapsed="false">
      <c r="M470" s="0" t="str">
        <f aca="false">IF(CSV貼付A!$N470="","",IF(COUNTIF($B$37:$B$48,CSV貼付A!$H470)&gt;0,"",IF(SUMPRODUCT((CSV貼付A!$N$5:$N470=CSV貼付A!$N470)*(COUNTIF($B$37:$B$48,CSV貼付A!$H$5:$H470)=0))&gt;1,"",MAX($M$4:M469)+1)))</f>
        <v/>
      </c>
      <c r="N470" s="0" t="str">
        <f aca="false">IFERROR(INDEX(CSV貼付A!$N$5:$N$1004,MATCH(ROW()-4,$M$5:$M$1004,0)),"")</f>
        <v/>
      </c>
      <c r="O470" s="0" t="str">
        <f aca="false">IF(CSV貼付B!$N470="","",IF(COUNTIF($B$37:$B$48,CSV貼付B!$H470)&gt;0,"",IF(SUMPRODUCT((CSV貼付B!$N$5:$N470=CSV貼付B!$N470)*(COUNTIF($B$37:$B$48,CSV貼付B!$H$5:$H470)=0))&gt;1,"",MAX($O$4:O469)+1)))</f>
        <v/>
      </c>
      <c r="P470" s="0" t="str">
        <f aca="false">IFERROR(INDEX(CSV貼付B!$N$5:$N$1004,MATCH(ROW()-4,$O$5:$O$1004,0)),"")</f>
        <v/>
      </c>
      <c r="Q470" s="0" t="str">
        <f aca="false">IF(ROW()-4&lt;=MAX($M$5:$M$1004),IFERROR(INDEX($N$5:$N$1004,ROW()-4),""),IFERROR(INDEX($P$5:$P$1004,ROW()-4-MAX($M$5:$M$1004)),""))</f>
        <v/>
      </c>
    </row>
    <row r="471" customFormat="false" ht="15" hidden="false" customHeight="false" outlineLevel="0" collapsed="false">
      <c r="M471" s="0" t="str">
        <f aca="false">IF(CSV貼付A!$N471="","",IF(COUNTIF($B$37:$B$48,CSV貼付A!$H471)&gt;0,"",IF(SUMPRODUCT((CSV貼付A!$N$5:$N471=CSV貼付A!$N471)*(COUNTIF($B$37:$B$48,CSV貼付A!$H$5:$H471)=0))&gt;1,"",MAX($M$4:M470)+1)))</f>
        <v/>
      </c>
      <c r="N471" s="0" t="str">
        <f aca="false">IFERROR(INDEX(CSV貼付A!$N$5:$N$1004,MATCH(ROW()-4,$M$5:$M$1004,0)),"")</f>
        <v/>
      </c>
      <c r="O471" s="0" t="str">
        <f aca="false">IF(CSV貼付B!$N471="","",IF(COUNTIF($B$37:$B$48,CSV貼付B!$H471)&gt;0,"",IF(SUMPRODUCT((CSV貼付B!$N$5:$N471=CSV貼付B!$N471)*(COUNTIF($B$37:$B$48,CSV貼付B!$H$5:$H471)=0))&gt;1,"",MAX($O$4:O470)+1)))</f>
        <v/>
      </c>
      <c r="P471" s="0" t="str">
        <f aca="false">IFERROR(INDEX(CSV貼付B!$N$5:$N$1004,MATCH(ROW()-4,$O$5:$O$1004,0)),"")</f>
        <v/>
      </c>
      <c r="Q471" s="0" t="str">
        <f aca="false">IF(ROW()-4&lt;=MAX($M$5:$M$1004),IFERROR(INDEX($N$5:$N$1004,ROW()-4),""),IFERROR(INDEX($P$5:$P$1004,ROW()-4-MAX($M$5:$M$1004)),""))</f>
        <v/>
      </c>
    </row>
    <row r="472" customFormat="false" ht="15" hidden="false" customHeight="false" outlineLevel="0" collapsed="false">
      <c r="M472" s="0" t="str">
        <f aca="false">IF(CSV貼付A!$N472="","",IF(COUNTIF($B$37:$B$48,CSV貼付A!$H472)&gt;0,"",IF(SUMPRODUCT((CSV貼付A!$N$5:$N472=CSV貼付A!$N472)*(COUNTIF($B$37:$B$48,CSV貼付A!$H$5:$H472)=0))&gt;1,"",MAX($M$4:M471)+1)))</f>
        <v/>
      </c>
      <c r="N472" s="0" t="str">
        <f aca="false">IFERROR(INDEX(CSV貼付A!$N$5:$N$1004,MATCH(ROW()-4,$M$5:$M$1004,0)),"")</f>
        <v/>
      </c>
      <c r="O472" s="0" t="str">
        <f aca="false">IF(CSV貼付B!$N472="","",IF(COUNTIF($B$37:$B$48,CSV貼付B!$H472)&gt;0,"",IF(SUMPRODUCT((CSV貼付B!$N$5:$N472=CSV貼付B!$N472)*(COUNTIF($B$37:$B$48,CSV貼付B!$H$5:$H472)=0))&gt;1,"",MAX($O$4:O471)+1)))</f>
        <v/>
      </c>
      <c r="P472" s="0" t="str">
        <f aca="false">IFERROR(INDEX(CSV貼付B!$N$5:$N$1004,MATCH(ROW()-4,$O$5:$O$1004,0)),"")</f>
        <v/>
      </c>
      <c r="Q472" s="0" t="str">
        <f aca="false">IF(ROW()-4&lt;=MAX($M$5:$M$1004),IFERROR(INDEX($N$5:$N$1004,ROW()-4),""),IFERROR(INDEX($P$5:$P$1004,ROW()-4-MAX($M$5:$M$1004)),""))</f>
        <v/>
      </c>
    </row>
    <row r="473" customFormat="false" ht="15" hidden="false" customHeight="false" outlineLevel="0" collapsed="false">
      <c r="M473" s="0" t="str">
        <f aca="false">IF(CSV貼付A!$N473="","",IF(COUNTIF($B$37:$B$48,CSV貼付A!$H473)&gt;0,"",IF(SUMPRODUCT((CSV貼付A!$N$5:$N473=CSV貼付A!$N473)*(COUNTIF($B$37:$B$48,CSV貼付A!$H$5:$H473)=0))&gt;1,"",MAX($M$4:M472)+1)))</f>
        <v/>
      </c>
      <c r="N473" s="0" t="str">
        <f aca="false">IFERROR(INDEX(CSV貼付A!$N$5:$N$1004,MATCH(ROW()-4,$M$5:$M$1004,0)),"")</f>
        <v/>
      </c>
      <c r="O473" s="0" t="str">
        <f aca="false">IF(CSV貼付B!$N473="","",IF(COUNTIF($B$37:$B$48,CSV貼付B!$H473)&gt;0,"",IF(SUMPRODUCT((CSV貼付B!$N$5:$N473=CSV貼付B!$N473)*(COUNTIF($B$37:$B$48,CSV貼付B!$H$5:$H473)=0))&gt;1,"",MAX($O$4:O472)+1)))</f>
        <v/>
      </c>
      <c r="P473" s="0" t="str">
        <f aca="false">IFERROR(INDEX(CSV貼付B!$N$5:$N$1004,MATCH(ROW()-4,$O$5:$O$1004,0)),"")</f>
        <v/>
      </c>
      <c r="Q473" s="0" t="str">
        <f aca="false">IF(ROW()-4&lt;=MAX($M$5:$M$1004),IFERROR(INDEX($N$5:$N$1004,ROW()-4),""),IFERROR(INDEX($P$5:$P$1004,ROW()-4-MAX($M$5:$M$1004)),""))</f>
        <v/>
      </c>
    </row>
    <row r="474" customFormat="false" ht="15" hidden="false" customHeight="false" outlineLevel="0" collapsed="false">
      <c r="M474" s="0" t="str">
        <f aca="false">IF(CSV貼付A!$N474="","",IF(COUNTIF($B$37:$B$48,CSV貼付A!$H474)&gt;0,"",IF(SUMPRODUCT((CSV貼付A!$N$5:$N474=CSV貼付A!$N474)*(COUNTIF($B$37:$B$48,CSV貼付A!$H$5:$H474)=0))&gt;1,"",MAX($M$4:M473)+1)))</f>
        <v/>
      </c>
      <c r="N474" s="0" t="str">
        <f aca="false">IFERROR(INDEX(CSV貼付A!$N$5:$N$1004,MATCH(ROW()-4,$M$5:$M$1004,0)),"")</f>
        <v/>
      </c>
      <c r="O474" s="0" t="str">
        <f aca="false">IF(CSV貼付B!$N474="","",IF(COUNTIF($B$37:$B$48,CSV貼付B!$H474)&gt;0,"",IF(SUMPRODUCT((CSV貼付B!$N$5:$N474=CSV貼付B!$N474)*(COUNTIF($B$37:$B$48,CSV貼付B!$H$5:$H474)=0))&gt;1,"",MAX($O$4:O473)+1)))</f>
        <v/>
      </c>
      <c r="P474" s="0" t="str">
        <f aca="false">IFERROR(INDEX(CSV貼付B!$N$5:$N$1004,MATCH(ROW()-4,$O$5:$O$1004,0)),"")</f>
        <v/>
      </c>
      <c r="Q474" s="0" t="str">
        <f aca="false">IF(ROW()-4&lt;=MAX($M$5:$M$1004),IFERROR(INDEX($N$5:$N$1004,ROW()-4),""),IFERROR(INDEX($P$5:$P$1004,ROW()-4-MAX($M$5:$M$1004)),""))</f>
        <v/>
      </c>
    </row>
    <row r="475" customFormat="false" ht="15" hidden="false" customHeight="false" outlineLevel="0" collapsed="false">
      <c r="M475" s="0" t="str">
        <f aca="false">IF(CSV貼付A!$N475="","",IF(COUNTIF($B$37:$B$48,CSV貼付A!$H475)&gt;0,"",IF(SUMPRODUCT((CSV貼付A!$N$5:$N475=CSV貼付A!$N475)*(COUNTIF($B$37:$B$48,CSV貼付A!$H$5:$H475)=0))&gt;1,"",MAX($M$4:M474)+1)))</f>
        <v/>
      </c>
      <c r="N475" s="0" t="str">
        <f aca="false">IFERROR(INDEX(CSV貼付A!$N$5:$N$1004,MATCH(ROW()-4,$M$5:$M$1004,0)),"")</f>
        <v/>
      </c>
      <c r="O475" s="0" t="str">
        <f aca="false">IF(CSV貼付B!$N475="","",IF(COUNTIF($B$37:$B$48,CSV貼付B!$H475)&gt;0,"",IF(SUMPRODUCT((CSV貼付B!$N$5:$N475=CSV貼付B!$N475)*(COUNTIF($B$37:$B$48,CSV貼付B!$H$5:$H475)=0))&gt;1,"",MAX($O$4:O474)+1)))</f>
        <v/>
      </c>
      <c r="P475" s="0" t="str">
        <f aca="false">IFERROR(INDEX(CSV貼付B!$N$5:$N$1004,MATCH(ROW()-4,$O$5:$O$1004,0)),"")</f>
        <v/>
      </c>
      <c r="Q475" s="0" t="str">
        <f aca="false">IF(ROW()-4&lt;=MAX($M$5:$M$1004),IFERROR(INDEX($N$5:$N$1004,ROW()-4),""),IFERROR(INDEX($P$5:$P$1004,ROW()-4-MAX($M$5:$M$1004)),""))</f>
        <v/>
      </c>
    </row>
    <row r="476" customFormat="false" ht="15" hidden="false" customHeight="false" outlineLevel="0" collapsed="false">
      <c r="M476" s="0" t="str">
        <f aca="false">IF(CSV貼付A!$N476="","",IF(COUNTIF($B$37:$B$48,CSV貼付A!$H476)&gt;0,"",IF(SUMPRODUCT((CSV貼付A!$N$5:$N476=CSV貼付A!$N476)*(COUNTIF($B$37:$B$48,CSV貼付A!$H$5:$H476)=0))&gt;1,"",MAX($M$4:M475)+1)))</f>
        <v/>
      </c>
      <c r="N476" s="0" t="str">
        <f aca="false">IFERROR(INDEX(CSV貼付A!$N$5:$N$1004,MATCH(ROW()-4,$M$5:$M$1004,0)),"")</f>
        <v/>
      </c>
      <c r="O476" s="0" t="str">
        <f aca="false">IF(CSV貼付B!$N476="","",IF(COUNTIF($B$37:$B$48,CSV貼付B!$H476)&gt;0,"",IF(SUMPRODUCT((CSV貼付B!$N$5:$N476=CSV貼付B!$N476)*(COUNTIF($B$37:$B$48,CSV貼付B!$H$5:$H476)=0))&gt;1,"",MAX($O$4:O475)+1)))</f>
        <v/>
      </c>
      <c r="P476" s="0" t="str">
        <f aca="false">IFERROR(INDEX(CSV貼付B!$N$5:$N$1004,MATCH(ROW()-4,$O$5:$O$1004,0)),"")</f>
        <v/>
      </c>
      <c r="Q476" s="0" t="str">
        <f aca="false">IF(ROW()-4&lt;=MAX($M$5:$M$1004),IFERROR(INDEX($N$5:$N$1004,ROW()-4),""),IFERROR(INDEX($P$5:$P$1004,ROW()-4-MAX($M$5:$M$1004)),""))</f>
        <v/>
      </c>
    </row>
    <row r="477" customFormat="false" ht="15" hidden="false" customHeight="false" outlineLevel="0" collapsed="false">
      <c r="M477" s="0" t="str">
        <f aca="false">IF(CSV貼付A!$N477="","",IF(COUNTIF($B$37:$B$48,CSV貼付A!$H477)&gt;0,"",IF(SUMPRODUCT((CSV貼付A!$N$5:$N477=CSV貼付A!$N477)*(COUNTIF($B$37:$B$48,CSV貼付A!$H$5:$H477)=0))&gt;1,"",MAX($M$4:M476)+1)))</f>
        <v/>
      </c>
      <c r="N477" s="0" t="str">
        <f aca="false">IFERROR(INDEX(CSV貼付A!$N$5:$N$1004,MATCH(ROW()-4,$M$5:$M$1004,0)),"")</f>
        <v/>
      </c>
      <c r="O477" s="0" t="str">
        <f aca="false">IF(CSV貼付B!$N477="","",IF(COUNTIF($B$37:$B$48,CSV貼付B!$H477)&gt;0,"",IF(SUMPRODUCT((CSV貼付B!$N$5:$N477=CSV貼付B!$N477)*(COUNTIF($B$37:$B$48,CSV貼付B!$H$5:$H477)=0))&gt;1,"",MAX($O$4:O476)+1)))</f>
        <v/>
      </c>
      <c r="P477" s="0" t="str">
        <f aca="false">IFERROR(INDEX(CSV貼付B!$N$5:$N$1004,MATCH(ROW()-4,$O$5:$O$1004,0)),"")</f>
        <v/>
      </c>
      <c r="Q477" s="0" t="str">
        <f aca="false">IF(ROW()-4&lt;=MAX($M$5:$M$1004),IFERROR(INDEX($N$5:$N$1004,ROW()-4),""),IFERROR(INDEX($P$5:$P$1004,ROW()-4-MAX($M$5:$M$1004)),""))</f>
        <v/>
      </c>
    </row>
    <row r="478" customFormat="false" ht="15" hidden="false" customHeight="false" outlineLevel="0" collapsed="false">
      <c r="M478" s="0" t="str">
        <f aca="false">IF(CSV貼付A!$N478="","",IF(COUNTIF($B$37:$B$48,CSV貼付A!$H478)&gt;0,"",IF(SUMPRODUCT((CSV貼付A!$N$5:$N478=CSV貼付A!$N478)*(COUNTIF($B$37:$B$48,CSV貼付A!$H$5:$H478)=0))&gt;1,"",MAX($M$4:M477)+1)))</f>
        <v/>
      </c>
      <c r="N478" s="0" t="str">
        <f aca="false">IFERROR(INDEX(CSV貼付A!$N$5:$N$1004,MATCH(ROW()-4,$M$5:$M$1004,0)),"")</f>
        <v/>
      </c>
      <c r="O478" s="0" t="str">
        <f aca="false">IF(CSV貼付B!$N478="","",IF(COUNTIF($B$37:$B$48,CSV貼付B!$H478)&gt;0,"",IF(SUMPRODUCT((CSV貼付B!$N$5:$N478=CSV貼付B!$N478)*(COUNTIF($B$37:$B$48,CSV貼付B!$H$5:$H478)=0))&gt;1,"",MAX($O$4:O477)+1)))</f>
        <v/>
      </c>
      <c r="P478" s="0" t="str">
        <f aca="false">IFERROR(INDEX(CSV貼付B!$N$5:$N$1004,MATCH(ROW()-4,$O$5:$O$1004,0)),"")</f>
        <v/>
      </c>
      <c r="Q478" s="0" t="str">
        <f aca="false">IF(ROW()-4&lt;=MAX($M$5:$M$1004),IFERROR(INDEX($N$5:$N$1004,ROW()-4),""),IFERROR(INDEX($P$5:$P$1004,ROW()-4-MAX($M$5:$M$1004)),""))</f>
        <v/>
      </c>
    </row>
    <row r="479" customFormat="false" ht="15" hidden="false" customHeight="false" outlineLevel="0" collapsed="false">
      <c r="M479" s="0" t="str">
        <f aca="false">IF(CSV貼付A!$N479="","",IF(COUNTIF($B$37:$B$48,CSV貼付A!$H479)&gt;0,"",IF(SUMPRODUCT((CSV貼付A!$N$5:$N479=CSV貼付A!$N479)*(COUNTIF($B$37:$B$48,CSV貼付A!$H$5:$H479)=0))&gt;1,"",MAX($M$4:M478)+1)))</f>
        <v/>
      </c>
      <c r="N479" s="0" t="str">
        <f aca="false">IFERROR(INDEX(CSV貼付A!$N$5:$N$1004,MATCH(ROW()-4,$M$5:$M$1004,0)),"")</f>
        <v/>
      </c>
      <c r="O479" s="0" t="str">
        <f aca="false">IF(CSV貼付B!$N479="","",IF(COUNTIF($B$37:$B$48,CSV貼付B!$H479)&gt;0,"",IF(SUMPRODUCT((CSV貼付B!$N$5:$N479=CSV貼付B!$N479)*(COUNTIF($B$37:$B$48,CSV貼付B!$H$5:$H479)=0))&gt;1,"",MAX($O$4:O478)+1)))</f>
        <v/>
      </c>
      <c r="P479" s="0" t="str">
        <f aca="false">IFERROR(INDEX(CSV貼付B!$N$5:$N$1004,MATCH(ROW()-4,$O$5:$O$1004,0)),"")</f>
        <v/>
      </c>
      <c r="Q479" s="0" t="str">
        <f aca="false">IF(ROW()-4&lt;=MAX($M$5:$M$1004),IFERROR(INDEX($N$5:$N$1004,ROW()-4),""),IFERROR(INDEX($P$5:$P$1004,ROW()-4-MAX($M$5:$M$1004)),""))</f>
        <v/>
      </c>
    </row>
    <row r="480" customFormat="false" ht="15" hidden="false" customHeight="false" outlineLevel="0" collapsed="false">
      <c r="M480" s="0" t="str">
        <f aca="false">IF(CSV貼付A!$N480="","",IF(COUNTIF($B$37:$B$48,CSV貼付A!$H480)&gt;0,"",IF(SUMPRODUCT((CSV貼付A!$N$5:$N480=CSV貼付A!$N480)*(COUNTIF($B$37:$B$48,CSV貼付A!$H$5:$H480)=0))&gt;1,"",MAX($M$4:M479)+1)))</f>
        <v/>
      </c>
      <c r="N480" s="0" t="str">
        <f aca="false">IFERROR(INDEX(CSV貼付A!$N$5:$N$1004,MATCH(ROW()-4,$M$5:$M$1004,0)),"")</f>
        <v/>
      </c>
      <c r="O480" s="0" t="str">
        <f aca="false">IF(CSV貼付B!$N480="","",IF(COUNTIF($B$37:$B$48,CSV貼付B!$H480)&gt;0,"",IF(SUMPRODUCT((CSV貼付B!$N$5:$N480=CSV貼付B!$N480)*(COUNTIF($B$37:$B$48,CSV貼付B!$H$5:$H480)=0))&gt;1,"",MAX($O$4:O479)+1)))</f>
        <v/>
      </c>
      <c r="P480" s="0" t="str">
        <f aca="false">IFERROR(INDEX(CSV貼付B!$N$5:$N$1004,MATCH(ROW()-4,$O$5:$O$1004,0)),"")</f>
        <v/>
      </c>
      <c r="Q480" s="0" t="str">
        <f aca="false">IF(ROW()-4&lt;=MAX($M$5:$M$1004),IFERROR(INDEX($N$5:$N$1004,ROW()-4),""),IFERROR(INDEX($P$5:$P$1004,ROW()-4-MAX($M$5:$M$1004)),""))</f>
        <v/>
      </c>
    </row>
    <row r="481" customFormat="false" ht="15" hidden="false" customHeight="false" outlineLevel="0" collapsed="false">
      <c r="M481" s="0" t="str">
        <f aca="false">IF(CSV貼付A!$N481="","",IF(COUNTIF($B$37:$B$48,CSV貼付A!$H481)&gt;0,"",IF(SUMPRODUCT((CSV貼付A!$N$5:$N481=CSV貼付A!$N481)*(COUNTIF($B$37:$B$48,CSV貼付A!$H$5:$H481)=0))&gt;1,"",MAX($M$4:M480)+1)))</f>
        <v/>
      </c>
      <c r="N481" s="0" t="str">
        <f aca="false">IFERROR(INDEX(CSV貼付A!$N$5:$N$1004,MATCH(ROW()-4,$M$5:$M$1004,0)),"")</f>
        <v/>
      </c>
      <c r="O481" s="0" t="str">
        <f aca="false">IF(CSV貼付B!$N481="","",IF(COUNTIF($B$37:$B$48,CSV貼付B!$H481)&gt;0,"",IF(SUMPRODUCT((CSV貼付B!$N$5:$N481=CSV貼付B!$N481)*(COUNTIF($B$37:$B$48,CSV貼付B!$H$5:$H481)=0))&gt;1,"",MAX($O$4:O480)+1)))</f>
        <v/>
      </c>
      <c r="P481" s="0" t="str">
        <f aca="false">IFERROR(INDEX(CSV貼付B!$N$5:$N$1004,MATCH(ROW()-4,$O$5:$O$1004,0)),"")</f>
        <v/>
      </c>
      <c r="Q481" s="0" t="str">
        <f aca="false">IF(ROW()-4&lt;=MAX($M$5:$M$1004),IFERROR(INDEX($N$5:$N$1004,ROW()-4),""),IFERROR(INDEX($P$5:$P$1004,ROW()-4-MAX($M$5:$M$1004)),""))</f>
        <v/>
      </c>
    </row>
    <row r="482" customFormat="false" ht="15" hidden="false" customHeight="false" outlineLevel="0" collapsed="false">
      <c r="M482" s="0" t="str">
        <f aca="false">IF(CSV貼付A!$N482="","",IF(COUNTIF($B$37:$B$48,CSV貼付A!$H482)&gt;0,"",IF(SUMPRODUCT((CSV貼付A!$N$5:$N482=CSV貼付A!$N482)*(COUNTIF($B$37:$B$48,CSV貼付A!$H$5:$H482)=0))&gt;1,"",MAX($M$4:M481)+1)))</f>
        <v/>
      </c>
      <c r="N482" s="0" t="str">
        <f aca="false">IFERROR(INDEX(CSV貼付A!$N$5:$N$1004,MATCH(ROW()-4,$M$5:$M$1004,0)),"")</f>
        <v/>
      </c>
      <c r="O482" s="0" t="str">
        <f aca="false">IF(CSV貼付B!$N482="","",IF(COUNTIF($B$37:$B$48,CSV貼付B!$H482)&gt;0,"",IF(SUMPRODUCT((CSV貼付B!$N$5:$N482=CSV貼付B!$N482)*(COUNTIF($B$37:$B$48,CSV貼付B!$H$5:$H482)=0))&gt;1,"",MAX($O$4:O481)+1)))</f>
        <v/>
      </c>
      <c r="P482" s="0" t="str">
        <f aca="false">IFERROR(INDEX(CSV貼付B!$N$5:$N$1004,MATCH(ROW()-4,$O$5:$O$1004,0)),"")</f>
        <v/>
      </c>
      <c r="Q482" s="0" t="str">
        <f aca="false">IF(ROW()-4&lt;=MAX($M$5:$M$1004),IFERROR(INDEX($N$5:$N$1004,ROW()-4),""),IFERROR(INDEX($P$5:$P$1004,ROW()-4-MAX($M$5:$M$1004)),""))</f>
        <v/>
      </c>
    </row>
    <row r="483" customFormat="false" ht="15" hidden="false" customHeight="false" outlineLevel="0" collapsed="false">
      <c r="M483" s="0" t="str">
        <f aca="false">IF(CSV貼付A!$N483="","",IF(COUNTIF($B$37:$B$48,CSV貼付A!$H483)&gt;0,"",IF(SUMPRODUCT((CSV貼付A!$N$5:$N483=CSV貼付A!$N483)*(COUNTIF($B$37:$B$48,CSV貼付A!$H$5:$H483)=0))&gt;1,"",MAX($M$4:M482)+1)))</f>
        <v/>
      </c>
      <c r="N483" s="0" t="str">
        <f aca="false">IFERROR(INDEX(CSV貼付A!$N$5:$N$1004,MATCH(ROW()-4,$M$5:$M$1004,0)),"")</f>
        <v/>
      </c>
      <c r="O483" s="0" t="str">
        <f aca="false">IF(CSV貼付B!$N483="","",IF(COUNTIF($B$37:$B$48,CSV貼付B!$H483)&gt;0,"",IF(SUMPRODUCT((CSV貼付B!$N$5:$N483=CSV貼付B!$N483)*(COUNTIF($B$37:$B$48,CSV貼付B!$H$5:$H483)=0))&gt;1,"",MAX($O$4:O482)+1)))</f>
        <v/>
      </c>
      <c r="P483" s="0" t="str">
        <f aca="false">IFERROR(INDEX(CSV貼付B!$N$5:$N$1004,MATCH(ROW()-4,$O$5:$O$1004,0)),"")</f>
        <v/>
      </c>
      <c r="Q483" s="0" t="str">
        <f aca="false">IF(ROW()-4&lt;=MAX($M$5:$M$1004),IFERROR(INDEX($N$5:$N$1004,ROW()-4),""),IFERROR(INDEX($P$5:$P$1004,ROW()-4-MAX($M$5:$M$1004)),""))</f>
        <v/>
      </c>
    </row>
    <row r="484" customFormat="false" ht="15" hidden="false" customHeight="false" outlineLevel="0" collapsed="false">
      <c r="M484" s="0" t="str">
        <f aca="false">IF(CSV貼付A!$N484="","",IF(COUNTIF($B$37:$B$48,CSV貼付A!$H484)&gt;0,"",IF(SUMPRODUCT((CSV貼付A!$N$5:$N484=CSV貼付A!$N484)*(COUNTIF($B$37:$B$48,CSV貼付A!$H$5:$H484)=0))&gt;1,"",MAX($M$4:M483)+1)))</f>
        <v/>
      </c>
      <c r="N484" s="0" t="str">
        <f aca="false">IFERROR(INDEX(CSV貼付A!$N$5:$N$1004,MATCH(ROW()-4,$M$5:$M$1004,0)),"")</f>
        <v/>
      </c>
      <c r="O484" s="0" t="str">
        <f aca="false">IF(CSV貼付B!$N484="","",IF(COUNTIF($B$37:$B$48,CSV貼付B!$H484)&gt;0,"",IF(SUMPRODUCT((CSV貼付B!$N$5:$N484=CSV貼付B!$N484)*(COUNTIF($B$37:$B$48,CSV貼付B!$H$5:$H484)=0))&gt;1,"",MAX($O$4:O483)+1)))</f>
        <v/>
      </c>
      <c r="P484" s="0" t="str">
        <f aca="false">IFERROR(INDEX(CSV貼付B!$N$5:$N$1004,MATCH(ROW()-4,$O$5:$O$1004,0)),"")</f>
        <v/>
      </c>
      <c r="Q484" s="0" t="str">
        <f aca="false">IF(ROW()-4&lt;=MAX($M$5:$M$1004),IFERROR(INDEX($N$5:$N$1004,ROW()-4),""),IFERROR(INDEX($P$5:$P$1004,ROW()-4-MAX($M$5:$M$1004)),""))</f>
        <v/>
      </c>
    </row>
    <row r="485" customFormat="false" ht="15" hidden="false" customHeight="false" outlineLevel="0" collapsed="false">
      <c r="M485" s="0" t="str">
        <f aca="false">IF(CSV貼付A!$N485="","",IF(COUNTIF($B$37:$B$48,CSV貼付A!$H485)&gt;0,"",IF(SUMPRODUCT((CSV貼付A!$N$5:$N485=CSV貼付A!$N485)*(COUNTIF($B$37:$B$48,CSV貼付A!$H$5:$H485)=0))&gt;1,"",MAX($M$4:M484)+1)))</f>
        <v/>
      </c>
      <c r="N485" s="0" t="str">
        <f aca="false">IFERROR(INDEX(CSV貼付A!$N$5:$N$1004,MATCH(ROW()-4,$M$5:$M$1004,0)),"")</f>
        <v/>
      </c>
      <c r="O485" s="0" t="str">
        <f aca="false">IF(CSV貼付B!$N485="","",IF(COUNTIF($B$37:$B$48,CSV貼付B!$H485)&gt;0,"",IF(SUMPRODUCT((CSV貼付B!$N$5:$N485=CSV貼付B!$N485)*(COUNTIF($B$37:$B$48,CSV貼付B!$H$5:$H485)=0))&gt;1,"",MAX($O$4:O484)+1)))</f>
        <v/>
      </c>
      <c r="P485" s="0" t="str">
        <f aca="false">IFERROR(INDEX(CSV貼付B!$N$5:$N$1004,MATCH(ROW()-4,$O$5:$O$1004,0)),"")</f>
        <v/>
      </c>
      <c r="Q485" s="0" t="str">
        <f aca="false">IF(ROW()-4&lt;=MAX($M$5:$M$1004),IFERROR(INDEX($N$5:$N$1004,ROW()-4),""),IFERROR(INDEX($P$5:$P$1004,ROW()-4-MAX($M$5:$M$1004)),""))</f>
        <v/>
      </c>
    </row>
    <row r="486" customFormat="false" ht="15" hidden="false" customHeight="false" outlineLevel="0" collapsed="false">
      <c r="M486" s="0" t="str">
        <f aca="false">IF(CSV貼付A!$N486="","",IF(COUNTIF($B$37:$B$48,CSV貼付A!$H486)&gt;0,"",IF(SUMPRODUCT((CSV貼付A!$N$5:$N486=CSV貼付A!$N486)*(COUNTIF($B$37:$B$48,CSV貼付A!$H$5:$H486)=0))&gt;1,"",MAX($M$4:M485)+1)))</f>
        <v/>
      </c>
      <c r="N486" s="0" t="str">
        <f aca="false">IFERROR(INDEX(CSV貼付A!$N$5:$N$1004,MATCH(ROW()-4,$M$5:$M$1004,0)),"")</f>
        <v/>
      </c>
      <c r="O486" s="0" t="str">
        <f aca="false">IF(CSV貼付B!$N486="","",IF(COUNTIF($B$37:$B$48,CSV貼付B!$H486)&gt;0,"",IF(SUMPRODUCT((CSV貼付B!$N$5:$N486=CSV貼付B!$N486)*(COUNTIF($B$37:$B$48,CSV貼付B!$H$5:$H486)=0))&gt;1,"",MAX($O$4:O485)+1)))</f>
        <v/>
      </c>
      <c r="P486" s="0" t="str">
        <f aca="false">IFERROR(INDEX(CSV貼付B!$N$5:$N$1004,MATCH(ROW()-4,$O$5:$O$1004,0)),"")</f>
        <v/>
      </c>
      <c r="Q486" s="0" t="str">
        <f aca="false">IF(ROW()-4&lt;=MAX($M$5:$M$1004),IFERROR(INDEX($N$5:$N$1004,ROW()-4),""),IFERROR(INDEX($P$5:$P$1004,ROW()-4-MAX($M$5:$M$1004)),""))</f>
        <v/>
      </c>
    </row>
    <row r="487" customFormat="false" ht="15" hidden="false" customHeight="false" outlineLevel="0" collapsed="false">
      <c r="M487" s="0" t="str">
        <f aca="false">IF(CSV貼付A!$N487="","",IF(COUNTIF($B$37:$B$48,CSV貼付A!$H487)&gt;0,"",IF(SUMPRODUCT((CSV貼付A!$N$5:$N487=CSV貼付A!$N487)*(COUNTIF($B$37:$B$48,CSV貼付A!$H$5:$H487)=0))&gt;1,"",MAX($M$4:M486)+1)))</f>
        <v/>
      </c>
      <c r="N487" s="0" t="str">
        <f aca="false">IFERROR(INDEX(CSV貼付A!$N$5:$N$1004,MATCH(ROW()-4,$M$5:$M$1004,0)),"")</f>
        <v/>
      </c>
      <c r="O487" s="0" t="str">
        <f aca="false">IF(CSV貼付B!$N487="","",IF(COUNTIF($B$37:$B$48,CSV貼付B!$H487)&gt;0,"",IF(SUMPRODUCT((CSV貼付B!$N$5:$N487=CSV貼付B!$N487)*(COUNTIF($B$37:$B$48,CSV貼付B!$H$5:$H487)=0))&gt;1,"",MAX($O$4:O486)+1)))</f>
        <v/>
      </c>
      <c r="P487" s="0" t="str">
        <f aca="false">IFERROR(INDEX(CSV貼付B!$N$5:$N$1004,MATCH(ROW()-4,$O$5:$O$1004,0)),"")</f>
        <v/>
      </c>
      <c r="Q487" s="0" t="str">
        <f aca="false">IF(ROW()-4&lt;=MAX($M$5:$M$1004),IFERROR(INDEX($N$5:$N$1004,ROW()-4),""),IFERROR(INDEX($P$5:$P$1004,ROW()-4-MAX($M$5:$M$1004)),""))</f>
        <v/>
      </c>
    </row>
    <row r="488" customFormat="false" ht="15" hidden="false" customHeight="false" outlineLevel="0" collapsed="false">
      <c r="M488" s="0" t="str">
        <f aca="false">IF(CSV貼付A!$N488="","",IF(COUNTIF($B$37:$B$48,CSV貼付A!$H488)&gt;0,"",IF(SUMPRODUCT((CSV貼付A!$N$5:$N488=CSV貼付A!$N488)*(COUNTIF($B$37:$B$48,CSV貼付A!$H$5:$H488)=0))&gt;1,"",MAX($M$4:M487)+1)))</f>
        <v/>
      </c>
      <c r="N488" s="0" t="str">
        <f aca="false">IFERROR(INDEX(CSV貼付A!$N$5:$N$1004,MATCH(ROW()-4,$M$5:$M$1004,0)),"")</f>
        <v/>
      </c>
      <c r="O488" s="0" t="str">
        <f aca="false">IF(CSV貼付B!$N488="","",IF(COUNTIF($B$37:$B$48,CSV貼付B!$H488)&gt;0,"",IF(SUMPRODUCT((CSV貼付B!$N$5:$N488=CSV貼付B!$N488)*(COUNTIF($B$37:$B$48,CSV貼付B!$H$5:$H488)=0))&gt;1,"",MAX($O$4:O487)+1)))</f>
        <v/>
      </c>
      <c r="P488" s="0" t="str">
        <f aca="false">IFERROR(INDEX(CSV貼付B!$N$5:$N$1004,MATCH(ROW()-4,$O$5:$O$1004,0)),"")</f>
        <v/>
      </c>
      <c r="Q488" s="0" t="str">
        <f aca="false">IF(ROW()-4&lt;=MAX($M$5:$M$1004),IFERROR(INDEX($N$5:$N$1004,ROW()-4),""),IFERROR(INDEX($P$5:$P$1004,ROW()-4-MAX($M$5:$M$1004)),""))</f>
        <v/>
      </c>
    </row>
    <row r="489" customFormat="false" ht="15" hidden="false" customHeight="false" outlineLevel="0" collapsed="false">
      <c r="M489" s="0" t="str">
        <f aca="false">IF(CSV貼付A!$N489="","",IF(COUNTIF($B$37:$B$48,CSV貼付A!$H489)&gt;0,"",IF(SUMPRODUCT((CSV貼付A!$N$5:$N489=CSV貼付A!$N489)*(COUNTIF($B$37:$B$48,CSV貼付A!$H$5:$H489)=0))&gt;1,"",MAX($M$4:M488)+1)))</f>
        <v/>
      </c>
      <c r="N489" s="0" t="str">
        <f aca="false">IFERROR(INDEX(CSV貼付A!$N$5:$N$1004,MATCH(ROW()-4,$M$5:$M$1004,0)),"")</f>
        <v/>
      </c>
      <c r="O489" s="0" t="str">
        <f aca="false">IF(CSV貼付B!$N489="","",IF(COUNTIF($B$37:$B$48,CSV貼付B!$H489)&gt;0,"",IF(SUMPRODUCT((CSV貼付B!$N$5:$N489=CSV貼付B!$N489)*(COUNTIF($B$37:$B$48,CSV貼付B!$H$5:$H489)=0))&gt;1,"",MAX($O$4:O488)+1)))</f>
        <v/>
      </c>
      <c r="P489" s="0" t="str">
        <f aca="false">IFERROR(INDEX(CSV貼付B!$N$5:$N$1004,MATCH(ROW()-4,$O$5:$O$1004,0)),"")</f>
        <v/>
      </c>
      <c r="Q489" s="0" t="str">
        <f aca="false">IF(ROW()-4&lt;=MAX($M$5:$M$1004),IFERROR(INDEX($N$5:$N$1004,ROW()-4),""),IFERROR(INDEX($P$5:$P$1004,ROW()-4-MAX($M$5:$M$1004)),""))</f>
        <v/>
      </c>
    </row>
    <row r="490" customFormat="false" ht="15" hidden="false" customHeight="false" outlineLevel="0" collapsed="false">
      <c r="M490" s="0" t="str">
        <f aca="false">IF(CSV貼付A!$N490="","",IF(COUNTIF($B$37:$B$48,CSV貼付A!$H490)&gt;0,"",IF(SUMPRODUCT((CSV貼付A!$N$5:$N490=CSV貼付A!$N490)*(COUNTIF($B$37:$B$48,CSV貼付A!$H$5:$H490)=0))&gt;1,"",MAX($M$4:M489)+1)))</f>
        <v/>
      </c>
      <c r="N490" s="0" t="str">
        <f aca="false">IFERROR(INDEX(CSV貼付A!$N$5:$N$1004,MATCH(ROW()-4,$M$5:$M$1004,0)),"")</f>
        <v/>
      </c>
      <c r="O490" s="0" t="str">
        <f aca="false">IF(CSV貼付B!$N490="","",IF(COUNTIF($B$37:$B$48,CSV貼付B!$H490)&gt;0,"",IF(SUMPRODUCT((CSV貼付B!$N$5:$N490=CSV貼付B!$N490)*(COUNTIF($B$37:$B$48,CSV貼付B!$H$5:$H490)=0))&gt;1,"",MAX($O$4:O489)+1)))</f>
        <v/>
      </c>
      <c r="P490" s="0" t="str">
        <f aca="false">IFERROR(INDEX(CSV貼付B!$N$5:$N$1004,MATCH(ROW()-4,$O$5:$O$1004,0)),"")</f>
        <v/>
      </c>
      <c r="Q490" s="0" t="str">
        <f aca="false">IF(ROW()-4&lt;=MAX($M$5:$M$1004),IFERROR(INDEX($N$5:$N$1004,ROW()-4),""),IFERROR(INDEX($P$5:$P$1004,ROW()-4-MAX($M$5:$M$1004)),""))</f>
        <v/>
      </c>
    </row>
    <row r="491" customFormat="false" ht="15" hidden="false" customHeight="false" outlineLevel="0" collapsed="false">
      <c r="M491" s="0" t="str">
        <f aca="false">IF(CSV貼付A!$N491="","",IF(COUNTIF($B$37:$B$48,CSV貼付A!$H491)&gt;0,"",IF(SUMPRODUCT((CSV貼付A!$N$5:$N491=CSV貼付A!$N491)*(COUNTIF($B$37:$B$48,CSV貼付A!$H$5:$H491)=0))&gt;1,"",MAX($M$4:M490)+1)))</f>
        <v/>
      </c>
      <c r="N491" s="0" t="str">
        <f aca="false">IFERROR(INDEX(CSV貼付A!$N$5:$N$1004,MATCH(ROW()-4,$M$5:$M$1004,0)),"")</f>
        <v/>
      </c>
      <c r="O491" s="0" t="str">
        <f aca="false">IF(CSV貼付B!$N491="","",IF(COUNTIF($B$37:$B$48,CSV貼付B!$H491)&gt;0,"",IF(SUMPRODUCT((CSV貼付B!$N$5:$N491=CSV貼付B!$N491)*(COUNTIF($B$37:$B$48,CSV貼付B!$H$5:$H491)=0))&gt;1,"",MAX($O$4:O490)+1)))</f>
        <v/>
      </c>
      <c r="P491" s="0" t="str">
        <f aca="false">IFERROR(INDEX(CSV貼付B!$N$5:$N$1004,MATCH(ROW()-4,$O$5:$O$1004,0)),"")</f>
        <v/>
      </c>
      <c r="Q491" s="0" t="str">
        <f aca="false">IF(ROW()-4&lt;=MAX($M$5:$M$1004),IFERROR(INDEX($N$5:$N$1004,ROW()-4),""),IFERROR(INDEX($P$5:$P$1004,ROW()-4-MAX($M$5:$M$1004)),""))</f>
        <v/>
      </c>
    </row>
    <row r="492" customFormat="false" ht="15" hidden="false" customHeight="false" outlineLevel="0" collapsed="false">
      <c r="M492" s="0" t="str">
        <f aca="false">IF(CSV貼付A!$N492="","",IF(COUNTIF($B$37:$B$48,CSV貼付A!$H492)&gt;0,"",IF(SUMPRODUCT((CSV貼付A!$N$5:$N492=CSV貼付A!$N492)*(COUNTIF($B$37:$B$48,CSV貼付A!$H$5:$H492)=0))&gt;1,"",MAX($M$4:M491)+1)))</f>
        <v/>
      </c>
      <c r="N492" s="0" t="str">
        <f aca="false">IFERROR(INDEX(CSV貼付A!$N$5:$N$1004,MATCH(ROW()-4,$M$5:$M$1004,0)),"")</f>
        <v/>
      </c>
      <c r="O492" s="0" t="str">
        <f aca="false">IF(CSV貼付B!$N492="","",IF(COUNTIF($B$37:$B$48,CSV貼付B!$H492)&gt;0,"",IF(SUMPRODUCT((CSV貼付B!$N$5:$N492=CSV貼付B!$N492)*(COUNTIF($B$37:$B$48,CSV貼付B!$H$5:$H492)=0))&gt;1,"",MAX($O$4:O491)+1)))</f>
        <v/>
      </c>
      <c r="P492" s="0" t="str">
        <f aca="false">IFERROR(INDEX(CSV貼付B!$N$5:$N$1004,MATCH(ROW()-4,$O$5:$O$1004,0)),"")</f>
        <v/>
      </c>
      <c r="Q492" s="0" t="str">
        <f aca="false">IF(ROW()-4&lt;=MAX($M$5:$M$1004),IFERROR(INDEX($N$5:$N$1004,ROW()-4),""),IFERROR(INDEX($P$5:$P$1004,ROW()-4-MAX($M$5:$M$1004)),""))</f>
        <v/>
      </c>
    </row>
    <row r="493" customFormat="false" ht="15" hidden="false" customHeight="false" outlineLevel="0" collapsed="false">
      <c r="M493" s="0" t="str">
        <f aca="false">IF(CSV貼付A!$N493="","",IF(COUNTIF($B$37:$B$48,CSV貼付A!$H493)&gt;0,"",IF(SUMPRODUCT((CSV貼付A!$N$5:$N493=CSV貼付A!$N493)*(COUNTIF($B$37:$B$48,CSV貼付A!$H$5:$H493)=0))&gt;1,"",MAX($M$4:M492)+1)))</f>
        <v/>
      </c>
      <c r="N493" s="0" t="str">
        <f aca="false">IFERROR(INDEX(CSV貼付A!$N$5:$N$1004,MATCH(ROW()-4,$M$5:$M$1004,0)),"")</f>
        <v/>
      </c>
      <c r="O493" s="0" t="str">
        <f aca="false">IF(CSV貼付B!$N493="","",IF(COUNTIF($B$37:$B$48,CSV貼付B!$H493)&gt;0,"",IF(SUMPRODUCT((CSV貼付B!$N$5:$N493=CSV貼付B!$N493)*(COUNTIF($B$37:$B$48,CSV貼付B!$H$5:$H493)=0))&gt;1,"",MAX($O$4:O492)+1)))</f>
        <v/>
      </c>
      <c r="P493" s="0" t="str">
        <f aca="false">IFERROR(INDEX(CSV貼付B!$N$5:$N$1004,MATCH(ROW()-4,$O$5:$O$1004,0)),"")</f>
        <v/>
      </c>
      <c r="Q493" s="0" t="str">
        <f aca="false">IF(ROW()-4&lt;=MAX($M$5:$M$1004),IFERROR(INDEX($N$5:$N$1004,ROW()-4),""),IFERROR(INDEX($P$5:$P$1004,ROW()-4-MAX($M$5:$M$1004)),""))</f>
        <v/>
      </c>
    </row>
    <row r="494" customFormat="false" ht="15" hidden="false" customHeight="false" outlineLevel="0" collapsed="false">
      <c r="M494" s="0" t="str">
        <f aca="false">IF(CSV貼付A!$N494="","",IF(COUNTIF($B$37:$B$48,CSV貼付A!$H494)&gt;0,"",IF(SUMPRODUCT((CSV貼付A!$N$5:$N494=CSV貼付A!$N494)*(COUNTIF($B$37:$B$48,CSV貼付A!$H$5:$H494)=0))&gt;1,"",MAX($M$4:M493)+1)))</f>
        <v/>
      </c>
      <c r="N494" s="0" t="str">
        <f aca="false">IFERROR(INDEX(CSV貼付A!$N$5:$N$1004,MATCH(ROW()-4,$M$5:$M$1004,0)),"")</f>
        <v/>
      </c>
      <c r="O494" s="0" t="str">
        <f aca="false">IF(CSV貼付B!$N494="","",IF(COUNTIF($B$37:$B$48,CSV貼付B!$H494)&gt;0,"",IF(SUMPRODUCT((CSV貼付B!$N$5:$N494=CSV貼付B!$N494)*(COUNTIF($B$37:$B$48,CSV貼付B!$H$5:$H494)=0))&gt;1,"",MAX($O$4:O493)+1)))</f>
        <v/>
      </c>
      <c r="P494" s="0" t="str">
        <f aca="false">IFERROR(INDEX(CSV貼付B!$N$5:$N$1004,MATCH(ROW()-4,$O$5:$O$1004,0)),"")</f>
        <v/>
      </c>
      <c r="Q494" s="0" t="str">
        <f aca="false">IF(ROW()-4&lt;=MAX($M$5:$M$1004),IFERROR(INDEX($N$5:$N$1004,ROW()-4),""),IFERROR(INDEX($P$5:$P$1004,ROW()-4-MAX($M$5:$M$1004)),""))</f>
        <v/>
      </c>
    </row>
    <row r="495" customFormat="false" ht="15" hidden="false" customHeight="false" outlineLevel="0" collapsed="false">
      <c r="M495" s="0" t="str">
        <f aca="false">IF(CSV貼付A!$N495="","",IF(COUNTIF($B$37:$B$48,CSV貼付A!$H495)&gt;0,"",IF(SUMPRODUCT((CSV貼付A!$N$5:$N495=CSV貼付A!$N495)*(COUNTIF($B$37:$B$48,CSV貼付A!$H$5:$H495)=0))&gt;1,"",MAX($M$4:M494)+1)))</f>
        <v/>
      </c>
      <c r="N495" s="0" t="str">
        <f aca="false">IFERROR(INDEX(CSV貼付A!$N$5:$N$1004,MATCH(ROW()-4,$M$5:$M$1004,0)),"")</f>
        <v/>
      </c>
      <c r="O495" s="0" t="str">
        <f aca="false">IF(CSV貼付B!$N495="","",IF(COUNTIF($B$37:$B$48,CSV貼付B!$H495)&gt;0,"",IF(SUMPRODUCT((CSV貼付B!$N$5:$N495=CSV貼付B!$N495)*(COUNTIF($B$37:$B$48,CSV貼付B!$H$5:$H495)=0))&gt;1,"",MAX($O$4:O494)+1)))</f>
        <v/>
      </c>
      <c r="P495" s="0" t="str">
        <f aca="false">IFERROR(INDEX(CSV貼付B!$N$5:$N$1004,MATCH(ROW()-4,$O$5:$O$1004,0)),"")</f>
        <v/>
      </c>
      <c r="Q495" s="0" t="str">
        <f aca="false">IF(ROW()-4&lt;=MAX($M$5:$M$1004),IFERROR(INDEX($N$5:$N$1004,ROW()-4),""),IFERROR(INDEX($P$5:$P$1004,ROW()-4-MAX($M$5:$M$1004)),""))</f>
        <v/>
      </c>
    </row>
    <row r="496" customFormat="false" ht="15" hidden="false" customHeight="false" outlineLevel="0" collapsed="false">
      <c r="M496" s="0" t="str">
        <f aca="false">IF(CSV貼付A!$N496="","",IF(COUNTIF($B$37:$B$48,CSV貼付A!$H496)&gt;0,"",IF(SUMPRODUCT((CSV貼付A!$N$5:$N496=CSV貼付A!$N496)*(COUNTIF($B$37:$B$48,CSV貼付A!$H$5:$H496)=0))&gt;1,"",MAX($M$4:M495)+1)))</f>
        <v/>
      </c>
      <c r="N496" s="0" t="str">
        <f aca="false">IFERROR(INDEX(CSV貼付A!$N$5:$N$1004,MATCH(ROW()-4,$M$5:$M$1004,0)),"")</f>
        <v/>
      </c>
      <c r="O496" s="0" t="str">
        <f aca="false">IF(CSV貼付B!$N496="","",IF(COUNTIF($B$37:$B$48,CSV貼付B!$H496)&gt;0,"",IF(SUMPRODUCT((CSV貼付B!$N$5:$N496=CSV貼付B!$N496)*(COUNTIF($B$37:$B$48,CSV貼付B!$H$5:$H496)=0))&gt;1,"",MAX($O$4:O495)+1)))</f>
        <v/>
      </c>
      <c r="P496" s="0" t="str">
        <f aca="false">IFERROR(INDEX(CSV貼付B!$N$5:$N$1004,MATCH(ROW()-4,$O$5:$O$1004,0)),"")</f>
        <v/>
      </c>
      <c r="Q496" s="0" t="str">
        <f aca="false">IF(ROW()-4&lt;=MAX($M$5:$M$1004),IFERROR(INDEX($N$5:$N$1004,ROW()-4),""),IFERROR(INDEX($P$5:$P$1004,ROW()-4-MAX($M$5:$M$1004)),""))</f>
        <v/>
      </c>
    </row>
    <row r="497" customFormat="false" ht="15" hidden="false" customHeight="false" outlineLevel="0" collapsed="false">
      <c r="M497" s="0" t="str">
        <f aca="false">IF(CSV貼付A!$N497="","",IF(COUNTIF($B$37:$B$48,CSV貼付A!$H497)&gt;0,"",IF(SUMPRODUCT((CSV貼付A!$N$5:$N497=CSV貼付A!$N497)*(COUNTIF($B$37:$B$48,CSV貼付A!$H$5:$H497)=0))&gt;1,"",MAX($M$4:M496)+1)))</f>
        <v/>
      </c>
      <c r="N497" s="0" t="str">
        <f aca="false">IFERROR(INDEX(CSV貼付A!$N$5:$N$1004,MATCH(ROW()-4,$M$5:$M$1004,0)),"")</f>
        <v/>
      </c>
      <c r="O497" s="0" t="str">
        <f aca="false">IF(CSV貼付B!$N497="","",IF(COUNTIF($B$37:$B$48,CSV貼付B!$H497)&gt;0,"",IF(SUMPRODUCT((CSV貼付B!$N$5:$N497=CSV貼付B!$N497)*(COUNTIF($B$37:$B$48,CSV貼付B!$H$5:$H497)=0))&gt;1,"",MAX($O$4:O496)+1)))</f>
        <v/>
      </c>
      <c r="P497" s="0" t="str">
        <f aca="false">IFERROR(INDEX(CSV貼付B!$N$5:$N$1004,MATCH(ROW()-4,$O$5:$O$1004,0)),"")</f>
        <v/>
      </c>
      <c r="Q497" s="0" t="str">
        <f aca="false">IF(ROW()-4&lt;=MAX($M$5:$M$1004),IFERROR(INDEX($N$5:$N$1004,ROW()-4),""),IFERROR(INDEX($P$5:$P$1004,ROW()-4-MAX($M$5:$M$1004)),""))</f>
        <v/>
      </c>
    </row>
    <row r="498" customFormat="false" ht="15" hidden="false" customHeight="false" outlineLevel="0" collapsed="false">
      <c r="M498" s="0" t="str">
        <f aca="false">IF(CSV貼付A!$N498="","",IF(COUNTIF($B$37:$B$48,CSV貼付A!$H498)&gt;0,"",IF(SUMPRODUCT((CSV貼付A!$N$5:$N498=CSV貼付A!$N498)*(COUNTIF($B$37:$B$48,CSV貼付A!$H$5:$H498)=0))&gt;1,"",MAX($M$4:M497)+1)))</f>
        <v/>
      </c>
      <c r="N498" s="0" t="str">
        <f aca="false">IFERROR(INDEX(CSV貼付A!$N$5:$N$1004,MATCH(ROW()-4,$M$5:$M$1004,0)),"")</f>
        <v/>
      </c>
      <c r="O498" s="0" t="str">
        <f aca="false">IF(CSV貼付B!$N498="","",IF(COUNTIF($B$37:$B$48,CSV貼付B!$H498)&gt;0,"",IF(SUMPRODUCT((CSV貼付B!$N$5:$N498=CSV貼付B!$N498)*(COUNTIF($B$37:$B$48,CSV貼付B!$H$5:$H498)=0))&gt;1,"",MAX($O$4:O497)+1)))</f>
        <v/>
      </c>
      <c r="P498" s="0" t="str">
        <f aca="false">IFERROR(INDEX(CSV貼付B!$N$5:$N$1004,MATCH(ROW()-4,$O$5:$O$1004,0)),"")</f>
        <v/>
      </c>
      <c r="Q498" s="0" t="str">
        <f aca="false">IF(ROW()-4&lt;=MAX($M$5:$M$1004),IFERROR(INDEX($N$5:$N$1004,ROW()-4),""),IFERROR(INDEX($P$5:$P$1004,ROW()-4-MAX($M$5:$M$1004)),""))</f>
        <v/>
      </c>
    </row>
    <row r="499" customFormat="false" ht="15" hidden="false" customHeight="false" outlineLevel="0" collapsed="false">
      <c r="M499" s="0" t="str">
        <f aca="false">IF(CSV貼付A!$N499="","",IF(COUNTIF($B$37:$B$48,CSV貼付A!$H499)&gt;0,"",IF(SUMPRODUCT((CSV貼付A!$N$5:$N499=CSV貼付A!$N499)*(COUNTIF($B$37:$B$48,CSV貼付A!$H$5:$H499)=0))&gt;1,"",MAX($M$4:M498)+1)))</f>
        <v/>
      </c>
      <c r="N499" s="0" t="str">
        <f aca="false">IFERROR(INDEX(CSV貼付A!$N$5:$N$1004,MATCH(ROW()-4,$M$5:$M$1004,0)),"")</f>
        <v/>
      </c>
      <c r="O499" s="0" t="str">
        <f aca="false">IF(CSV貼付B!$N499="","",IF(COUNTIF($B$37:$B$48,CSV貼付B!$H499)&gt;0,"",IF(SUMPRODUCT((CSV貼付B!$N$5:$N499=CSV貼付B!$N499)*(COUNTIF($B$37:$B$48,CSV貼付B!$H$5:$H499)=0))&gt;1,"",MAX($O$4:O498)+1)))</f>
        <v/>
      </c>
      <c r="P499" s="0" t="str">
        <f aca="false">IFERROR(INDEX(CSV貼付B!$N$5:$N$1004,MATCH(ROW()-4,$O$5:$O$1004,0)),"")</f>
        <v/>
      </c>
      <c r="Q499" s="0" t="str">
        <f aca="false">IF(ROW()-4&lt;=MAX($M$5:$M$1004),IFERROR(INDEX($N$5:$N$1004,ROW()-4),""),IFERROR(INDEX($P$5:$P$1004,ROW()-4-MAX($M$5:$M$1004)),""))</f>
        <v/>
      </c>
    </row>
    <row r="500" customFormat="false" ht="15" hidden="false" customHeight="false" outlineLevel="0" collapsed="false">
      <c r="M500" s="0" t="str">
        <f aca="false">IF(CSV貼付A!$N500="","",IF(COUNTIF($B$37:$B$48,CSV貼付A!$H500)&gt;0,"",IF(SUMPRODUCT((CSV貼付A!$N$5:$N500=CSV貼付A!$N500)*(COUNTIF($B$37:$B$48,CSV貼付A!$H$5:$H500)=0))&gt;1,"",MAX($M$4:M499)+1)))</f>
        <v/>
      </c>
      <c r="N500" s="0" t="str">
        <f aca="false">IFERROR(INDEX(CSV貼付A!$N$5:$N$1004,MATCH(ROW()-4,$M$5:$M$1004,0)),"")</f>
        <v/>
      </c>
      <c r="O500" s="0" t="str">
        <f aca="false">IF(CSV貼付B!$N500="","",IF(COUNTIF($B$37:$B$48,CSV貼付B!$H500)&gt;0,"",IF(SUMPRODUCT((CSV貼付B!$N$5:$N500=CSV貼付B!$N500)*(COUNTIF($B$37:$B$48,CSV貼付B!$H$5:$H500)=0))&gt;1,"",MAX($O$4:O499)+1)))</f>
        <v/>
      </c>
      <c r="P500" s="0" t="str">
        <f aca="false">IFERROR(INDEX(CSV貼付B!$N$5:$N$1004,MATCH(ROW()-4,$O$5:$O$1004,0)),"")</f>
        <v/>
      </c>
      <c r="Q500" s="0" t="str">
        <f aca="false">IF(ROW()-4&lt;=MAX($M$5:$M$1004),IFERROR(INDEX($N$5:$N$1004,ROW()-4),""),IFERROR(INDEX($P$5:$P$1004,ROW()-4-MAX($M$5:$M$1004)),""))</f>
        <v/>
      </c>
    </row>
    <row r="501" customFormat="false" ht="15" hidden="false" customHeight="false" outlineLevel="0" collapsed="false">
      <c r="M501" s="0" t="str">
        <f aca="false">IF(CSV貼付A!$N501="","",IF(COUNTIF($B$37:$B$48,CSV貼付A!$H501)&gt;0,"",IF(SUMPRODUCT((CSV貼付A!$N$5:$N501=CSV貼付A!$N501)*(COUNTIF($B$37:$B$48,CSV貼付A!$H$5:$H501)=0))&gt;1,"",MAX($M$4:M500)+1)))</f>
        <v/>
      </c>
      <c r="N501" s="0" t="str">
        <f aca="false">IFERROR(INDEX(CSV貼付A!$N$5:$N$1004,MATCH(ROW()-4,$M$5:$M$1004,0)),"")</f>
        <v/>
      </c>
      <c r="O501" s="0" t="str">
        <f aca="false">IF(CSV貼付B!$N501="","",IF(COUNTIF($B$37:$B$48,CSV貼付B!$H501)&gt;0,"",IF(SUMPRODUCT((CSV貼付B!$N$5:$N501=CSV貼付B!$N501)*(COUNTIF($B$37:$B$48,CSV貼付B!$H$5:$H501)=0))&gt;1,"",MAX($O$4:O500)+1)))</f>
        <v/>
      </c>
      <c r="P501" s="0" t="str">
        <f aca="false">IFERROR(INDEX(CSV貼付B!$N$5:$N$1004,MATCH(ROW()-4,$O$5:$O$1004,0)),"")</f>
        <v/>
      </c>
      <c r="Q501" s="0" t="str">
        <f aca="false">IF(ROW()-4&lt;=MAX($M$5:$M$1004),IFERROR(INDEX($N$5:$N$1004,ROW()-4),""),IFERROR(INDEX($P$5:$P$1004,ROW()-4-MAX($M$5:$M$1004)),""))</f>
        <v/>
      </c>
    </row>
    <row r="502" customFormat="false" ht="15" hidden="false" customHeight="false" outlineLevel="0" collapsed="false">
      <c r="M502" s="0" t="str">
        <f aca="false">IF(CSV貼付A!$N502="","",IF(COUNTIF($B$37:$B$48,CSV貼付A!$H502)&gt;0,"",IF(SUMPRODUCT((CSV貼付A!$N$5:$N502=CSV貼付A!$N502)*(COUNTIF($B$37:$B$48,CSV貼付A!$H$5:$H502)=0))&gt;1,"",MAX($M$4:M501)+1)))</f>
        <v/>
      </c>
      <c r="N502" s="0" t="str">
        <f aca="false">IFERROR(INDEX(CSV貼付A!$N$5:$N$1004,MATCH(ROW()-4,$M$5:$M$1004,0)),"")</f>
        <v/>
      </c>
      <c r="O502" s="0" t="str">
        <f aca="false">IF(CSV貼付B!$N502="","",IF(COUNTIF($B$37:$B$48,CSV貼付B!$H502)&gt;0,"",IF(SUMPRODUCT((CSV貼付B!$N$5:$N502=CSV貼付B!$N502)*(COUNTIF($B$37:$B$48,CSV貼付B!$H$5:$H502)=0))&gt;1,"",MAX($O$4:O501)+1)))</f>
        <v/>
      </c>
      <c r="P502" s="0" t="str">
        <f aca="false">IFERROR(INDEX(CSV貼付B!$N$5:$N$1004,MATCH(ROW()-4,$O$5:$O$1004,0)),"")</f>
        <v/>
      </c>
      <c r="Q502" s="0" t="str">
        <f aca="false">IF(ROW()-4&lt;=MAX($M$5:$M$1004),IFERROR(INDEX($N$5:$N$1004,ROW()-4),""),IFERROR(INDEX($P$5:$P$1004,ROW()-4-MAX($M$5:$M$1004)),""))</f>
        <v/>
      </c>
    </row>
    <row r="503" customFormat="false" ht="15" hidden="false" customHeight="false" outlineLevel="0" collapsed="false">
      <c r="M503" s="0" t="str">
        <f aca="false">IF(CSV貼付A!$N503="","",IF(COUNTIF($B$37:$B$48,CSV貼付A!$H503)&gt;0,"",IF(SUMPRODUCT((CSV貼付A!$N$5:$N503=CSV貼付A!$N503)*(COUNTIF($B$37:$B$48,CSV貼付A!$H$5:$H503)=0))&gt;1,"",MAX($M$4:M502)+1)))</f>
        <v/>
      </c>
      <c r="N503" s="0" t="str">
        <f aca="false">IFERROR(INDEX(CSV貼付A!$N$5:$N$1004,MATCH(ROW()-4,$M$5:$M$1004,0)),"")</f>
        <v/>
      </c>
      <c r="O503" s="0" t="str">
        <f aca="false">IF(CSV貼付B!$N503="","",IF(COUNTIF($B$37:$B$48,CSV貼付B!$H503)&gt;0,"",IF(SUMPRODUCT((CSV貼付B!$N$5:$N503=CSV貼付B!$N503)*(COUNTIF($B$37:$B$48,CSV貼付B!$H$5:$H503)=0))&gt;1,"",MAX($O$4:O502)+1)))</f>
        <v/>
      </c>
      <c r="P503" s="0" t="str">
        <f aca="false">IFERROR(INDEX(CSV貼付B!$N$5:$N$1004,MATCH(ROW()-4,$O$5:$O$1004,0)),"")</f>
        <v/>
      </c>
      <c r="Q503" s="0" t="str">
        <f aca="false">IF(ROW()-4&lt;=MAX($M$5:$M$1004),IFERROR(INDEX($N$5:$N$1004,ROW()-4),""),IFERROR(INDEX($P$5:$P$1004,ROW()-4-MAX($M$5:$M$1004)),""))</f>
        <v/>
      </c>
    </row>
    <row r="504" customFormat="false" ht="15" hidden="false" customHeight="false" outlineLevel="0" collapsed="false">
      <c r="M504" s="0" t="str">
        <f aca="false">IF(CSV貼付A!$N504="","",IF(COUNTIF($B$37:$B$48,CSV貼付A!$H504)&gt;0,"",IF(SUMPRODUCT((CSV貼付A!$N$5:$N504=CSV貼付A!$N504)*(COUNTIF($B$37:$B$48,CSV貼付A!$H$5:$H504)=0))&gt;1,"",MAX($M$4:M503)+1)))</f>
        <v/>
      </c>
      <c r="N504" s="0" t="str">
        <f aca="false">IFERROR(INDEX(CSV貼付A!$N$5:$N$1004,MATCH(ROW()-4,$M$5:$M$1004,0)),"")</f>
        <v/>
      </c>
      <c r="O504" s="0" t="str">
        <f aca="false">IF(CSV貼付B!$N504="","",IF(COUNTIF($B$37:$B$48,CSV貼付B!$H504)&gt;0,"",IF(SUMPRODUCT((CSV貼付B!$N$5:$N504=CSV貼付B!$N504)*(COUNTIF($B$37:$B$48,CSV貼付B!$H$5:$H504)=0))&gt;1,"",MAX($O$4:O503)+1)))</f>
        <v/>
      </c>
      <c r="P504" s="0" t="str">
        <f aca="false">IFERROR(INDEX(CSV貼付B!$N$5:$N$1004,MATCH(ROW()-4,$O$5:$O$1004,0)),"")</f>
        <v/>
      </c>
      <c r="Q504" s="0" t="str">
        <f aca="false">IF(ROW()-4&lt;=MAX($M$5:$M$1004),IFERROR(INDEX($N$5:$N$1004,ROW()-4),""),IFERROR(INDEX($P$5:$P$1004,ROW()-4-MAX($M$5:$M$1004)),""))</f>
        <v/>
      </c>
    </row>
    <row r="505" customFormat="false" ht="15" hidden="false" customHeight="false" outlineLevel="0" collapsed="false">
      <c r="M505" s="0" t="str">
        <f aca="false">IF(CSV貼付A!$N505="","",IF(COUNTIF($B$37:$B$48,CSV貼付A!$H505)&gt;0,"",IF(SUMPRODUCT((CSV貼付A!$N$5:$N505=CSV貼付A!$N505)*(COUNTIF($B$37:$B$48,CSV貼付A!$H$5:$H505)=0))&gt;1,"",MAX($M$4:M504)+1)))</f>
        <v/>
      </c>
      <c r="N505" s="0" t="str">
        <f aca="false">IFERROR(INDEX(CSV貼付A!$N$5:$N$1004,MATCH(ROW()-4,$M$5:$M$1004,0)),"")</f>
        <v/>
      </c>
      <c r="O505" s="0" t="str">
        <f aca="false">IF(CSV貼付B!$N505="","",IF(COUNTIF($B$37:$B$48,CSV貼付B!$H505)&gt;0,"",IF(SUMPRODUCT((CSV貼付B!$N$5:$N505=CSV貼付B!$N505)*(COUNTIF($B$37:$B$48,CSV貼付B!$H$5:$H505)=0))&gt;1,"",MAX($O$4:O504)+1)))</f>
        <v/>
      </c>
      <c r="P505" s="0" t="str">
        <f aca="false">IFERROR(INDEX(CSV貼付B!$N$5:$N$1004,MATCH(ROW()-4,$O$5:$O$1004,0)),"")</f>
        <v/>
      </c>
      <c r="Q505" s="0" t="str">
        <f aca="false">IF(ROW()-4&lt;=MAX($M$5:$M$1004),IFERROR(INDEX($N$5:$N$1004,ROW()-4),""),IFERROR(INDEX($P$5:$P$1004,ROW()-4-MAX($M$5:$M$1004)),""))</f>
        <v/>
      </c>
    </row>
    <row r="506" customFormat="false" ht="15" hidden="false" customHeight="false" outlineLevel="0" collapsed="false">
      <c r="M506" s="0" t="str">
        <f aca="false">IF(CSV貼付A!$N506="","",IF(COUNTIF($B$37:$B$48,CSV貼付A!$H506)&gt;0,"",IF(SUMPRODUCT((CSV貼付A!$N$5:$N506=CSV貼付A!$N506)*(COUNTIF($B$37:$B$48,CSV貼付A!$H$5:$H506)=0))&gt;1,"",MAX($M$4:M505)+1)))</f>
        <v/>
      </c>
      <c r="N506" s="0" t="str">
        <f aca="false">IFERROR(INDEX(CSV貼付A!$N$5:$N$1004,MATCH(ROW()-4,$M$5:$M$1004,0)),"")</f>
        <v/>
      </c>
      <c r="O506" s="0" t="str">
        <f aca="false">IF(CSV貼付B!$N506="","",IF(COUNTIF($B$37:$B$48,CSV貼付B!$H506)&gt;0,"",IF(SUMPRODUCT((CSV貼付B!$N$5:$N506=CSV貼付B!$N506)*(COUNTIF($B$37:$B$48,CSV貼付B!$H$5:$H506)=0))&gt;1,"",MAX($O$4:O505)+1)))</f>
        <v/>
      </c>
      <c r="P506" s="0" t="str">
        <f aca="false">IFERROR(INDEX(CSV貼付B!$N$5:$N$1004,MATCH(ROW()-4,$O$5:$O$1004,0)),"")</f>
        <v/>
      </c>
      <c r="Q506" s="0" t="str">
        <f aca="false">IF(ROW()-4&lt;=MAX($M$5:$M$1004),IFERROR(INDEX($N$5:$N$1004,ROW()-4),""),IFERROR(INDEX($P$5:$P$1004,ROW()-4-MAX($M$5:$M$1004)),""))</f>
        <v/>
      </c>
    </row>
    <row r="507" customFormat="false" ht="15" hidden="false" customHeight="false" outlineLevel="0" collapsed="false">
      <c r="M507" s="0" t="str">
        <f aca="false">IF(CSV貼付A!$N507="","",IF(COUNTIF($B$37:$B$48,CSV貼付A!$H507)&gt;0,"",IF(SUMPRODUCT((CSV貼付A!$N$5:$N507=CSV貼付A!$N507)*(COUNTIF($B$37:$B$48,CSV貼付A!$H$5:$H507)=0))&gt;1,"",MAX($M$4:M506)+1)))</f>
        <v/>
      </c>
      <c r="N507" s="0" t="str">
        <f aca="false">IFERROR(INDEX(CSV貼付A!$N$5:$N$1004,MATCH(ROW()-4,$M$5:$M$1004,0)),"")</f>
        <v/>
      </c>
      <c r="O507" s="0" t="str">
        <f aca="false">IF(CSV貼付B!$N507="","",IF(COUNTIF($B$37:$B$48,CSV貼付B!$H507)&gt;0,"",IF(SUMPRODUCT((CSV貼付B!$N$5:$N507=CSV貼付B!$N507)*(COUNTIF($B$37:$B$48,CSV貼付B!$H$5:$H507)=0))&gt;1,"",MAX($O$4:O506)+1)))</f>
        <v/>
      </c>
      <c r="P507" s="0" t="str">
        <f aca="false">IFERROR(INDEX(CSV貼付B!$N$5:$N$1004,MATCH(ROW()-4,$O$5:$O$1004,0)),"")</f>
        <v/>
      </c>
      <c r="Q507" s="0" t="str">
        <f aca="false">IF(ROW()-4&lt;=MAX($M$5:$M$1004),IFERROR(INDEX($N$5:$N$1004,ROW()-4),""),IFERROR(INDEX($P$5:$P$1004,ROW()-4-MAX($M$5:$M$1004)),""))</f>
        <v/>
      </c>
    </row>
    <row r="508" customFormat="false" ht="15" hidden="false" customHeight="false" outlineLevel="0" collapsed="false">
      <c r="M508" s="0" t="str">
        <f aca="false">IF(CSV貼付A!$N508="","",IF(COUNTIF($B$37:$B$48,CSV貼付A!$H508)&gt;0,"",IF(SUMPRODUCT((CSV貼付A!$N$5:$N508=CSV貼付A!$N508)*(COUNTIF($B$37:$B$48,CSV貼付A!$H$5:$H508)=0))&gt;1,"",MAX($M$4:M507)+1)))</f>
        <v/>
      </c>
      <c r="N508" s="0" t="str">
        <f aca="false">IFERROR(INDEX(CSV貼付A!$N$5:$N$1004,MATCH(ROW()-4,$M$5:$M$1004,0)),"")</f>
        <v/>
      </c>
      <c r="O508" s="0" t="str">
        <f aca="false">IF(CSV貼付B!$N508="","",IF(COUNTIF($B$37:$B$48,CSV貼付B!$H508)&gt;0,"",IF(SUMPRODUCT((CSV貼付B!$N$5:$N508=CSV貼付B!$N508)*(COUNTIF($B$37:$B$48,CSV貼付B!$H$5:$H508)=0))&gt;1,"",MAX($O$4:O507)+1)))</f>
        <v/>
      </c>
      <c r="P508" s="0" t="str">
        <f aca="false">IFERROR(INDEX(CSV貼付B!$N$5:$N$1004,MATCH(ROW()-4,$O$5:$O$1004,0)),"")</f>
        <v/>
      </c>
      <c r="Q508" s="0" t="str">
        <f aca="false">IF(ROW()-4&lt;=MAX($M$5:$M$1004),IFERROR(INDEX($N$5:$N$1004,ROW()-4),""),IFERROR(INDEX($P$5:$P$1004,ROW()-4-MAX($M$5:$M$1004)),""))</f>
        <v/>
      </c>
    </row>
    <row r="509" customFormat="false" ht="15" hidden="false" customHeight="false" outlineLevel="0" collapsed="false">
      <c r="M509" s="0" t="str">
        <f aca="false">IF(CSV貼付A!$N509="","",IF(COUNTIF($B$37:$B$48,CSV貼付A!$H509)&gt;0,"",IF(SUMPRODUCT((CSV貼付A!$N$5:$N509=CSV貼付A!$N509)*(COUNTIF($B$37:$B$48,CSV貼付A!$H$5:$H509)=0))&gt;1,"",MAX($M$4:M508)+1)))</f>
        <v/>
      </c>
      <c r="N509" s="0" t="str">
        <f aca="false">IFERROR(INDEX(CSV貼付A!$N$5:$N$1004,MATCH(ROW()-4,$M$5:$M$1004,0)),"")</f>
        <v/>
      </c>
      <c r="O509" s="0" t="str">
        <f aca="false">IF(CSV貼付B!$N509="","",IF(COUNTIF($B$37:$B$48,CSV貼付B!$H509)&gt;0,"",IF(SUMPRODUCT((CSV貼付B!$N$5:$N509=CSV貼付B!$N509)*(COUNTIF($B$37:$B$48,CSV貼付B!$H$5:$H509)=0))&gt;1,"",MAX($O$4:O508)+1)))</f>
        <v/>
      </c>
      <c r="P509" s="0" t="str">
        <f aca="false">IFERROR(INDEX(CSV貼付B!$N$5:$N$1004,MATCH(ROW()-4,$O$5:$O$1004,0)),"")</f>
        <v/>
      </c>
      <c r="Q509" s="0" t="str">
        <f aca="false">IF(ROW()-4&lt;=MAX($M$5:$M$1004),IFERROR(INDEX($N$5:$N$1004,ROW()-4),""),IFERROR(INDEX($P$5:$P$1004,ROW()-4-MAX($M$5:$M$1004)),""))</f>
        <v/>
      </c>
    </row>
    <row r="510" customFormat="false" ht="15" hidden="false" customHeight="false" outlineLevel="0" collapsed="false">
      <c r="M510" s="0" t="str">
        <f aca="false">IF(CSV貼付A!$N510="","",IF(COUNTIF($B$37:$B$48,CSV貼付A!$H510)&gt;0,"",IF(SUMPRODUCT((CSV貼付A!$N$5:$N510=CSV貼付A!$N510)*(COUNTIF($B$37:$B$48,CSV貼付A!$H$5:$H510)=0))&gt;1,"",MAX($M$4:M509)+1)))</f>
        <v/>
      </c>
      <c r="N510" s="0" t="str">
        <f aca="false">IFERROR(INDEX(CSV貼付A!$N$5:$N$1004,MATCH(ROW()-4,$M$5:$M$1004,0)),"")</f>
        <v/>
      </c>
      <c r="O510" s="0" t="str">
        <f aca="false">IF(CSV貼付B!$N510="","",IF(COUNTIF($B$37:$B$48,CSV貼付B!$H510)&gt;0,"",IF(SUMPRODUCT((CSV貼付B!$N$5:$N510=CSV貼付B!$N510)*(COUNTIF($B$37:$B$48,CSV貼付B!$H$5:$H510)=0))&gt;1,"",MAX($O$4:O509)+1)))</f>
        <v/>
      </c>
      <c r="P510" s="0" t="str">
        <f aca="false">IFERROR(INDEX(CSV貼付B!$N$5:$N$1004,MATCH(ROW()-4,$O$5:$O$1004,0)),"")</f>
        <v/>
      </c>
      <c r="Q510" s="0" t="str">
        <f aca="false">IF(ROW()-4&lt;=MAX($M$5:$M$1004),IFERROR(INDEX($N$5:$N$1004,ROW()-4),""),IFERROR(INDEX($P$5:$P$1004,ROW()-4-MAX($M$5:$M$1004)),""))</f>
        <v/>
      </c>
    </row>
    <row r="511" customFormat="false" ht="15" hidden="false" customHeight="false" outlineLevel="0" collapsed="false">
      <c r="M511" s="0" t="str">
        <f aca="false">IF(CSV貼付A!$N511="","",IF(COUNTIF($B$37:$B$48,CSV貼付A!$H511)&gt;0,"",IF(SUMPRODUCT((CSV貼付A!$N$5:$N511=CSV貼付A!$N511)*(COUNTIF($B$37:$B$48,CSV貼付A!$H$5:$H511)=0))&gt;1,"",MAX($M$4:M510)+1)))</f>
        <v/>
      </c>
      <c r="N511" s="0" t="str">
        <f aca="false">IFERROR(INDEX(CSV貼付A!$N$5:$N$1004,MATCH(ROW()-4,$M$5:$M$1004,0)),"")</f>
        <v/>
      </c>
      <c r="O511" s="0" t="str">
        <f aca="false">IF(CSV貼付B!$N511="","",IF(COUNTIF($B$37:$B$48,CSV貼付B!$H511)&gt;0,"",IF(SUMPRODUCT((CSV貼付B!$N$5:$N511=CSV貼付B!$N511)*(COUNTIF($B$37:$B$48,CSV貼付B!$H$5:$H511)=0))&gt;1,"",MAX($O$4:O510)+1)))</f>
        <v/>
      </c>
      <c r="P511" s="0" t="str">
        <f aca="false">IFERROR(INDEX(CSV貼付B!$N$5:$N$1004,MATCH(ROW()-4,$O$5:$O$1004,0)),"")</f>
        <v/>
      </c>
      <c r="Q511" s="0" t="str">
        <f aca="false">IF(ROW()-4&lt;=MAX($M$5:$M$1004),IFERROR(INDEX($N$5:$N$1004,ROW()-4),""),IFERROR(INDEX($P$5:$P$1004,ROW()-4-MAX($M$5:$M$1004)),""))</f>
        <v/>
      </c>
    </row>
    <row r="512" customFormat="false" ht="15" hidden="false" customHeight="false" outlineLevel="0" collapsed="false">
      <c r="M512" s="0" t="str">
        <f aca="false">IF(CSV貼付A!$N512="","",IF(COUNTIF($B$37:$B$48,CSV貼付A!$H512)&gt;0,"",IF(SUMPRODUCT((CSV貼付A!$N$5:$N512=CSV貼付A!$N512)*(COUNTIF($B$37:$B$48,CSV貼付A!$H$5:$H512)=0))&gt;1,"",MAX($M$4:M511)+1)))</f>
        <v/>
      </c>
      <c r="N512" s="0" t="str">
        <f aca="false">IFERROR(INDEX(CSV貼付A!$N$5:$N$1004,MATCH(ROW()-4,$M$5:$M$1004,0)),"")</f>
        <v/>
      </c>
      <c r="O512" s="0" t="str">
        <f aca="false">IF(CSV貼付B!$N512="","",IF(COUNTIF($B$37:$B$48,CSV貼付B!$H512)&gt;0,"",IF(SUMPRODUCT((CSV貼付B!$N$5:$N512=CSV貼付B!$N512)*(COUNTIF($B$37:$B$48,CSV貼付B!$H$5:$H512)=0))&gt;1,"",MAX($O$4:O511)+1)))</f>
        <v/>
      </c>
      <c r="P512" s="0" t="str">
        <f aca="false">IFERROR(INDEX(CSV貼付B!$N$5:$N$1004,MATCH(ROW()-4,$O$5:$O$1004,0)),"")</f>
        <v/>
      </c>
      <c r="Q512" s="0" t="str">
        <f aca="false">IF(ROW()-4&lt;=MAX($M$5:$M$1004),IFERROR(INDEX($N$5:$N$1004,ROW()-4),""),IFERROR(INDEX($P$5:$P$1004,ROW()-4-MAX($M$5:$M$1004)),""))</f>
        <v/>
      </c>
    </row>
    <row r="513" customFormat="false" ht="15" hidden="false" customHeight="false" outlineLevel="0" collapsed="false">
      <c r="M513" s="0" t="str">
        <f aca="false">IF(CSV貼付A!$N513="","",IF(COUNTIF($B$37:$B$48,CSV貼付A!$H513)&gt;0,"",IF(SUMPRODUCT((CSV貼付A!$N$5:$N513=CSV貼付A!$N513)*(COUNTIF($B$37:$B$48,CSV貼付A!$H$5:$H513)=0))&gt;1,"",MAX($M$4:M512)+1)))</f>
        <v/>
      </c>
      <c r="N513" s="0" t="str">
        <f aca="false">IFERROR(INDEX(CSV貼付A!$N$5:$N$1004,MATCH(ROW()-4,$M$5:$M$1004,0)),"")</f>
        <v/>
      </c>
      <c r="O513" s="0" t="str">
        <f aca="false">IF(CSV貼付B!$N513="","",IF(COUNTIF($B$37:$B$48,CSV貼付B!$H513)&gt;0,"",IF(SUMPRODUCT((CSV貼付B!$N$5:$N513=CSV貼付B!$N513)*(COUNTIF($B$37:$B$48,CSV貼付B!$H$5:$H513)=0))&gt;1,"",MAX($O$4:O512)+1)))</f>
        <v/>
      </c>
      <c r="P513" s="0" t="str">
        <f aca="false">IFERROR(INDEX(CSV貼付B!$N$5:$N$1004,MATCH(ROW()-4,$O$5:$O$1004,0)),"")</f>
        <v/>
      </c>
      <c r="Q513" s="0" t="str">
        <f aca="false">IF(ROW()-4&lt;=MAX($M$5:$M$1004),IFERROR(INDEX($N$5:$N$1004,ROW()-4),""),IFERROR(INDEX($P$5:$P$1004,ROW()-4-MAX($M$5:$M$1004)),""))</f>
        <v/>
      </c>
    </row>
    <row r="514" customFormat="false" ht="15" hidden="false" customHeight="false" outlineLevel="0" collapsed="false">
      <c r="M514" s="0" t="str">
        <f aca="false">IF(CSV貼付A!$N514="","",IF(COUNTIF($B$37:$B$48,CSV貼付A!$H514)&gt;0,"",IF(SUMPRODUCT((CSV貼付A!$N$5:$N514=CSV貼付A!$N514)*(COUNTIF($B$37:$B$48,CSV貼付A!$H$5:$H514)=0))&gt;1,"",MAX($M$4:M513)+1)))</f>
        <v/>
      </c>
      <c r="N514" s="0" t="str">
        <f aca="false">IFERROR(INDEX(CSV貼付A!$N$5:$N$1004,MATCH(ROW()-4,$M$5:$M$1004,0)),"")</f>
        <v/>
      </c>
      <c r="O514" s="0" t="str">
        <f aca="false">IF(CSV貼付B!$N514="","",IF(COUNTIF($B$37:$B$48,CSV貼付B!$H514)&gt;0,"",IF(SUMPRODUCT((CSV貼付B!$N$5:$N514=CSV貼付B!$N514)*(COUNTIF($B$37:$B$48,CSV貼付B!$H$5:$H514)=0))&gt;1,"",MAX($O$4:O513)+1)))</f>
        <v/>
      </c>
      <c r="P514" s="0" t="str">
        <f aca="false">IFERROR(INDEX(CSV貼付B!$N$5:$N$1004,MATCH(ROW()-4,$O$5:$O$1004,0)),"")</f>
        <v/>
      </c>
      <c r="Q514" s="0" t="str">
        <f aca="false">IF(ROW()-4&lt;=MAX($M$5:$M$1004),IFERROR(INDEX($N$5:$N$1004,ROW()-4),""),IFERROR(INDEX($P$5:$P$1004,ROW()-4-MAX($M$5:$M$1004)),""))</f>
        <v/>
      </c>
    </row>
    <row r="515" customFormat="false" ht="15" hidden="false" customHeight="false" outlineLevel="0" collapsed="false">
      <c r="M515" s="0" t="str">
        <f aca="false">IF(CSV貼付A!$N515="","",IF(COUNTIF($B$37:$B$48,CSV貼付A!$H515)&gt;0,"",IF(SUMPRODUCT((CSV貼付A!$N$5:$N515=CSV貼付A!$N515)*(COUNTIF($B$37:$B$48,CSV貼付A!$H$5:$H515)=0))&gt;1,"",MAX($M$4:M514)+1)))</f>
        <v/>
      </c>
      <c r="N515" s="0" t="str">
        <f aca="false">IFERROR(INDEX(CSV貼付A!$N$5:$N$1004,MATCH(ROW()-4,$M$5:$M$1004,0)),"")</f>
        <v/>
      </c>
      <c r="O515" s="0" t="str">
        <f aca="false">IF(CSV貼付B!$N515="","",IF(COUNTIF($B$37:$B$48,CSV貼付B!$H515)&gt;0,"",IF(SUMPRODUCT((CSV貼付B!$N$5:$N515=CSV貼付B!$N515)*(COUNTIF($B$37:$B$48,CSV貼付B!$H$5:$H515)=0))&gt;1,"",MAX($O$4:O514)+1)))</f>
        <v/>
      </c>
      <c r="P515" s="0" t="str">
        <f aca="false">IFERROR(INDEX(CSV貼付B!$N$5:$N$1004,MATCH(ROW()-4,$O$5:$O$1004,0)),"")</f>
        <v/>
      </c>
      <c r="Q515" s="0" t="str">
        <f aca="false">IF(ROW()-4&lt;=MAX($M$5:$M$1004),IFERROR(INDEX($N$5:$N$1004,ROW()-4),""),IFERROR(INDEX($P$5:$P$1004,ROW()-4-MAX($M$5:$M$1004)),""))</f>
        <v/>
      </c>
    </row>
    <row r="516" customFormat="false" ht="15" hidden="false" customHeight="false" outlineLevel="0" collapsed="false">
      <c r="M516" s="0" t="str">
        <f aca="false">IF(CSV貼付A!$N516="","",IF(COUNTIF($B$37:$B$48,CSV貼付A!$H516)&gt;0,"",IF(SUMPRODUCT((CSV貼付A!$N$5:$N516=CSV貼付A!$N516)*(COUNTIF($B$37:$B$48,CSV貼付A!$H$5:$H516)=0))&gt;1,"",MAX($M$4:M515)+1)))</f>
        <v/>
      </c>
      <c r="N516" s="0" t="str">
        <f aca="false">IFERROR(INDEX(CSV貼付A!$N$5:$N$1004,MATCH(ROW()-4,$M$5:$M$1004,0)),"")</f>
        <v/>
      </c>
      <c r="O516" s="0" t="str">
        <f aca="false">IF(CSV貼付B!$N516="","",IF(COUNTIF($B$37:$B$48,CSV貼付B!$H516)&gt;0,"",IF(SUMPRODUCT((CSV貼付B!$N$5:$N516=CSV貼付B!$N516)*(COUNTIF($B$37:$B$48,CSV貼付B!$H$5:$H516)=0))&gt;1,"",MAX($O$4:O515)+1)))</f>
        <v/>
      </c>
      <c r="P516" s="0" t="str">
        <f aca="false">IFERROR(INDEX(CSV貼付B!$N$5:$N$1004,MATCH(ROW()-4,$O$5:$O$1004,0)),"")</f>
        <v/>
      </c>
      <c r="Q516" s="0" t="str">
        <f aca="false">IF(ROW()-4&lt;=MAX($M$5:$M$1004),IFERROR(INDEX($N$5:$N$1004,ROW()-4),""),IFERROR(INDEX($P$5:$P$1004,ROW()-4-MAX($M$5:$M$1004)),""))</f>
        <v/>
      </c>
    </row>
    <row r="517" customFormat="false" ht="15" hidden="false" customHeight="false" outlineLevel="0" collapsed="false">
      <c r="M517" s="0" t="str">
        <f aca="false">IF(CSV貼付A!$N517="","",IF(COUNTIF($B$37:$B$48,CSV貼付A!$H517)&gt;0,"",IF(SUMPRODUCT((CSV貼付A!$N$5:$N517=CSV貼付A!$N517)*(COUNTIF($B$37:$B$48,CSV貼付A!$H$5:$H517)=0))&gt;1,"",MAX($M$4:M516)+1)))</f>
        <v/>
      </c>
      <c r="N517" s="0" t="str">
        <f aca="false">IFERROR(INDEX(CSV貼付A!$N$5:$N$1004,MATCH(ROW()-4,$M$5:$M$1004,0)),"")</f>
        <v/>
      </c>
      <c r="O517" s="0" t="str">
        <f aca="false">IF(CSV貼付B!$N517="","",IF(COUNTIF($B$37:$B$48,CSV貼付B!$H517)&gt;0,"",IF(SUMPRODUCT((CSV貼付B!$N$5:$N517=CSV貼付B!$N517)*(COUNTIF($B$37:$B$48,CSV貼付B!$H$5:$H517)=0))&gt;1,"",MAX($O$4:O516)+1)))</f>
        <v/>
      </c>
      <c r="P517" s="0" t="str">
        <f aca="false">IFERROR(INDEX(CSV貼付B!$N$5:$N$1004,MATCH(ROW()-4,$O$5:$O$1004,0)),"")</f>
        <v/>
      </c>
      <c r="Q517" s="0" t="str">
        <f aca="false">IF(ROW()-4&lt;=MAX($M$5:$M$1004),IFERROR(INDEX($N$5:$N$1004,ROW()-4),""),IFERROR(INDEX($P$5:$P$1004,ROW()-4-MAX($M$5:$M$1004)),""))</f>
        <v/>
      </c>
    </row>
    <row r="518" customFormat="false" ht="15" hidden="false" customHeight="false" outlineLevel="0" collapsed="false">
      <c r="M518" s="0" t="str">
        <f aca="false">IF(CSV貼付A!$N518="","",IF(COUNTIF($B$37:$B$48,CSV貼付A!$H518)&gt;0,"",IF(SUMPRODUCT((CSV貼付A!$N$5:$N518=CSV貼付A!$N518)*(COUNTIF($B$37:$B$48,CSV貼付A!$H$5:$H518)=0))&gt;1,"",MAX($M$4:M517)+1)))</f>
        <v/>
      </c>
      <c r="N518" s="0" t="str">
        <f aca="false">IFERROR(INDEX(CSV貼付A!$N$5:$N$1004,MATCH(ROW()-4,$M$5:$M$1004,0)),"")</f>
        <v/>
      </c>
      <c r="O518" s="0" t="str">
        <f aca="false">IF(CSV貼付B!$N518="","",IF(COUNTIF($B$37:$B$48,CSV貼付B!$H518)&gt;0,"",IF(SUMPRODUCT((CSV貼付B!$N$5:$N518=CSV貼付B!$N518)*(COUNTIF($B$37:$B$48,CSV貼付B!$H$5:$H518)=0))&gt;1,"",MAX($O$4:O517)+1)))</f>
        <v/>
      </c>
      <c r="P518" s="0" t="str">
        <f aca="false">IFERROR(INDEX(CSV貼付B!$N$5:$N$1004,MATCH(ROW()-4,$O$5:$O$1004,0)),"")</f>
        <v/>
      </c>
      <c r="Q518" s="0" t="str">
        <f aca="false">IF(ROW()-4&lt;=MAX($M$5:$M$1004),IFERROR(INDEX($N$5:$N$1004,ROW()-4),""),IFERROR(INDEX($P$5:$P$1004,ROW()-4-MAX($M$5:$M$1004)),""))</f>
        <v/>
      </c>
    </row>
    <row r="519" customFormat="false" ht="15" hidden="false" customHeight="false" outlineLevel="0" collapsed="false">
      <c r="M519" s="0" t="str">
        <f aca="false">IF(CSV貼付A!$N519="","",IF(COUNTIF($B$37:$B$48,CSV貼付A!$H519)&gt;0,"",IF(SUMPRODUCT((CSV貼付A!$N$5:$N519=CSV貼付A!$N519)*(COUNTIF($B$37:$B$48,CSV貼付A!$H$5:$H519)=0))&gt;1,"",MAX($M$4:M518)+1)))</f>
        <v/>
      </c>
      <c r="N519" s="0" t="str">
        <f aca="false">IFERROR(INDEX(CSV貼付A!$N$5:$N$1004,MATCH(ROW()-4,$M$5:$M$1004,0)),"")</f>
        <v/>
      </c>
      <c r="O519" s="0" t="str">
        <f aca="false">IF(CSV貼付B!$N519="","",IF(COUNTIF($B$37:$B$48,CSV貼付B!$H519)&gt;0,"",IF(SUMPRODUCT((CSV貼付B!$N$5:$N519=CSV貼付B!$N519)*(COUNTIF($B$37:$B$48,CSV貼付B!$H$5:$H519)=0))&gt;1,"",MAX($O$4:O518)+1)))</f>
        <v/>
      </c>
      <c r="P519" s="0" t="str">
        <f aca="false">IFERROR(INDEX(CSV貼付B!$N$5:$N$1004,MATCH(ROW()-4,$O$5:$O$1004,0)),"")</f>
        <v/>
      </c>
      <c r="Q519" s="0" t="str">
        <f aca="false">IF(ROW()-4&lt;=MAX($M$5:$M$1004),IFERROR(INDEX($N$5:$N$1004,ROW()-4),""),IFERROR(INDEX($P$5:$P$1004,ROW()-4-MAX($M$5:$M$1004)),""))</f>
        <v/>
      </c>
    </row>
    <row r="520" customFormat="false" ht="15" hidden="false" customHeight="false" outlineLevel="0" collapsed="false">
      <c r="M520" s="0" t="str">
        <f aca="false">IF(CSV貼付A!$N520="","",IF(COUNTIF($B$37:$B$48,CSV貼付A!$H520)&gt;0,"",IF(SUMPRODUCT((CSV貼付A!$N$5:$N520=CSV貼付A!$N520)*(COUNTIF($B$37:$B$48,CSV貼付A!$H$5:$H520)=0))&gt;1,"",MAX($M$4:M519)+1)))</f>
        <v/>
      </c>
      <c r="N520" s="0" t="str">
        <f aca="false">IFERROR(INDEX(CSV貼付A!$N$5:$N$1004,MATCH(ROW()-4,$M$5:$M$1004,0)),"")</f>
        <v/>
      </c>
      <c r="O520" s="0" t="str">
        <f aca="false">IF(CSV貼付B!$N520="","",IF(COUNTIF($B$37:$B$48,CSV貼付B!$H520)&gt;0,"",IF(SUMPRODUCT((CSV貼付B!$N$5:$N520=CSV貼付B!$N520)*(COUNTIF($B$37:$B$48,CSV貼付B!$H$5:$H520)=0))&gt;1,"",MAX($O$4:O519)+1)))</f>
        <v/>
      </c>
      <c r="P520" s="0" t="str">
        <f aca="false">IFERROR(INDEX(CSV貼付B!$N$5:$N$1004,MATCH(ROW()-4,$O$5:$O$1004,0)),"")</f>
        <v/>
      </c>
      <c r="Q520" s="0" t="str">
        <f aca="false">IF(ROW()-4&lt;=MAX($M$5:$M$1004),IFERROR(INDEX($N$5:$N$1004,ROW()-4),""),IFERROR(INDEX($P$5:$P$1004,ROW()-4-MAX($M$5:$M$1004)),""))</f>
        <v/>
      </c>
    </row>
    <row r="521" customFormat="false" ht="15" hidden="false" customHeight="false" outlineLevel="0" collapsed="false">
      <c r="M521" s="0" t="str">
        <f aca="false">IF(CSV貼付A!$N521="","",IF(COUNTIF($B$37:$B$48,CSV貼付A!$H521)&gt;0,"",IF(SUMPRODUCT((CSV貼付A!$N$5:$N521=CSV貼付A!$N521)*(COUNTIF($B$37:$B$48,CSV貼付A!$H$5:$H521)=0))&gt;1,"",MAX($M$4:M520)+1)))</f>
        <v/>
      </c>
      <c r="N521" s="0" t="str">
        <f aca="false">IFERROR(INDEX(CSV貼付A!$N$5:$N$1004,MATCH(ROW()-4,$M$5:$M$1004,0)),"")</f>
        <v/>
      </c>
      <c r="O521" s="0" t="str">
        <f aca="false">IF(CSV貼付B!$N521="","",IF(COUNTIF($B$37:$B$48,CSV貼付B!$H521)&gt;0,"",IF(SUMPRODUCT((CSV貼付B!$N$5:$N521=CSV貼付B!$N521)*(COUNTIF($B$37:$B$48,CSV貼付B!$H$5:$H521)=0))&gt;1,"",MAX($O$4:O520)+1)))</f>
        <v/>
      </c>
      <c r="P521" s="0" t="str">
        <f aca="false">IFERROR(INDEX(CSV貼付B!$N$5:$N$1004,MATCH(ROW()-4,$O$5:$O$1004,0)),"")</f>
        <v/>
      </c>
      <c r="Q521" s="0" t="str">
        <f aca="false">IF(ROW()-4&lt;=MAX($M$5:$M$1004),IFERROR(INDEX($N$5:$N$1004,ROW()-4),""),IFERROR(INDEX($P$5:$P$1004,ROW()-4-MAX($M$5:$M$1004)),""))</f>
        <v/>
      </c>
    </row>
    <row r="522" customFormat="false" ht="15" hidden="false" customHeight="false" outlineLevel="0" collapsed="false">
      <c r="M522" s="0" t="str">
        <f aca="false">IF(CSV貼付A!$N522="","",IF(COUNTIF($B$37:$B$48,CSV貼付A!$H522)&gt;0,"",IF(SUMPRODUCT((CSV貼付A!$N$5:$N522=CSV貼付A!$N522)*(COUNTIF($B$37:$B$48,CSV貼付A!$H$5:$H522)=0))&gt;1,"",MAX($M$4:M521)+1)))</f>
        <v/>
      </c>
      <c r="N522" s="0" t="str">
        <f aca="false">IFERROR(INDEX(CSV貼付A!$N$5:$N$1004,MATCH(ROW()-4,$M$5:$M$1004,0)),"")</f>
        <v/>
      </c>
      <c r="O522" s="0" t="str">
        <f aca="false">IF(CSV貼付B!$N522="","",IF(COUNTIF($B$37:$B$48,CSV貼付B!$H522)&gt;0,"",IF(SUMPRODUCT((CSV貼付B!$N$5:$N522=CSV貼付B!$N522)*(COUNTIF($B$37:$B$48,CSV貼付B!$H$5:$H522)=0))&gt;1,"",MAX($O$4:O521)+1)))</f>
        <v/>
      </c>
      <c r="P522" s="0" t="str">
        <f aca="false">IFERROR(INDEX(CSV貼付B!$N$5:$N$1004,MATCH(ROW()-4,$O$5:$O$1004,0)),"")</f>
        <v/>
      </c>
      <c r="Q522" s="0" t="str">
        <f aca="false">IF(ROW()-4&lt;=MAX($M$5:$M$1004),IFERROR(INDEX($N$5:$N$1004,ROW()-4),""),IFERROR(INDEX($P$5:$P$1004,ROW()-4-MAX($M$5:$M$1004)),""))</f>
        <v/>
      </c>
    </row>
    <row r="523" customFormat="false" ht="15" hidden="false" customHeight="false" outlineLevel="0" collapsed="false">
      <c r="M523" s="0" t="str">
        <f aca="false">IF(CSV貼付A!$N523="","",IF(COUNTIF($B$37:$B$48,CSV貼付A!$H523)&gt;0,"",IF(SUMPRODUCT((CSV貼付A!$N$5:$N523=CSV貼付A!$N523)*(COUNTIF($B$37:$B$48,CSV貼付A!$H$5:$H523)=0))&gt;1,"",MAX($M$4:M522)+1)))</f>
        <v/>
      </c>
      <c r="N523" s="0" t="str">
        <f aca="false">IFERROR(INDEX(CSV貼付A!$N$5:$N$1004,MATCH(ROW()-4,$M$5:$M$1004,0)),"")</f>
        <v/>
      </c>
      <c r="O523" s="0" t="str">
        <f aca="false">IF(CSV貼付B!$N523="","",IF(COUNTIF($B$37:$B$48,CSV貼付B!$H523)&gt;0,"",IF(SUMPRODUCT((CSV貼付B!$N$5:$N523=CSV貼付B!$N523)*(COUNTIF($B$37:$B$48,CSV貼付B!$H$5:$H523)=0))&gt;1,"",MAX($O$4:O522)+1)))</f>
        <v/>
      </c>
      <c r="P523" s="0" t="str">
        <f aca="false">IFERROR(INDEX(CSV貼付B!$N$5:$N$1004,MATCH(ROW()-4,$O$5:$O$1004,0)),"")</f>
        <v/>
      </c>
      <c r="Q523" s="0" t="str">
        <f aca="false">IF(ROW()-4&lt;=MAX($M$5:$M$1004),IFERROR(INDEX($N$5:$N$1004,ROW()-4),""),IFERROR(INDEX($P$5:$P$1004,ROW()-4-MAX($M$5:$M$1004)),""))</f>
        <v/>
      </c>
    </row>
    <row r="524" customFormat="false" ht="15" hidden="false" customHeight="false" outlineLevel="0" collapsed="false">
      <c r="M524" s="0" t="str">
        <f aca="false">IF(CSV貼付A!$N524="","",IF(COUNTIF($B$37:$B$48,CSV貼付A!$H524)&gt;0,"",IF(SUMPRODUCT((CSV貼付A!$N$5:$N524=CSV貼付A!$N524)*(COUNTIF($B$37:$B$48,CSV貼付A!$H$5:$H524)=0))&gt;1,"",MAX($M$4:M523)+1)))</f>
        <v/>
      </c>
      <c r="N524" s="0" t="str">
        <f aca="false">IFERROR(INDEX(CSV貼付A!$N$5:$N$1004,MATCH(ROW()-4,$M$5:$M$1004,0)),"")</f>
        <v/>
      </c>
      <c r="O524" s="0" t="str">
        <f aca="false">IF(CSV貼付B!$N524="","",IF(COUNTIF($B$37:$B$48,CSV貼付B!$H524)&gt;0,"",IF(SUMPRODUCT((CSV貼付B!$N$5:$N524=CSV貼付B!$N524)*(COUNTIF($B$37:$B$48,CSV貼付B!$H$5:$H524)=0))&gt;1,"",MAX($O$4:O523)+1)))</f>
        <v/>
      </c>
      <c r="P524" s="0" t="str">
        <f aca="false">IFERROR(INDEX(CSV貼付B!$N$5:$N$1004,MATCH(ROW()-4,$O$5:$O$1004,0)),"")</f>
        <v/>
      </c>
      <c r="Q524" s="0" t="str">
        <f aca="false">IF(ROW()-4&lt;=MAX($M$5:$M$1004),IFERROR(INDEX($N$5:$N$1004,ROW()-4),""),IFERROR(INDEX($P$5:$P$1004,ROW()-4-MAX($M$5:$M$1004)),""))</f>
        <v/>
      </c>
    </row>
    <row r="525" customFormat="false" ht="15" hidden="false" customHeight="false" outlineLevel="0" collapsed="false">
      <c r="M525" s="0" t="str">
        <f aca="false">IF(CSV貼付A!$N525="","",IF(COUNTIF($B$37:$B$48,CSV貼付A!$H525)&gt;0,"",IF(SUMPRODUCT((CSV貼付A!$N$5:$N525=CSV貼付A!$N525)*(COUNTIF($B$37:$B$48,CSV貼付A!$H$5:$H525)=0))&gt;1,"",MAX($M$4:M524)+1)))</f>
        <v/>
      </c>
      <c r="N525" s="0" t="str">
        <f aca="false">IFERROR(INDEX(CSV貼付A!$N$5:$N$1004,MATCH(ROW()-4,$M$5:$M$1004,0)),"")</f>
        <v/>
      </c>
      <c r="O525" s="0" t="str">
        <f aca="false">IF(CSV貼付B!$N525="","",IF(COUNTIF($B$37:$B$48,CSV貼付B!$H525)&gt;0,"",IF(SUMPRODUCT((CSV貼付B!$N$5:$N525=CSV貼付B!$N525)*(COUNTIF($B$37:$B$48,CSV貼付B!$H$5:$H525)=0))&gt;1,"",MAX($O$4:O524)+1)))</f>
        <v/>
      </c>
      <c r="P525" s="0" t="str">
        <f aca="false">IFERROR(INDEX(CSV貼付B!$N$5:$N$1004,MATCH(ROW()-4,$O$5:$O$1004,0)),"")</f>
        <v/>
      </c>
      <c r="Q525" s="0" t="str">
        <f aca="false">IF(ROW()-4&lt;=MAX($M$5:$M$1004),IFERROR(INDEX($N$5:$N$1004,ROW()-4),""),IFERROR(INDEX($P$5:$P$1004,ROW()-4-MAX($M$5:$M$1004)),""))</f>
        <v/>
      </c>
    </row>
    <row r="526" customFormat="false" ht="15" hidden="false" customHeight="false" outlineLevel="0" collapsed="false">
      <c r="M526" s="0" t="str">
        <f aca="false">IF(CSV貼付A!$N526="","",IF(COUNTIF($B$37:$B$48,CSV貼付A!$H526)&gt;0,"",IF(SUMPRODUCT((CSV貼付A!$N$5:$N526=CSV貼付A!$N526)*(COUNTIF($B$37:$B$48,CSV貼付A!$H$5:$H526)=0))&gt;1,"",MAX($M$4:M525)+1)))</f>
        <v/>
      </c>
      <c r="N526" s="0" t="str">
        <f aca="false">IFERROR(INDEX(CSV貼付A!$N$5:$N$1004,MATCH(ROW()-4,$M$5:$M$1004,0)),"")</f>
        <v/>
      </c>
      <c r="O526" s="0" t="str">
        <f aca="false">IF(CSV貼付B!$N526="","",IF(COUNTIF($B$37:$B$48,CSV貼付B!$H526)&gt;0,"",IF(SUMPRODUCT((CSV貼付B!$N$5:$N526=CSV貼付B!$N526)*(COUNTIF($B$37:$B$48,CSV貼付B!$H$5:$H526)=0))&gt;1,"",MAX($O$4:O525)+1)))</f>
        <v/>
      </c>
      <c r="P526" s="0" t="str">
        <f aca="false">IFERROR(INDEX(CSV貼付B!$N$5:$N$1004,MATCH(ROW()-4,$O$5:$O$1004,0)),"")</f>
        <v/>
      </c>
      <c r="Q526" s="0" t="str">
        <f aca="false">IF(ROW()-4&lt;=MAX($M$5:$M$1004),IFERROR(INDEX($N$5:$N$1004,ROW()-4),""),IFERROR(INDEX($P$5:$P$1004,ROW()-4-MAX($M$5:$M$1004)),""))</f>
        <v/>
      </c>
    </row>
    <row r="527" customFormat="false" ht="15" hidden="false" customHeight="false" outlineLevel="0" collapsed="false">
      <c r="M527" s="0" t="str">
        <f aca="false">IF(CSV貼付A!$N527="","",IF(COUNTIF($B$37:$B$48,CSV貼付A!$H527)&gt;0,"",IF(SUMPRODUCT((CSV貼付A!$N$5:$N527=CSV貼付A!$N527)*(COUNTIF($B$37:$B$48,CSV貼付A!$H$5:$H527)=0))&gt;1,"",MAX($M$4:M526)+1)))</f>
        <v/>
      </c>
      <c r="N527" s="0" t="str">
        <f aca="false">IFERROR(INDEX(CSV貼付A!$N$5:$N$1004,MATCH(ROW()-4,$M$5:$M$1004,0)),"")</f>
        <v/>
      </c>
      <c r="O527" s="0" t="str">
        <f aca="false">IF(CSV貼付B!$N527="","",IF(COUNTIF($B$37:$B$48,CSV貼付B!$H527)&gt;0,"",IF(SUMPRODUCT((CSV貼付B!$N$5:$N527=CSV貼付B!$N527)*(COUNTIF($B$37:$B$48,CSV貼付B!$H$5:$H527)=0))&gt;1,"",MAX($O$4:O526)+1)))</f>
        <v/>
      </c>
      <c r="P527" s="0" t="str">
        <f aca="false">IFERROR(INDEX(CSV貼付B!$N$5:$N$1004,MATCH(ROW()-4,$O$5:$O$1004,0)),"")</f>
        <v/>
      </c>
      <c r="Q527" s="0" t="str">
        <f aca="false">IF(ROW()-4&lt;=MAX($M$5:$M$1004),IFERROR(INDEX($N$5:$N$1004,ROW()-4),""),IFERROR(INDEX($P$5:$P$1004,ROW()-4-MAX($M$5:$M$1004)),""))</f>
        <v/>
      </c>
    </row>
    <row r="528" customFormat="false" ht="15" hidden="false" customHeight="false" outlineLevel="0" collapsed="false">
      <c r="M528" s="0" t="str">
        <f aca="false">IF(CSV貼付A!$N528="","",IF(COUNTIF($B$37:$B$48,CSV貼付A!$H528)&gt;0,"",IF(SUMPRODUCT((CSV貼付A!$N$5:$N528=CSV貼付A!$N528)*(COUNTIF($B$37:$B$48,CSV貼付A!$H$5:$H528)=0))&gt;1,"",MAX($M$4:M527)+1)))</f>
        <v/>
      </c>
      <c r="N528" s="0" t="str">
        <f aca="false">IFERROR(INDEX(CSV貼付A!$N$5:$N$1004,MATCH(ROW()-4,$M$5:$M$1004,0)),"")</f>
        <v/>
      </c>
      <c r="O528" s="0" t="str">
        <f aca="false">IF(CSV貼付B!$N528="","",IF(COUNTIF($B$37:$B$48,CSV貼付B!$H528)&gt;0,"",IF(SUMPRODUCT((CSV貼付B!$N$5:$N528=CSV貼付B!$N528)*(COUNTIF($B$37:$B$48,CSV貼付B!$H$5:$H528)=0))&gt;1,"",MAX($O$4:O527)+1)))</f>
        <v/>
      </c>
      <c r="P528" s="0" t="str">
        <f aca="false">IFERROR(INDEX(CSV貼付B!$N$5:$N$1004,MATCH(ROW()-4,$O$5:$O$1004,0)),"")</f>
        <v/>
      </c>
      <c r="Q528" s="0" t="str">
        <f aca="false">IF(ROW()-4&lt;=MAX($M$5:$M$1004),IFERROR(INDEX($N$5:$N$1004,ROW()-4),""),IFERROR(INDEX($P$5:$P$1004,ROW()-4-MAX($M$5:$M$1004)),""))</f>
        <v/>
      </c>
    </row>
    <row r="529" customFormat="false" ht="15" hidden="false" customHeight="false" outlineLevel="0" collapsed="false">
      <c r="M529" s="0" t="str">
        <f aca="false">IF(CSV貼付A!$N529="","",IF(COUNTIF($B$37:$B$48,CSV貼付A!$H529)&gt;0,"",IF(SUMPRODUCT((CSV貼付A!$N$5:$N529=CSV貼付A!$N529)*(COUNTIF($B$37:$B$48,CSV貼付A!$H$5:$H529)=0))&gt;1,"",MAX($M$4:M528)+1)))</f>
        <v/>
      </c>
      <c r="N529" s="0" t="str">
        <f aca="false">IFERROR(INDEX(CSV貼付A!$N$5:$N$1004,MATCH(ROW()-4,$M$5:$M$1004,0)),"")</f>
        <v/>
      </c>
      <c r="O529" s="0" t="str">
        <f aca="false">IF(CSV貼付B!$N529="","",IF(COUNTIF($B$37:$B$48,CSV貼付B!$H529)&gt;0,"",IF(SUMPRODUCT((CSV貼付B!$N$5:$N529=CSV貼付B!$N529)*(COUNTIF($B$37:$B$48,CSV貼付B!$H$5:$H529)=0))&gt;1,"",MAX($O$4:O528)+1)))</f>
        <v/>
      </c>
      <c r="P529" s="0" t="str">
        <f aca="false">IFERROR(INDEX(CSV貼付B!$N$5:$N$1004,MATCH(ROW()-4,$O$5:$O$1004,0)),"")</f>
        <v/>
      </c>
      <c r="Q529" s="0" t="str">
        <f aca="false">IF(ROW()-4&lt;=MAX($M$5:$M$1004),IFERROR(INDEX($N$5:$N$1004,ROW()-4),""),IFERROR(INDEX($P$5:$P$1004,ROW()-4-MAX($M$5:$M$1004)),""))</f>
        <v/>
      </c>
    </row>
    <row r="530" customFormat="false" ht="15" hidden="false" customHeight="false" outlineLevel="0" collapsed="false">
      <c r="M530" s="0" t="str">
        <f aca="false">IF(CSV貼付A!$N530="","",IF(COUNTIF($B$37:$B$48,CSV貼付A!$H530)&gt;0,"",IF(SUMPRODUCT((CSV貼付A!$N$5:$N530=CSV貼付A!$N530)*(COUNTIF($B$37:$B$48,CSV貼付A!$H$5:$H530)=0))&gt;1,"",MAX($M$4:M529)+1)))</f>
        <v/>
      </c>
      <c r="N530" s="0" t="str">
        <f aca="false">IFERROR(INDEX(CSV貼付A!$N$5:$N$1004,MATCH(ROW()-4,$M$5:$M$1004,0)),"")</f>
        <v/>
      </c>
      <c r="O530" s="0" t="str">
        <f aca="false">IF(CSV貼付B!$N530="","",IF(COUNTIF($B$37:$B$48,CSV貼付B!$H530)&gt;0,"",IF(SUMPRODUCT((CSV貼付B!$N$5:$N530=CSV貼付B!$N530)*(COUNTIF($B$37:$B$48,CSV貼付B!$H$5:$H530)=0))&gt;1,"",MAX($O$4:O529)+1)))</f>
        <v/>
      </c>
      <c r="P530" s="0" t="str">
        <f aca="false">IFERROR(INDEX(CSV貼付B!$N$5:$N$1004,MATCH(ROW()-4,$O$5:$O$1004,0)),"")</f>
        <v/>
      </c>
      <c r="Q530" s="0" t="str">
        <f aca="false">IF(ROW()-4&lt;=MAX($M$5:$M$1004),IFERROR(INDEX($N$5:$N$1004,ROW()-4),""),IFERROR(INDEX($P$5:$P$1004,ROW()-4-MAX($M$5:$M$1004)),""))</f>
        <v/>
      </c>
    </row>
    <row r="531" customFormat="false" ht="15" hidden="false" customHeight="false" outlineLevel="0" collapsed="false">
      <c r="M531" s="0" t="str">
        <f aca="false">IF(CSV貼付A!$N531="","",IF(COUNTIF($B$37:$B$48,CSV貼付A!$H531)&gt;0,"",IF(SUMPRODUCT((CSV貼付A!$N$5:$N531=CSV貼付A!$N531)*(COUNTIF($B$37:$B$48,CSV貼付A!$H$5:$H531)=0))&gt;1,"",MAX($M$4:M530)+1)))</f>
        <v/>
      </c>
      <c r="N531" s="0" t="str">
        <f aca="false">IFERROR(INDEX(CSV貼付A!$N$5:$N$1004,MATCH(ROW()-4,$M$5:$M$1004,0)),"")</f>
        <v/>
      </c>
      <c r="O531" s="0" t="str">
        <f aca="false">IF(CSV貼付B!$N531="","",IF(COUNTIF($B$37:$B$48,CSV貼付B!$H531)&gt;0,"",IF(SUMPRODUCT((CSV貼付B!$N$5:$N531=CSV貼付B!$N531)*(COUNTIF($B$37:$B$48,CSV貼付B!$H$5:$H531)=0))&gt;1,"",MAX($O$4:O530)+1)))</f>
        <v/>
      </c>
      <c r="P531" s="0" t="str">
        <f aca="false">IFERROR(INDEX(CSV貼付B!$N$5:$N$1004,MATCH(ROW()-4,$O$5:$O$1004,0)),"")</f>
        <v/>
      </c>
      <c r="Q531" s="0" t="str">
        <f aca="false">IF(ROW()-4&lt;=MAX($M$5:$M$1004),IFERROR(INDEX($N$5:$N$1004,ROW()-4),""),IFERROR(INDEX($P$5:$P$1004,ROW()-4-MAX($M$5:$M$1004)),""))</f>
        <v/>
      </c>
    </row>
    <row r="532" customFormat="false" ht="15" hidden="false" customHeight="false" outlineLevel="0" collapsed="false">
      <c r="M532" s="0" t="str">
        <f aca="false">IF(CSV貼付A!$N532="","",IF(COUNTIF($B$37:$B$48,CSV貼付A!$H532)&gt;0,"",IF(SUMPRODUCT((CSV貼付A!$N$5:$N532=CSV貼付A!$N532)*(COUNTIF($B$37:$B$48,CSV貼付A!$H$5:$H532)=0))&gt;1,"",MAX($M$4:M531)+1)))</f>
        <v/>
      </c>
      <c r="N532" s="0" t="str">
        <f aca="false">IFERROR(INDEX(CSV貼付A!$N$5:$N$1004,MATCH(ROW()-4,$M$5:$M$1004,0)),"")</f>
        <v/>
      </c>
      <c r="O532" s="0" t="str">
        <f aca="false">IF(CSV貼付B!$N532="","",IF(COUNTIF($B$37:$B$48,CSV貼付B!$H532)&gt;0,"",IF(SUMPRODUCT((CSV貼付B!$N$5:$N532=CSV貼付B!$N532)*(COUNTIF($B$37:$B$48,CSV貼付B!$H$5:$H532)=0))&gt;1,"",MAX($O$4:O531)+1)))</f>
        <v/>
      </c>
      <c r="P532" s="0" t="str">
        <f aca="false">IFERROR(INDEX(CSV貼付B!$N$5:$N$1004,MATCH(ROW()-4,$O$5:$O$1004,0)),"")</f>
        <v/>
      </c>
      <c r="Q532" s="0" t="str">
        <f aca="false">IF(ROW()-4&lt;=MAX($M$5:$M$1004),IFERROR(INDEX($N$5:$N$1004,ROW()-4),""),IFERROR(INDEX($P$5:$P$1004,ROW()-4-MAX($M$5:$M$1004)),""))</f>
        <v/>
      </c>
    </row>
    <row r="533" customFormat="false" ht="15" hidden="false" customHeight="false" outlineLevel="0" collapsed="false">
      <c r="M533" s="0" t="str">
        <f aca="false">IF(CSV貼付A!$N533="","",IF(COUNTIF($B$37:$B$48,CSV貼付A!$H533)&gt;0,"",IF(SUMPRODUCT((CSV貼付A!$N$5:$N533=CSV貼付A!$N533)*(COUNTIF($B$37:$B$48,CSV貼付A!$H$5:$H533)=0))&gt;1,"",MAX($M$4:M532)+1)))</f>
        <v/>
      </c>
      <c r="N533" s="0" t="str">
        <f aca="false">IFERROR(INDEX(CSV貼付A!$N$5:$N$1004,MATCH(ROW()-4,$M$5:$M$1004,0)),"")</f>
        <v/>
      </c>
      <c r="O533" s="0" t="str">
        <f aca="false">IF(CSV貼付B!$N533="","",IF(COUNTIF($B$37:$B$48,CSV貼付B!$H533)&gt;0,"",IF(SUMPRODUCT((CSV貼付B!$N$5:$N533=CSV貼付B!$N533)*(COUNTIF($B$37:$B$48,CSV貼付B!$H$5:$H533)=0))&gt;1,"",MAX($O$4:O532)+1)))</f>
        <v/>
      </c>
      <c r="P533" s="0" t="str">
        <f aca="false">IFERROR(INDEX(CSV貼付B!$N$5:$N$1004,MATCH(ROW()-4,$O$5:$O$1004,0)),"")</f>
        <v/>
      </c>
      <c r="Q533" s="0" t="str">
        <f aca="false">IF(ROW()-4&lt;=MAX($M$5:$M$1004),IFERROR(INDEX($N$5:$N$1004,ROW()-4),""),IFERROR(INDEX($P$5:$P$1004,ROW()-4-MAX($M$5:$M$1004)),""))</f>
        <v/>
      </c>
    </row>
    <row r="534" customFormat="false" ht="15" hidden="false" customHeight="false" outlineLevel="0" collapsed="false">
      <c r="M534" s="0" t="str">
        <f aca="false">IF(CSV貼付A!$N534="","",IF(COUNTIF($B$37:$B$48,CSV貼付A!$H534)&gt;0,"",IF(SUMPRODUCT((CSV貼付A!$N$5:$N534=CSV貼付A!$N534)*(COUNTIF($B$37:$B$48,CSV貼付A!$H$5:$H534)=0))&gt;1,"",MAX($M$4:M533)+1)))</f>
        <v/>
      </c>
      <c r="N534" s="0" t="str">
        <f aca="false">IFERROR(INDEX(CSV貼付A!$N$5:$N$1004,MATCH(ROW()-4,$M$5:$M$1004,0)),"")</f>
        <v/>
      </c>
      <c r="O534" s="0" t="str">
        <f aca="false">IF(CSV貼付B!$N534="","",IF(COUNTIF($B$37:$B$48,CSV貼付B!$H534)&gt;0,"",IF(SUMPRODUCT((CSV貼付B!$N$5:$N534=CSV貼付B!$N534)*(COUNTIF($B$37:$B$48,CSV貼付B!$H$5:$H534)=0))&gt;1,"",MAX($O$4:O533)+1)))</f>
        <v/>
      </c>
      <c r="P534" s="0" t="str">
        <f aca="false">IFERROR(INDEX(CSV貼付B!$N$5:$N$1004,MATCH(ROW()-4,$O$5:$O$1004,0)),"")</f>
        <v/>
      </c>
      <c r="Q534" s="0" t="str">
        <f aca="false">IF(ROW()-4&lt;=MAX($M$5:$M$1004),IFERROR(INDEX($N$5:$N$1004,ROW()-4),""),IFERROR(INDEX($P$5:$P$1004,ROW()-4-MAX($M$5:$M$1004)),""))</f>
        <v/>
      </c>
    </row>
    <row r="535" customFormat="false" ht="15" hidden="false" customHeight="false" outlineLevel="0" collapsed="false">
      <c r="M535" s="0" t="str">
        <f aca="false">IF(CSV貼付A!$N535="","",IF(COUNTIF($B$37:$B$48,CSV貼付A!$H535)&gt;0,"",IF(SUMPRODUCT((CSV貼付A!$N$5:$N535=CSV貼付A!$N535)*(COUNTIF($B$37:$B$48,CSV貼付A!$H$5:$H535)=0))&gt;1,"",MAX($M$4:M534)+1)))</f>
        <v/>
      </c>
      <c r="N535" s="0" t="str">
        <f aca="false">IFERROR(INDEX(CSV貼付A!$N$5:$N$1004,MATCH(ROW()-4,$M$5:$M$1004,0)),"")</f>
        <v/>
      </c>
      <c r="O535" s="0" t="str">
        <f aca="false">IF(CSV貼付B!$N535="","",IF(COUNTIF($B$37:$B$48,CSV貼付B!$H535)&gt;0,"",IF(SUMPRODUCT((CSV貼付B!$N$5:$N535=CSV貼付B!$N535)*(COUNTIF($B$37:$B$48,CSV貼付B!$H$5:$H535)=0))&gt;1,"",MAX($O$4:O534)+1)))</f>
        <v/>
      </c>
      <c r="P535" s="0" t="str">
        <f aca="false">IFERROR(INDEX(CSV貼付B!$N$5:$N$1004,MATCH(ROW()-4,$O$5:$O$1004,0)),"")</f>
        <v/>
      </c>
      <c r="Q535" s="0" t="str">
        <f aca="false">IF(ROW()-4&lt;=MAX($M$5:$M$1004),IFERROR(INDEX($N$5:$N$1004,ROW()-4),""),IFERROR(INDEX($P$5:$P$1004,ROW()-4-MAX($M$5:$M$1004)),""))</f>
        <v/>
      </c>
    </row>
    <row r="536" customFormat="false" ht="15" hidden="false" customHeight="false" outlineLevel="0" collapsed="false">
      <c r="M536" s="0" t="str">
        <f aca="false">IF(CSV貼付A!$N536="","",IF(COUNTIF($B$37:$B$48,CSV貼付A!$H536)&gt;0,"",IF(SUMPRODUCT((CSV貼付A!$N$5:$N536=CSV貼付A!$N536)*(COUNTIF($B$37:$B$48,CSV貼付A!$H$5:$H536)=0))&gt;1,"",MAX($M$4:M535)+1)))</f>
        <v/>
      </c>
      <c r="N536" s="0" t="str">
        <f aca="false">IFERROR(INDEX(CSV貼付A!$N$5:$N$1004,MATCH(ROW()-4,$M$5:$M$1004,0)),"")</f>
        <v/>
      </c>
      <c r="O536" s="0" t="str">
        <f aca="false">IF(CSV貼付B!$N536="","",IF(COUNTIF($B$37:$B$48,CSV貼付B!$H536)&gt;0,"",IF(SUMPRODUCT((CSV貼付B!$N$5:$N536=CSV貼付B!$N536)*(COUNTIF($B$37:$B$48,CSV貼付B!$H$5:$H536)=0))&gt;1,"",MAX($O$4:O535)+1)))</f>
        <v/>
      </c>
      <c r="P536" s="0" t="str">
        <f aca="false">IFERROR(INDEX(CSV貼付B!$N$5:$N$1004,MATCH(ROW()-4,$O$5:$O$1004,0)),"")</f>
        <v/>
      </c>
      <c r="Q536" s="0" t="str">
        <f aca="false">IF(ROW()-4&lt;=MAX($M$5:$M$1004),IFERROR(INDEX($N$5:$N$1004,ROW()-4),""),IFERROR(INDEX($P$5:$P$1004,ROW()-4-MAX($M$5:$M$1004)),""))</f>
        <v/>
      </c>
    </row>
    <row r="537" customFormat="false" ht="15" hidden="false" customHeight="false" outlineLevel="0" collapsed="false">
      <c r="M537" s="0" t="str">
        <f aca="false">IF(CSV貼付A!$N537="","",IF(COUNTIF($B$37:$B$48,CSV貼付A!$H537)&gt;0,"",IF(SUMPRODUCT((CSV貼付A!$N$5:$N537=CSV貼付A!$N537)*(COUNTIF($B$37:$B$48,CSV貼付A!$H$5:$H537)=0))&gt;1,"",MAX($M$4:M536)+1)))</f>
        <v/>
      </c>
      <c r="N537" s="0" t="str">
        <f aca="false">IFERROR(INDEX(CSV貼付A!$N$5:$N$1004,MATCH(ROW()-4,$M$5:$M$1004,0)),"")</f>
        <v/>
      </c>
      <c r="O537" s="0" t="str">
        <f aca="false">IF(CSV貼付B!$N537="","",IF(COUNTIF($B$37:$B$48,CSV貼付B!$H537)&gt;0,"",IF(SUMPRODUCT((CSV貼付B!$N$5:$N537=CSV貼付B!$N537)*(COUNTIF($B$37:$B$48,CSV貼付B!$H$5:$H537)=0))&gt;1,"",MAX($O$4:O536)+1)))</f>
        <v/>
      </c>
      <c r="P537" s="0" t="str">
        <f aca="false">IFERROR(INDEX(CSV貼付B!$N$5:$N$1004,MATCH(ROW()-4,$O$5:$O$1004,0)),"")</f>
        <v/>
      </c>
      <c r="Q537" s="0" t="str">
        <f aca="false">IF(ROW()-4&lt;=MAX($M$5:$M$1004),IFERROR(INDEX($N$5:$N$1004,ROW()-4),""),IFERROR(INDEX($P$5:$P$1004,ROW()-4-MAX($M$5:$M$1004)),""))</f>
        <v/>
      </c>
    </row>
    <row r="538" customFormat="false" ht="15" hidden="false" customHeight="false" outlineLevel="0" collapsed="false">
      <c r="M538" s="0" t="str">
        <f aca="false">IF(CSV貼付A!$N538="","",IF(COUNTIF($B$37:$B$48,CSV貼付A!$H538)&gt;0,"",IF(SUMPRODUCT((CSV貼付A!$N$5:$N538=CSV貼付A!$N538)*(COUNTIF($B$37:$B$48,CSV貼付A!$H$5:$H538)=0))&gt;1,"",MAX($M$4:M537)+1)))</f>
        <v/>
      </c>
      <c r="N538" s="0" t="str">
        <f aca="false">IFERROR(INDEX(CSV貼付A!$N$5:$N$1004,MATCH(ROW()-4,$M$5:$M$1004,0)),"")</f>
        <v/>
      </c>
      <c r="O538" s="0" t="str">
        <f aca="false">IF(CSV貼付B!$N538="","",IF(COUNTIF($B$37:$B$48,CSV貼付B!$H538)&gt;0,"",IF(SUMPRODUCT((CSV貼付B!$N$5:$N538=CSV貼付B!$N538)*(COUNTIF($B$37:$B$48,CSV貼付B!$H$5:$H538)=0))&gt;1,"",MAX($O$4:O537)+1)))</f>
        <v/>
      </c>
      <c r="P538" s="0" t="str">
        <f aca="false">IFERROR(INDEX(CSV貼付B!$N$5:$N$1004,MATCH(ROW()-4,$O$5:$O$1004,0)),"")</f>
        <v/>
      </c>
      <c r="Q538" s="0" t="str">
        <f aca="false">IF(ROW()-4&lt;=MAX($M$5:$M$1004),IFERROR(INDEX($N$5:$N$1004,ROW()-4),""),IFERROR(INDEX($P$5:$P$1004,ROW()-4-MAX($M$5:$M$1004)),""))</f>
        <v/>
      </c>
    </row>
    <row r="539" customFormat="false" ht="15" hidden="false" customHeight="false" outlineLevel="0" collapsed="false">
      <c r="M539" s="0" t="str">
        <f aca="false">IF(CSV貼付A!$N539="","",IF(COUNTIF($B$37:$B$48,CSV貼付A!$H539)&gt;0,"",IF(SUMPRODUCT((CSV貼付A!$N$5:$N539=CSV貼付A!$N539)*(COUNTIF($B$37:$B$48,CSV貼付A!$H$5:$H539)=0))&gt;1,"",MAX($M$4:M538)+1)))</f>
        <v/>
      </c>
      <c r="N539" s="0" t="str">
        <f aca="false">IFERROR(INDEX(CSV貼付A!$N$5:$N$1004,MATCH(ROW()-4,$M$5:$M$1004,0)),"")</f>
        <v/>
      </c>
      <c r="O539" s="0" t="str">
        <f aca="false">IF(CSV貼付B!$N539="","",IF(COUNTIF($B$37:$B$48,CSV貼付B!$H539)&gt;0,"",IF(SUMPRODUCT((CSV貼付B!$N$5:$N539=CSV貼付B!$N539)*(COUNTIF($B$37:$B$48,CSV貼付B!$H$5:$H539)=0))&gt;1,"",MAX($O$4:O538)+1)))</f>
        <v/>
      </c>
      <c r="P539" s="0" t="str">
        <f aca="false">IFERROR(INDEX(CSV貼付B!$N$5:$N$1004,MATCH(ROW()-4,$O$5:$O$1004,0)),"")</f>
        <v/>
      </c>
      <c r="Q539" s="0" t="str">
        <f aca="false">IF(ROW()-4&lt;=MAX($M$5:$M$1004),IFERROR(INDEX($N$5:$N$1004,ROW()-4),""),IFERROR(INDEX($P$5:$P$1004,ROW()-4-MAX($M$5:$M$1004)),""))</f>
        <v/>
      </c>
    </row>
    <row r="540" customFormat="false" ht="15" hidden="false" customHeight="false" outlineLevel="0" collapsed="false">
      <c r="M540" s="0" t="str">
        <f aca="false">IF(CSV貼付A!$N540="","",IF(COUNTIF($B$37:$B$48,CSV貼付A!$H540)&gt;0,"",IF(SUMPRODUCT((CSV貼付A!$N$5:$N540=CSV貼付A!$N540)*(COUNTIF($B$37:$B$48,CSV貼付A!$H$5:$H540)=0))&gt;1,"",MAX($M$4:M539)+1)))</f>
        <v/>
      </c>
      <c r="N540" s="0" t="str">
        <f aca="false">IFERROR(INDEX(CSV貼付A!$N$5:$N$1004,MATCH(ROW()-4,$M$5:$M$1004,0)),"")</f>
        <v/>
      </c>
      <c r="O540" s="0" t="str">
        <f aca="false">IF(CSV貼付B!$N540="","",IF(COUNTIF($B$37:$B$48,CSV貼付B!$H540)&gt;0,"",IF(SUMPRODUCT((CSV貼付B!$N$5:$N540=CSV貼付B!$N540)*(COUNTIF($B$37:$B$48,CSV貼付B!$H$5:$H540)=0))&gt;1,"",MAX($O$4:O539)+1)))</f>
        <v/>
      </c>
      <c r="P540" s="0" t="str">
        <f aca="false">IFERROR(INDEX(CSV貼付B!$N$5:$N$1004,MATCH(ROW()-4,$O$5:$O$1004,0)),"")</f>
        <v/>
      </c>
      <c r="Q540" s="0" t="str">
        <f aca="false">IF(ROW()-4&lt;=MAX($M$5:$M$1004),IFERROR(INDEX($N$5:$N$1004,ROW()-4),""),IFERROR(INDEX($P$5:$P$1004,ROW()-4-MAX($M$5:$M$1004)),""))</f>
        <v/>
      </c>
    </row>
    <row r="541" customFormat="false" ht="15" hidden="false" customHeight="false" outlineLevel="0" collapsed="false">
      <c r="M541" s="0" t="str">
        <f aca="false">IF(CSV貼付A!$N541="","",IF(COUNTIF($B$37:$B$48,CSV貼付A!$H541)&gt;0,"",IF(SUMPRODUCT((CSV貼付A!$N$5:$N541=CSV貼付A!$N541)*(COUNTIF($B$37:$B$48,CSV貼付A!$H$5:$H541)=0))&gt;1,"",MAX($M$4:M540)+1)))</f>
        <v/>
      </c>
      <c r="N541" s="0" t="str">
        <f aca="false">IFERROR(INDEX(CSV貼付A!$N$5:$N$1004,MATCH(ROW()-4,$M$5:$M$1004,0)),"")</f>
        <v/>
      </c>
      <c r="O541" s="0" t="str">
        <f aca="false">IF(CSV貼付B!$N541="","",IF(COUNTIF($B$37:$B$48,CSV貼付B!$H541)&gt;0,"",IF(SUMPRODUCT((CSV貼付B!$N$5:$N541=CSV貼付B!$N541)*(COUNTIF($B$37:$B$48,CSV貼付B!$H$5:$H541)=0))&gt;1,"",MAX($O$4:O540)+1)))</f>
        <v/>
      </c>
      <c r="P541" s="0" t="str">
        <f aca="false">IFERROR(INDEX(CSV貼付B!$N$5:$N$1004,MATCH(ROW()-4,$O$5:$O$1004,0)),"")</f>
        <v/>
      </c>
      <c r="Q541" s="0" t="str">
        <f aca="false">IF(ROW()-4&lt;=MAX($M$5:$M$1004),IFERROR(INDEX($N$5:$N$1004,ROW()-4),""),IFERROR(INDEX($P$5:$P$1004,ROW()-4-MAX($M$5:$M$1004)),""))</f>
        <v/>
      </c>
    </row>
    <row r="542" customFormat="false" ht="15" hidden="false" customHeight="false" outlineLevel="0" collapsed="false">
      <c r="M542" s="0" t="str">
        <f aca="false">IF(CSV貼付A!$N542="","",IF(COUNTIF($B$37:$B$48,CSV貼付A!$H542)&gt;0,"",IF(SUMPRODUCT((CSV貼付A!$N$5:$N542=CSV貼付A!$N542)*(COUNTIF($B$37:$B$48,CSV貼付A!$H$5:$H542)=0))&gt;1,"",MAX($M$4:M541)+1)))</f>
        <v/>
      </c>
      <c r="N542" s="0" t="str">
        <f aca="false">IFERROR(INDEX(CSV貼付A!$N$5:$N$1004,MATCH(ROW()-4,$M$5:$M$1004,0)),"")</f>
        <v/>
      </c>
      <c r="O542" s="0" t="str">
        <f aca="false">IF(CSV貼付B!$N542="","",IF(COUNTIF($B$37:$B$48,CSV貼付B!$H542)&gt;0,"",IF(SUMPRODUCT((CSV貼付B!$N$5:$N542=CSV貼付B!$N542)*(COUNTIF($B$37:$B$48,CSV貼付B!$H$5:$H542)=0))&gt;1,"",MAX($O$4:O541)+1)))</f>
        <v/>
      </c>
      <c r="P542" s="0" t="str">
        <f aca="false">IFERROR(INDEX(CSV貼付B!$N$5:$N$1004,MATCH(ROW()-4,$O$5:$O$1004,0)),"")</f>
        <v/>
      </c>
      <c r="Q542" s="0" t="str">
        <f aca="false">IF(ROW()-4&lt;=MAX($M$5:$M$1004),IFERROR(INDEX($N$5:$N$1004,ROW()-4),""),IFERROR(INDEX($P$5:$P$1004,ROW()-4-MAX($M$5:$M$1004)),""))</f>
        <v/>
      </c>
    </row>
    <row r="543" customFormat="false" ht="15" hidden="false" customHeight="false" outlineLevel="0" collapsed="false">
      <c r="M543" s="0" t="str">
        <f aca="false">IF(CSV貼付A!$N543="","",IF(COUNTIF($B$37:$B$48,CSV貼付A!$H543)&gt;0,"",IF(SUMPRODUCT((CSV貼付A!$N$5:$N543=CSV貼付A!$N543)*(COUNTIF($B$37:$B$48,CSV貼付A!$H$5:$H543)=0))&gt;1,"",MAX($M$4:M542)+1)))</f>
        <v/>
      </c>
      <c r="N543" s="0" t="str">
        <f aca="false">IFERROR(INDEX(CSV貼付A!$N$5:$N$1004,MATCH(ROW()-4,$M$5:$M$1004,0)),"")</f>
        <v/>
      </c>
      <c r="O543" s="0" t="str">
        <f aca="false">IF(CSV貼付B!$N543="","",IF(COUNTIF($B$37:$B$48,CSV貼付B!$H543)&gt;0,"",IF(SUMPRODUCT((CSV貼付B!$N$5:$N543=CSV貼付B!$N543)*(COUNTIF($B$37:$B$48,CSV貼付B!$H$5:$H543)=0))&gt;1,"",MAX($O$4:O542)+1)))</f>
        <v/>
      </c>
      <c r="P543" s="0" t="str">
        <f aca="false">IFERROR(INDEX(CSV貼付B!$N$5:$N$1004,MATCH(ROW()-4,$O$5:$O$1004,0)),"")</f>
        <v/>
      </c>
      <c r="Q543" s="0" t="str">
        <f aca="false">IF(ROW()-4&lt;=MAX($M$5:$M$1004),IFERROR(INDEX($N$5:$N$1004,ROW()-4),""),IFERROR(INDEX($P$5:$P$1004,ROW()-4-MAX($M$5:$M$1004)),""))</f>
        <v/>
      </c>
    </row>
    <row r="544" customFormat="false" ht="15" hidden="false" customHeight="false" outlineLevel="0" collapsed="false">
      <c r="M544" s="0" t="str">
        <f aca="false">IF(CSV貼付A!$N544="","",IF(COUNTIF($B$37:$B$48,CSV貼付A!$H544)&gt;0,"",IF(SUMPRODUCT((CSV貼付A!$N$5:$N544=CSV貼付A!$N544)*(COUNTIF($B$37:$B$48,CSV貼付A!$H$5:$H544)=0))&gt;1,"",MAX($M$4:M543)+1)))</f>
        <v/>
      </c>
      <c r="N544" s="0" t="str">
        <f aca="false">IFERROR(INDEX(CSV貼付A!$N$5:$N$1004,MATCH(ROW()-4,$M$5:$M$1004,0)),"")</f>
        <v/>
      </c>
      <c r="O544" s="0" t="str">
        <f aca="false">IF(CSV貼付B!$N544="","",IF(COUNTIF($B$37:$B$48,CSV貼付B!$H544)&gt;0,"",IF(SUMPRODUCT((CSV貼付B!$N$5:$N544=CSV貼付B!$N544)*(COUNTIF($B$37:$B$48,CSV貼付B!$H$5:$H544)=0))&gt;1,"",MAX($O$4:O543)+1)))</f>
        <v/>
      </c>
      <c r="P544" s="0" t="str">
        <f aca="false">IFERROR(INDEX(CSV貼付B!$N$5:$N$1004,MATCH(ROW()-4,$O$5:$O$1004,0)),"")</f>
        <v/>
      </c>
      <c r="Q544" s="0" t="str">
        <f aca="false">IF(ROW()-4&lt;=MAX($M$5:$M$1004),IFERROR(INDEX($N$5:$N$1004,ROW()-4),""),IFERROR(INDEX($P$5:$P$1004,ROW()-4-MAX($M$5:$M$1004)),""))</f>
        <v/>
      </c>
    </row>
    <row r="545" customFormat="false" ht="15" hidden="false" customHeight="false" outlineLevel="0" collapsed="false">
      <c r="M545" s="0" t="str">
        <f aca="false">IF(CSV貼付A!$N545="","",IF(COUNTIF($B$37:$B$48,CSV貼付A!$H545)&gt;0,"",IF(SUMPRODUCT((CSV貼付A!$N$5:$N545=CSV貼付A!$N545)*(COUNTIF($B$37:$B$48,CSV貼付A!$H$5:$H545)=0))&gt;1,"",MAX($M$4:M544)+1)))</f>
        <v/>
      </c>
      <c r="N545" s="0" t="str">
        <f aca="false">IFERROR(INDEX(CSV貼付A!$N$5:$N$1004,MATCH(ROW()-4,$M$5:$M$1004,0)),"")</f>
        <v/>
      </c>
      <c r="O545" s="0" t="str">
        <f aca="false">IF(CSV貼付B!$N545="","",IF(COUNTIF($B$37:$B$48,CSV貼付B!$H545)&gt;0,"",IF(SUMPRODUCT((CSV貼付B!$N$5:$N545=CSV貼付B!$N545)*(COUNTIF($B$37:$B$48,CSV貼付B!$H$5:$H545)=0))&gt;1,"",MAX($O$4:O544)+1)))</f>
        <v/>
      </c>
      <c r="P545" s="0" t="str">
        <f aca="false">IFERROR(INDEX(CSV貼付B!$N$5:$N$1004,MATCH(ROW()-4,$O$5:$O$1004,0)),"")</f>
        <v/>
      </c>
      <c r="Q545" s="0" t="str">
        <f aca="false">IF(ROW()-4&lt;=MAX($M$5:$M$1004),IFERROR(INDEX($N$5:$N$1004,ROW()-4),""),IFERROR(INDEX($P$5:$P$1004,ROW()-4-MAX($M$5:$M$1004)),""))</f>
        <v/>
      </c>
    </row>
    <row r="546" customFormat="false" ht="15" hidden="false" customHeight="false" outlineLevel="0" collapsed="false">
      <c r="M546" s="0" t="str">
        <f aca="false">IF(CSV貼付A!$N546="","",IF(COUNTIF($B$37:$B$48,CSV貼付A!$H546)&gt;0,"",IF(SUMPRODUCT((CSV貼付A!$N$5:$N546=CSV貼付A!$N546)*(COUNTIF($B$37:$B$48,CSV貼付A!$H$5:$H546)=0))&gt;1,"",MAX($M$4:M545)+1)))</f>
        <v/>
      </c>
      <c r="N546" s="0" t="str">
        <f aca="false">IFERROR(INDEX(CSV貼付A!$N$5:$N$1004,MATCH(ROW()-4,$M$5:$M$1004,0)),"")</f>
        <v/>
      </c>
      <c r="O546" s="0" t="str">
        <f aca="false">IF(CSV貼付B!$N546="","",IF(COUNTIF($B$37:$B$48,CSV貼付B!$H546)&gt;0,"",IF(SUMPRODUCT((CSV貼付B!$N$5:$N546=CSV貼付B!$N546)*(COUNTIF($B$37:$B$48,CSV貼付B!$H$5:$H546)=0))&gt;1,"",MAX($O$4:O545)+1)))</f>
        <v/>
      </c>
      <c r="P546" s="0" t="str">
        <f aca="false">IFERROR(INDEX(CSV貼付B!$N$5:$N$1004,MATCH(ROW()-4,$O$5:$O$1004,0)),"")</f>
        <v/>
      </c>
      <c r="Q546" s="0" t="str">
        <f aca="false">IF(ROW()-4&lt;=MAX($M$5:$M$1004),IFERROR(INDEX($N$5:$N$1004,ROW()-4),""),IFERROR(INDEX($P$5:$P$1004,ROW()-4-MAX($M$5:$M$1004)),""))</f>
        <v/>
      </c>
    </row>
    <row r="547" customFormat="false" ht="15" hidden="false" customHeight="false" outlineLevel="0" collapsed="false">
      <c r="M547" s="0" t="str">
        <f aca="false">IF(CSV貼付A!$N547="","",IF(COUNTIF($B$37:$B$48,CSV貼付A!$H547)&gt;0,"",IF(SUMPRODUCT((CSV貼付A!$N$5:$N547=CSV貼付A!$N547)*(COUNTIF($B$37:$B$48,CSV貼付A!$H$5:$H547)=0))&gt;1,"",MAX($M$4:M546)+1)))</f>
        <v/>
      </c>
      <c r="N547" s="0" t="str">
        <f aca="false">IFERROR(INDEX(CSV貼付A!$N$5:$N$1004,MATCH(ROW()-4,$M$5:$M$1004,0)),"")</f>
        <v/>
      </c>
      <c r="O547" s="0" t="str">
        <f aca="false">IF(CSV貼付B!$N547="","",IF(COUNTIF($B$37:$B$48,CSV貼付B!$H547)&gt;0,"",IF(SUMPRODUCT((CSV貼付B!$N$5:$N547=CSV貼付B!$N547)*(COUNTIF($B$37:$B$48,CSV貼付B!$H$5:$H547)=0))&gt;1,"",MAX($O$4:O546)+1)))</f>
        <v/>
      </c>
      <c r="P547" s="0" t="str">
        <f aca="false">IFERROR(INDEX(CSV貼付B!$N$5:$N$1004,MATCH(ROW()-4,$O$5:$O$1004,0)),"")</f>
        <v/>
      </c>
      <c r="Q547" s="0" t="str">
        <f aca="false">IF(ROW()-4&lt;=MAX($M$5:$M$1004),IFERROR(INDEX($N$5:$N$1004,ROW()-4),""),IFERROR(INDEX($P$5:$P$1004,ROW()-4-MAX($M$5:$M$1004)),""))</f>
        <v/>
      </c>
    </row>
    <row r="548" customFormat="false" ht="15" hidden="false" customHeight="false" outlineLevel="0" collapsed="false">
      <c r="M548" s="0" t="str">
        <f aca="false">IF(CSV貼付A!$N548="","",IF(COUNTIF($B$37:$B$48,CSV貼付A!$H548)&gt;0,"",IF(SUMPRODUCT((CSV貼付A!$N$5:$N548=CSV貼付A!$N548)*(COUNTIF($B$37:$B$48,CSV貼付A!$H$5:$H548)=0))&gt;1,"",MAX($M$4:M547)+1)))</f>
        <v/>
      </c>
      <c r="N548" s="0" t="str">
        <f aca="false">IFERROR(INDEX(CSV貼付A!$N$5:$N$1004,MATCH(ROW()-4,$M$5:$M$1004,0)),"")</f>
        <v/>
      </c>
      <c r="O548" s="0" t="str">
        <f aca="false">IF(CSV貼付B!$N548="","",IF(COUNTIF($B$37:$B$48,CSV貼付B!$H548)&gt;0,"",IF(SUMPRODUCT((CSV貼付B!$N$5:$N548=CSV貼付B!$N548)*(COUNTIF($B$37:$B$48,CSV貼付B!$H$5:$H548)=0))&gt;1,"",MAX($O$4:O547)+1)))</f>
        <v/>
      </c>
      <c r="P548" s="0" t="str">
        <f aca="false">IFERROR(INDEX(CSV貼付B!$N$5:$N$1004,MATCH(ROW()-4,$O$5:$O$1004,0)),"")</f>
        <v/>
      </c>
      <c r="Q548" s="0" t="str">
        <f aca="false">IF(ROW()-4&lt;=MAX($M$5:$M$1004),IFERROR(INDEX($N$5:$N$1004,ROW()-4),""),IFERROR(INDEX($P$5:$P$1004,ROW()-4-MAX($M$5:$M$1004)),""))</f>
        <v/>
      </c>
    </row>
    <row r="549" customFormat="false" ht="15" hidden="false" customHeight="false" outlineLevel="0" collapsed="false">
      <c r="M549" s="0" t="str">
        <f aca="false">IF(CSV貼付A!$N549="","",IF(COUNTIF($B$37:$B$48,CSV貼付A!$H549)&gt;0,"",IF(SUMPRODUCT((CSV貼付A!$N$5:$N549=CSV貼付A!$N549)*(COUNTIF($B$37:$B$48,CSV貼付A!$H$5:$H549)=0))&gt;1,"",MAX($M$4:M548)+1)))</f>
        <v/>
      </c>
      <c r="N549" s="0" t="str">
        <f aca="false">IFERROR(INDEX(CSV貼付A!$N$5:$N$1004,MATCH(ROW()-4,$M$5:$M$1004,0)),"")</f>
        <v/>
      </c>
      <c r="O549" s="0" t="str">
        <f aca="false">IF(CSV貼付B!$N549="","",IF(COUNTIF($B$37:$B$48,CSV貼付B!$H549)&gt;0,"",IF(SUMPRODUCT((CSV貼付B!$N$5:$N549=CSV貼付B!$N549)*(COUNTIF($B$37:$B$48,CSV貼付B!$H$5:$H549)=0))&gt;1,"",MAX($O$4:O548)+1)))</f>
        <v/>
      </c>
      <c r="P549" s="0" t="str">
        <f aca="false">IFERROR(INDEX(CSV貼付B!$N$5:$N$1004,MATCH(ROW()-4,$O$5:$O$1004,0)),"")</f>
        <v/>
      </c>
      <c r="Q549" s="0" t="str">
        <f aca="false">IF(ROW()-4&lt;=MAX($M$5:$M$1004),IFERROR(INDEX($N$5:$N$1004,ROW()-4),""),IFERROR(INDEX($P$5:$P$1004,ROW()-4-MAX($M$5:$M$1004)),""))</f>
        <v/>
      </c>
    </row>
    <row r="550" customFormat="false" ht="15" hidden="false" customHeight="false" outlineLevel="0" collapsed="false">
      <c r="M550" s="0" t="str">
        <f aca="false">IF(CSV貼付A!$N550="","",IF(COUNTIF($B$37:$B$48,CSV貼付A!$H550)&gt;0,"",IF(SUMPRODUCT((CSV貼付A!$N$5:$N550=CSV貼付A!$N550)*(COUNTIF($B$37:$B$48,CSV貼付A!$H$5:$H550)=0))&gt;1,"",MAX($M$4:M549)+1)))</f>
        <v/>
      </c>
      <c r="N550" s="0" t="str">
        <f aca="false">IFERROR(INDEX(CSV貼付A!$N$5:$N$1004,MATCH(ROW()-4,$M$5:$M$1004,0)),"")</f>
        <v/>
      </c>
      <c r="O550" s="0" t="str">
        <f aca="false">IF(CSV貼付B!$N550="","",IF(COUNTIF($B$37:$B$48,CSV貼付B!$H550)&gt;0,"",IF(SUMPRODUCT((CSV貼付B!$N$5:$N550=CSV貼付B!$N550)*(COUNTIF($B$37:$B$48,CSV貼付B!$H$5:$H550)=0))&gt;1,"",MAX($O$4:O549)+1)))</f>
        <v/>
      </c>
      <c r="P550" s="0" t="str">
        <f aca="false">IFERROR(INDEX(CSV貼付B!$N$5:$N$1004,MATCH(ROW()-4,$O$5:$O$1004,0)),"")</f>
        <v/>
      </c>
      <c r="Q550" s="0" t="str">
        <f aca="false">IF(ROW()-4&lt;=MAX($M$5:$M$1004),IFERROR(INDEX($N$5:$N$1004,ROW()-4),""),IFERROR(INDEX($P$5:$P$1004,ROW()-4-MAX($M$5:$M$1004)),""))</f>
        <v/>
      </c>
    </row>
    <row r="551" customFormat="false" ht="15" hidden="false" customHeight="false" outlineLevel="0" collapsed="false">
      <c r="M551" s="0" t="str">
        <f aca="false">IF(CSV貼付A!$N551="","",IF(COUNTIF($B$37:$B$48,CSV貼付A!$H551)&gt;0,"",IF(SUMPRODUCT((CSV貼付A!$N$5:$N551=CSV貼付A!$N551)*(COUNTIF($B$37:$B$48,CSV貼付A!$H$5:$H551)=0))&gt;1,"",MAX($M$4:M550)+1)))</f>
        <v/>
      </c>
      <c r="N551" s="0" t="str">
        <f aca="false">IFERROR(INDEX(CSV貼付A!$N$5:$N$1004,MATCH(ROW()-4,$M$5:$M$1004,0)),"")</f>
        <v/>
      </c>
      <c r="O551" s="0" t="str">
        <f aca="false">IF(CSV貼付B!$N551="","",IF(COUNTIF($B$37:$B$48,CSV貼付B!$H551)&gt;0,"",IF(SUMPRODUCT((CSV貼付B!$N$5:$N551=CSV貼付B!$N551)*(COUNTIF($B$37:$B$48,CSV貼付B!$H$5:$H551)=0))&gt;1,"",MAX($O$4:O550)+1)))</f>
        <v/>
      </c>
      <c r="P551" s="0" t="str">
        <f aca="false">IFERROR(INDEX(CSV貼付B!$N$5:$N$1004,MATCH(ROW()-4,$O$5:$O$1004,0)),"")</f>
        <v/>
      </c>
      <c r="Q551" s="0" t="str">
        <f aca="false">IF(ROW()-4&lt;=MAX($M$5:$M$1004),IFERROR(INDEX($N$5:$N$1004,ROW()-4),""),IFERROR(INDEX($P$5:$P$1004,ROW()-4-MAX($M$5:$M$1004)),""))</f>
        <v/>
      </c>
    </row>
    <row r="552" customFormat="false" ht="15" hidden="false" customHeight="false" outlineLevel="0" collapsed="false">
      <c r="M552" s="0" t="str">
        <f aca="false">IF(CSV貼付A!$N552="","",IF(COUNTIF($B$37:$B$48,CSV貼付A!$H552)&gt;0,"",IF(SUMPRODUCT((CSV貼付A!$N$5:$N552=CSV貼付A!$N552)*(COUNTIF($B$37:$B$48,CSV貼付A!$H$5:$H552)=0))&gt;1,"",MAX($M$4:M551)+1)))</f>
        <v/>
      </c>
      <c r="N552" s="0" t="str">
        <f aca="false">IFERROR(INDEX(CSV貼付A!$N$5:$N$1004,MATCH(ROW()-4,$M$5:$M$1004,0)),"")</f>
        <v/>
      </c>
      <c r="O552" s="0" t="str">
        <f aca="false">IF(CSV貼付B!$N552="","",IF(COUNTIF($B$37:$B$48,CSV貼付B!$H552)&gt;0,"",IF(SUMPRODUCT((CSV貼付B!$N$5:$N552=CSV貼付B!$N552)*(COUNTIF($B$37:$B$48,CSV貼付B!$H$5:$H552)=0))&gt;1,"",MAX($O$4:O551)+1)))</f>
        <v/>
      </c>
      <c r="P552" s="0" t="str">
        <f aca="false">IFERROR(INDEX(CSV貼付B!$N$5:$N$1004,MATCH(ROW()-4,$O$5:$O$1004,0)),"")</f>
        <v/>
      </c>
      <c r="Q552" s="0" t="str">
        <f aca="false">IF(ROW()-4&lt;=MAX($M$5:$M$1004),IFERROR(INDEX($N$5:$N$1004,ROW()-4),""),IFERROR(INDEX($P$5:$P$1004,ROW()-4-MAX($M$5:$M$1004)),""))</f>
        <v/>
      </c>
    </row>
    <row r="553" customFormat="false" ht="15" hidden="false" customHeight="false" outlineLevel="0" collapsed="false">
      <c r="M553" s="0" t="str">
        <f aca="false">IF(CSV貼付A!$N553="","",IF(COUNTIF($B$37:$B$48,CSV貼付A!$H553)&gt;0,"",IF(SUMPRODUCT((CSV貼付A!$N$5:$N553=CSV貼付A!$N553)*(COUNTIF($B$37:$B$48,CSV貼付A!$H$5:$H553)=0))&gt;1,"",MAX($M$4:M552)+1)))</f>
        <v/>
      </c>
      <c r="N553" s="0" t="str">
        <f aca="false">IFERROR(INDEX(CSV貼付A!$N$5:$N$1004,MATCH(ROW()-4,$M$5:$M$1004,0)),"")</f>
        <v/>
      </c>
      <c r="O553" s="0" t="str">
        <f aca="false">IF(CSV貼付B!$N553="","",IF(COUNTIF($B$37:$B$48,CSV貼付B!$H553)&gt;0,"",IF(SUMPRODUCT((CSV貼付B!$N$5:$N553=CSV貼付B!$N553)*(COUNTIF($B$37:$B$48,CSV貼付B!$H$5:$H553)=0))&gt;1,"",MAX($O$4:O552)+1)))</f>
        <v/>
      </c>
      <c r="P553" s="0" t="str">
        <f aca="false">IFERROR(INDEX(CSV貼付B!$N$5:$N$1004,MATCH(ROW()-4,$O$5:$O$1004,0)),"")</f>
        <v/>
      </c>
      <c r="Q553" s="0" t="str">
        <f aca="false">IF(ROW()-4&lt;=MAX($M$5:$M$1004),IFERROR(INDEX($N$5:$N$1004,ROW()-4),""),IFERROR(INDEX($P$5:$P$1004,ROW()-4-MAX($M$5:$M$1004)),""))</f>
        <v/>
      </c>
    </row>
    <row r="554" customFormat="false" ht="15" hidden="false" customHeight="false" outlineLevel="0" collapsed="false">
      <c r="M554" s="0" t="str">
        <f aca="false">IF(CSV貼付A!$N554="","",IF(COUNTIF($B$37:$B$48,CSV貼付A!$H554)&gt;0,"",IF(SUMPRODUCT((CSV貼付A!$N$5:$N554=CSV貼付A!$N554)*(COUNTIF($B$37:$B$48,CSV貼付A!$H$5:$H554)=0))&gt;1,"",MAX($M$4:M553)+1)))</f>
        <v/>
      </c>
      <c r="N554" s="0" t="str">
        <f aca="false">IFERROR(INDEX(CSV貼付A!$N$5:$N$1004,MATCH(ROW()-4,$M$5:$M$1004,0)),"")</f>
        <v/>
      </c>
      <c r="O554" s="0" t="str">
        <f aca="false">IF(CSV貼付B!$N554="","",IF(COUNTIF($B$37:$B$48,CSV貼付B!$H554)&gt;0,"",IF(SUMPRODUCT((CSV貼付B!$N$5:$N554=CSV貼付B!$N554)*(COUNTIF($B$37:$B$48,CSV貼付B!$H$5:$H554)=0))&gt;1,"",MAX($O$4:O553)+1)))</f>
        <v/>
      </c>
      <c r="P554" s="0" t="str">
        <f aca="false">IFERROR(INDEX(CSV貼付B!$N$5:$N$1004,MATCH(ROW()-4,$O$5:$O$1004,0)),"")</f>
        <v/>
      </c>
      <c r="Q554" s="0" t="str">
        <f aca="false">IF(ROW()-4&lt;=MAX($M$5:$M$1004),IFERROR(INDEX($N$5:$N$1004,ROW()-4),""),IFERROR(INDEX($P$5:$P$1004,ROW()-4-MAX($M$5:$M$1004)),""))</f>
        <v/>
      </c>
    </row>
    <row r="555" customFormat="false" ht="15" hidden="false" customHeight="false" outlineLevel="0" collapsed="false">
      <c r="M555" s="0" t="str">
        <f aca="false">IF(CSV貼付A!$N555="","",IF(COUNTIF($B$37:$B$48,CSV貼付A!$H555)&gt;0,"",IF(SUMPRODUCT((CSV貼付A!$N$5:$N555=CSV貼付A!$N555)*(COUNTIF($B$37:$B$48,CSV貼付A!$H$5:$H555)=0))&gt;1,"",MAX($M$4:M554)+1)))</f>
        <v/>
      </c>
      <c r="N555" s="0" t="str">
        <f aca="false">IFERROR(INDEX(CSV貼付A!$N$5:$N$1004,MATCH(ROW()-4,$M$5:$M$1004,0)),"")</f>
        <v/>
      </c>
      <c r="O555" s="0" t="str">
        <f aca="false">IF(CSV貼付B!$N555="","",IF(COUNTIF($B$37:$B$48,CSV貼付B!$H555)&gt;0,"",IF(SUMPRODUCT((CSV貼付B!$N$5:$N555=CSV貼付B!$N555)*(COUNTIF($B$37:$B$48,CSV貼付B!$H$5:$H555)=0))&gt;1,"",MAX($O$4:O554)+1)))</f>
        <v/>
      </c>
      <c r="P555" s="0" t="str">
        <f aca="false">IFERROR(INDEX(CSV貼付B!$N$5:$N$1004,MATCH(ROW()-4,$O$5:$O$1004,0)),"")</f>
        <v/>
      </c>
      <c r="Q555" s="0" t="str">
        <f aca="false">IF(ROW()-4&lt;=MAX($M$5:$M$1004),IFERROR(INDEX($N$5:$N$1004,ROW()-4),""),IFERROR(INDEX($P$5:$P$1004,ROW()-4-MAX($M$5:$M$1004)),""))</f>
        <v/>
      </c>
    </row>
    <row r="556" customFormat="false" ht="15" hidden="false" customHeight="false" outlineLevel="0" collapsed="false">
      <c r="M556" s="0" t="str">
        <f aca="false">IF(CSV貼付A!$N556="","",IF(COUNTIF($B$37:$B$48,CSV貼付A!$H556)&gt;0,"",IF(SUMPRODUCT((CSV貼付A!$N$5:$N556=CSV貼付A!$N556)*(COUNTIF($B$37:$B$48,CSV貼付A!$H$5:$H556)=0))&gt;1,"",MAX($M$4:M555)+1)))</f>
        <v/>
      </c>
      <c r="N556" s="0" t="str">
        <f aca="false">IFERROR(INDEX(CSV貼付A!$N$5:$N$1004,MATCH(ROW()-4,$M$5:$M$1004,0)),"")</f>
        <v/>
      </c>
      <c r="O556" s="0" t="str">
        <f aca="false">IF(CSV貼付B!$N556="","",IF(COUNTIF($B$37:$B$48,CSV貼付B!$H556)&gt;0,"",IF(SUMPRODUCT((CSV貼付B!$N$5:$N556=CSV貼付B!$N556)*(COUNTIF($B$37:$B$48,CSV貼付B!$H$5:$H556)=0))&gt;1,"",MAX($O$4:O555)+1)))</f>
        <v/>
      </c>
      <c r="P556" s="0" t="str">
        <f aca="false">IFERROR(INDEX(CSV貼付B!$N$5:$N$1004,MATCH(ROW()-4,$O$5:$O$1004,0)),"")</f>
        <v/>
      </c>
      <c r="Q556" s="0" t="str">
        <f aca="false">IF(ROW()-4&lt;=MAX($M$5:$M$1004),IFERROR(INDEX($N$5:$N$1004,ROW()-4),""),IFERROR(INDEX($P$5:$P$1004,ROW()-4-MAX($M$5:$M$1004)),""))</f>
        <v/>
      </c>
    </row>
    <row r="557" customFormat="false" ht="15" hidden="false" customHeight="false" outlineLevel="0" collapsed="false">
      <c r="M557" s="0" t="str">
        <f aca="false">IF(CSV貼付A!$N557="","",IF(COUNTIF($B$37:$B$48,CSV貼付A!$H557)&gt;0,"",IF(SUMPRODUCT((CSV貼付A!$N$5:$N557=CSV貼付A!$N557)*(COUNTIF($B$37:$B$48,CSV貼付A!$H$5:$H557)=0))&gt;1,"",MAX($M$4:M556)+1)))</f>
        <v/>
      </c>
      <c r="N557" s="0" t="str">
        <f aca="false">IFERROR(INDEX(CSV貼付A!$N$5:$N$1004,MATCH(ROW()-4,$M$5:$M$1004,0)),"")</f>
        <v/>
      </c>
      <c r="O557" s="0" t="str">
        <f aca="false">IF(CSV貼付B!$N557="","",IF(COUNTIF($B$37:$B$48,CSV貼付B!$H557)&gt;0,"",IF(SUMPRODUCT((CSV貼付B!$N$5:$N557=CSV貼付B!$N557)*(COUNTIF($B$37:$B$48,CSV貼付B!$H$5:$H557)=0))&gt;1,"",MAX($O$4:O556)+1)))</f>
        <v/>
      </c>
      <c r="P557" s="0" t="str">
        <f aca="false">IFERROR(INDEX(CSV貼付B!$N$5:$N$1004,MATCH(ROW()-4,$O$5:$O$1004,0)),"")</f>
        <v/>
      </c>
      <c r="Q557" s="0" t="str">
        <f aca="false">IF(ROW()-4&lt;=MAX($M$5:$M$1004),IFERROR(INDEX($N$5:$N$1004,ROW()-4),""),IFERROR(INDEX($P$5:$P$1004,ROW()-4-MAX($M$5:$M$1004)),""))</f>
        <v/>
      </c>
    </row>
    <row r="558" customFormat="false" ht="15" hidden="false" customHeight="false" outlineLevel="0" collapsed="false">
      <c r="M558" s="0" t="str">
        <f aca="false">IF(CSV貼付A!$N558="","",IF(COUNTIF($B$37:$B$48,CSV貼付A!$H558)&gt;0,"",IF(SUMPRODUCT((CSV貼付A!$N$5:$N558=CSV貼付A!$N558)*(COUNTIF($B$37:$B$48,CSV貼付A!$H$5:$H558)=0))&gt;1,"",MAX($M$4:M557)+1)))</f>
        <v/>
      </c>
      <c r="N558" s="0" t="str">
        <f aca="false">IFERROR(INDEX(CSV貼付A!$N$5:$N$1004,MATCH(ROW()-4,$M$5:$M$1004,0)),"")</f>
        <v/>
      </c>
      <c r="O558" s="0" t="str">
        <f aca="false">IF(CSV貼付B!$N558="","",IF(COUNTIF($B$37:$B$48,CSV貼付B!$H558)&gt;0,"",IF(SUMPRODUCT((CSV貼付B!$N$5:$N558=CSV貼付B!$N558)*(COUNTIF($B$37:$B$48,CSV貼付B!$H$5:$H558)=0))&gt;1,"",MAX($O$4:O557)+1)))</f>
        <v/>
      </c>
      <c r="P558" s="0" t="str">
        <f aca="false">IFERROR(INDEX(CSV貼付B!$N$5:$N$1004,MATCH(ROW()-4,$O$5:$O$1004,0)),"")</f>
        <v/>
      </c>
      <c r="Q558" s="0" t="str">
        <f aca="false">IF(ROW()-4&lt;=MAX($M$5:$M$1004),IFERROR(INDEX($N$5:$N$1004,ROW()-4),""),IFERROR(INDEX($P$5:$P$1004,ROW()-4-MAX($M$5:$M$1004)),""))</f>
        <v/>
      </c>
    </row>
    <row r="559" customFormat="false" ht="15" hidden="false" customHeight="false" outlineLevel="0" collapsed="false">
      <c r="M559" s="0" t="str">
        <f aca="false">IF(CSV貼付A!$N559="","",IF(COUNTIF($B$37:$B$48,CSV貼付A!$H559)&gt;0,"",IF(SUMPRODUCT((CSV貼付A!$N$5:$N559=CSV貼付A!$N559)*(COUNTIF($B$37:$B$48,CSV貼付A!$H$5:$H559)=0))&gt;1,"",MAX($M$4:M558)+1)))</f>
        <v/>
      </c>
      <c r="N559" s="0" t="str">
        <f aca="false">IFERROR(INDEX(CSV貼付A!$N$5:$N$1004,MATCH(ROW()-4,$M$5:$M$1004,0)),"")</f>
        <v/>
      </c>
      <c r="O559" s="0" t="str">
        <f aca="false">IF(CSV貼付B!$N559="","",IF(COUNTIF($B$37:$B$48,CSV貼付B!$H559)&gt;0,"",IF(SUMPRODUCT((CSV貼付B!$N$5:$N559=CSV貼付B!$N559)*(COUNTIF($B$37:$B$48,CSV貼付B!$H$5:$H559)=0))&gt;1,"",MAX($O$4:O558)+1)))</f>
        <v/>
      </c>
      <c r="P559" s="0" t="str">
        <f aca="false">IFERROR(INDEX(CSV貼付B!$N$5:$N$1004,MATCH(ROW()-4,$O$5:$O$1004,0)),"")</f>
        <v/>
      </c>
      <c r="Q559" s="0" t="str">
        <f aca="false">IF(ROW()-4&lt;=MAX($M$5:$M$1004),IFERROR(INDEX($N$5:$N$1004,ROW()-4),""),IFERROR(INDEX($P$5:$P$1004,ROW()-4-MAX($M$5:$M$1004)),""))</f>
        <v/>
      </c>
    </row>
    <row r="560" customFormat="false" ht="15" hidden="false" customHeight="false" outlineLevel="0" collapsed="false">
      <c r="M560" s="0" t="str">
        <f aca="false">IF(CSV貼付A!$N560="","",IF(COUNTIF($B$37:$B$48,CSV貼付A!$H560)&gt;0,"",IF(SUMPRODUCT((CSV貼付A!$N$5:$N560=CSV貼付A!$N560)*(COUNTIF($B$37:$B$48,CSV貼付A!$H$5:$H560)=0))&gt;1,"",MAX($M$4:M559)+1)))</f>
        <v/>
      </c>
      <c r="N560" s="0" t="str">
        <f aca="false">IFERROR(INDEX(CSV貼付A!$N$5:$N$1004,MATCH(ROW()-4,$M$5:$M$1004,0)),"")</f>
        <v/>
      </c>
      <c r="O560" s="0" t="str">
        <f aca="false">IF(CSV貼付B!$N560="","",IF(COUNTIF($B$37:$B$48,CSV貼付B!$H560)&gt;0,"",IF(SUMPRODUCT((CSV貼付B!$N$5:$N560=CSV貼付B!$N560)*(COUNTIF($B$37:$B$48,CSV貼付B!$H$5:$H560)=0))&gt;1,"",MAX($O$4:O559)+1)))</f>
        <v/>
      </c>
      <c r="P560" s="0" t="str">
        <f aca="false">IFERROR(INDEX(CSV貼付B!$N$5:$N$1004,MATCH(ROW()-4,$O$5:$O$1004,0)),"")</f>
        <v/>
      </c>
      <c r="Q560" s="0" t="str">
        <f aca="false">IF(ROW()-4&lt;=MAX($M$5:$M$1004),IFERROR(INDEX($N$5:$N$1004,ROW()-4),""),IFERROR(INDEX($P$5:$P$1004,ROW()-4-MAX($M$5:$M$1004)),""))</f>
        <v/>
      </c>
    </row>
    <row r="561" customFormat="false" ht="15" hidden="false" customHeight="false" outlineLevel="0" collapsed="false">
      <c r="M561" s="0" t="str">
        <f aca="false">IF(CSV貼付A!$N561="","",IF(COUNTIF($B$37:$B$48,CSV貼付A!$H561)&gt;0,"",IF(SUMPRODUCT((CSV貼付A!$N$5:$N561=CSV貼付A!$N561)*(COUNTIF($B$37:$B$48,CSV貼付A!$H$5:$H561)=0))&gt;1,"",MAX($M$4:M560)+1)))</f>
        <v/>
      </c>
      <c r="N561" s="0" t="str">
        <f aca="false">IFERROR(INDEX(CSV貼付A!$N$5:$N$1004,MATCH(ROW()-4,$M$5:$M$1004,0)),"")</f>
        <v/>
      </c>
      <c r="O561" s="0" t="str">
        <f aca="false">IF(CSV貼付B!$N561="","",IF(COUNTIF($B$37:$B$48,CSV貼付B!$H561)&gt;0,"",IF(SUMPRODUCT((CSV貼付B!$N$5:$N561=CSV貼付B!$N561)*(COUNTIF($B$37:$B$48,CSV貼付B!$H$5:$H561)=0))&gt;1,"",MAX($O$4:O560)+1)))</f>
        <v/>
      </c>
      <c r="P561" s="0" t="str">
        <f aca="false">IFERROR(INDEX(CSV貼付B!$N$5:$N$1004,MATCH(ROW()-4,$O$5:$O$1004,0)),"")</f>
        <v/>
      </c>
      <c r="Q561" s="0" t="str">
        <f aca="false">IF(ROW()-4&lt;=MAX($M$5:$M$1004),IFERROR(INDEX($N$5:$N$1004,ROW()-4),""),IFERROR(INDEX($P$5:$P$1004,ROW()-4-MAX($M$5:$M$1004)),""))</f>
        <v/>
      </c>
    </row>
    <row r="562" customFormat="false" ht="15" hidden="false" customHeight="false" outlineLevel="0" collapsed="false">
      <c r="M562" s="0" t="str">
        <f aca="false">IF(CSV貼付A!$N562="","",IF(COUNTIF($B$37:$B$48,CSV貼付A!$H562)&gt;0,"",IF(SUMPRODUCT((CSV貼付A!$N$5:$N562=CSV貼付A!$N562)*(COUNTIF($B$37:$B$48,CSV貼付A!$H$5:$H562)=0))&gt;1,"",MAX($M$4:M561)+1)))</f>
        <v/>
      </c>
      <c r="N562" s="0" t="str">
        <f aca="false">IFERROR(INDEX(CSV貼付A!$N$5:$N$1004,MATCH(ROW()-4,$M$5:$M$1004,0)),"")</f>
        <v/>
      </c>
      <c r="O562" s="0" t="str">
        <f aca="false">IF(CSV貼付B!$N562="","",IF(COUNTIF($B$37:$B$48,CSV貼付B!$H562)&gt;0,"",IF(SUMPRODUCT((CSV貼付B!$N$5:$N562=CSV貼付B!$N562)*(COUNTIF($B$37:$B$48,CSV貼付B!$H$5:$H562)=0))&gt;1,"",MAX($O$4:O561)+1)))</f>
        <v/>
      </c>
      <c r="P562" s="0" t="str">
        <f aca="false">IFERROR(INDEX(CSV貼付B!$N$5:$N$1004,MATCH(ROW()-4,$O$5:$O$1004,0)),"")</f>
        <v/>
      </c>
      <c r="Q562" s="0" t="str">
        <f aca="false">IF(ROW()-4&lt;=MAX($M$5:$M$1004),IFERROR(INDEX($N$5:$N$1004,ROW()-4),""),IFERROR(INDEX($P$5:$P$1004,ROW()-4-MAX($M$5:$M$1004)),""))</f>
        <v/>
      </c>
    </row>
    <row r="563" customFormat="false" ht="15" hidden="false" customHeight="false" outlineLevel="0" collapsed="false">
      <c r="M563" s="0" t="str">
        <f aca="false">IF(CSV貼付A!$N563="","",IF(COUNTIF($B$37:$B$48,CSV貼付A!$H563)&gt;0,"",IF(SUMPRODUCT((CSV貼付A!$N$5:$N563=CSV貼付A!$N563)*(COUNTIF($B$37:$B$48,CSV貼付A!$H$5:$H563)=0))&gt;1,"",MAX($M$4:M562)+1)))</f>
        <v/>
      </c>
      <c r="N563" s="0" t="str">
        <f aca="false">IFERROR(INDEX(CSV貼付A!$N$5:$N$1004,MATCH(ROW()-4,$M$5:$M$1004,0)),"")</f>
        <v/>
      </c>
      <c r="O563" s="0" t="str">
        <f aca="false">IF(CSV貼付B!$N563="","",IF(COUNTIF($B$37:$B$48,CSV貼付B!$H563)&gt;0,"",IF(SUMPRODUCT((CSV貼付B!$N$5:$N563=CSV貼付B!$N563)*(COUNTIF($B$37:$B$48,CSV貼付B!$H$5:$H563)=0))&gt;1,"",MAX($O$4:O562)+1)))</f>
        <v/>
      </c>
      <c r="P563" s="0" t="str">
        <f aca="false">IFERROR(INDEX(CSV貼付B!$N$5:$N$1004,MATCH(ROW()-4,$O$5:$O$1004,0)),"")</f>
        <v/>
      </c>
      <c r="Q563" s="0" t="str">
        <f aca="false">IF(ROW()-4&lt;=MAX($M$5:$M$1004),IFERROR(INDEX($N$5:$N$1004,ROW()-4),""),IFERROR(INDEX($P$5:$P$1004,ROW()-4-MAX($M$5:$M$1004)),""))</f>
        <v/>
      </c>
    </row>
    <row r="564" customFormat="false" ht="15" hidden="false" customHeight="false" outlineLevel="0" collapsed="false">
      <c r="M564" s="0" t="str">
        <f aca="false">IF(CSV貼付A!$N564="","",IF(COUNTIF($B$37:$B$48,CSV貼付A!$H564)&gt;0,"",IF(SUMPRODUCT((CSV貼付A!$N$5:$N564=CSV貼付A!$N564)*(COUNTIF($B$37:$B$48,CSV貼付A!$H$5:$H564)=0))&gt;1,"",MAX($M$4:M563)+1)))</f>
        <v/>
      </c>
      <c r="N564" s="0" t="str">
        <f aca="false">IFERROR(INDEX(CSV貼付A!$N$5:$N$1004,MATCH(ROW()-4,$M$5:$M$1004,0)),"")</f>
        <v/>
      </c>
      <c r="O564" s="0" t="str">
        <f aca="false">IF(CSV貼付B!$N564="","",IF(COUNTIF($B$37:$B$48,CSV貼付B!$H564)&gt;0,"",IF(SUMPRODUCT((CSV貼付B!$N$5:$N564=CSV貼付B!$N564)*(COUNTIF($B$37:$B$48,CSV貼付B!$H$5:$H564)=0))&gt;1,"",MAX($O$4:O563)+1)))</f>
        <v/>
      </c>
      <c r="P564" s="0" t="str">
        <f aca="false">IFERROR(INDEX(CSV貼付B!$N$5:$N$1004,MATCH(ROW()-4,$O$5:$O$1004,0)),"")</f>
        <v/>
      </c>
      <c r="Q564" s="0" t="str">
        <f aca="false">IF(ROW()-4&lt;=MAX($M$5:$M$1004),IFERROR(INDEX($N$5:$N$1004,ROW()-4),""),IFERROR(INDEX($P$5:$P$1004,ROW()-4-MAX($M$5:$M$1004)),""))</f>
        <v/>
      </c>
    </row>
    <row r="565" customFormat="false" ht="15" hidden="false" customHeight="false" outlineLevel="0" collapsed="false">
      <c r="M565" s="0" t="str">
        <f aca="false">IF(CSV貼付A!$N565="","",IF(COUNTIF($B$37:$B$48,CSV貼付A!$H565)&gt;0,"",IF(SUMPRODUCT((CSV貼付A!$N$5:$N565=CSV貼付A!$N565)*(COUNTIF($B$37:$B$48,CSV貼付A!$H$5:$H565)=0))&gt;1,"",MAX($M$4:M564)+1)))</f>
        <v/>
      </c>
      <c r="N565" s="0" t="str">
        <f aca="false">IFERROR(INDEX(CSV貼付A!$N$5:$N$1004,MATCH(ROW()-4,$M$5:$M$1004,0)),"")</f>
        <v/>
      </c>
      <c r="O565" s="0" t="str">
        <f aca="false">IF(CSV貼付B!$N565="","",IF(COUNTIF($B$37:$B$48,CSV貼付B!$H565)&gt;0,"",IF(SUMPRODUCT((CSV貼付B!$N$5:$N565=CSV貼付B!$N565)*(COUNTIF($B$37:$B$48,CSV貼付B!$H$5:$H565)=0))&gt;1,"",MAX($O$4:O564)+1)))</f>
        <v/>
      </c>
      <c r="P565" s="0" t="str">
        <f aca="false">IFERROR(INDEX(CSV貼付B!$N$5:$N$1004,MATCH(ROW()-4,$O$5:$O$1004,0)),"")</f>
        <v/>
      </c>
      <c r="Q565" s="0" t="str">
        <f aca="false">IF(ROW()-4&lt;=MAX($M$5:$M$1004),IFERROR(INDEX($N$5:$N$1004,ROW()-4),""),IFERROR(INDEX($P$5:$P$1004,ROW()-4-MAX($M$5:$M$1004)),""))</f>
        <v/>
      </c>
    </row>
    <row r="566" customFormat="false" ht="15" hidden="false" customHeight="false" outlineLevel="0" collapsed="false">
      <c r="M566" s="0" t="str">
        <f aca="false">IF(CSV貼付A!$N566="","",IF(COUNTIF($B$37:$B$48,CSV貼付A!$H566)&gt;0,"",IF(SUMPRODUCT((CSV貼付A!$N$5:$N566=CSV貼付A!$N566)*(COUNTIF($B$37:$B$48,CSV貼付A!$H$5:$H566)=0))&gt;1,"",MAX($M$4:M565)+1)))</f>
        <v/>
      </c>
      <c r="N566" s="0" t="str">
        <f aca="false">IFERROR(INDEX(CSV貼付A!$N$5:$N$1004,MATCH(ROW()-4,$M$5:$M$1004,0)),"")</f>
        <v/>
      </c>
      <c r="O566" s="0" t="str">
        <f aca="false">IF(CSV貼付B!$N566="","",IF(COUNTIF($B$37:$B$48,CSV貼付B!$H566)&gt;0,"",IF(SUMPRODUCT((CSV貼付B!$N$5:$N566=CSV貼付B!$N566)*(COUNTIF($B$37:$B$48,CSV貼付B!$H$5:$H566)=0))&gt;1,"",MAX($O$4:O565)+1)))</f>
        <v/>
      </c>
      <c r="P566" s="0" t="str">
        <f aca="false">IFERROR(INDEX(CSV貼付B!$N$5:$N$1004,MATCH(ROW()-4,$O$5:$O$1004,0)),"")</f>
        <v/>
      </c>
      <c r="Q566" s="0" t="str">
        <f aca="false">IF(ROW()-4&lt;=MAX($M$5:$M$1004),IFERROR(INDEX($N$5:$N$1004,ROW()-4),""),IFERROR(INDEX($P$5:$P$1004,ROW()-4-MAX($M$5:$M$1004)),""))</f>
        <v/>
      </c>
    </row>
    <row r="567" customFormat="false" ht="15" hidden="false" customHeight="false" outlineLevel="0" collapsed="false">
      <c r="M567" s="0" t="str">
        <f aca="false">IF(CSV貼付A!$N567="","",IF(COUNTIF($B$37:$B$48,CSV貼付A!$H567)&gt;0,"",IF(SUMPRODUCT((CSV貼付A!$N$5:$N567=CSV貼付A!$N567)*(COUNTIF($B$37:$B$48,CSV貼付A!$H$5:$H567)=0))&gt;1,"",MAX($M$4:M566)+1)))</f>
        <v/>
      </c>
      <c r="N567" s="0" t="str">
        <f aca="false">IFERROR(INDEX(CSV貼付A!$N$5:$N$1004,MATCH(ROW()-4,$M$5:$M$1004,0)),"")</f>
        <v/>
      </c>
      <c r="O567" s="0" t="str">
        <f aca="false">IF(CSV貼付B!$N567="","",IF(COUNTIF($B$37:$B$48,CSV貼付B!$H567)&gt;0,"",IF(SUMPRODUCT((CSV貼付B!$N$5:$N567=CSV貼付B!$N567)*(COUNTIF($B$37:$B$48,CSV貼付B!$H$5:$H567)=0))&gt;1,"",MAX($O$4:O566)+1)))</f>
        <v/>
      </c>
      <c r="P567" s="0" t="str">
        <f aca="false">IFERROR(INDEX(CSV貼付B!$N$5:$N$1004,MATCH(ROW()-4,$O$5:$O$1004,0)),"")</f>
        <v/>
      </c>
      <c r="Q567" s="0" t="str">
        <f aca="false">IF(ROW()-4&lt;=MAX($M$5:$M$1004),IFERROR(INDEX($N$5:$N$1004,ROW()-4),""),IFERROR(INDEX($P$5:$P$1004,ROW()-4-MAX($M$5:$M$1004)),""))</f>
        <v/>
      </c>
    </row>
    <row r="568" customFormat="false" ht="15" hidden="false" customHeight="false" outlineLevel="0" collapsed="false">
      <c r="M568" s="0" t="str">
        <f aca="false">IF(CSV貼付A!$N568="","",IF(COUNTIF($B$37:$B$48,CSV貼付A!$H568)&gt;0,"",IF(SUMPRODUCT((CSV貼付A!$N$5:$N568=CSV貼付A!$N568)*(COUNTIF($B$37:$B$48,CSV貼付A!$H$5:$H568)=0))&gt;1,"",MAX($M$4:M567)+1)))</f>
        <v/>
      </c>
      <c r="N568" s="0" t="str">
        <f aca="false">IFERROR(INDEX(CSV貼付A!$N$5:$N$1004,MATCH(ROW()-4,$M$5:$M$1004,0)),"")</f>
        <v/>
      </c>
      <c r="O568" s="0" t="str">
        <f aca="false">IF(CSV貼付B!$N568="","",IF(COUNTIF($B$37:$B$48,CSV貼付B!$H568)&gt;0,"",IF(SUMPRODUCT((CSV貼付B!$N$5:$N568=CSV貼付B!$N568)*(COUNTIF($B$37:$B$48,CSV貼付B!$H$5:$H568)=0))&gt;1,"",MAX($O$4:O567)+1)))</f>
        <v/>
      </c>
      <c r="P568" s="0" t="str">
        <f aca="false">IFERROR(INDEX(CSV貼付B!$N$5:$N$1004,MATCH(ROW()-4,$O$5:$O$1004,0)),"")</f>
        <v/>
      </c>
      <c r="Q568" s="0" t="str">
        <f aca="false">IF(ROW()-4&lt;=MAX($M$5:$M$1004),IFERROR(INDEX($N$5:$N$1004,ROW()-4),""),IFERROR(INDEX($P$5:$P$1004,ROW()-4-MAX($M$5:$M$1004)),""))</f>
        <v/>
      </c>
    </row>
    <row r="569" customFormat="false" ht="15" hidden="false" customHeight="false" outlineLevel="0" collapsed="false">
      <c r="M569" s="0" t="str">
        <f aca="false">IF(CSV貼付A!$N569="","",IF(COUNTIF($B$37:$B$48,CSV貼付A!$H569)&gt;0,"",IF(SUMPRODUCT((CSV貼付A!$N$5:$N569=CSV貼付A!$N569)*(COUNTIF($B$37:$B$48,CSV貼付A!$H$5:$H569)=0))&gt;1,"",MAX($M$4:M568)+1)))</f>
        <v/>
      </c>
      <c r="N569" s="0" t="str">
        <f aca="false">IFERROR(INDEX(CSV貼付A!$N$5:$N$1004,MATCH(ROW()-4,$M$5:$M$1004,0)),"")</f>
        <v/>
      </c>
      <c r="O569" s="0" t="str">
        <f aca="false">IF(CSV貼付B!$N569="","",IF(COUNTIF($B$37:$B$48,CSV貼付B!$H569)&gt;0,"",IF(SUMPRODUCT((CSV貼付B!$N$5:$N569=CSV貼付B!$N569)*(COUNTIF($B$37:$B$48,CSV貼付B!$H$5:$H569)=0))&gt;1,"",MAX($O$4:O568)+1)))</f>
        <v/>
      </c>
      <c r="P569" s="0" t="str">
        <f aca="false">IFERROR(INDEX(CSV貼付B!$N$5:$N$1004,MATCH(ROW()-4,$O$5:$O$1004,0)),"")</f>
        <v/>
      </c>
      <c r="Q569" s="0" t="str">
        <f aca="false">IF(ROW()-4&lt;=MAX($M$5:$M$1004),IFERROR(INDEX($N$5:$N$1004,ROW()-4),""),IFERROR(INDEX($P$5:$P$1004,ROW()-4-MAX($M$5:$M$1004)),""))</f>
        <v/>
      </c>
    </row>
    <row r="570" customFormat="false" ht="15" hidden="false" customHeight="false" outlineLevel="0" collapsed="false">
      <c r="M570" s="0" t="str">
        <f aca="false">IF(CSV貼付A!$N570="","",IF(COUNTIF($B$37:$B$48,CSV貼付A!$H570)&gt;0,"",IF(SUMPRODUCT((CSV貼付A!$N$5:$N570=CSV貼付A!$N570)*(COUNTIF($B$37:$B$48,CSV貼付A!$H$5:$H570)=0))&gt;1,"",MAX($M$4:M569)+1)))</f>
        <v/>
      </c>
      <c r="N570" s="0" t="str">
        <f aca="false">IFERROR(INDEX(CSV貼付A!$N$5:$N$1004,MATCH(ROW()-4,$M$5:$M$1004,0)),"")</f>
        <v/>
      </c>
      <c r="O570" s="0" t="str">
        <f aca="false">IF(CSV貼付B!$N570="","",IF(COUNTIF($B$37:$B$48,CSV貼付B!$H570)&gt;0,"",IF(SUMPRODUCT((CSV貼付B!$N$5:$N570=CSV貼付B!$N570)*(COUNTIF($B$37:$B$48,CSV貼付B!$H$5:$H570)=0))&gt;1,"",MAX($O$4:O569)+1)))</f>
        <v/>
      </c>
      <c r="P570" s="0" t="str">
        <f aca="false">IFERROR(INDEX(CSV貼付B!$N$5:$N$1004,MATCH(ROW()-4,$O$5:$O$1004,0)),"")</f>
        <v/>
      </c>
      <c r="Q570" s="0" t="str">
        <f aca="false">IF(ROW()-4&lt;=MAX($M$5:$M$1004),IFERROR(INDEX($N$5:$N$1004,ROW()-4),""),IFERROR(INDEX($P$5:$P$1004,ROW()-4-MAX($M$5:$M$1004)),""))</f>
        <v/>
      </c>
    </row>
    <row r="571" customFormat="false" ht="15" hidden="false" customHeight="false" outlineLevel="0" collapsed="false">
      <c r="M571" s="0" t="str">
        <f aca="false">IF(CSV貼付A!$N571="","",IF(COUNTIF($B$37:$B$48,CSV貼付A!$H571)&gt;0,"",IF(SUMPRODUCT((CSV貼付A!$N$5:$N571=CSV貼付A!$N571)*(COUNTIF($B$37:$B$48,CSV貼付A!$H$5:$H571)=0))&gt;1,"",MAX($M$4:M570)+1)))</f>
        <v/>
      </c>
      <c r="N571" s="0" t="str">
        <f aca="false">IFERROR(INDEX(CSV貼付A!$N$5:$N$1004,MATCH(ROW()-4,$M$5:$M$1004,0)),"")</f>
        <v/>
      </c>
      <c r="O571" s="0" t="str">
        <f aca="false">IF(CSV貼付B!$N571="","",IF(COUNTIF($B$37:$B$48,CSV貼付B!$H571)&gt;0,"",IF(SUMPRODUCT((CSV貼付B!$N$5:$N571=CSV貼付B!$N571)*(COUNTIF($B$37:$B$48,CSV貼付B!$H$5:$H571)=0))&gt;1,"",MAX($O$4:O570)+1)))</f>
        <v/>
      </c>
      <c r="P571" s="0" t="str">
        <f aca="false">IFERROR(INDEX(CSV貼付B!$N$5:$N$1004,MATCH(ROW()-4,$O$5:$O$1004,0)),"")</f>
        <v/>
      </c>
      <c r="Q571" s="0" t="str">
        <f aca="false">IF(ROW()-4&lt;=MAX($M$5:$M$1004),IFERROR(INDEX($N$5:$N$1004,ROW()-4),""),IFERROR(INDEX($P$5:$P$1004,ROW()-4-MAX($M$5:$M$1004)),""))</f>
        <v/>
      </c>
    </row>
    <row r="572" customFormat="false" ht="15" hidden="false" customHeight="false" outlineLevel="0" collapsed="false">
      <c r="M572" s="0" t="str">
        <f aca="false">IF(CSV貼付A!$N572="","",IF(COUNTIF($B$37:$B$48,CSV貼付A!$H572)&gt;0,"",IF(SUMPRODUCT((CSV貼付A!$N$5:$N572=CSV貼付A!$N572)*(COUNTIF($B$37:$B$48,CSV貼付A!$H$5:$H572)=0))&gt;1,"",MAX($M$4:M571)+1)))</f>
        <v/>
      </c>
      <c r="N572" s="0" t="str">
        <f aca="false">IFERROR(INDEX(CSV貼付A!$N$5:$N$1004,MATCH(ROW()-4,$M$5:$M$1004,0)),"")</f>
        <v/>
      </c>
      <c r="O572" s="0" t="str">
        <f aca="false">IF(CSV貼付B!$N572="","",IF(COUNTIF($B$37:$B$48,CSV貼付B!$H572)&gt;0,"",IF(SUMPRODUCT((CSV貼付B!$N$5:$N572=CSV貼付B!$N572)*(COUNTIF($B$37:$B$48,CSV貼付B!$H$5:$H572)=0))&gt;1,"",MAX($O$4:O571)+1)))</f>
        <v/>
      </c>
      <c r="P572" s="0" t="str">
        <f aca="false">IFERROR(INDEX(CSV貼付B!$N$5:$N$1004,MATCH(ROW()-4,$O$5:$O$1004,0)),"")</f>
        <v/>
      </c>
      <c r="Q572" s="0" t="str">
        <f aca="false">IF(ROW()-4&lt;=MAX($M$5:$M$1004),IFERROR(INDEX($N$5:$N$1004,ROW()-4),""),IFERROR(INDEX($P$5:$P$1004,ROW()-4-MAX($M$5:$M$1004)),""))</f>
        <v/>
      </c>
    </row>
    <row r="573" customFormat="false" ht="15" hidden="false" customHeight="false" outlineLevel="0" collapsed="false">
      <c r="M573" s="0" t="str">
        <f aca="false">IF(CSV貼付A!$N573="","",IF(COUNTIF($B$37:$B$48,CSV貼付A!$H573)&gt;0,"",IF(SUMPRODUCT((CSV貼付A!$N$5:$N573=CSV貼付A!$N573)*(COUNTIF($B$37:$B$48,CSV貼付A!$H$5:$H573)=0))&gt;1,"",MAX($M$4:M572)+1)))</f>
        <v/>
      </c>
      <c r="N573" s="0" t="str">
        <f aca="false">IFERROR(INDEX(CSV貼付A!$N$5:$N$1004,MATCH(ROW()-4,$M$5:$M$1004,0)),"")</f>
        <v/>
      </c>
      <c r="O573" s="0" t="str">
        <f aca="false">IF(CSV貼付B!$N573="","",IF(COUNTIF($B$37:$B$48,CSV貼付B!$H573)&gt;0,"",IF(SUMPRODUCT((CSV貼付B!$N$5:$N573=CSV貼付B!$N573)*(COUNTIF($B$37:$B$48,CSV貼付B!$H$5:$H573)=0))&gt;1,"",MAX($O$4:O572)+1)))</f>
        <v/>
      </c>
      <c r="P573" s="0" t="str">
        <f aca="false">IFERROR(INDEX(CSV貼付B!$N$5:$N$1004,MATCH(ROW()-4,$O$5:$O$1004,0)),"")</f>
        <v/>
      </c>
      <c r="Q573" s="0" t="str">
        <f aca="false">IF(ROW()-4&lt;=MAX($M$5:$M$1004),IFERROR(INDEX($N$5:$N$1004,ROW()-4),""),IFERROR(INDEX($P$5:$P$1004,ROW()-4-MAX($M$5:$M$1004)),""))</f>
        <v/>
      </c>
    </row>
    <row r="574" customFormat="false" ht="15" hidden="false" customHeight="false" outlineLevel="0" collapsed="false">
      <c r="M574" s="0" t="str">
        <f aca="false">IF(CSV貼付A!$N574="","",IF(COUNTIF($B$37:$B$48,CSV貼付A!$H574)&gt;0,"",IF(SUMPRODUCT((CSV貼付A!$N$5:$N574=CSV貼付A!$N574)*(COUNTIF($B$37:$B$48,CSV貼付A!$H$5:$H574)=0))&gt;1,"",MAX($M$4:M573)+1)))</f>
        <v/>
      </c>
      <c r="N574" s="0" t="str">
        <f aca="false">IFERROR(INDEX(CSV貼付A!$N$5:$N$1004,MATCH(ROW()-4,$M$5:$M$1004,0)),"")</f>
        <v/>
      </c>
      <c r="O574" s="0" t="str">
        <f aca="false">IF(CSV貼付B!$N574="","",IF(COUNTIF($B$37:$B$48,CSV貼付B!$H574)&gt;0,"",IF(SUMPRODUCT((CSV貼付B!$N$5:$N574=CSV貼付B!$N574)*(COUNTIF($B$37:$B$48,CSV貼付B!$H$5:$H574)=0))&gt;1,"",MAX($O$4:O573)+1)))</f>
        <v/>
      </c>
      <c r="P574" s="0" t="str">
        <f aca="false">IFERROR(INDEX(CSV貼付B!$N$5:$N$1004,MATCH(ROW()-4,$O$5:$O$1004,0)),"")</f>
        <v/>
      </c>
      <c r="Q574" s="0" t="str">
        <f aca="false">IF(ROW()-4&lt;=MAX($M$5:$M$1004),IFERROR(INDEX($N$5:$N$1004,ROW()-4),""),IFERROR(INDEX($P$5:$P$1004,ROW()-4-MAX($M$5:$M$1004)),""))</f>
        <v/>
      </c>
    </row>
    <row r="575" customFormat="false" ht="15" hidden="false" customHeight="false" outlineLevel="0" collapsed="false">
      <c r="M575" s="0" t="str">
        <f aca="false">IF(CSV貼付A!$N575="","",IF(COUNTIF($B$37:$B$48,CSV貼付A!$H575)&gt;0,"",IF(SUMPRODUCT((CSV貼付A!$N$5:$N575=CSV貼付A!$N575)*(COUNTIF($B$37:$B$48,CSV貼付A!$H$5:$H575)=0))&gt;1,"",MAX($M$4:M574)+1)))</f>
        <v/>
      </c>
      <c r="N575" s="0" t="str">
        <f aca="false">IFERROR(INDEX(CSV貼付A!$N$5:$N$1004,MATCH(ROW()-4,$M$5:$M$1004,0)),"")</f>
        <v/>
      </c>
      <c r="O575" s="0" t="str">
        <f aca="false">IF(CSV貼付B!$N575="","",IF(COUNTIF($B$37:$B$48,CSV貼付B!$H575)&gt;0,"",IF(SUMPRODUCT((CSV貼付B!$N$5:$N575=CSV貼付B!$N575)*(COUNTIF($B$37:$B$48,CSV貼付B!$H$5:$H575)=0))&gt;1,"",MAX($O$4:O574)+1)))</f>
        <v/>
      </c>
      <c r="P575" s="0" t="str">
        <f aca="false">IFERROR(INDEX(CSV貼付B!$N$5:$N$1004,MATCH(ROW()-4,$O$5:$O$1004,0)),"")</f>
        <v/>
      </c>
      <c r="Q575" s="0" t="str">
        <f aca="false">IF(ROW()-4&lt;=MAX($M$5:$M$1004),IFERROR(INDEX($N$5:$N$1004,ROW()-4),""),IFERROR(INDEX($P$5:$P$1004,ROW()-4-MAX($M$5:$M$1004)),""))</f>
        <v/>
      </c>
    </row>
    <row r="576" customFormat="false" ht="15" hidden="false" customHeight="false" outlineLevel="0" collapsed="false">
      <c r="M576" s="0" t="str">
        <f aca="false">IF(CSV貼付A!$N576="","",IF(COUNTIF($B$37:$B$48,CSV貼付A!$H576)&gt;0,"",IF(SUMPRODUCT((CSV貼付A!$N$5:$N576=CSV貼付A!$N576)*(COUNTIF($B$37:$B$48,CSV貼付A!$H$5:$H576)=0))&gt;1,"",MAX($M$4:M575)+1)))</f>
        <v/>
      </c>
      <c r="N576" s="0" t="str">
        <f aca="false">IFERROR(INDEX(CSV貼付A!$N$5:$N$1004,MATCH(ROW()-4,$M$5:$M$1004,0)),"")</f>
        <v/>
      </c>
      <c r="O576" s="0" t="str">
        <f aca="false">IF(CSV貼付B!$N576="","",IF(COUNTIF($B$37:$B$48,CSV貼付B!$H576)&gt;0,"",IF(SUMPRODUCT((CSV貼付B!$N$5:$N576=CSV貼付B!$N576)*(COUNTIF($B$37:$B$48,CSV貼付B!$H$5:$H576)=0))&gt;1,"",MAX($O$4:O575)+1)))</f>
        <v/>
      </c>
      <c r="P576" s="0" t="str">
        <f aca="false">IFERROR(INDEX(CSV貼付B!$N$5:$N$1004,MATCH(ROW()-4,$O$5:$O$1004,0)),"")</f>
        <v/>
      </c>
      <c r="Q576" s="0" t="str">
        <f aca="false">IF(ROW()-4&lt;=MAX($M$5:$M$1004),IFERROR(INDEX($N$5:$N$1004,ROW()-4),""),IFERROR(INDEX($P$5:$P$1004,ROW()-4-MAX($M$5:$M$1004)),""))</f>
        <v/>
      </c>
    </row>
    <row r="577" customFormat="false" ht="15" hidden="false" customHeight="false" outlineLevel="0" collapsed="false">
      <c r="M577" s="0" t="str">
        <f aca="false">IF(CSV貼付A!$N577="","",IF(COUNTIF($B$37:$B$48,CSV貼付A!$H577)&gt;0,"",IF(SUMPRODUCT((CSV貼付A!$N$5:$N577=CSV貼付A!$N577)*(COUNTIF($B$37:$B$48,CSV貼付A!$H$5:$H577)=0))&gt;1,"",MAX($M$4:M576)+1)))</f>
        <v/>
      </c>
      <c r="N577" s="0" t="str">
        <f aca="false">IFERROR(INDEX(CSV貼付A!$N$5:$N$1004,MATCH(ROW()-4,$M$5:$M$1004,0)),"")</f>
        <v/>
      </c>
      <c r="O577" s="0" t="str">
        <f aca="false">IF(CSV貼付B!$N577="","",IF(COUNTIF($B$37:$B$48,CSV貼付B!$H577)&gt;0,"",IF(SUMPRODUCT((CSV貼付B!$N$5:$N577=CSV貼付B!$N577)*(COUNTIF($B$37:$B$48,CSV貼付B!$H$5:$H577)=0))&gt;1,"",MAX($O$4:O576)+1)))</f>
        <v/>
      </c>
      <c r="P577" s="0" t="str">
        <f aca="false">IFERROR(INDEX(CSV貼付B!$N$5:$N$1004,MATCH(ROW()-4,$O$5:$O$1004,0)),"")</f>
        <v/>
      </c>
      <c r="Q577" s="0" t="str">
        <f aca="false">IF(ROW()-4&lt;=MAX($M$5:$M$1004),IFERROR(INDEX($N$5:$N$1004,ROW()-4),""),IFERROR(INDEX($P$5:$P$1004,ROW()-4-MAX($M$5:$M$1004)),""))</f>
        <v/>
      </c>
    </row>
    <row r="578" customFormat="false" ht="15" hidden="false" customHeight="false" outlineLevel="0" collapsed="false">
      <c r="M578" s="0" t="str">
        <f aca="false">IF(CSV貼付A!$N578="","",IF(COUNTIF($B$37:$B$48,CSV貼付A!$H578)&gt;0,"",IF(SUMPRODUCT((CSV貼付A!$N$5:$N578=CSV貼付A!$N578)*(COUNTIF($B$37:$B$48,CSV貼付A!$H$5:$H578)=0))&gt;1,"",MAX($M$4:M577)+1)))</f>
        <v/>
      </c>
      <c r="N578" s="0" t="str">
        <f aca="false">IFERROR(INDEX(CSV貼付A!$N$5:$N$1004,MATCH(ROW()-4,$M$5:$M$1004,0)),"")</f>
        <v/>
      </c>
      <c r="O578" s="0" t="str">
        <f aca="false">IF(CSV貼付B!$N578="","",IF(COUNTIF($B$37:$B$48,CSV貼付B!$H578)&gt;0,"",IF(SUMPRODUCT((CSV貼付B!$N$5:$N578=CSV貼付B!$N578)*(COUNTIF($B$37:$B$48,CSV貼付B!$H$5:$H578)=0))&gt;1,"",MAX($O$4:O577)+1)))</f>
        <v/>
      </c>
      <c r="P578" s="0" t="str">
        <f aca="false">IFERROR(INDEX(CSV貼付B!$N$5:$N$1004,MATCH(ROW()-4,$O$5:$O$1004,0)),"")</f>
        <v/>
      </c>
      <c r="Q578" s="0" t="str">
        <f aca="false">IF(ROW()-4&lt;=MAX($M$5:$M$1004),IFERROR(INDEX($N$5:$N$1004,ROW()-4),""),IFERROR(INDEX($P$5:$P$1004,ROW()-4-MAX($M$5:$M$1004)),""))</f>
        <v/>
      </c>
    </row>
    <row r="579" customFormat="false" ht="15" hidden="false" customHeight="false" outlineLevel="0" collapsed="false">
      <c r="M579" s="0" t="str">
        <f aca="false">IF(CSV貼付A!$N579="","",IF(COUNTIF($B$37:$B$48,CSV貼付A!$H579)&gt;0,"",IF(SUMPRODUCT((CSV貼付A!$N$5:$N579=CSV貼付A!$N579)*(COUNTIF($B$37:$B$48,CSV貼付A!$H$5:$H579)=0))&gt;1,"",MAX($M$4:M578)+1)))</f>
        <v/>
      </c>
      <c r="N579" s="0" t="str">
        <f aca="false">IFERROR(INDEX(CSV貼付A!$N$5:$N$1004,MATCH(ROW()-4,$M$5:$M$1004,0)),"")</f>
        <v/>
      </c>
      <c r="O579" s="0" t="str">
        <f aca="false">IF(CSV貼付B!$N579="","",IF(COUNTIF($B$37:$B$48,CSV貼付B!$H579)&gt;0,"",IF(SUMPRODUCT((CSV貼付B!$N$5:$N579=CSV貼付B!$N579)*(COUNTIF($B$37:$B$48,CSV貼付B!$H$5:$H579)=0))&gt;1,"",MAX($O$4:O578)+1)))</f>
        <v/>
      </c>
      <c r="P579" s="0" t="str">
        <f aca="false">IFERROR(INDEX(CSV貼付B!$N$5:$N$1004,MATCH(ROW()-4,$O$5:$O$1004,0)),"")</f>
        <v/>
      </c>
      <c r="Q579" s="0" t="str">
        <f aca="false">IF(ROW()-4&lt;=MAX($M$5:$M$1004),IFERROR(INDEX($N$5:$N$1004,ROW()-4),""),IFERROR(INDEX($P$5:$P$1004,ROW()-4-MAX($M$5:$M$1004)),""))</f>
        <v/>
      </c>
    </row>
    <row r="580" customFormat="false" ht="15" hidden="false" customHeight="false" outlineLevel="0" collapsed="false">
      <c r="M580" s="0" t="str">
        <f aca="false">IF(CSV貼付A!$N580="","",IF(COUNTIF($B$37:$B$48,CSV貼付A!$H580)&gt;0,"",IF(SUMPRODUCT((CSV貼付A!$N$5:$N580=CSV貼付A!$N580)*(COUNTIF($B$37:$B$48,CSV貼付A!$H$5:$H580)=0))&gt;1,"",MAX($M$4:M579)+1)))</f>
        <v/>
      </c>
      <c r="N580" s="0" t="str">
        <f aca="false">IFERROR(INDEX(CSV貼付A!$N$5:$N$1004,MATCH(ROW()-4,$M$5:$M$1004,0)),"")</f>
        <v/>
      </c>
      <c r="O580" s="0" t="str">
        <f aca="false">IF(CSV貼付B!$N580="","",IF(COUNTIF($B$37:$B$48,CSV貼付B!$H580)&gt;0,"",IF(SUMPRODUCT((CSV貼付B!$N$5:$N580=CSV貼付B!$N580)*(COUNTIF($B$37:$B$48,CSV貼付B!$H$5:$H580)=0))&gt;1,"",MAX($O$4:O579)+1)))</f>
        <v/>
      </c>
      <c r="P580" s="0" t="str">
        <f aca="false">IFERROR(INDEX(CSV貼付B!$N$5:$N$1004,MATCH(ROW()-4,$O$5:$O$1004,0)),"")</f>
        <v/>
      </c>
      <c r="Q580" s="0" t="str">
        <f aca="false">IF(ROW()-4&lt;=MAX($M$5:$M$1004),IFERROR(INDEX($N$5:$N$1004,ROW()-4),""),IFERROR(INDEX($P$5:$P$1004,ROW()-4-MAX($M$5:$M$1004)),""))</f>
        <v/>
      </c>
    </row>
    <row r="581" customFormat="false" ht="15" hidden="false" customHeight="false" outlineLevel="0" collapsed="false">
      <c r="M581" s="0" t="str">
        <f aca="false">IF(CSV貼付A!$N581="","",IF(COUNTIF($B$37:$B$48,CSV貼付A!$H581)&gt;0,"",IF(SUMPRODUCT((CSV貼付A!$N$5:$N581=CSV貼付A!$N581)*(COUNTIF($B$37:$B$48,CSV貼付A!$H$5:$H581)=0))&gt;1,"",MAX($M$4:M580)+1)))</f>
        <v/>
      </c>
      <c r="N581" s="0" t="str">
        <f aca="false">IFERROR(INDEX(CSV貼付A!$N$5:$N$1004,MATCH(ROW()-4,$M$5:$M$1004,0)),"")</f>
        <v/>
      </c>
      <c r="O581" s="0" t="str">
        <f aca="false">IF(CSV貼付B!$N581="","",IF(COUNTIF($B$37:$B$48,CSV貼付B!$H581)&gt;0,"",IF(SUMPRODUCT((CSV貼付B!$N$5:$N581=CSV貼付B!$N581)*(COUNTIF($B$37:$B$48,CSV貼付B!$H$5:$H581)=0))&gt;1,"",MAX($O$4:O580)+1)))</f>
        <v/>
      </c>
      <c r="P581" s="0" t="str">
        <f aca="false">IFERROR(INDEX(CSV貼付B!$N$5:$N$1004,MATCH(ROW()-4,$O$5:$O$1004,0)),"")</f>
        <v/>
      </c>
      <c r="Q581" s="0" t="str">
        <f aca="false">IF(ROW()-4&lt;=MAX($M$5:$M$1004),IFERROR(INDEX($N$5:$N$1004,ROW()-4),""),IFERROR(INDEX($P$5:$P$1004,ROW()-4-MAX($M$5:$M$1004)),""))</f>
        <v/>
      </c>
    </row>
    <row r="582" customFormat="false" ht="15" hidden="false" customHeight="false" outlineLevel="0" collapsed="false">
      <c r="M582" s="0" t="str">
        <f aca="false">IF(CSV貼付A!$N582="","",IF(COUNTIF($B$37:$B$48,CSV貼付A!$H582)&gt;0,"",IF(SUMPRODUCT((CSV貼付A!$N$5:$N582=CSV貼付A!$N582)*(COUNTIF($B$37:$B$48,CSV貼付A!$H$5:$H582)=0))&gt;1,"",MAX($M$4:M581)+1)))</f>
        <v/>
      </c>
      <c r="N582" s="0" t="str">
        <f aca="false">IFERROR(INDEX(CSV貼付A!$N$5:$N$1004,MATCH(ROW()-4,$M$5:$M$1004,0)),"")</f>
        <v/>
      </c>
      <c r="O582" s="0" t="str">
        <f aca="false">IF(CSV貼付B!$N582="","",IF(COUNTIF($B$37:$B$48,CSV貼付B!$H582)&gt;0,"",IF(SUMPRODUCT((CSV貼付B!$N$5:$N582=CSV貼付B!$N582)*(COUNTIF($B$37:$B$48,CSV貼付B!$H$5:$H582)=0))&gt;1,"",MAX($O$4:O581)+1)))</f>
        <v/>
      </c>
      <c r="P582" s="0" t="str">
        <f aca="false">IFERROR(INDEX(CSV貼付B!$N$5:$N$1004,MATCH(ROW()-4,$O$5:$O$1004,0)),"")</f>
        <v/>
      </c>
      <c r="Q582" s="0" t="str">
        <f aca="false">IF(ROW()-4&lt;=MAX($M$5:$M$1004),IFERROR(INDEX($N$5:$N$1004,ROW()-4),""),IFERROR(INDEX($P$5:$P$1004,ROW()-4-MAX($M$5:$M$1004)),""))</f>
        <v/>
      </c>
    </row>
    <row r="583" customFormat="false" ht="15" hidden="false" customHeight="false" outlineLevel="0" collapsed="false">
      <c r="M583" s="0" t="str">
        <f aca="false">IF(CSV貼付A!$N583="","",IF(COUNTIF($B$37:$B$48,CSV貼付A!$H583)&gt;0,"",IF(SUMPRODUCT((CSV貼付A!$N$5:$N583=CSV貼付A!$N583)*(COUNTIF($B$37:$B$48,CSV貼付A!$H$5:$H583)=0))&gt;1,"",MAX($M$4:M582)+1)))</f>
        <v/>
      </c>
      <c r="N583" s="0" t="str">
        <f aca="false">IFERROR(INDEX(CSV貼付A!$N$5:$N$1004,MATCH(ROW()-4,$M$5:$M$1004,0)),"")</f>
        <v/>
      </c>
      <c r="O583" s="0" t="str">
        <f aca="false">IF(CSV貼付B!$N583="","",IF(COUNTIF($B$37:$B$48,CSV貼付B!$H583)&gt;0,"",IF(SUMPRODUCT((CSV貼付B!$N$5:$N583=CSV貼付B!$N583)*(COUNTIF($B$37:$B$48,CSV貼付B!$H$5:$H583)=0))&gt;1,"",MAX($O$4:O582)+1)))</f>
        <v/>
      </c>
      <c r="P583" s="0" t="str">
        <f aca="false">IFERROR(INDEX(CSV貼付B!$N$5:$N$1004,MATCH(ROW()-4,$O$5:$O$1004,0)),"")</f>
        <v/>
      </c>
      <c r="Q583" s="0" t="str">
        <f aca="false">IF(ROW()-4&lt;=MAX($M$5:$M$1004),IFERROR(INDEX($N$5:$N$1004,ROW()-4),""),IFERROR(INDEX($P$5:$P$1004,ROW()-4-MAX($M$5:$M$1004)),""))</f>
        <v/>
      </c>
    </row>
    <row r="584" customFormat="false" ht="15" hidden="false" customHeight="false" outlineLevel="0" collapsed="false">
      <c r="M584" s="0" t="str">
        <f aca="false">IF(CSV貼付A!$N584="","",IF(COUNTIF($B$37:$B$48,CSV貼付A!$H584)&gt;0,"",IF(SUMPRODUCT((CSV貼付A!$N$5:$N584=CSV貼付A!$N584)*(COUNTIF($B$37:$B$48,CSV貼付A!$H$5:$H584)=0))&gt;1,"",MAX($M$4:M583)+1)))</f>
        <v/>
      </c>
      <c r="N584" s="0" t="str">
        <f aca="false">IFERROR(INDEX(CSV貼付A!$N$5:$N$1004,MATCH(ROW()-4,$M$5:$M$1004,0)),"")</f>
        <v/>
      </c>
      <c r="O584" s="0" t="str">
        <f aca="false">IF(CSV貼付B!$N584="","",IF(COUNTIF($B$37:$B$48,CSV貼付B!$H584)&gt;0,"",IF(SUMPRODUCT((CSV貼付B!$N$5:$N584=CSV貼付B!$N584)*(COUNTIF($B$37:$B$48,CSV貼付B!$H$5:$H584)=0))&gt;1,"",MAX($O$4:O583)+1)))</f>
        <v/>
      </c>
      <c r="P584" s="0" t="str">
        <f aca="false">IFERROR(INDEX(CSV貼付B!$N$5:$N$1004,MATCH(ROW()-4,$O$5:$O$1004,0)),"")</f>
        <v/>
      </c>
      <c r="Q584" s="0" t="str">
        <f aca="false">IF(ROW()-4&lt;=MAX($M$5:$M$1004),IFERROR(INDEX($N$5:$N$1004,ROW()-4),""),IFERROR(INDEX($P$5:$P$1004,ROW()-4-MAX($M$5:$M$1004)),""))</f>
        <v/>
      </c>
    </row>
    <row r="585" customFormat="false" ht="15" hidden="false" customHeight="false" outlineLevel="0" collapsed="false">
      <c r="M585" s="0" t="str">
        <f aca="false">IF(CSV貼付A!$N585="","",IF(COUNTIF($B$37:$B$48,CSV貼付A!$H585)&gt;0,"",IF(SUMPRODUCT((CSV貼付A!$N$5:$N585=CSV貼付A!$N585)*(COUNTIF($B$37:$B$48,CSV貼付A!$H$5:$H585)=0))&gt;1,"",MAX($M$4:M584)+1)))</f>
        <v/>
      </c>
      <c r="N585" s="0" t="str">
        <f aca="false">IFERROR(INDEX(CSV貼付A!$N$5:$N$1004,MATCH(ROW()-4,$M$5:$M$1004,0)),"")</f>
        <v/>
      </c>
      <c r="O585" s="0" t="str">
        <f aca="false">IF(CSV貼付B!$N585="","",IF(COUNTIF($B$37:$B$48,CSV貼付B!$H585)&gt;0,"",IF(SUMPRODUCT((CSV貼付B!$N$5:$N585=CSV貼付B!$N585)*(COUNTIF($B$37:$B$48,CSV貼付B!$H$5:$H585)=0))&gt;1,"",MAX($O$4:O584)+1)))</f>
        <v/>
      </c>
      <c r="P585" s="0" t="str">
        <f aca="false">IFERROR(INDEX(CSV貼付B!$N$5:$N$1004,MATCH(ROW()-4,$O$5:$O$1004,0)),"")</f>
        <v/>
      </c>
      <c r="Q585" s="0" t="str">
        <f aca="false">IF(ROW()-4&lt;=MAX($M$5:$M$1004),IFERROR(INDEX($N$5:$N$1004,ROW()-4),""),IFERROR(INDEX($P$5:$P$1004,ROW()-4-MAX($M$5:$M$1004)),""))</f>
        <v/>
      </c>
    </row>
    <row r="586" customFormat="false" ht="15" hidden="false" customHeight="false" outlineLevel="0" collapsed="false">
      <c r="M586" s="0" t="str">
        <f aca="false">IF(CSV貼付A!$N586="","",IF(COUNTIF($B$37:$B$48,CSV貼付A!$H586)&gt;0,"",IF(SUMPRODUCT((CSV貼付A!$N$5:$N586=CSV貼付A!$N586)*(COUNTIF($B$37:$B$48,CSV貼付A!$H$5:$H586)=0))&gt;1,"",MAX($M$4:M585)+1)))</f>
        <v/>
      </c>
      <c r="N586" s="0" t="str">
        <f aca="false">IFERROR(INDEX(CSV貼付A!$N$5:$N$1004,MATCH(ROW()-4,$M$5:$M$1004,0)),"")</f>
        <v/>
      </c>
      <c r="O586" s="0" t="str">
        <f aca="false">IF(CSV貼付B!$N586="","",IF(COUNTIF($B$37:$B$48,CSV貼付B!$H586)&gt;0,"",IF(SUMPRODUCT((CSV貼付B!$N$5:$N586=CSV貼付B!$N586)*(COUNTIF($B$37:$B$48,CSV貼付B!$H$5:$H586)=0))&gt;1,"",MAX($O$4:O585)+1)))</f>
        <v/>
      </c>
      <c r="P586" s="0" t="str">
        <f aca="false">IFERROR(INDEX(CSV貼付B!$N$5:$N$1004,MATCH(ROW()-4,$O$5:$O$1004,0)),"")</f>
        <v/>
      </c>
      <c r="Q586" s="0" t="str">
        <f aca="false">IF(ROW()-4&lt;=MAX($M$5:$M$1004),IFERROR(INDEX($N$5:$N$1004,ROW()-4),""),IFERROR(INDEX($P$5:$P$1004,ROW()-4-MAX($M$5:$M$1004)),""))</f>
        <v/>
      </c>
    </row>
    <row r="587" customFormat="false" ht="15" hidden="false" customHeight="false" outlineLevel="0" collapsed="false">
      <c r="M587" s="0" t="str">
        <f aca="false">IF(CSV貼付A!$N587="","",IF(COUNTIF($B$37:$B$48,CSV貼付A!$H587)&gt;0,"",IF(SUMPRODUCT((CSV貼付A!$N$5:$N587=CSV貼付A!$N587)*(COUNTIF($B$37:$B$48,CSV貼付A!$H$5:$H587)=0))&gt;1,"",MAX($M$4:M586)+1)))</f>
        <v/>
      </c>
      <c r="N587" s="0" t="str">
        <f aca="false">IFERROR(INDEX(CSV貼付A!$N$5:$N$1004,MATCH(ROW()-4,$M$5:$M$1004,0)),"")</f>
        <v/>
      </c>
      <c r="O587" s="0" t="str">
        <f aca="false">IF(CSV貼付B!$N587="","",IF(COUNTIF($B$37:$B$48,CSV貼付B!$H587)&gt;0,"",IF(SUMPRODUCT((CSV貼付B!$N$5:$N587=CSV貼付B!$N587)*(COUNTIF($B$37:$B$48,CSV貼付B!$H$5:$H587)=0))&gt;1,"",MAX($O$4:O586)+1)))</f>
        <v/>
      </c>
      <c r="P587" s="0" t="str">
        <f aca="false">IFERROR(INDEX(CSV貼付B!$N$5:$N$1004,MATCH(ROW()-4,$O$5:$O$1004,0)),"")</f>
        <v/>
      </c>
      <c r="Q587" s="0" t="str">
        <f aca="false">IF(ROW()-4&lt;=MAX($M$5:$M$1004),IFERROR(INDEX($N$5:$N$1004,ROW()-4),""),IFERROR(INDEX($P$5:$P$1004,ROW()-4-MAX($M$5:$M$1004)),""))</f>
        <v/>
      </c>
    </row>
    <row r="588" customFormat="false" ht="15" hidden="false" customHeight="false" outlineLevel="0" collapsed="false">
      <c r="M588" s="0" t="str">
        <f aca="false">IF(CSV貼付A!$N588="","",IF(COUNTIF($B$37:$B$48,CSV貼付A!$H588)&gt;0,"",IF(SUMPRODUCT((CSV貼付A!$N$5:$N588=CSV貼付A!$N588)*(COUNTIF($B$37:$B$48,CSV貼付A!$H$5:$H588)=0))&gt;1,"",MAX($M$4:M587)+1)))</f>
        <v/>
      </c>
      <c r="N588" s="0" t="str">
        <f aca="false">IFERROR(INDEX(CSV貼付A!$N$5:$N$1004,MATCH(ROW()-4,$M$5:$M$1004,0)),"")</f>
        <v/>
      </c>
      <c r="O588" s="0" t="str">
        <f aca="false">IF(CSV貼付B!$N588="","",IF(COUNTIF($B$37:$B$48,CSV貼付B!$H588)&gt;0,"",IF(SUMPRODUCT((CSV貼付B!$N$5:$N588=CSV貼付B!$N588)*(COUNTIF($B$37:$B$48,CSV貼付B!$H$5:$H588)=0))&gt;1,"",MAX($O$4:O587)+1)))</f>
        <v/>
      </c>
      <c r="P588" s="0" t="str">
        <f aca="false">IFERROR(INDEX(CSV貼付B!$N$5:$N$1004,MATCH(ROW()-4,$O$5:$O$1004,0)),"")</f>
        <v/>
      </c>
      <c r="Q588" s="0" t="str">
        <f aca="false">IF(ROW()-4&lt;=MAX($M$5:$M$1004),IFERROR(INDEX($N$5:$N$1004,ROW()-4),""),IFERROR(INDEX($P$5:$P$1004,ROW()-4-MAX($M$5:$M$1004)),""))</f>
        <v/>
      </c>
    </row>
    <row r="589" customFormat="false" ht="15" hidden="false" customHeight="false" outlineLevel="0" collapsed="false">
      <c r="M589" s="0" t="str">
        <f aca="false">IF(CSV貼付A!$N589="","",IF(COUNTIF($B$37:$B$48,CSV貼付A!$H589)&gt;0,"",IF(SUMPRODUCT((CSV貼付A!$N$5:$N589=CSV貼付A!$N589)*(COUNTIF($B$37:$B$48,CSV貼付A!$H$5:$H589)=0))&gt;1,"",MAX($M$4:M588)+1)))</f>
        <v/>
      </c>
      <c r="N589" s="0" t="str">
        <f aca="false">IFERROR(INDEX(CSV貼付A!$N$5:$N$1004,MATCH(ROW()-4,$M$5:$M$1004,0)),"")</f>
        <v/>
      </c>
      <c r="O589" s="0" t="str">
        <f aca="false">IF(CSV貼付B!$N589="","",IF(COUNTIF($B$37:$B$48,CSV貼付B!$H589)&gt;0,"",IF(SUMPRODUCT((CSV貼付B!$N$5:$N589=CSV貼付B!$N589)*(COUNTIF($B$37:$B$48,CSV貼付B!$H$5:$H589)=0))&gt;1,"",MAX($O$4:O588)+1)))</f>
        <v/>
      </c>
      <c r="P589" s="0" t="str">
        <f aca="false">IFERROR(INDEX(CSV貼付B!$N$5:$N$1004,MATCH(ROW()-4,$O$5:$O$1004,0)),"")</f>
        <v/>
      </c>
      <c r="Q589" s="0" t="str">
        <f aca="false">IF(ROW()-4&lt;=MAX($M$5:$M$1004),IFERROR(INDEX($N$5:$N$1004,ROW()-4),""),IFERROR(INDEX($P$5:$P$1004,ROW()-4-MAX($M$5:$M$1004)),""))</f>
        <v/>
      </c>
    </row>
    <row r="590" customFormat="false" ht="15" hidden="false" customHeight="false" outlineLevel="0" collapsed="false">
      <c r="M590" s="0" t="str">
        <f aca="false">IF(CSV貼付A!$N590="","",IF(COUNTIF($B$37:$B$48,CSV貼付A!$H590)&gt;0,"",IF(SUMPRODUCT((CSV貼付A!$N$5:$N590=CSV貼付A!$N590)*(COUNTIF($B$37:$B$48,CSV貼付A!$H$5:$H590)=0))&gt;1,"",MAX($M$4:M589)+1)))</f>
        <v/>
      </c>
      <c r="N590" s="0" t="str">
        <f aca="false">IFERROR(INDEX(CSV貼付A!$N$5:$N$1004,MATCH(ROW()-4,$M$5:$M$1004,0)),"")</f>
        <v/>
      </c>
      <c r="O590" s="0" t="str">
        <f aca="false">IF(CSV貼付B!$N590="","",IF(COUNTIF($B$37:$B$48,CSV貼付B!$H590)&gt;0,"",IF(SUMPRODUCT((CSV貼付B!$N$5:$N590=CSV貼付B!$N590)*(COUNTIF($B$37:$B$48,CSV貼付B!$H$5:$H590)=0))&gt;1,"",MAX($O$4:O589)+1)))</f>
        <v/>
      </c>
      <c r="P590" s="0" t="str">
        <f aca="false">IFERROR(INDEX(CSV貼付B!$N$5:$N$1004,MATCH(ROW()-4,$O$5:$O$1004,0)),"")</f>
        <v/>
      </c>
      <c r="Q590" s="0" t="str">
        <f aca="false">IF(ROW()-4&lt;=MAX($M$5:$M$1004),IFERROR(INDEX($N$5:$N$1004,ROW()-4),""),IFERROR(INDEX($P$5:$P$1004,ROW()-4-MAX($M$5:$M$1004)),""))</f>
        <v/>
      </c>
    </row>
    <row r="591" customFormat="false" ht="15" hidden="false" customHeight="false" outlineLevel="0" collapsed="false">
      <c r="M591" s="0" t="str">
        <f aca="false">IF(CSV貼付A!$N591="","",IF(COUNTIF($B$37:$B$48,CSV貼付A!$H591)&gt;0,"",IF(SUMPRODUCT((CSV貼付A!$N$5:$N591=CSV貼付A!$N591)*(COUNTIF($B$37:$B$48,CSV貼付A!$H$5:$H591)=0))&gt;1,"",MAX($M$4:M590)+1)))</f>
        <v/>
      </c>
      <c r="N591" s="0" t="str">
        <f aca="false">IFERROR(INDEX(CSV貼付A!$N$5:$N$1004,MATCH(ROW()-4,$M$5:$M$1004,0)),"")</f>
        <v/>
      </c>
      <c r="O591" s="0" t="str">
        <f aca="false">IF(CSV貼付B!$N591="","",IF(COUNTIF($B$37:$B$48,CSV貼付B!$H591)&gt;0,"",IF(SUMPRODUCT((CSV貼付B!$N$5:$N591=CSV貼付B!$N591)*(COUNTIF($B$37:$B$48,CSV貼付B!$H$5:$H591)=0))&gt;1,"",MAX($O$4:O590)+1)))</f>
        <v/>
      </c>
      <c r="P591" s="0" t="str">
        <f aca="false">IFERROR(INDEX(CSV貼付B!$N$5:$N$1004,MATCH(ROW()-4,$O$5:$O$1004,0)),"")</f>
        <v/>
      </c>
      <c r="Q591" s="0" t="str">
        <f aca="false">IF(ROW()-4&lt;=MAX($M$5:$M$1004),IFERROR(INDEX($N$5:$N$1004,ROW()-4),""),IFERROR(INDEX($P$5:$P$1004,ROW()-4-MAX($M$5:$M$1004)),""))</f>
        <v/>
      </c>
    </row>
    <row r="592" customFormat="false" ht="15" hidden="false" customHeight="false" outlineLevel="0" collapsed="false">
      <c r="M592" s="0" t="str">
        <f aca="false">IF(CSV貼付A!$N592="","",IF(COUNTIF($B$37:$B$48,CSV貼付A!$H592)&gt;0,"",IF(SUMPRODUCT((CSV貼付A!$N$5:$N592=CSV貼付A!$N592)*(COUNTIF($B$37:$B$48,CSV貼付A!$H$5:$H592)=0))&gt;1,"",MAX($M$4:M591)+1)))</f>
        <v/>
      </c>
      <c r="N592" s="0" t="str">
        <f aca="false">IFERROR(INDEX(CSV貼付A!$N$5:$N$1004,MATCH(ROW()-4,$M$5:$M$1004,0)),"")</f>
        <v/>
      </c>
      <c r="O592" s="0" t="str">
        <f aca="false">IF(CSV貼付B!$N592="","",IF(COUNTIF($B$37:$B$48,CSV貼付B!$H592)&gt;0,"",IF(SUMPRODUCT((CSV貼付B!$N$5:$N592=CSV貼付B!$N592)*(COUNTIF($B$37:$B$48,CSV貼付B!$H$5:$H592)=0))&gt;1,"",MAX($O$4:O591)+1)))</f>
        <v/>
      </c>
      <c r="P592" s="0" t="str">
        <f aca="false">IFERROR(INDEX(CSV貼付B!$N$5:$N$1004,MATCH(ROW()-4,$O$5:$O$1004,0)),"")</f>
        <v/>
      </c>
      <c r="Q592" s="0" t="str">
        <f aca="false">IF(ROW()-4&lt;=MAX($M$5:$M$1004),IFERROR(INDEX($N$5:$N$1004,ROW()-4),""),IFERROR(INDEX($P$5:$P$1004,ROW()-4-MAX($M$5:$M$1004)),""))</f>
        <v/>
      </c>
    </row>
    <row r="593" customFormat="false" ht="15" hidden="false" customHeight="false" outlineLevel="0" collapsed="false">
      <c r="M593" s="0" t="str">
        <f aca="false">IF(CSV貼付A!$N593="","",IF(COUNTIF($B$37:$B$48,CSV貼付A!$H593)&gt;0,"",IF(SUMPRODUCT((CSV貼付A!$N$5:$N593=CSV貼付A!$N593)*(COUNTIF($B$37:$B$48,CSV貼付A!$H$5:$H593)=0))&gt;1,"",MAX($M$4:M592)+1)))</f>
        <v/>
      </c>
      <c r="N593" s="0" t="str">
        <f aca="false">IFERROR(INDEX(CSV貼付A!$N$5:$N$1004,MATCH(ROW()-4,$M$5:$M$1004,0)),"")</f>
        <v/>
      </c>
      <c r="O593" s="0" t="str">
        <f aca="false">IF(CSV貼付B!$N593="","",IF(COUNTIF($B$37:$B$48,CSV貼付B!$H593)&gt;0,"",IF(SUMPRODUCT((CSV貼付B!$N$5:$N593=CSV貼付B!$N593)*(COUNTIF($B$37:$B$48,CSV貼付B!$H$5:$H593)=0))&gt;1,"",MAX($O$4:O592)+1)))</f>
        <v/>
      </c>
      <c r="P593" s="0" t="str">
        <f aca="false">IFERROR(INDEX(CSV貼付B!$N$5:$N$1004,MATCH(ROW()-4,$O$5:$O$1004,0)),"")</f>
        <v/>
      </c>
      <c r="Q593" s="0" t="str">
        <f aca="false">IF(ROW()-4&lt;=MAX($M$5:$M$1004),IFERROR(INDEX($N$5:$N$1004,ROW()-4),""),IFERROR(INDEX($P$5:$P$1004,ROW()-4-MAX($M$5:$M$1004)),""))</f>
        <v/>
      </c>
    </row>
    <row r="594" customFormat="false" ht="15" hidden="false" customHeight="false" outlineLevel="0" collapsed="false">
      <c r="M594" s="0" t="str">
        <f aca="false">IF(CSV貼付A!$N594="","",IF(COUNTIF($B$37:$B$48,CSV貼付A!$H594)&gt;0,"",IF(SUMPRODUCT((CSV貼付A!$N$5:$N594=CSV貼付A!$N594)*(COUNTIF($B$37:$B$48,CSV貼付A!$H$5:$H594)=0))&gt;1,"",MAX($M$4:M593)+1)))</f>
        <v/>
      </c>
      <c r="N594" s="0" t="str">
        <f aca="false">IFERROR(INDEX(CSV貼付A!$N$5:$N$1004,MATCH(ROW()-4,$M$5:$M$1004,0)),"")</f>
        <v/>
      </c>
      <c r="O594" s="0" t="str">
        <f aca="false">IF(CSV貼付B!$N594="","",IF(COUNTIF($B$37:$B$48,CSV貼付B!$H594)&gt;0,"",IF(SUMPRODUCT((CSV貼付B!$N$5:$N594=CSV貼付B!$N594)*(COUNTIF($B$37:$B$48,CSV貼付B!$H$5:$H594)=0))&gt;1,"",MAX($O$4:O593)+1)))</f>
        <v/>
      </c>
      <c r="P594" s="0" t="str">
        <f aca="false">IFERROR(INDEX(CSV貼付B!$N$5:$N$1004,MATCH(ROW()-4,$O$5:$O$1004,0)),"")</f>
        <v/>
      </c>
      <c r="Q594" s="0" t="str">
        <f aca="false">IF(ROW()-4&lt;=MAX($M$5:$M$1004),IFERROR(INDEX($N$5:$N$1004,ROW()-4),""),IFERROR(INDEX($P$5:$P$1004,ROW()-4-MAX($M$5:$M$1004)),""))</f>
        <v/>
      </c>
    </row>
    <row r="595" customFormat="false" ht="15" hidden="false" customHeight="false" outlineLevel="0" collapsed="false">
      <c r="M595" s="0" t="str">
        <f aca="false">IF(CSV貼付A!$N595="","",IF(COUNTIF($B$37:$B$48,CSV貼付A!$H595)&gt;0,"",IF(SUMPRODUCT((CSV貼付A!$N$5:$N595=CSV貼付A!$N595)*(COUNTIF($B$37:$B$48,CSV貼付A!$H$5:$H595)=0))&gt;1,"",MAX($M$4:M594)+1)))</f>
        <v/>
      </c>
      <c r="N595" s="0" t="str">
        <f aca="false">IFERROR(INDEX(CSV貼付A!$N$5:$N$1004,MATCH(ROW()-4,$M$5:$M$1004,0)),"")</f>
        <v/>
      </c>
      <c r="O595" s="0" t="str">
        <f aca="false">IF(CSV貼付B!$N595="","",IF(COUNTIF($B$37:$B$48,CSV貼付B!$H595)&gt;0,"",IF(SUMPRODUCT((CSV貼付B!$N$5:$N595=CSV貼付B!$N595)*(COUNTIF($B$37:$B$48,CSV貼付B!$H$5:$H595)=0))&gt;1,"",MAX($O$4:O594)+1)))</f>
        <v/>
      </c>
      <c r="P595" s="0" t="str">
        <f aca="false">IFERROR(INDEX(CSV貼付B!$N$5:$N$1004,MATCH(ROW()-4,$O$5:$O$1004,0)),"")</f>
        <v/>
      </c>
      <c r="Q595" s="0" t="str">
        <f aca="false">IF(ROW()-4&lt;=MAX($M$5:$M$1004),IFERROR(INDEX($N$5:$N$1004,ROW()-4),""),IFERROR(INDEX($P$5:$P$1004,ROW()-4-MAX($M$5:$M$1004)),""))</f>
        <v/>
      </c>
    </row>
    <row r="596" customFormat="false" ht="15" hidden="false" customHeight="false" outlineLevel="0" collapsed="false">
      <c r="M596" s="0" t="str">
        <f aca="false">IF(CSV貼付A!$N596="","",IF(COUNTIF($B$37:$B$48,CSV貼付A!$H596)&gt;0,"",IF(SUMPRODUCT((CSV貼付A!$N$5:$N596=CSV貼付A!$N596)*(COUNTIF($B$37:$B$48,CSV貼付A!$H$5:$H596)=0))&gt;1,"",MAX($M$4:M595)+1)))</f>
        <v/>
      </c>
      <c r="N596" s="0" t="str">
        <f aca="false">IFERROR(INDEX(CSV貼付A!$N$5:$N$1004,MATCH(ROW()-4,$M$5:$M$1004,0)),"")</f>
        <v/>
      </c>
      <c r="O596" s="0" t="str">
        <f aca="false">IF(CSV貼付B!$N596="","",IF(COUNTIF($B$37:$B$48,CSV貼付B!$H596)&gt;0,"",IF(SUMPRODUCT((CSV貼付B!$N$5:$N596=CSV貼付B!$N596)*(COUNTIF($B$37:$B$48,CSV貼付B!$H$5:$H596)=0))&gt;1,"",MAX($O$4:O595)+1)))</f>
        <v/>
      </c>
      <c r="P596" s="0" t="str">
        <f aca="false">IFERROR(INDEX(CSV貼付B!$N$5:$N$1004,MATCH(ROW()-4,$O$5:$O$1004,0)),"")</f>
        <v/>
      </c>
      <c r="Q596" s="0" t="str">
        <f aca="false">IF(ROW()-4&lt;=MAX($M$5:$M$1004),IFERROR(INDEX($N$5:$N$1004,ROW()-4),""),IFERROR(INDEX($P$5:$P$1004,ROW()-4-MAX($M$5:$M$1004)),""))</f>
        <v/>
      </c>
    </row>
    <row r="597" customFormat="false" ht="15" hidden="false" customHeight="false" outlineLevel="0" collapsed="false">
      <c r="M597" s="0" t="str">
        <f aca="false">IF(CSV貼付A!$N597="","",IF(COUNTIF($B$37:$B$48,CSV貼付A!$H597)&gt;0,"",IF(SUMPRODUCT((CSV貼付A!$N$5:$N597=CSV貼付A!$N597)*(COUNTIF($B$37:$B$48,CSV貼付A!$H$5:$H597)=0))&gt;1,"",MAX($M$4:M596)+1)))</f>
        <v/>
      </c>
      <c r="N597" s="0" t="str">
        <f aca="false">IFERROR(INDEX(CSV貼付A!$N$5:$N$1004,MATCH(ROW()-4,$M$5:$M$1004,0)),"")</f>
        <v/>
      </c>
      <c r="O597" s="0" t="str">
        <f aca="false">IF(CSV貼付B!$N597="","",IF(COUNTIF($B$37:$B$48,CSV貼付B!$H597)&gt;0,"",IF(SUMPRODUCT((CSV貼付B!$N$5:$N597=CSV貼付B!$N597)*(COUNTIF($B$37:$B$48,CSV貼付B!$H$5:$H597)=0))&gt;1,"",MAX($O$4:O596)+1)))</f>
        <v/>
      </c>
      <c r="P597" s="0" t="str">
        <f aca="false">IFERROR(INDEX(CSV貼付B!$N$5:$N$1004,MATCH(ROW()-4,$O$5:$O$1004,0)),"")</f>
        <v/>
      </c>
      <c r="Q597" s="0" t="str">
        <f aca="false">IF(ROW()-4&lt;=MAX($M$5:$M$1004),IFERROR(INDEX($N$5:$N$1004,ROW()-4),""),IFERROR(INDEX($P$5:$P$1004,ROW()-4-MAX($M$5:$M$1004)),""))</f>
        <v/>
      </c>
    </row>
    <row r="598" customFormat="false" ht="15" hidden="false" customHeight="false" outlineLevel="0" collapsed="false">
      <c r="M598" s="0" t="str">
        <f aca="false">IF(CSV貼付A!$N598="","",IF(COUNTIF($B$37:$B$48,CSV貼付A!$H598)&gt;0,"",IF(SUMPRODUCT((CSV貼付A!$N$5:$N598=CSV貼付A!$N598)*(COUNTIF($B$37:$B$48,CSV貼付A!$H$5:$H598)=0))&gt;1,"",MAX($M$4:M597)+1)))</f>
        <v/>
      </c>
      <c r="N598" s="0" t="str">
        <f aca="false">IFERROR(INDEX(CSV貼付A!$N$5:$N$1004,MATCH(ROW()-4,$M$5:$M$1004,0)),"")</f>
        <v/>
      </c>
      <c r="O598" s="0" t="str">
        <f aca="false">IF(CSV貼付B!$N598="","",IF(COUNTIF($B$37:$B$48,CSV貼付B!$H598)&gt;0,"",IF(SUMPRODUCT((CSV貼付B!$N$5:$N598=CSV貼付B!$N598)*(COUNTIF($B$37:$B$48,CSV貼付B!$H$5:$H598)=0))&gt;1,"",MAX($O$4:O597)+1)))</f>
        <v/>
      </c>
      <c r="P598" s="0" t="str">
        <f aca="false">IFERROR(INDEX(CSV貼付B!$N$5:$N$1004,MATCH(ROW()-4,$O$5:$O$1004,0)),"")</f>
        <v/>
      </c>
      <c r="Q598" s="0" t="str">
        <f aca="false">IF(ROW()-4&lt;=MAX($M$5:$M$1004),IFERROR(INDEX($N$5:$N$1004,ROW()-4),""),IFERROR(INDEX($P$5:$P$1004,ROW()-4-MAX($M$5:$M$1004)),""))</f>
        <v/>
      </c>
    </row>
    <row r="599" customFormat="false" ht="15" hidden="false" customHeight="false" outlineLevel="0" collapsed="false">
      <c r="M599" s="0" t="str">
        <f aca="false">IF(CSV貼付A!$N599="","",IF(COUNTIF($B$37:$B$48,CSV貼付A!$H599)&gt;0,"",IF(SUMPRODUCT((CSV貼付A!$N$5:$N599=CSV貼付A!$N599)*(COUNTIF($B$37:$B$48,CSV貼付A!$H$5:$H599)=0))&gt;1,"",MAX($M$4:M598)+1)))</f>
        <v/>
      </c>
      <c r="N599" s="0" t="str">
        <f aca="false">IFERROR(INDEX(CSV貼付A!$N$5:$N$1004,MATCH(ROW()-4,$M$5:$M$1004,0)),"")</f>
        <v/>
      </c>
      <c r="O599" s="0" t="str">
        <f aca="false">IF(CSV貼付B!$N599="","",IF(COUNTIF($B$37:$B$48,CSV貼付B!$H599)&gt;0,"",IF(SUMPRODUCT((CSV貼付B!$N$5:$N599=CSV貼付B!$N599)*(COUNTIF($B$37:$B$48,CSV貼付B!$H$5:$H599)=0))&gt;1,"",MAX($O$4:O598)+1)))</f>
        <v/>
      </c>
      <c r="P599" s="0" t="str">
        <f aca="false">IFERROR(INDEX(CSV貼付B!$N$5:$N$1004,MATCH(ROW()-4,$O$5:$O$1004,0)),"")</f>
        <v/>
      </c>
      <c r="Q599" s="0" t="str">
        <f aca="false">IF(ROW()-4&lt;=MAX($M$5:$M$1004),IFERROR(INDEX($N$5:$N$1004,ROW()-4),""),IFERROR(INDEX($P$5:$P$1004,ROW()-4-MAX($M$5:$M$1004)),""))</f>
        <v/>
      </c>
    </row>
    <row r="600" customFormat="false" ht="15" hidden="false" customHeight="false" outlineLevel="0" collapsed="false">
      <c r="M600" s="0" t="str">
        <f aca="false">IF(CSV貼付A!$N600="","",IF(COUNTIF($B$37:$B$48,CSV貼付A!$H600)&gt;0,"",IF(SUMPRODUCT((CSV貼付A!$N$5:$N600=CSV貼付A!$N600)*(COUNTIF($B$37:$B$48,CSV貼付A!$H$5:$H600)=0))&gt;1,"",MAX($M$4:M599)+1)))</f>
        <v/>
      </c>
      <c r="N600" s="0" t="str">
        <f aca="false">IFERROR(INDEX(CSV貼付A!$N$5:$N$1004,MATCH(ROW()-4,$M$5:$M$1004,0)),"")</f>
        <v/>
      </c>
      <c r="O600" s="0" t="str">
        <f aca="false">IF(CSV貼付B!$N600="","",IF(COUNTIF($B$37:$B$48,CSV貼付B!$H600)&gt;0,"",IF(SUMPRODUCT((CSV貼付B!$N$5:$N600=CSV貼付B!$N600)*(COUNTIF($B$37:$B$48,CSV貼付B!$H$5:$H600)=0))&gt;1,"",MAX($O$4:O599)+1)))</f>
        <v/>
      </c>
      <c r="P600" s="0" t="str">
        <f aca="false">IFERROR(INDEX(CSV貼付B!$N$5:$N$1004,MATCH(ROW()-4,$O$5:$O$1004,0)),"")</f>
        <v/>
      </c>
      <c r="Q600" s="0" t="str">
        <f aca="false">IF(ROW()-4&lt;=MAX($M$5:$M$1004),IFERROR(INDEX($N$5:$N$1004,ROW()-4),""),IFERROR(INDEX($P$5:$P$1004,ROW()-4-MAX($M$5:$M$1004)),""))</f>
        <v/>
      </c>
    </row>
    <row r="601" customFormat="false" ht="15" hidden="false" customHeight="false" outlineLevel="0" collapsed="false">
      <c r="M601" s="0" t="str">
        <f aca="false">IF(CSV貼付A!$N601="","",IF(COUNTIF($B$37:$B$48,CSV貼付A!$H601)&gt;0,"",IF(SUMPRODUCT((CSV貼付A!$N$5:$N601=CSV貼付A!$N601)*(COUNTIF($B$37:$B$48,CSV貼付A!$H$5:$H601)=0))&gt;1,"",MAX($M$4:M600)+1)))</f>
        <v/>
      </c>
      <c r="N601" s="0" t="str">
        <f aca="false">IFERROR(INDEX(CSV貼付A!$N$5:$N$1004,MATCH(ROW()-4,$M$5:$M$1004,0)),"")</f>
        <v/>
      </c>
      <c r="O601" s="0" t="str">
        <f aca="false">IF(CSV貼付B!$N601="","",IF(COUNTIF($B$37:$B$48,CSV貼付B!$H601)&gt;0,"",IF(SUMPRODUCT((CSV貼付B!$N$5:$N601=CSV貼付B!$N601)*(COUNTIF($B$37:$B$48,CSV貼付B!$H$5:$H601)=0))&gt;1,"",MAX($O$4:O600)+1)))</f>
        <v/>
      </c>
      <c r="P601" s="0" t="str">
        <f aca="false">IFERROR(INDEX(CSV貼付B!$N$5:$N$1004,MATCH(ROW()-4,$O$5:$O$1004,0)),"")</f>
        <v/>
      </c>
      <c r="Q601" s="0" t="str">
        <f aca="false">IF(ROW()-4&lt;=MAX($M$5:$M$1004),IFERROR(INDEX($N$5:$N$1004,ROW()-4),""),IFERROR(INDEX($P$5:$P$1004,ROW()-4-MAX($M$5:$M$1004)),""))</f>
        <v/>
      </c>
    </row>
    <row r="602" customFormat="false" ht="15" hidden="false" customHeight="false" outlineLevel="0" collapsed="false">
      <c r="M602" s="0" t="str">
        <f aca="false">IF(CSV貼付A!$N602="","",IF(COUNTIF($B$37:$B$48,CSV貼付A!$H602)&gt;0,"",IF(SUMPRODUCT((CSV貼付A!$N$5:$N602=CSV貼付A!$N602)*(COUNTIF($B$37:$B$48,CSV貼付A!$H$5:$H602)=0))&gt;1,"",MAX($M$4:M601)+1)))</f>
        <v/>
      </c>
      <c r="N602" s="0" t="str">
        <f aca="false">IFERROR(INDEX(CSV貼付A!$N$5:$N$1004,MATCH(ROW()-4,$M$5:$M$1004,0)),"")</f>
        <v/>
      </c>
      <c r="O602" s="0" t="str">
        <f aca="false">IF(CSV貼付B!$N602="","",IF(COUNTIF($B$37:$B$48,CSV貼付B!$H602)&gt;0,"",IF(SUMPRODUCT((CSV貼付B!$N$5:$N602=CSV貼付B!$N602)*(COUNTIF($B$37:$B$48,CSV貼付B!$H$5:$H602)=0))&gt;1,"",MAX($O$4:O601)+1)))</f>
        <v/>
      </c>
      <c r="P602" s="0" t="str">
        <f aca="false">IFERROR(INDEX(CSV貼付B!$N$5:$N$1004,MATCH(ROW()-4,$O$5:$O$1004,0)),"")</f>
        <v/>
      </c>
      <c r="Q602" s="0" t="str">
        <f aca="false">IF(ROW()-4&lt;=MAX($M$5:$M$1004),IFERROR(INDEX($N$5:$N$1004,ROW()-4),""),IFERROR(INDEX($P$5:$P$1004,ROW()-4-MAX($M$5:$M$1004)),""))</f>
        <v/>
      </c>
    </row>
    <row r="603" customFormat="false" ht="15" hidden="false" customHeight="false" outlineLevel="0" collapsed="false">
      <c r="M603" s="0" t="str">
        <f aca="false">IF(CSV貼付A!$N603="","",IF(COUNTIF($B$37:$B$48,CSV貼付A!$H603)&gt;0,"",IF(SUMPRODUCT((CSV貼付A!$N$5:$N603=CSV貼付A!$N603)*(COUNTIF($B$37:$B$48,CSV貼付A!$H$5:$H603)=0))&gt;1,"",MAX($M$4:M602)+1)))</f>
        <v/>
      </c>
      <c r="N603" s="0" t="str">
        <f aca="false">IFERROR(INDEX(CSV貼付A!$N$5:$N$1004,MATCH(ROW()-4,$M$5:$M$1004,0)),"")</f>
        <v/>
      </c>
      <c r="O603" s="0" t="str">
        <f aca="false">IF(CSV貼付B!$N603="","",IF(COUNTIF($B$37:$B$48,CSV貼付B!$H603)&gt;0,"",IF(SUMPRODUCT((CSV貼付B!$N$5:$N603=CSV貼付B!$N603)*(COUNTIF($B$37:$B$48,CSV貼付B!$H$5:$H603)=0))&gt;1,"",MAX($O$4:O602)+1)))</f>
        <v/>
      </c>
      <c r="P603" s="0" t="str">
        <f aca="false">IFERROR(INDEX(CSV貼付B!$N$5:$N$1004,MATCH(ROW()-4,$O$5:$O$1004,0)),"")</f>
        <v/>
      </c>
      <c r="Q603" s="0" t="str">
        <f aca="false">IF(ROW()-4&lt;=MAX($M$5:$M$1004),IFERROR(INDEX($N$5:$N$1004,ROW()-4),""),IFERROR(INDEX($P$5:$P$1004,ROW()-4-MAX($M$5:$M$1004)),""))</f>
        <v/>
      </c>
    </row>
    <row r="604" customFormat="false" ht="15" hidden="false" customHeight="false" outlineLevel="0" collapsed="false">
      <c r="M604" s="0" t="str">
        <f aca="false">IF(CSV貼付A!$N604="","",IF(COUNTIF($B$37:$B$48,CSV貼付A!$H604)&gt;0,"",IF(SUMPRODUCT((CSV貼付A!$N$5:$N604=CSV貼付A!$N604)*(COUNTIF($B$37:$B$48,CSV貼付A!$H$5:$H604)=0))&gt;1,"",MAX($M$4:M603)+1)))</f>
        <v/>
      </c>
      <c r="N604" s="0" t="str">
        <f aca="false">IFERROR(INDEX(CSV貼付A!$N$5:$N$1004,MATCH(ROW()-4,$M$5:$M$1004,0)),"")</f>
        <v/>
      </c>
      <c r="O604" s="0" t="str">
        <f aca="false">IF(CSV貼付B!$N604="","",IF(COUNTIF($B$37:$B$48,CSV貼付B!$H604)&gt;0,"",IF(SUMPRODUCT((CSV貼付B!$N$5:$N604=CSV貼付B!$N604)*(COUNTIF($B$37:$B$48,CSV貼付B!$H$5:$H604)=0))&gt;1,"",MAX($O$4:O603)+1)))</f>
        <v/>
      </c>
      <c r="P604" s="0" t="str">
        <f aca="false">IFERROR(INDEX(CSV貼付B!$N$5:$N$1004,MATCH(ROW()-4,$O$5:$O$1004,0)),"")</f>
        <v/>
      </c>
      <c r="Q604" s="0" t="str">
        <f aca="false">IF(ROW()-4&lt;=MAX($M$5:$M$1004),IFERROR(INDEX($N$5:$N$1004,ROW()-4),""),IFERROR(INDEX($P$5:$P$1004,ROW()-4-MAX($M$5:$M$1004)),""))</f>
        <v/>
      </c>
    </row>
    <row r="605" customFormat="false" ht="15" hidden="false" customHeight="false" outlineLevel="0" collapsed="false">
      <c r="M605" s="0" t="str">
        <f aca="false">IF(CSV貼付A!$N605="","",IF(COUNTIF($B$37:$B$48,CSV貼付A!$H605)&gt;0,"",IF(SUMPRODUCT((CSV貼付A!$N$5:$N605=CSV貼付A!$N605)*(COUNTIF($B$37:$B$48,CSV貼付A!$H$5:$H605)=0))&gt;1,"",MAX($M$4:M604)+1)))</f>
        <v/>
      </c>
      <c r="N605" s="0" t="str">
        <f aca="false">IFERROR(INDEX(CSV貼付A!$N$5:$N$1004,MATCH(ROW()-4,$M$5:$M$1004,0)),"")</f>
        <v/>
      </c>
      <c r="O605" s="0" t="str">
        <f aca="false">IF(CSV貼付B!$N605="","",IF(COUNTIF($B$37:$B$48,CSV貼付B!$H605)&gt;0,"",IF(SUMPRODUCT((CSV貼付B!$N$5:$N605=CSV貼付B!$N605)*(COUNTIF($B$37:$B$48,CSV貼付B!$H$5:$H605)=0))&gt;1,"",MAX($O$4:O604)+1)))</f>
        <v/>
      </c>
      <c r="P605" s="0" t="str">
        <f aca="false">IFERROR(INDEX(CSV貼付B!$N$5:$N$1004,MATCH(ROW()-4,$O$5:$O$1004,0)),"")</f>
        <v/>
      </c>
      <c r="Q605" s="0" t="str">
        <f aca="false">IF(ROW()-4&lt;=MAX($M$5:$M$1004),IFERROR(INDEX($N$5:$N$1004,ROW()-4),""),IFERROR(INDEX($P$5:$P$1004,ROW()-4-MAX($M$5:$M$1004)),""))</f>
        <v/>
      </c>
    </row>
    <row r="606" customFormat="false" ht="15" hidden="false" customHeight="false" outlineLevel="0" collapsed="false">
      <c r="M606" s="0" t="str">
        <f aca="false">IF(CSV貼付A!$N606="","",IF(COUNTIF($B$37:$B$48,CSV貼付A!$H606)&gt;0,"",IF(SUMPRODUCT((CSV貼付A!$N$5:$N606=CSV貼付A!$N606)*(COUNTIF($B$37:$B$48,CSV貼付A!$H$5:$H606)=0))&gt;1,"",MAX($M$4:M605)+1)))</f>
        <v/>
      </c>
      <c r="N606" s="0" t="str">
        <f aca="false">IFERROR(INDEX(CSV貼付A!$N$5:$N$1004,MATCH(ROW()-4,$M$5:$M$1004,0)),"")</f>
        <v/>
      </c>
      <c r="O606" s="0" t="str">
        <f aca="false">IF(CSV貼付B!$N606="","",IF(COUNTIF($B$37:$B$48,CSV貼付B!$H606)&gt;0,"",IF(SUMPRODUCT((CSV貼付B!$N$5:$N606=CSV貼付B!$N606)*(COUNTIF($B$37:$B$48,CSV貼付B!$H$5:$H606)=0))&gt;1,"",MAX($O$4:O605)+1)))</f>
        <v/>
      </c>
      <c r="P606" s="0" t="str">
        <f aca="false">IFERROR(INDEX(CSV貼付B!$N$5:$N$1004,MATCH(ROW()-4,$O$5:$O$1004,0)),"")</f>
        <v/>
      </c>
      <c r="Q606" s="0" t="str">
        <f aca="false">IF(ROW()-4&lt;=MAX($M$5:$M$1004),IFERROR(INDEX($N$5:$N$1004,ROW()-4),""),IFERROR(INDEX($P$5:$P$1004,ROW()-4-MAX($M$5:$M$1004)),""))</f>
        <v/>
      </c>
    </row>
    <row r="607" customFormat="false" ht="15" hidden="false" customHeight="false" outlineLevel="0" collapsed="false">
      <c r="M607" s="0" t="str">
        <f aca="false">IF(CSV貼付A!$N607="","",IF(COUNTIF($B$37:$B$48,CSV貼付A!$H607)&gt;0,"",IF(SUMPRODUCT((CSV貼付A!$N$5:$N607=CSV貼付A!$N607)*(COUNTIF($B$37:$B$48,CSV貼付A!$H$5:$H607)=0))&gt;1,"",MAX($M$4:M606)+1)))</f>
        <v/>
      </c>
      <c r="N607" s="0" t="str">
        <f aca="false">IFERROR(INDEX(CSV貼付A!$N$5:$N$1004,MATCH(ROW()-4,$M$5:$M$1004,0)),"")</f>
        <v/>
      </c>
      <c r="O607" s="0" t="str">
        <f aca="false">IF(CSV貼付B!$N607="","",IF(COUNTIF($B$37:$B$48,CSV貼付B!$H607)&gt;0,"",IF(SUMPRODUCT((CSV貼付B!$N$5:$N607=CSV貼付B!$N607)*(COUNTIF($B$37:$B$48,CSV貼付B!$H$5:$H607)=0))&gt;1,"",MAX($O$4:O606)+1)))</f>
        <v/>
      </c>
      <c r="P607" s="0" t="str">
        <f aca="false">IFERROR(INDEX(CSV貼付B!$N$5:$N$1004,MATCH(ROW()-4,$O$5:$O$1004,0)),"")</f>
        <v/>
      </c>
      <c r="Q607" s="0" t="str">
        <f aca="false">IF(ROW()-4&lt;=MAX($M$5:$M$1004),IFERROR(INDEX($N$5:$N$1004,ROW()-4),""),IFERROR(INDEX($P$5:$P$1004,ROW()-4-MAX($M$5:$M$1004)),""))</f>
        <v/>
      </c>
    </row>
    <row r="608" customFormat="false" ht="15" hidden="false" customHeight="false" outlineLevel="0" collapsed="false">
      <c r="M608" s="0" t="str">
        <f aca="false">IF(CSV貼付A!$N608="","",IF(COUNTIF($B$37:$B$48,CSV貼付A!$H608)&gt;0,"",IF(SUMPRODUCT((CSV貼付A!$N$5:$N608=CSV貼付A!$N608)*(COUNTIF($B$37:$B$48,CSV貼付A!$H$5:$H608)=0))&gt;1,"",MAX($M$4:M607)+1)))</f>
        <v/>
      </c>
      <c r="N608" s="0" t="str">
        <f aca="false">IFERROR(INDEX(CSV貼付A!$N$5:$N$1004,MATCH(ROW()-4,$M$5:$M$1004,0)),"")</f>
        <v/>
      </c>
      <c r="O608" s="0" t="str">
        <f aca="false">IF(CSV貼付B!$N608="","",IF(COUNTIF($B$37:$B$48,CSV貼付B!$H608)&gt;0,"",IF(SUMPRODUCT((CSV貼付B!$N$5:$N608=CSV貼付B!$N608)*(COUNTIF($B$37:$B$48,CSV貼付B!$H$5:$H608)=0))&gt;1,"",MAX($O$4:O607)+1)))</f>
        <v/>
      </c>
      <c r="P608" s="0" t="str">
        <f aca="false">IFERROR(INDEX(CSV貼付B!$N$5:$N$1004,MATCH(ROW()-4,$O$5:$O$1004,0)),"")</f>
        <v/>
      </c>
      <c r="Q608" s="0" t="str">
        <f aca="false">IF(ROW()-4&lt;=MAX($M$5:$M$1004),IFERROR(INDEX($N$5:$N$1004,ROW()-4),""),IFERROR(INDEX($P$5:$P$1004,ROW()-4-MAX($M$5:$M$1004)),""))</f>
        <v/>
      </c>
    </row>
    <row r="609" customFormat="false" ht="15" hidden="false" customHeight="false" outlineLevel="0" collapsed="false">
      <c r="M609" s="0" t="str">
        <f aca="false">IF(CSV貼付A!$N609="","",IF(COUNTIF($B$37:$B$48,CSV貼付A!$H609)&gt;0,"",IF(SUMPRODUCT((CSV貼付A!$N$5:$N609=CSV貼付A!$N609)*(COUNTIF($B$37:$B$48,CSV貼付A!$H$5:$H609)=0))&gt;1,"",MAX($M$4:M608)+1)))</f>
        <v/>
      </c>
      <c r="N609" s="0" t="str">
        <f aca="false">IFERROR(INDEX(CSV貼付A!$N$5:$N$1004,MATCH(ROW()-4,$M$5:$M$1004,0)),"")</f>
        <v/>
      </c>
      <c r="O609" s="0" t="str">
        <f aca="false">IF(CSV貼付B!$N609="","",IF(COUNTIF($B$37:$B$48,CSV貼付B!$H609)&gt;0,"",IF(SUMPRODUCT((CSV貼付B!$N$5:$N609=CSV貼付B!$N609)*(COUNTIF($B$37:$B$48,CSV貼付B!$H$5:$H609)=0))&gt;1,"",MAX($O$4:O608)+1)))</f>
        <v/>
      </c>
      <c r="P609" s="0" t="str">
        <f aca="false">IFERROR(INDEX(CSV貼付B!$N$5:$N$1004,MATCH(ROW()-4,$O$5:$O$1004,0)),"")</f>
        <v/>
      </c>
      <c r="Q609" s="0" t="str">
        <f aca="false">IF(ROW()-4&lt;=MAX($M$5:$M$1004),IFERROR(INDEX($N$5:$N$1004,ROW()-4),""),IFERROR(INDEX($P$5:$P$1004,ROW()-4-MAX($M$5:$M$1004)),""))</f>
        <v/>
      </c>
    </row>
    <row r="610" customFormat="false" ht="15" hidden="false" customHeight="false" outlineLevel="0" collapsed="false">
      <c r="M610" s="0" t="str">
        <f aca="false">IF(CSV貼付A!$N610="","",IF(COUNTIF($B$37:$B$48,CSV貼付A!$H610)&gt;0,"",IF(SUMPRODUCT((CSV貼付A!$N$5:$N610=CSV貼付A!$N610)*(COUNTIF($B$37:$B$48,CSV貼付A!$H$5:$H610)=0))&gt;1,"",MAX($M$4:M609)+1)))</f>
        <v/>
      </c>
      <c r="N610" s="0" t="str">
        <f aca="false">IFERROR(INDEX(CSV貼付A!$N$5:$N$1004,MATCH(ROW()-4,$M$5:$M$1004,0)),"")</f>
        <v/>
      </c>
      <c r="O610" s="0" t="str">
        <f aca="false">IF(CSV貼付B!$N610="","",IF(COUNTIF($B$37:$B$48,CSV貼付B!$H610)&gt;0,"",IF(SUMPRODUCT((CSV貼付B!$N$5:$N610=CSV貼付B!$N610)*(COUNTIF($B$37:$B$48,CSV貼付B!$H$5:$H610)=0))&gt;1,"",MAX($O$4:O609)+1)))</f>
        <v/>
      </c>
      <c r="P610" s="0" t="str">
        <f aca="false">IFERROR(INDEX(CSV貼付B!$N$5:$N$1004,MATCH(ROW()-4,$O$5:$O$1004,0)),"")</f>
        <v/>
      </c>
      <c r="Q610" s="0" t="str">
        <f aca="false">IF(ROW()-4&lt;=MAX($M$5:$M$1004),IFERROR(INDEX($N$5:$N$1004,ROW()-4),""),IFERROR(INDEX($P$5:$P$1004,ROW()-4-MAX($M$5:$M$1004)),""))</f>
        <v/>
      </c>
    </row>
    <row r="611" customFormat="false" ht="15" hidden="false" customHeight="false" outlineLevel="0" collapsed="false">
      <c r="M611" s="0" t="str">
        <f aca="false">IF(CSV貼付A!$N611="","",IF(COUNTIF($B$37:$B$48,CSV貼付A!$H611)&gt;0,"",IF(SUMPRODUCT((CSV貼付A!$N$5:$N611=CSV貼付A!$N611)*(COUNTIF($B$37:$B$48,CSV貼付A!$H$5:$H611)=0))&gt;1,"",MAX($M$4:M610)+1)))</f>
        <v/>
      </c>
      <c r="N611" s="0" t="str">
        <f aca="false">IFERROR(INDEX(CSV貼付A!$N$5:$N$1004,MATCH(ROW()-4,$M$5:$M$1004,0)),"")</f>
        <v/>
      </c>
      <c r="O611" s="0" t="str">
        <f aca="false">IF(CSV貼付B!$N611="","",IF(COUNTIF($B$37:$B$48,CSV貼付B!$H611)&gt;0,"",IF(SUMPRODUCT((CSV貼付B!$N$5:$N611=CSV貼付B!$N611)*(COUNTIF($B$37:$B$48,CSV貼付B!$H$5:$H611)=0))&gt;1,"",MAX($O$4:O610)+1)))</f>
        <v/>
      </c>
      <c r="P611" s="0" t="str">
        <f aca="false">IFERROR(INDEX(CSV貼付B!$N$5:$N$1004,MATCH(ROW()-4,$O$5:$O$1004,0)),"")</f>
        <v/>
      </c>
      <c r="Q611" s="0" t="str">
        <f aca="false">IF(ROW()-4&lt;=MAX($M$5:$M$1004),IFERROR(INDEX($N$5:$N$1004,ROW()-4),""),IFERROR(INDEX($P$5:$P$1004,ROW()-4-MAX($M$5:$M$1004)),""))</f>
        <v/>
      </c>
    </row>
    <row r="612" customFormat="false" ht="15" hidden="false" customHeight="false" outlineLevel="0" collapsed="false">
      <c r="M612" s="0" t="str">
        <f aca="false">IF(CSV貼付A!$N612="","",IF(COUNTIF($B$37:$B$48,CSV貼付A!$H612)&gt;0,"",IF(SUMPRODUCT((CSV貼付A!$N$5:$N612=CSV貼付A!$N612)*(COUNTIF($B$37:$B$48,CSV貼付A!$H$5:$H612)=0))&gt;1,"",MAX($M$4:M611)+1)))</f>
        <v/>
      </c>
      <c r="N612" s="0" t="str">
        <f aca="false">IFERROR(INDEX(CSV貼付A!$N$5:$N$1004,MATCH(ROW()-4,$M$5:$M$1004,0)),"")</f>
        <v/>
      </c>
      <c r="O612" s="0" t="str">
        <f aca="false">IF(CSV貼付B!$N612="","",IF(COUNTIF($B$37:$B$48,CSV貼付B!$H612)&gt;0,"",IF(SUMPRODUCT((CSV貼付B!$N$5:$N612=CSV貼付B!$N612)*(COUNTIF($B$37:$B$48,CSV貼付B!$H$5:$H612)=0))&gt;1,"",MAX($O$4:O611)+1)))</f>
        <v/>
      </c>
      <c r="P612" s="0" t="str">
        <f aca="false">IFERROR(INDEX(CSV貼付B!$N$5:$N$1004,MATCH(ROW()-4,$O$5:$O$1004,0)),"")</f>
        <v/>
      </c>
      <c r="Q612" s="0" t="str">
        <f aca="false">IF(ROW()-4&lt;=MAX($M$5:$M$1004),IFERROR(INDEX($N$5:$N$1004,ROW()-4),""),IFERROR(INDEX($P$5:$P$1004,ROW()-4-MAX($M$5:$M$1004)),""))</f>
        <v/>
      </c>
    </row>
    <row r="613" customFormat="false" ht="15" hidden="false" customHeight="false" outlineLevel="0" collapsed="false">
      <c r="M613" s="0" t="str">
        <f aca="false">IF(CSV貼付A!$N613="","",IF(COUNTIF($B$37:$B$48,CSV貼付A!$H613)&gt;0,"",IF(SUMPRODUCT((CSV貼付A!$N$5:$N613=CSV貼付A!$N613)*(COUNTIF($B$37:$B$48,CSV貼付A!$H$5:$H613)=0))&gt;1,"",MAX($M$4:M612)+1)))</f>
        <v/>
      </c>
      <c r="N613" s="0" t="str">
        <f aca="false">IFERROR(INDEX(CSV貼付A!$N$5:$N$1004,MATCH(ROW()-4,$M$5:$M$1004,0)),"")</f>
        <v/>
      </c>
      <c r="O613" s="0" t="str">
        <f aca="false">IF(CSV貼付B!$N613="","",IF(COUNTIF($B$37:$B$48,CSV貼付B!$H613)&gt;0,"",IF(SUMPRODUCT((CSV貼付B!$N$5:$N613=CSV貼付B!$N613)*(COUNTIF($B$37:$B$48,CSV貼付B!$H$5:$H613)=0))&gt;1,"",MAX($O$4:O612)+1)))</f>
        <v/>
      </c>
      <c r="P613" s="0" t="str">
        <f aca="false">IFERROR(INDEX(CSV貼付B!$N$5:$N$1004,MATCH(ROW()-4,$O$5:$O$1004,0)),"")</f>
        <v/>
      </c>
      <c r="Q613" s="0" t="str">
        <f aca="false">IF(ROW()-4&lt;=MAX($M$5:$M$1004),IFERROR(INDEX($N$5:$N$1004,ROW()-4),""),IFERROR(INDEX($P$5:$P$1004,ROW()-4-MAX($M$5:$M$1004)),""))</f>
        <v/>
      </c>
    </row>
    <row r="614" customFormat="false" ht="15" hidden="false" customHeight="false" outlineLevel="0" collapsed="false">
      <c r="M614" s="0" t="str">
        <f aca="false">IF(CSV貼付A!$N614="","",IF(COUNTIF($B$37:$B$48,CSV貼付A!$H614)&gt;0,"",IF(SUMPRODUCT((CSV貼付A!$N$5:$N614=CSV貼付A!$N614)*(COUNTIF($B$37:$B$48,CSV貼付A!$H$5:$H614)=0))&gt;1,"",MAX($M$4:M613)+1)))</f>
        <v/>
      </c>
      <c r="N614" s="0" t="str">
        <f aca="false">IFERROR(INDEX(CSV貼付A!$N$5:$N$1004,MATCH(ROW()-4,$M$5:$M$1004,0)),"")</f>
        <v/>
      </c>
      <c r="O614" s="0" t="str">
        <f aca="false">IF(CSV貼付B!$N614="","",IF(COUNTIF($B$37:$B$48,CSV貼付B!$H614)&gt;0,"",IF(SUMPRODUCT((CSV貼付B!$N$5:$N614=CSV貼付B!$N614)*(COUNTIF($B$37:$B$48,CSV貼付B!$H$5:$H614)=0))&gt;1,"",MAX($O$4:O613)+1)))</f>
        <v/>
      </c>
      <c r="P614" s="0" t="str">
        <f aca="false">IFERROR(INDEX(CSV貼付B!$N$5:$N$1004,MATCH(ROW()-4,$O$5:$O$1004,0)),"")</f>
        <v/>
      </c>
      <c r="Q614" s="0" t="str">
        <f aca="false">IF(ROW()-4&lt;=MAX($M$5:$M$1004),IFERROR(INDEX($N$5:$N$1004,ROW()-4),""),IFERROR(INDEX($P$5:$P$1004,ROW()-4-MAX($M$5:$M$1004)),""))</f>
        <v/>
      </c>
    </row>
    <row r="615" customFormat="false" ht="15" hidden="false" customHeight="false" outlineLevel="0" collapsed="false">
      <c r="M615" s="0" t="str">
        <f aca="false">IF(CSV貼付A!$N615="","",IF(COUNTIF($B$37:$B$48,CSV貼付A!$H615)&gt;0,"",IF(SUMPRODUCT((CSV貼付A!$N$5:$N615=CSV貼付A!$N615)*(COUNTIF($B$37:$B$48,CSV貼付A!$H$5:$H615)=0))&gt;1,"",MAX($M$4:M614)+1)))</f>
        <v/>
      </c>
      <c r="N615" s="0" t="str">
        <f aca="false">IFERROR(INDEX(CSV貼付A!$N$5:$N$1004,MATCH(ROW()-4,$M$5:$M$1004,0)),"")</f>
        <v/>
      </c>
      <c r="O615" s="0" t="str">
        <f aca="false">IF(CSV貼付B!$N615="","",IF(COUNTIF($B$37:$B$48,CSV貼付B!$H615)&gt;0,"",IF(SUMPRODUCT((CSV貼付B!$N$5:$N615=CSV貼付B!$N615)*(COUNTIF($B$37:$B$48,CSV貼付B!$H$5:$H615)=0))&gt;1,"",MAX($O$4:O614)+1)))</f>
        <v/>
      </c>
      <c r="P615" s="0" t="str">
        <f aca="false">IFERROR(INDEX(CSV貼付B!$N$5:$N$1004,MATCH(ROW()-4,$O$5:$O$1004,0)),"")</f>
        <v/>
      </c>
      <c r="Q615" s="0" t="str">
        <f aca="false">IF(ROW()-4&lt;=MAX($M$5:$M$1004),IFERROR(INDEX($N$5:$N$1004,ROW()-4),""),IFERROR(INDEX($P$5:$P$1004,ROW()-4-MAX($M$5:$M$1004)),""))</f>
        <v/>
      </c>
    </row>
    <row r="616" customFormat="false" ht="15" hidden="false" customHeight="false" outlineLevel="0" collapsed="false">
      <c r="M616" s="0" t="str">
        <f aca="false">IF(CSV貼付A!$N616="","",IF(COUNTIF($B$37:$B$48,CSV貼付A!$H616)&gt;0,"",IF(SUMPRODUCT((CSV貼付A!$N$5:$N616=CSV貼付A!$N616)*(COUNTIF($B$37:$B$48,CSV貼付A!$H$5:$H616)=0))&gt;1,"",MAX($M$4:M615)+1)))</f>
        <v/>
      </c>
      <c r="N616" s="0" t="str">
        <f aca="false">IFERROR(INDEX(CSV貼付A!$N$5:$N$1004,MATCH(ROW()-4,$M$5:$M$1004,0)),"")</f>
        <v/>
      </c>
      <c r="O616" s="0" t="str">
        <f aca="false">IF(CSV貼付B!$N616="","",IF(COUNTIF($B$37:$B$48,CSV貼付B!$H616)&gt;0,"",IF(SUMPRODUCT((CSV貼付B!$N$5:$N616=CSV貼付B!$N616)*(COUNTIF($B$37:$B$48,CSV貼付B!$H$5:$H616)=0))&gt;1,"",MAX($O$4:O615)+1)))</f>
        <v/>
      </c>
      <c r="P616" s="0" t="str">
        <f aca="false">IFERROR(INDEX(CSV貼付B!$N$5:$N$1004,MATCH(ROW()-4,$O$5:$O$1004,0)),"")</f>
        <v/>
      </c>
      <c r="Q616" s="0" t="str">
        <f aca="false">IF(ROW()-4&lt;=MAX($M$5:$M$1004),IFERROR(INDEX($N$5:$N$1004,ROW()-4),""),IFERROR(INDEX($P$5:$P$1004,ROW()-4-MAX($M$5:$M$1004)),""))</f>
        <v/>
      </c>
    </row>
    <row r="617" customFormat="false" ht="15" hidden="false" customHeight="false" outlineLevel="0" collapsed="false">
      <c r="M617" s="0" t="str">
        <f aca="false">IF(CSV貼付A!$N617="","",IF(COUNTIF($B$37:$B$48,CSV貼付A!$H617)&gt;0,"",IF(SUMPRODUCT((CSV貼付A!$N$5:$N617=CSV貼付A!$N617)*(COUNTIF($B$37:$B$48,CSV貼付A!$H$5:$H617)=0))&gt;1,"",MAX($M$4:M616)+1)))</f>
        <v/>
      </c>
      <c r="N617" s="0" t="str">
        <f aca="false">IFERROR(INDEX(CSV貼付A!$N$5:$N$1004,MATCH(ROW()-4,$M$5:$M$1004,0)),"")</f>
        <v/>
      </c>
      <c r="O617" s="0" t="str">
        <f aca="false">IF(CSV貼付B!$N617="","",IF(COUNTIF($B$37:$B$48,CSV貼付B!$H617)&gt;0,"",IF(SUMPRODUCT((CSV貼付B!$N$5:$N617=CSV貼付B!$N617)*(COUNTIF($B$37:$B$48,CSV貼付B!$H$5:$H617)=0))&gt;1,"",MAX($O$4:O616)+1)))</f>
        <v/>
      </c>
      <c r="P617" s="0" t="str">
        <f aca="false">IFERROR(INDEX(CSV貼付B!$N$5:$N$1004,MATCH(ROW()-4,$O$5:$O$1004,0)),"")</f>
        <v/>
      </c>
      <c r="Q617" s="0" t="str">
        <f aca="false">IF(ROW()-4&lt;=MAX($M$5:$M$1004),IFERROR(INDEX($N$5:$N$1004,ROW()-4),""),IFERROR(INDEX($P$5:$P$1004,ROW()-4-MAX($M$5:$M$1004)),""))</f>
        <v/>
      </c>
    </row>
    <row r="618" customFormat="false" ht="15" hidden="false" customHeight="false" outlineLevel="0" collapsed="false">
      <c r="M618" s="0" t="str">
        <f aca="false">IF(CSV貼付A!$N618="","",IF(COUNTIF($B$37:$B$48,CSV貼付A!$H618)&gt;0,"",IF(SUMPRODUCT((CSV貼付A!$N$5:$N618=CSV貼付A!$N618)*(COUNTIF($B$37:$B$48,CSV貼付A!$H$5:$H618)=0))&gt;1,"",MAX($M$4:M617)+1)))</f>
        <v/>
      </c>
      <c r="N618" s="0" t="str">
        <f aca="false">IFERROR(INDEX(CSV貼付A!$N$5:$N$1004,MATCH(ROW()-4,$M$5:$M$1004,0)),"")</f>
        <v/>
      </c>
      <c r="O618" s="0" t="str">
        <f aca="false">IF(CSV貼付B!$N618="","",IF(COUNTIF($B$37:$B$48,CSV貼付B!$H618)&gt;0,"",IF(SUMPRODUCT((CSV貼付B!$N$5:$N618=CSV貼付B!$N618)*(COUNTIF($B$37:$B$48,CSV貼付B!$H$5:$H618)=0))&gt;1,"",MAX($O$4:O617)+1)))</f>
        <v/>
      </c>
      <c r="P618" s="0" t="str">
        <f aca="false">IFERROR(INDEX(CSV貼付B!$N$5:$N$1004,MATCH(ROW()-4,$O$5:$O$1004,0)),"")</f>
        <v/>
      </c>
      <c r="Q618" s="0" t="str">
        <f aca="false">IF(ROW()-4&lt;=MAX($M$5:$M$1004),IFERROR(INDEX($N$5:$N$1004,ROW()-4),""),IFERROR(INDEX($P$5:$P$1004,ROW()-4-MAX($M$5:$M$1004)),""))</f>
        <v/>
      </c>
    </row>
    <row r="619" customFormat="false" ht="15" hidden="false" customHeight="false" outlineLevel="0" collapsed="false">
      <c r="M619" s="0" t="str">
        <f aca="false">IF(CSV貼付A!$N619="","",IF(COUNTIF($B$37:$B$48,CSV貼付A!$H619)&gt;0,"",IF(SUMPRODUCT((CSV貼付A!$N$5:$N619=CSV貼付A!$N619)*(COUNTIF($B$37:$B$48,CSV貼付A!$H$5:$H619)=0))&gt;1,"",MAX($M$4:M618)+1)))</f>
        <v/>
      </c>
      <c r="N619" s="0" t="str">
        <f aca="false">IFERROR(INDEX(CSV貼付A!$N$5:$N$1004,MATCH(ROW()-4,$M$5:$M$1004,0)),"")</f>
        <v/>
      </c>
      <c r="O619" s="0" t="str">
        <f aca="false">IF(CSV貼付B!$N619="","",IF(COUNTIF($B$37:$B$48,CSV貼付B!$H619)&gt;0,"",IF(SUMPRODUCT((CSV貼付B!$N$5:$N619=CSV貼付B!$N619)*(COUNTIF($B$37:$B$48,CSV貼付B!$H$5:$H619)=0))&gt;1,"",MAX($O$4:O618)+1)))</f>
        <v/>
      </c>
      <c r="P619" s="0" t="str">
        <f aca="false">IFERROR(INDEX(CSV貼付B!$N$5:$N$1004,MATCH(ROW()-4,$O$5:$O$1004,0)),"")</f>
        <v/>
      </c>
      <c r="Q619" s="0" t="str">
        <f aca="false">IF(ROW()-4&lt;=MAX($M$5:$M$1004),IFERROR(INDEX($N$5:$N$1004,ROW()-4),""),IFERROR(INDEX($P$5:$P$1004,ROW()-4-MAX($M$5:$M$1004)),""))</f>
        <v/>
      </c>
    </row>
    <row r="620" customFormat="false" ht="15" hidden="false" customHeight="false" outlineLevel="0" collapsed="false">
      <c r="M620" s="0" t="str">
        <f aca="false">IF(CSV貼付A!$N620="","",IF(COUNTIF($B$37:$B$48,CSV貼付A!$H620)&gt;0,"",IF(SUMPRODUCT((CSV貼付A!$N$5:$N620=CSV貼付A!$N620)*(COUNTIF($B$37:$B$48,CSV貼付A!$H$5:$H620)=0))&gt;1,"",MAX($M$4:M619)+1)))</f>
        <v/>
      </c>
      <c r="N620" s="0" t="str">
        <f aca="false">IFERROR(INDEX(CSV貼付A!$N$5:$N$1004,MATCH(ROW()-4,$M$5:$M$1004,0)),"")</f>
        <v/>
      </c>
      <c r="O620" s="0" t="str">
        <f aca="false">IF(CSV貼付B!$N620="","",IF(COUNTIF($B$37:$B$48,CSV貼付B!$H620)&gt;0,"",IF(SUMPRODUCT((CSV貼付B!$N$5:$N620=CSV貼付B!$N620)*(COUNTIF($B$37:$B$48,CSV貼付B!$H$5:$H620)=0))&gt;1,"",MAX($O$4:O619)+1)))</f>
        <v/>
      </c>
      <c r="P620" s="0" t="str">
        <f aca="false">IFERROR(INDEX(CSV貼付B!$N$5:$N$1004,MATCH(ROW()-4,$O$5:$O$1004,0)),"")</f>
        <v/>
      </c>
      <c r="Q620" s="0" t="str">
        <f aca="false">IF(ROW()-4&lt;=MAX($M$5:$M$1004),IFERROR(INDEX($N$5:$N$1004,ROW()-4),""),IFERROR(INDEX($P$5:$P$1004,ROW()-4-MAX($M$5:$M$1004)),""))</f>
        <v/>
      </c>
    </row>
    <row r="621" customFormat="false" ht="15" hidden="false" customHeight="false" outlineLevel="0" collapsed="false">
      <c r="M621" s="0" t="str">
        <f aca="false">IF(CSV貼付A!$N621="","",IF(COUNTIF($B$37:$B$48,CSV貼付A!$H621)&gt;0,"",IF(SUMPRODUCT((CSV貼付A!$N$5:$N621=CSV貼付A!$N621)*(COUNTIF($B$37:$B$48,CSV貼付A!$H$5:$H621)=0))&gt;1,"",MAX($M$4:M620)+1)))</f>
        <v/>
      </c>
      <c r="N621" s="0" t="str">
        <f aca="false">IFERROR(INDEX(CSV貼付A!$N$5:$N$1004,MATCH(ROW()-4,$M$5:$M$1004,0)),"")</f>
        <v/>
      </c>
      <c r="O621" s="0" t="str">
        <f aca="false">IF(CSV貼付B!$N621="","",IF(COUNTIF($B$37:$B$48,CSV貼付B!$H621)&gt;0,"",IF(SUMPRODUCT((CSV貼付B!$N$5:$N621=CSV貼付B!$N621)*(COUNTIF($B$37:$B$48,CSV貼付B!$H$5:$H621)=0))&gt;1,"",MAX($O$4:O620)+1)))</f>
        <v/>
      </c>
      <c r="P621" s="0" t="str">
        <f aca="false">IFERROR(INDEX(CSV貼付B!$N$5:$N$1004,MATCH(ROW()-4,$O$5:$O$1004,0)),"")</f>
        <v/>
      </c>
      <c r="Q621" s="0" t="str">
        <f aca="false">IF(ROW()-4&lt;=MAX($M$5:$M$1004),IFERROR(INDEX($N$5:$N$1004,ROW()-4),""),IFERROR(INDEX($P$5:$P$1004,ROW()-4-MAX($M$5:$M$1004)),""))</f>
        <v/>
      </c>
    </row>
    <row r="622" customFormat="false" ht="15" hidden="false" customHeight="false" outlineLevel="0" collapsed="false">
      <c r="M622" s="0" t="str">
        <f aca="false">IF(CSV貼付A!$N622="","",IF(COUNTIF($B$37:$B$48,CSV貼付A!$H622)&gt;0,"",IF(SUMPRODUCT((CSV貼付A!$N$5:$N622=CSV貼付A!$N622)*(COUNTIF($B$37:$B$48,CSV貼付A!$H$5:$H622)=0))&gt;1,"",MAX($M$4:M621)+1)))</f>
        <v/>
      </c>
      <c r="N622" s="0" t="str">
        <f aca="false">IFERROR(INDEX(CSV貼付A!$N$5:$N$1004,MATCH(ROW()-4,$M$5:$M$1004,0)),"")</f>
        <v/>
      </c>
      <c r="O622" s="0" t="str">
        <f aca="false">IF(CSV貼付B!$N622="","",IF(COUNTIF($B$37:$B$48,CSV貼付B!$H622)&gt;0,"",IF(SUMPRODUCT((CSV貼付B!$N$5:$N622=CSV貼付B!$N622)*(COUNTIF($B$37:$B$48,CSV貼付B!$H$5:$H622)=0))&gt;1,"",MAX($O$4:O621)+1)))</f>
        <v/>
      </c>
      <c r="P622" s="0" t="str">
        <f aca="false">IFERROR(INDEX(CSV貼付B!$N$5:$N$1004,MATCH(ROW()-4,$O$5:$O$1004,0)),"")</f>
        <v/>
      </c>
      <c r="Q622" s="0" t="str">
        <f aca="false">IF(ROW()-4&lt;=MAX($M$5:$M$1004),IFERROR(INDEX($N$5:$N$1004,ROW()-4),""),IFERROR(INDEX($P$5:$P$1004,ROW()-4-MAX($M$5:$M$1004)),""))</f>
        <v/>
      </c>
    </row>
    <row r="623" customFormat="false" ht="15" hidden="false" customHeight="false" outlineLevel="0" collapsed="false">
      <c r="M623" s="0" t="str">
        <f aca="false">IF(CSV貼付A!$N623="","",IF(COUNTIF($B$37:$B$48,CSV貼付A!$H623)&gt;0,"",IF(SUMPRODUCT((CSV貼付A!$N$5:$N623=CSV貼付A!$N623)*(COUNTIF($B$37:$B$48,CSV貼付A!$H$5:$H623)=0))&gt;1,"",MAX($M$4:M622)+1)))</f>
        <v/>
      </c>
      <c r="N623" s="0" t="str">
        <f aca="false">IFERROR(INDEX(CSV貼付A!$N$5:$N$1004,MATCH(ROW()-4,$M$5:$M$1004,0)),"")</f>
        <v/>
      </c>
      <c r="O623" s="0" t="str">
        <f aca="false">IF(CSV貼付B!$N623="","",IF(COUNTIF($B$37:$B$48,CSV貼付B!$H623)&gt;0,"",IF(SUMPRODUCT((CSV貼付B!$N$5:$N623=CSV貼付B!$N623)*(COUNTIF($B$37:$B$48,CSV貼付B!$H$5:$H623)=0))&gt;1,"",MAX($O$4:O622)+1)))</f>
        <v/>
      </c>
      <c r="P623" s="0" t="str">
        <f aca="false">IFERROR(INDEX(CSV貼付B!$N$5:$N$1004,MATCH(ROW()-4,$O$5:$O$1004,0)),"")</f>
        <v/>
      </c>
      <c r="Q623" s="0" t="str">
        <f aca="false">IF(ROW()-4&lt;=MAX($M$5:$M$1004),IFERROR(INDEX($N$5:$N$1004,ROW()-4),""),IFERROR(INDEX($P$5:$P$1004,ROW()-4-MAX($M$5:$M$1004)),""))</f>
        <v/>
      </c>
    </row>
    <row r="624" customFormat="false" ht="15" hidden="false" customHeight="false" outlineLevel="0" collapsed="false">
      <c r="M624" s="0" t="str">
        <f aca="false">IF(CSV貼付A!$N624="","",IF(COUNTIF($B$37:$B$48,CSV貼付A!$H624)&gt;0,"",IF(SUMPRODUCT((CSV貼付A!$N$5:$N624=CSV貼付A!$N624)*(COUNTIF($B$37:$B$48,CSV貼付A!$H$5:$H624)=0))&gt;1,"",MAX($M$4:M623)+1)))</f>
        <v/>
      </c>
      <c r="N624" s="0" t="str">
        <f aca="false">IFERROR(INDEX(CSV貼付A!$N$5:$N$1004,MATCH(ROW()-4,$M$5:$M$1004,0)),"")</f>
        <v/>
      </c>
      <c r="O624" s="0" t="str">
        <f aca="false">IF(CSV貼付B!$N624="","",IF(COUNTIF($B$37:$B$48,CSV貼付B!$H624)&gt;0,"",IF(SUMPRODUCT((CSV貼付B!$N$5:$N624=CSV貼付B!$N624)*(COUNTIF($B$37:$B$48,CSV貼付B!$H$5:$H624)=0))&gt;1,"",MAX($O$4:O623)+1)))</f>
        <v/>
      </c>
      <c r="P624" s="0" t="str">
        <f aca="false">IFERROR(INDEX(CSV貼付B!$N$5:$N$1004,MATCH(ROW()-4,$O$5:$O$1004,0)),"")</f>
        <v/>
      </c>
      <c r="Q624" s="0" t="str">
        <f aca="false">IF(ROW()-4&lt;=MAX($M$5:$M$1004),IFERROR(INDEX($N$5:$N$1004,ROW()-4),""),IFERROR(INDEX($P$5:$P$1004,ROW()-4-MAX($M$5:$M$1004)),""))</f>
        <v/>
      </c>
    </row>
    <row r="625" customFormat="false" ht="15" hidden="false" customHeight="false" outlineLevel="0" collapsed="false">
      <c r="M625" s="0" t="str">
        <f aca="false">IF(CSV貼付A!$N625="","",IF(COUNTIF($B$37:$B$48,CSV貼付A!$H625)&gt;0,"",IF(SUMPRODUCT((CSV貼付A!$N$5:$N625=CSV貼付A!$N625)*(COUNTIF($B$37:$B$48,CSV貼付A!$H$5:$H625)=0))&gt;1,"",MAX($M$4:M624)+1)))</f>
        <v/>
      </c>
      <c r="N625" s="0" t="str">
        <f aca="false">IFERROR(INDEX(CSV貼付A!$N$5:$N$1004,MATCH(ROW()-4,$M$5:$M$1004,0)),"")</f>
        <v/>
      </c>
      <c r="O625" s="0" t="str">
        <f aca="false">IF(CSV貼付B!$N625="","",IF(COUNTIF($B$37:$B$48,CSV貼付B!$H625)&gt;0,"",IF(SUMPRODUCT((CSV貼付B!$N$5:$N625=CSV貼付B!$N625)*(COUNTIF($B$37:$B$48,CSV貼付B!$H$5:$H625)=0))&gt;1,"",MAX($O$4:O624)+1)))</f>
        <v/>
      </c>
      <c r="P625" s="0" t="str">
        <f aca="false">IFERROR(INDEX(CSV貼付B!$N$5:$N$1004,MATCH(ROW()-4,$O$5:$O$1004,0)),"")</f>
        <v/>
      </c>
      <c r="Q625" s="0" t="str">
        <f aca="false">IF(ROW()-4&lt;=MAX($M$5:$M$1004),IFERROR(INDEX($N$5:$N$1004,ROW()-4),""),IFERROR(INDEX($P$5:$P$1004,ROW()-4-MAX($M$5:$M$1004)),""))</f>
        <v/>
      </c>
    </row>
    <row r="626" customFormat="false" ht="15" hidden="false" customHeight="false" outlineLevel="0" collapsed="false">
      <c r="M626" s="0" t="str">
        <f aca="false">IF(CSV貼付A!$N626="","",IF(COUNTIF($B$37:$B$48,CSV貼付A!$H626)&gt;0,"",IF(SUMPRODUCT((CSV貼付A!$N$5:$N626=CSV貼付A!$N626)*(COUNTIF($B$37:$B$48,CSV貼付A!$H$5:$H626)=0))&gt;1,"",MAX($M$4:M625)+1)))</f>
        <v/>
      </c>
      <c r="N626" s="0" t="str">
        <f aca="false">IFERROR(INDEX(CSV貼付A!$N$5:$N$1004,MATCH(ROW()-4,$M$5:$M$1004,0)),"")</f>
        <v/>
      </c>
      <c r="O626" s="0" t="str">
        <f aca="false">IF(CSV貼付B!$N626="","",IF(COUNTIF($B$37:$B$48,CSV貼付B!$H626)&gt;0,"",IF(SUMPRODUCT((CSV貼付B!$N$5:$N626=CSV貼付B!$N626)*(COUNTIF($B$37:$B$48,CSV貼付B!$H$5:$H626)=0))&gt;1,"",MAX($O$4:O625)+1)))</f>
        <v/>
      </c>
      <c r="P626" s="0" t="str">
        <f aca="false">IFERROR(INDEX(CSV貼付B!$N$5:$N$1004,MATCH(ROW()-4,$O$5:$O$1004,0)),"")</f>
        <v/>
      </c>
      <c r="Q626" s="0" t="str">
        <f aca="false">IF(ROW()-4&lt;=MAX($M$5:$M$1004),IFERROR(INDEX($N$5:$N$1004,ROW()-4),""),IFERROR(INDEX($P$5:$P$1004,ROW()-4-MAX($M$5:$M$1004)),""))</f>
        <v/>
      </c>
    </row>
    <row r="627" customFormat="false" ht="15" hidden="false" customHeight="false" outlineLevel="0" collapsed="false">
      <c r="M627" s="0" t="str">
        <f aca="false">IF(CSV貼付A!$N627="","",IF(COUNTIF($B$37:$B$48,CSV貼付A!$H627)&gt;0,"",IF(SUMPRODUCT((CSV貼付A!$N$5:$N627=CSV貼付A!$N627)*(COUNTIF($B$37:$B$48,CSV貼付A!$H$5:$H627)=0))&gt;1,"",MAX($M$4:M626)+1)))</f>
        <v/>
      </c>
      <c r="N627" s="0" t="str">
        <f aca="false">IFERROR(INDEX(CSV貼付A!$N$5:$N$1004,MATCH(ROW()-4,$M$5:$M$1004,0)),"")</f>
        <v/>
      </c>
      <c r="O627" s="0" t="str">
        <f aca="false">IF(CSV貼付B!$N627="","",IF(COUNTIF($B$37:$B$48,CSV貼付B!$H627)&gt;0,"",IF(SUMPRODUCT((CSV貼付B!$N$5:$N627=CSV貼付B!$N627)*(COUNTIF($B$37:$B$48,CSV貼付B!$H$5:$H627)=0))&gt;1,"",MAX($O$4:O626)+1)))</f>
        <v/>
      </c>
      <c r="P627" s="0" t="str">
        <f aca="false">IFERROR(INDEX(CSV貼付B!$N$5:$N$1004,MATCH(ROW()-4,$O$5:$O$1004,0)),"")</f>
        <v/>
      </c>
      <c r="Q627" s="0" t="str">
        <f aca="false">IF(ROW()-4&lt;=MAX($M$5:$M$1004),IFERROR(INDEX($N$5:$N$1004,ROW()-4),""),IFERROR(INDEX($P$5:$P$1004,ROW()-4-MAX($M$5:$M$1004)),""))</f>
        <v/>
      </c>
    </row>
    <row r="628" customFormat="false" ht="15" hidden="false" customHeight="false" outlineLevel="0" collapsed="false">
      <c r="M628" s="0" t="str">
        <f aca="false">IF(CSV貼付A!$N628="","",IF(COUNTIF($B$37:$B$48,CSV貼付A!$H628)&gt;0,"",IF(SUMPRODUCT((CSV貼付A!$N$5:$N628=CSV貼付A!$N628)*(COUNTIF($B$37:$B$48,CSV貼付A!$H$5:$H628)=0))&gt;1,"",MAX($M$4:M627)+1)))</f>
        <v/>
      </c>
      <c r="N628" s="0" t="str">
        <f aca="false">IFERROR(INDEX(CSV貼付A!$N$5:$N$1004,MATCH(ROW()-4,$M$5:$M$1004,0)),"")</f>
        <v/>
      </c>
      <c r="O628" s="0" t="str">
        <f aca="false">IF(CSV貼付B!$N628="","",IF(COUNTIF($B$37:$B$48,CSV貼付B!$H628)&gt;0,"",IF(SUMPRODUCT((CSV貼付B!$N$5:$N628=CSV貼付B!$N628)*(COUNTIF($B$37:$B$48,CSV貼付B!$H$5:$H628)=0))&gt;1,"",MAX($O$4:O627)+1)))</f>
        <v/>
      </c>
      <c r="P628" s="0" t="str">
        <f aca="false">IFERROR(INDEX(CSV貼付B!$N$5:$N$1004,MATCH(ROW()-4,$O$5:$O$1004,0)),"")</f>
        <v/>
      </c>
      <c r="Q628" s="0" t="str">
        <f aca="false">IF(ROW()-4&lt;=MAX($M$5:$M$1004),IFERROR(INDEX($N$5:$N$1004,ROW()-4),""),IFERROR(INDEX($P$5:$P$1004,ROW()-4-MAX($M$5:$M$1004)),""))</f>
        <v/>
      </c>
    </row>
    <row r="629" customFormat="false" ht="15" hidden="false" customHeight="false" outlineLevel="0" collapsed="false">
      <c r="M629" s="0" t="str">
        <f aca="false">IF(CSV貼付A!$N629="","",IF(COUNTIF($B$37:$B$48,CSV貼付A!$H629)&gt;0,"",IF(SUMPRODUCT((CSV貼付A!$N$5:$N629=CSV貼付A!$N629)*(COUNTIF($B$37:$B$48,CSV貼付A!$H$5:$H629)=0))&gt;1,"",MAX($M$4:M628)+1)))</f>
        <v/>
      </c>
      <c r="N629" s="0" t="str">
        <f aca="false">IFERROR(INDEX(CSV貼付A!$N$5:$N$1004,MATCH(ROW()-4,$M$5:$M$1004,0)),"")</f>
        <v/>
      </c>
      <c r="O629" s="0" t="str">
        <f aca="false">IF(CSV貼付B!$N629="","",IF(COUNTIF($B$37:$B$48,CSV貼付B!$H629)&gt;0,"",IF(SUMPRODUCT((CSV貼付B!$N$5:$N629=CSV貼付B!$N629)*(COUNTIF($B$37:$B$48,CSV貼付B!$H$5:$H629)=0))&gt;1,"",MAX($O$4:O628)+1)))</f>
        <v/>
      </c>
      <c r="P629" s="0" t="str">
        <f aca="false">IFERROR(INDEX(CSV貼付B!$N$5:$N$1004,MATCH(ROW()-4,$O$5:$O$1004,0)),"")</f>
        <v/>
      </c>
      <c r="Q629" s="0" t="str">
        <f aca="false">IF(ROW()-4&lt;=MAX($M$5:$M$1004),IFERROR(INDEX($N$5:$N$1004,ROW()-4),""),IFERROR(INDEX($P$5:$P$1004,ROW()-4-MAX($M$5:$M$1004)),""))</f>
        <v/>
      </c>
    </row>
    <row r="630" customFormat="false" ht="15" hidden="false" customHeight="false" outlineLevel="0" collapsed="false">
      <c r="M630" s="0" t="str">
        <f aca="false">IF(CSV貼付A!$N630="","",IF(COUNTIF($B$37:$B$48,CSV貼付A!$H630)&gt;0,"",IF(SUMPRODUCT((CSV貼付A!$N$5:$N630=CSV貼付A!$N630)*(COUNTIF($B$37:$B$48,CSV貼付A!$H$5:$H630)=0))&gt;1,"",MAX($M$4:M629)+1)))</f>
        <v/>
      </c>
      <c r="N630" s="0" t="str">
        <f aca="false">IFERROR(INDEX(CSV貼付A!$N$5:$N$1004,MATCH(ROW()-4,$M$5:$M$1004,0)),"")</f>
        <v/>
      </c>
      <c r="O630" s="0" t="str">
        <f aca="false">IF(CSV貼付B!$N630="","",IF(COUNTIF($B$37:$B$48,CSV貼付B!$H630)&gt;0,"",IF(SUMPRODUCT((CSV貼付B!$N$5:$N630=CSV貼付B!$N630)*(COUNTIF($B$37:$B$48,CSV貼付B!$H$5:$H630)=0))&gt;1,"",MAX($O$4:O629)+1)))</f>
        <v/>
      </c>
      <c r="P630" s="0" t="str">
        <f aca="false">IFERROR(INDEX(CSV貼付B!$N$5:$N$1004,MATCH(ROW()-4,$O$5:$O$1004,0)),"")</f>
        <v/>
      </c>
      <c r="Q630" s="0" t="str">
        <f aca="false">IF(ROW()-4&lt;=MAX($M$5:$M$1004),IFERROR(INDEX($N$5:$N$1004,ROW()-4),""),IFERROR(INDEX($P$5:$P$1004,ROW()-4-MAX($M$5:$M$1004)),""))</f>
        <v/>
      </c>
    </row>
    <row r="631" customFormat="false" ht="15" hidden="false" customHeight="false" outlineLevel="0" collapsed="false">
      <c r="M631" s="0" t="str">
        <f aca="false">IF(CSV貼付A!$N631="","",IF(COUNTIF($B$37:$B$48,CSV貼付A!$H631)&gt;0,"",IF(SUMPRODUCT((CSV貼付A!$N$5:$N631=CSV貼付A!$N631)*(COUNTIF($B$37:$B$48,CSV貼付A!$H$5:$H631)=0))&gt;1,"",MAX($M$4:M630)+1)))</f>
        <v/>
      </c>
      <c r="N631" s="0" t="str">
        <f aca="false">IFERROR(INDEX(CSV貼付A!$N$5:$N$1004,MATCH(ROW()-4,$M$5:$M$1004,0)),"")</f>
        <v/>
      </c>
      <c r="O631" s="0" t="str">
        <f aca="false">IF(CSV貼付B!$N631="","",IF(COUNTIF($B$37:$B$48,CSV貼付B!$H631)&gt;0,"",IF(SUMPRODUCT((CSV貼付B!$N$5:$N631=CSV貼付B!$N631)*(COUNTIF($B$37:$B$48,CSV貼付B!$H$5:$H631)=0))&gt;1,"",MAX($O$4:O630)+1)))</f>
        <v/>
      </c>
      <c r="P631" s="0" t="str">
        <f aca="false">IFERROR(INDEX(CSV貼付B!$N$5:$N$1004,MATCH(ROW()-4,$O$5:$O$1004,0)),"")</f>
        <v/>
      </c>
      <c r="Q631" s="0" t="str">
        <f aca="false">IF(ROW()-4&lt;=MAX($M$5:$M$1004),IFERROR(INDEX($N$5:$N$1004,ROW()-4),""),IFERROR(INDEX($P$5:$P$1004,ROW()-4-MAX($M$5:$M$1004)),""))</f>
        <v/>
      </c>
    </row>
    <row r="632" customFormat="false" ht="15" hidden="false" customHeight="false" outlineLevel="0" collapsed="false">
      <c r="M632" s="0" t="str">
        <f aca="false">IF(CSV貼付A!$N632="","",IF(COUNTIF($B$37:$B$48,CSV貼付A!$H632)&gt;0,"",IF(SUMPRODUCT((CSV貼付A!$N$5:$N632=CSV貼付A!$N632)*(COUNTIF($B$37:$B$48,CSV貼付A!$H$5:$H632)=0))&gt;1,"",MAX($M$4:M631)+1)))</f>
        <v/>
      </c>
      <c r="N632" s="0" t="str">
        <f aca="false">IFERROR(INDEX(CSV貼付A!$N$5:$N$1004,MATCH(ROW()-4,$M$5:$M$1004,0)),"")</f>
        <v/>
      </c>
      <c r="O632" s="0" t="str">
        <f aca="false">IF(CSV貼付B!$N632="","",IF(COUNTIF($B$37:$B$48,CSV貼付B!$H632)&gt;0,"",IF(SUMPRODUCT((CSV貼付B!$N$5:$N632=CSV貼付B!$N632)*(COUNTIF($B$37:$B$48,CSV貼付B!$H$5:$H632)=0))&gt;1,"",MAX($O$4:O631)+1)))</f>
        <v/>
      </c>
      <c r="P632" s="0" t="str">
        <f aca="false">IFERROR(INDEX(CSV貼付B!$N$5:$N$1004,MATCH(ROW()-4,$O$5:$O$1004,0)),"")</f>
        <v/>
      </c>
      <c r="Q632" s="0" t="str">
        <f aca="false">IF(ROW()-4&lt;=MAX($M$5:$M$1004),IFERROR(INDEX($N$5:$N$1004,ROW()-4),""),IFERROR(INDEX($P$5:$P$1004,ROW()-4-MAX($M$5:$M$1004)),""))</f>
        <v/>
      </c>
    </row>
    <row r="633" customFormat="false" ht="15" hidden="false" customHeight="false" outlineLevel="0" collapsed="false">
      <c r="M633" s="0" t="str">
        <f aca="false">IF(CSV貼付A!$N633="","",IF(COUNTIF($B$37:$B$48,CSV貼付A!$H633)&gt;0,"",IF(SUMPRODUCT((CSV貼付A!$N$5:$N633=CSV貼付A!$N633)*(COUNTIF($B$37:$B$48,CSV貼付A!$H$5:$H633)=0))&gt;1,"",MAX($M$4:M632)+1)))</f>
        <v/>
      </c>
      <c r="N633" s="0" t="str">
        <f aca="false">IFERROR(INDEX(CSV貼付A!$N$5:$N$1004,MATCH(ROW()-4,$M$5:$M$1004,0)),"")</f>
        <v/>
      </c>
      <c r="O633" s="0" t="str">
        <f aca="false">IF(CSV貼付B!$N633="","",IF(COUNTIF($B$37:$B$48,CSV貼付B!$H633)&gt;0,"",IF(SUMPRODUCT((CSV貼付B!$N$5:$N633=CSV貼付B!$N633)*(COUNTIF($B$37:$B$48,CSV貼付B!$H$5:$H633)=0))&gt;1,"",MAX($O$4:O632)+1)))</f>
        <v/>
      </c>
      <c r="P633" s="0" t="str">
        <f aca="false">IFERROR(INDEX(CSV貼付B!$N$5:$N$1004,MATCH(ROW()-4,$O$5:$O$1004,0)),"")</f>
        <v/>
      </c>
      <c r="Q633" s="0" t="str">
        <f aca="false">IF(ROW()-4&lt;=MAX($M$5:$M$1004),IFERROR(INDEX($N$5:$N$1004,ROW()-4),""),IFERROR(INDEX($P$5:$P$1004,ROW()-4-MAX($M$5:$M$1004)),""))</f>
        <v/>
      </c>
    </row>
    <row r="634" customFormat="false" ht="15" hidden="false" customHeight="false" outlineLevel="0" collapsed="false">
      <c r="M634" s="0" t="str">
        <f aca="false">IF(CSV貼付A!$N634="","",IF(COUNTIF($B$37:$B$48,CSV貼付A!$H634)&gt;0,"",IF(SUMPRODUCT((CSV貼付A!$N$5:$N634=CSV貼付A!$N634)*(COUNTIF($B$37:$B$48,CSV貼付A!$H$5:$H634)=0))&gt;1,"",MAX($M$4:M633)+1)))</f>
        <v/>
      </c>
      <c r="N634" s="0" t="str">
        <f aca="false">IFERROR(INDEX(CSV貼付A!$N$5:$N$1004,MATCH(ROW()-4,$M$5:$M$1004,0)),"")</f>
        <v/>
      </c>
      <c r="O634" s="0" t="str">
        <f aca="false">IF(CSV貼付B!$N634="","",IF(COUNTIF($B$37:$B$48,CSV貼付B!$H634)&gt;0,"",IF(SUMPRODUCT((CSV貼付B!$N$5:$N634=CSV貼付B!$N634)*(COUNTIF($B$37:$B$48,CSV貼付B!$H$5:$H634)=0))&gt;1,"",MAX($O$4:O633)+1)))</f>
        <v/>
      </c>
      <c r="P634" s="0" t="str">
        <f aca="false">IFERROR(INDEX(CSV貼付B!$N$5:$N$1004,MATCH(ROW()-4,$O$5:$O$1004,0)),"")</f>
        <v/>
      </c>
      <c r="Q634" s="0" t="str">
        <f aca="false">IF(ROW()-4&lt;=MAX($M$5:$M$1004),IFERROR(INDEX($N$5:$N$1004,ROW()-4),""),IFERROR(INDEX($P$5:$P$1004,ROW()-4-MAX($M$5:$M$1004)),""))</f>
        <v/>
      </c>
    </row>
    <row r="635" customFormat="false" ht="15" hidden="false" customHeight="false" outlineLevel="0" collapsed="false">
      <c r="M635" s="0" t="str">
        <f aca="false">IF(CSV貼付A!$N635="","",IF(COUNTIF($B$37:$B$48,CSV貼付A!$H635)&gt;0,"",IF(SUMPRODUCT((CSV貼付A!$N$5:$N635=CSV貼付A!$N635)*(COUNTIF($B$37:$B$48,CSV貼付A!$H$5:$H635)=0))&gt;1,"",MAX($M$4:M634)+1)))</f>
        <v/>
      </c>
      <c r="N635" s="0" t="str">
        <f aca="false">IFERROR(INDEX(CSV貼付A!$N$5:$N$1004,MATCH(ROW()-4,$M$5:$M$1004,0)),"")</f>
        <v/>
      </c>
      <c r="O635" s="0" t="str">
        <f aca="false">IF(CSV貼付B!$N635="","",IF(COUNTIF($B$37:$B$48,CSV貼付B!$H635)&gt;0,"",IF(SUMPRODUCT((CSV貼付B!$N$5:$N635=CSV貼付B!$N635)*(COUNTIF($B$37:$B$48,CSV貼付B!$H$5:$H635)=0))&gt;1,"",MAX($O$4:O634)+1)))</f>
        <v/>
      </c>
      <c r="P635" s="0" t="str">
        <f aca="false">IFERROR(INDEX(CSV貼付B!$N$5:$N$1004,MATCH(ROW()-4,$O$5:$O$1004,0)),"")</f>
        <v/>
      </c>
      <c r="Q635" s="0" t="str">
        <f aca="false">IF(ROW()-4&lt;=MAX($M$5:$M$1004),IFERROR(INDEX($N$5:$N$1004,ROW()-4),""),IFERROR(INDEX($P$5:$P$1004,ROW()-4-MAX($M$5:$M$1004)),""))</f>
        <v/>
      </c>
    </row>
    <row r="636" customFormat="false" ht="15" hidden="false" customHeight="false" outlineLevel="0" collapsed="false">
      <c r="M636" s="0" t="str">
        <f aca="false">IF(CSV貼付A!$N636="","",IF(COUNTIF($B$37:$B$48,CSV貼付A!$H636)&gt;0,"",IF(SUMPRODUCT((CSV貼付A!$N$5:$N636=CSV貼付A!$N636)*(COUNTIF($B$37:$B$48,CSV貼付A!$H$5:$H636)=0))&gt;1,"",MAX($M$4:M635)+1)))</f>
        <v/>
      </c>
      <c r="N636" s="0" t="str">
        <f aca="false">IFERROR(INDEX(CSV貼付A!$N$5:$N$1004,MATCH(ROW()-4,$M$5:$M$1004,0)),"")</f>
        <v/>
      </c>
      <c r="O636" s="0" t="str">
        <f aca="false">IF(CSV貼付B!$N636="","",IF(COUNTIF($B$37:$B$48,CSV貼付B!$H636)&gt;0,"",IF(SUMPRODUCT((CSV貼付B!$N$5:$N636=CSV貼付B!$N636)*(COUNTIF($B$37:$B$48,CSV貼付B!$H$5:$H636)=0))&gt;1,"",MAX($O$4:O635)+1)))</f>
        <v/>
      </c>
      <c r="P636" s="0" t="str">
        <f aca="false">IFERROR(INDEX(CSV貼付B!$N$5:$N$1004,MATCH(ROW()-4,$O$5:$O$1004,0)),"")</f>
        <v/>
      </c>
      <c r="Q636" s="0" t="str">
        <f aca="false">IF(ROW()-4&lt;=MAX($M$5:$M$1004),IFERROR(INDEX($N$5:$N$1004,ROW()-4),""),IFERROR(INDEX($P$5:$P$1004,ROW()-4-MAX($M$5:$M$1004)),""))</f>
        <v/>
      </c>
    </row>
    <row r="637" customFormat="false" ht="15" hidden="false" customHeight="false" outlineLevel="0" collapsed="false">
      <c r="M637" s="0" t="str">
        <f aca="false">IF(CSV貼付A!$N637="","",IF(COUNTIF($B$37:$B$48,CSV貼付A!$H637)&gt;0,"",IF(SUMPRODUCT((CSV貼付A!$N$5:$N637=CSV貼付A!$N637)*(COUNTIF($B$37:$B$48,CSV貼付A!$H$5:$H637)=0))&gt;1,"",MAX($M$4:M636)+1)))</f>
        <v/>
      </c>
      <c r="N637" s="0" t="str">
        <f aca="false">IFERROR(INDEX(CSV貼付A!$N$5:$N$1004,MATCH(ROW()-4,$M$5:$M$1004,0)),"")</f>
        <v/>
      </c>
      <c r="O637" s="0" t="str">
        <f aca="false">IF(CSV貼付B!$N637="","",IF(COUNTIF($B$37:$B$48,CSV貼付B!$H637)&gt;0,"",IF(SUMPRODUCT((CSV貼付B!$N$5:$N637=CSV貼付B!$N637)*(COUNTIF($B$37:$B$48,CSV貼付B!$H$5:$H637)=0))&gt;1,"",MAX($O$4:O636)+1)))</f>
        <v/>
      </c>
      <c r="P637" s="0" t="str">
        <f aca="false">IFERROR(INDEX(CSV貼付B!$N$5:$N$1004,MATCH(ROW()-4,$O$5:$O$1004,0)),"")</f>
        <v/>
      </c>
      <c r="Q637" s="0" t="str">
        <f aca="false">IF(ROW()-4&lt;=MAX($M$5:$M$1004),IFERROR(INDEX($N$5:$N$1004,ROW()-4),""),IFERROR(INDEX($P$5:$P$1004,ROW()-4-MAX($M$5:$M$1004)),""))</f>
        <v/>
      </c>
    </row>
    <row r="638" customFormat="false" ht="15" hidden="false" customHeight="false" outlineLevel="0" collapsed="false">
      <c r="M638" s="0" t="str">
        <f aca="false">IF(CSV貼付A!$N638="","",IF(COUNTIF($B$37:$B$48,CSV貼付A!$H638)&gt;0,"",IF(SUMPRODUCT((CSV貼付A!$N$5:$N638=CSV貼付A!$N638)*(COUNTIF($B$37:$B$48,CSV貼付A!$H$5:$H638)=0))&gt;1,"",MAX($M$4:M637)+1)))</f>
        <v/>
      </c>
      <c r="N638" s="0" t="str">
        <f aca="false">IFERROR(INDEX(CSV貼付A!$N$5:$N$1004,MATCH(ROW()-4,$M$5:$M$1004,0)),"")</f>
        <v/>
      </c>
      <c r="O638" s="0" t="str">
        <f aca="false">IF(CSV貼付B!$N638="","",IF(COUNTIF($B$37:$B$48,CSV貼付B!$H638)&gt;0,"",IF(SUMPRODUCT((CSV貼付B!$N$5:$N638=CSV貼付B!$N638)*(COUNTIF($B$37:$B$48,CSV貼付B!$H$5:$H638)=0))&gt;1,"",MAX($O$4:O637)+1)))</f>
        <v/>
      </c>
      <c r="P638" s="0" t="str">
        <f aca="false">IFERROR(INDEX(CSV貼付B!$N$5:$N$1004,MATCH(ROW()-4,$O$5:$O$1004,0)),"")</f>
        <v/>
      </c>
      <c r="Q638" s="0" t="str">
        <f aca="false">IF(ROW()-4&lt;=MAX($M$5:$M$1004),IFERROR(INDEX($N$5:$N$1004,ROW()-4),""),IFERROR(INDEX($P$5:$P$1004,ROW()-4-MAX($M$5:$M$1004)),""))</f>
        <v/>
      </c>
    </row>
    <row r="639" customFormat="false" ht="15" hidden="false" customHeight="false" outlineLevel="0" collapsed="false">
      <c r="M639" s="0" t="str">
        <f aca="false">IF(CSV貼付A!$N639="","",IF(COUNTIF($B$37:$B$48,CSV貼付A!$H639)&gt;0,"",IF(SUMPRODUCT((CSV貼付A!$N$5:$N639=CSV貼付A!$N639)*(COUNTIF($B$37:$B$48,CSV貼付A!$H$5:$H639)=0))&gt;1,"",MAX($M$4:M638)+1)))</f>
        <v/>
      </c>
      <c r="N639" s="0" t="str">
        <f aca="false">IFERROR(INDEX(CSV貼付A!$N$5:$N$1004,MATCH(ROW()-4,$M$5:$M$1004,0)),"")</f>
        <v/>
      </c>
      <c r="O639" s="0" t="str">
        <f aca="false">IF(CSV貼付B!$N639="","",IF(COUNTIF($B$37:$B$48,CSV貼付B!$H639)&gt;0,"",IF(SUMPRODUCT((CSV貼付B!$N$5:$N639=CSV貼付B!$N639)*(COUNTIF($B$37:$B$48,CSV貼付B!$H$5:$H639)=0))&gt;1,"",MAX($O$4:O638)+1)))</f>
        <v/>
      </c>
      <c r="P639" s="0" t="str">
        <f aca="false">IFERROR(INDEX(CSV貼付B!$N$5:$N$1004,MATCH(ROW()-4,$O$5:$O$1004,0)),"")</f>
        <v/>
      </c>
      <c r="Q639" s="0" t="str">
        <f aca="false">IF(ROW()-4&lt;=MAX($M$5:$M$1004),IFERROR(INDEX($N$5:$N$1004,ROW()-4),""),IFERROR(INDEX($P$5:$P$1004,ROW()-4-MAX($M$5:$M$1004)),""))</f>
        <v/>
      </c>
    </row>
    <row r="640" customFormat="false" ht="15" hidden="false" customHeight="false" outlineLevel="0" collapsed="false">
      <c r="M640" s="0" t="str">
        <f aca="false">IF(CSV貼付A!$N640="","",IF(COUNTIF($B$37:$B$48,CSV貼付A!$H640)&gt;0,"",IF(SUMPRODUCT((CSV貼付A!$N$5:$N640=CSV貼付A!$N640)*(COUNTIF($B$37:$B$48,CSV貼付A!$H$5:$H640)=0))&gt;1,"",MAX($M$4:M639)+1)))</f>
        <v/>
      </c>
      <c r="N640" s="0" t="str">
        <f aca="false">IFERROR(INDEX(CSV貼付A!$N$5:$N$1004,MATCH(ROW()-4,$M$5:$M$1004,0)),"")</f>
        <v/>
      </c>
      <c r="O640" s="0" t="str">
        <f aca="false">IF(CSV貼付B!$N640="","",IF(COUNTIF($B$37:$B$48,CSV貼付B!$H640)&gt;0,"",IF(SUMPRODUCT((CSV貼付B!$N$5:$N640=CSV貼付B!$N640)*(COUNTIF($B$37:$B$48,CSV貼付B!$H$5:$H640)=0))&gt;1,"",MAX($O$4:O639)+1)))</f>
        <v/>
      </c>
      <c r="P640" s="0" t="str">
        <f aca="false">IFERROR(INDEX(CSV貼付B!$N$5:$N$1004,MATCH(ROW()-4,$O$5:$O$1004,0)),"")</f>
        <v/>
      </c>
      <c r="Q640" s="0" t="str">
        <f aca="false">IF(ROW()-4&lt;=MAX($M$5:$M$1004),IFERROR(INDEX($N$5:$N$1004,ROW()-4),""),IFERROR(INDEX($P$5:$P$1004,ROW()-4-MAX($M$5:$M$1004)),""))</f>
        <v/>
      </c>
    </row>
    <row r="641" customFormat="false" ht="15" hidden="false" customHeight="false" outlineLevel="0" collapsed="false">
      <c r="M641" s="0" t="str">
        <f aca="false">IF(CSV貼付A!$N641="","",IF(COUNTIF($B$37:$B$48,CSV貼付A!$H641)&gt;0,"",IF(SUMPRODUCT((CSV貼付A!$N$5:$N641=CSV貼付A!$N641)*(COUNTIF($B$37:$B$48,CSV貼付A!$H$5:$H641)=0))&gt;1,"",MAX($M$4:M640)+1)))</f>
        <v/>
      </c>
      <c r="N641" s="0" t="str">
        <f aca="false">IFERROR(INDEX(CSV貼付A!$N$5:$N$1004,MATCH(ROW()-4,$M$5:$M$1004,0)),"")</f>
        <v/>
      </c>
      <c r="O641" s="0" t="str">
        <f aca="false">IF(CSV貼付B!$N641="","",IF(COUNTIF($B$37:$B$48,CSV貼付B!$H641)&gt;0,"",IF(SUMPRODUCT((CSV貼付B!$N$5:$N641=CSV貼付B!$N641)*(COUNTIF($B$37:$B$48,CSV貼付B!$H$5:$H641)=0))&gt;1,"",MAX($O$4:O640)+1)))</f>
        <v/>
      </c>
      <c r="P641" s="0" t="str">
        <f aca="false">IFERROR(INDEX(CSV貼付B!$N$5:$N$1004,MATCH(ROW()-4,$O$5:$O$1004,0)),"")</f>
        <v/>
      </c>
      <c r="Q641" s="0" t="str">
        <f aca="false">IF(ROW()-4&lt;=MAX($M$5:$M$1004),IFERROR(INDEX($N$5:$N$1004,ROW()-4),""),IFERROR(INDEX($P$5:$P$1004,ROW()-4-MAX($M$5:$M$1004)),""))</f>
        <v/>
      </c>
    </row>
    <row r="642" customFormat="false" ht="15" hidden="false" customHeight="false" outlineLevel="0" collapsed="false">
      <c r="M642" s="0" t="str">
        <f aca="false">IF(CSV貼付A!$N642="","",IF(COUNTIF($B$37:$B$48,CSV貼付A!$H642)&gt;0,"",IF(SUMPRODUCT((CSV貼付A!$N$5:$N642=CSV貼付A!$N642)*(COUNTIF($B$37:$B$48,CSV貼付A!$H$5:$H642)=0))&gt;1,"",MAX($M$4:M641)+1)))</f>
        <v/>
      </c>
      <c r="N642" s="0" t="str">
        <f aca="false">IFERROR(INDEX(CSV貼付A!$N$5:$N$1004,MATCH(ROW()-4,$M$5:$M$1004,0)),"")</f>
        <v/>
      </c>
      <c r="O642" s="0" t="str">
        <f aca="false">IF(CSV貼付B!$N642="","",IF(COUNTIF($B$37:$B$48,CSV貼付B!$H642)&gt;0,"",IF(SUMPRODUCT((CSV貼付B!$N$5:$N642=CSV貼付B!$N642)*(COUNTIF($B$37:$B$48,CSV貼付B!$H$5:$H642)=0))&gt;1,"",MAX($O$4:O641)+1)))</f>
        <v/>
      </c>
      <c r="P642" s="0" t="str">
        <f aca="false">IFERROR(INDEX(CSV貼付B!$N$5:$N$1004,MATCH(ROW()-4,$O$5:$O$1004,0)),"")</f>
        <v/>
      </c>
      <c r="Q642" s="0" t="str">
        <f aca="false">IF(ROW()-4&lt;=MAX($M$5:$M$1004),IFERROR(INDEX($N$5:$N$1004,ROW()-4),""),IFERROR(INDEX($P$5:$P$1004,ROW()-4-MAX($M$5:$M$1004)),""))</f>
        <v/>
      </c>
    </row>
    <row r="643" customFormat="false" ht="15" hidden="false" customHeight="false" outlineLevel="0" collapsed="false">
      <c r="M643" s="0" t="str">
        <f aca="false">IF(CSV貼付A!$N643="","",IF(COUNTIF($B$37:$B$48,CSV貼付A!$H643)&gt;0,"",IF(SUMPRODUCT((CSV貼付A!$N$5:$N643=CSV貼付A!$N643)*(COUNTIF($B$37:$B$48,CSV貼付A!$H$5:$H643)=0))&gt;1,"",MAX($M$4:M642)+1)))</f>
        <v/>
      </c>
      <c r="N643" s="0" t="str">
        <f aca="false">IFERROR(INDEX(CSV貼付A!$N$5:$N$1004,MATCH(ROW()-4,$M$5:$M$1004,0)),"")</f>
        <v/>
      </c>
      <c r="O643" s="0" t="str">
        <f aca="false">IF(CSV貼付B!$N643="","",IF(COUNTIF($B$37:$B$48,CSV貼付B!$H643)&gt;0,"",IF(SUMPRODUCT((CSV貼付B!$N$5:$N643=CSV貼付B!$N643)*(COUNTIF($B$37:$B$48,CSV貼付B!$H$5:$H643)=0))&gt;1,"",MAX($O$4:O642)+1)))</f>
        <v/>
      </c>
      <c r="P643" s="0" t="str">
        <f aca="false">IFERROR(INDEX(CSV貼付B!$N$5:$N$1004,MATCH(ROW()-4,$O$5:$O$1004,0)),"")</f>
        <v/>
      </c>
      <c r="Q643" s="0" t="str">
        <f aca="false">IF(ROW()-4&lt;=MAX($M$5:$M$1004),IFERROR(INDEX($N$5:$N$1004,ROW()-4),""),IFERROR(INDEX($P$5:$P$1004,ROW()-4-MAX($M$5:$M$1004)),""))</f>
        <v/>
      </c>
    </row>
    <row r="644" customFormat="false" ht="15" hidden="false" customHeight="false" outlineLevel="0" collapsed="false">
      <c r="M644" s="0" t="str">
        <f aca="false">IF(CSV貼付A!$N644="","",IF(COUNTIF($B$37:$B$48,CSV貼付A!$H644)&gt;0,"",IF(SUMPRODUCT((CSV貼付A!$N$5:$N644=CSV貼付A!$N644)*(COUNTIF($B$37:$B$48,CSV貼付A!$H$5:$H644)=0))&gt;1,"",MAX($M$4:M643)+1)))</f>
        <v/>
      </c>
      <c r="N644" s="0" t="str">
        <f aca="false">IFERROR(INDEX(CSV貼付A!$N$5:$N$1004,MATCH(ROW()-4,$M$5:$M$1004,0)),"")</f>
        <v/>
      </c>
      <c r="O644" s="0" t="str">
        <f aca="false">IF(CSV貼付B!$N644="","",IF(COUNTIF($B$37:$B$48,CSV貼付B!$H644)&gt;0,"",IF(SUMPRODUCT((CSV貼付B!$N$5:$N644=CSV貼付B!$N644)*(COUNTIF($B$37:$B$48,CSV貼付B!$H$5:$H644)=0))&gt;1,"",MAX($O$4:O643)+1)))</f>
        <v/>
      </c>
      <c r="P644" s="0" t="str">
        <f aca="false">IFERROR(INDEX(CSV貼付B!$N$5:$N$1004,MATCH(ROW()-4,$O$5:$O$1004,0)),"")</f>
        <v/>
      </c>
      <c r="Q644" s="0" t="str">
        <f aca="false">IF(ROW()-4&lt;=MAX($M$5:$M$1004),IFERROR(INDEX($N$5:$N$1004,ROW()-4),""),IFERROR(INDEX($P$5:$P$1004,ROW()-4-MAX($M$5:$M$1004)),""))</f>
        <v/>
      </c>
    </row>
    <row r="645" customFormat="false" ht="15" hidden="false" customHeight="false" outlineLevel="0" collapsed="false">
      <c r="M645" s="0" t="str">
        <f aca="false">IF(CSV貼付A!$N645="","",IF(COUNTIF($B$37:$B$48,CSV貼付A!$H645)&gt;0,"",IF(SUMPRODUCT((CSV貼付A!$N$5:$N645=CSV貼付A!$N645)*(COUNTIF($B$37:$B$48,CSV貼付A!$H$5:$H645)=0))&gt;1,"",MAX($M$4:M644)+1)))</f>
        <v/>
      </c>
      <c r="N645" s="0" t="str">
        <f aca="false">IFERROR(INDEX(CSV貼付A!$N$5:$N$1004,MATCH(ROW()-4,$M$5:$M$1004,0)),"")</f>
        <v/>
      </c>
      <c r="O645" s="0" t="str">
        <f aca="false">IF(CSV貼付B!$N645="","",IF(COUNTIF($B$37:$B$48,CSV貼付B!$H645)&gt;0,"",IF(SUMPRODUCT((CSV貼付B!$N$5:$N645=CSV貼付B!$N645)*(COUNTIF($B$37:$B$48,CSV貼付B!$H$5:$H645)=0))&gt;1,"",MAX($O$4:O644)+1)))</f>
        <v/>
      </c>
      <c r="P645" s="0" t="str">
        <f aca="false">IFERROR(INDEX(CSV貼付B!$N$5:$N$1004,MATCH(ROW()-4,$O$5:$O$1004,0)),"")</f>
        <v/>
      </c>
      <c r="Q645" s="0" t="str">
        <f aca="false">IF(ROW()-4&lt;=MAX($M$5:$M$1004),IFERROR(INDEX($N$5:$N$1004,ROW()-4),""),IFERROR(INDEX($P$5:$P$1004,ROW()-4-MAX($M$5:$M$1004)),""))</f>
        <v/>
      </c>
    </row>
    <row r="646" customFormat="false" ht="15" hidden="false" customHeight="false" outlineLevel="0" collapsed="false">
      <c r="M646" s="0" t="str">
        <f aca="false">IF(CSV貼付A!$N646="","",IF(COUNTIF($B$37:$B$48,CSV貼付A!$H646)&gt;0,"",IF(SUMPRODUCT((CSV貼付A!$N$5:$N646=CSV貼付A!$N646)*(COUNTIF($B$37:$B$48,CSV貼付A!$H$5:$H646)=0))&gt;1,"",MAX($M$4:M645)+1)))</f>
        <v/>
      </c>
      <c r="N646" s="0" t="str">
        <f aca="false">IFERROR(INDEX(CSV貼付A!$N$5:$N$1004,MATCH(ROW()-4,$M$5:$M$1004,0)),"")</f>
        <v/>
      </c>
      <c r="O646" s="0" t="str">
        <f aca="false">IF(CSV貼付B!$N646="","",IF(COUNTIF($B$37:$B$48,CSV貼付B!$H646)&gt;0,"",IF(SUMPRODUCT((CSV貼付B!$N$5:$N646=CSV貼付B!$N646)*(COUNTIF($B$37:$B$48,CSV貼付B!$H$5:$H646)=0))&gt;1,"",MAX($O$4:O645)+1)))</f>
        <v/>
      </c>
      <c r="P646" s="0" t="str">
        <f aca="false">IFERROR(INDEX(CSV貼付B!$N$5:$N$1004,MATCH(ROW()-4,$O$5:$O$1004,0)),"")</f>
        <v/>
      </c>
      <c r="Q646" s="0" t="str">
        <f aca="false">IF(ROW()-4&lt;=MAX($M$5:$M$1004),IFERROR(INDEX($N$5:$N$1004,ROW()-4),""),IFERROR(INDEX($P$5:$P$1004,ROW()-4-MAX($M$5:$M$1004)),""))</f>
        <v/>
      </c>
    </row>
    <row r="647" customFormat="false" ht="15" hidden="false" customHeight="false" outlineLevel="0" collapsed="false">
      <c r="M647" s="0" t="str">
        <f aca="false">IF(CSV貼付A!$N647="","",IF(COUNTIF($B$37:$B$48,CSV貼付A!$H647)&gt;0,"",IF(SUMPRODUCT((CSV貼付A!$N$5:$N647=CSV貼付A!$N647)*(COUNTIF($B$37:$B$48,CSV貼付A!$H$5:$H647)=0))&gt;1,"",MAX($M$4:M646)+1)))</f>
        <v/>
      </c>
      <c r="N647" s="0" t="str">
        <f aca="false">IFERROR(INDEX(CSV貼付A!$N$5:$N$1004,MATCH(ROW()-4,$M$5:$M$1004,0)),"")</f>
        <v/>
      </c>
      <c r="O647" s="0" t="str">
        <f aca="false">IF(CSV貼付B!$N647="","",IF(COUNTIF($B$37:$B$48,CSV貼付B!$H647)&gt;0,"",IF(SUMPRODUCT((CSV貼付B!$N$5:$N647=CSV貼付B!$N647)*(COUNTIF($B$37:$B$48,CSV貼付B!$H$5:$H647)=0))&gt;1,"",MAX($O$4:O646)+1)))</f>
        <v/>
      </c>
      <c r="P647" s="0" t="str">
        <f aca="false">IFERROR(INDEX(CSV貼付B!$N$5:$N$1004,MATCH(ROW()-4,$O$5:$O$1004,0)),"")</f>
        <v/>
      </c>
      <c r="Q647" s="0" t="str">
        <f aca="false">IF(ROW()-4&lt;=MAX($M$5:$M$1004),IFERROR(INDEX($N$5:$N$1004,ROW()-4),""),IFERROR(INDEX($P$5:$P$1004,ROW()-4-MAX($M$5:$M$1004)),""))</f>
        <v/>
      </c>
    </row>
    <row r="648" customFormat="false" ht="15" hidden="false" customHeight="false" outlineLevel="0" collapsed="false">
      <c r="M648" s="0" t="str">
        <f aca="false">IF(CSV貼付A!$N648="","",IF(COUNTIF($B$37:$B$48,CSV貼付A!$H648)&gt;0,"",IF(SUMPRODUCT((CSV貼付A!$N$5:$N648=CSV貼付A!$N648)*(COUNTIF($B$37:$B$48,CSV貼付A!$H$5:$H648)=0))&gt;1,"",MAX($M$4:M647)+1)))</f>
        <v/>
      </c>
      <c r="N648" s="0" t="str">
        <f aca="false">IFERROR(INDEX(CSV貼付A!$N$5:$N$1004,MATCH(ROW()-4,$M$5:$M$1004,0)),"")</f>
        <v/>
      </c>
      <c r="O648" s="0" t="str">
        <f aca="false">IF(CSV貼付B!$N648="","",IF(COUNTIF($B$37:$B$48,CSV貼付B!$H648)&gt;0,"",IF(SUMPRODUCT((CSV貼付B!$N$5:$N648=CSV貼付B!$N648)*(COUNTIF($B$37:$B$48,CSV貼付B!$H$5:$H648)=0))&gt;1,"",MAX($O$4:O647)+1)))</f>
        <v/>
      </c>
      <c r="P648" s="0" t="str">
        <f aca="false">IFERROR(INDEX(CSV貼付B!$N$5:$N$1004,MATCH(ROW()-4,$O$5:$O$1004,0)),"")</f>
        <v/>
      </c>
      <c r="Q648" s="0" t="str">
        <f aca="false">IF(ROW()-4&lt;=MAX($M$5:$M$1004),IFERROR(INDEX($N$5:$N$1004,ROW()-4),""),IFERROR(INDEX($P$5:$P$1004,ROW()-4-MAX($M$5:$M$1004)),""))</f>
        <v/>
      </c>
    </row>
    <row r="649" customFormat="false" ht="15" hidden="false" customHeight="false" outlineLevel="0" collapsed="false">
      <c r="M649" s="0" t="str">
        <f aca="false">IF(CSV貼付A!$N649="","",IF(COUNTIF($B$37:$B$48,CSV貼付A!$H649)&gt;0,"",IF(SUMPRODUCT((CSV貼付A!$N$5:$N649=CSV貼付A!$N649)*(COUNTIF($B$37:$B$48,CSV貼付A!$H$5:$H649)=0))&gt;1,"",MAX($M$4:M648)+1)))</f>
        <v/>
      </c>
      <c r="N649" s="0" t="str">
        <f aca="false">IFERROR(INDEX(CSV貼付A!$N$5:$N$1004,MATCH(ROW()-4,$M$5:$M$1004,0)),"")</f>
        <v/>
      </c>
      <c r="O649" s="0" t="str">
        <f aca="false">IF(CSV貼付B!$N649="","",IF(COUNTIF($B$37:$B$48,CSV貼付B!$H649)&gt;0,"",IF(SUMPRODUCT((CSV貼付B!$N$5:$N649=CSV貼付B!$N649)*(COUNTIF($B$37:$B$48,CSV貼付B!$H$5:$H649)=0))&gt;1,"",MAX($O$4:O648)+1)))</f>
        <v/>
      </c>
      <c r="P649" s="0" t="str">
        <f aca="false">IFERROR(INDEX(CSV貼付B!$N$5:$N$1004,MATCH(ROW()-4,$O$5:$O$1004,0)),"")</f>
        <v/>
      </c>
      <c r="Q649" s="0" t="str">
        <f aca="false">IF(ROW()-4&lt;=MAX($M$5:$M$1004),IFERROR(INDEX($N$5:$N$1004,ROW()-4),""),IFERROR(INDEX($P$5:$P$1004,ROW()-4-MAX($M$5:$M$1004)),""))</f>
        <v/>
      </c>
    </row>
    <row r="650" customFormat="false" ht="15" hidden="false" customHeight="false" outlineLevel="0" collapsed="false">
      <c r="M650" s="0" t="str">
        <f aca="false">IF(CSV貼付A!$N650="","",IF(COUNTIF($B$37:$B$48,CSV貼付A!$H650)&gt;0,"",IF(SUMPRODUCT((CSV貼付A!$N$5:$N650=CSV貼付A!$N650)*(COUNTIF($B$37:$B$48,CSV貼付A!$H$5:$H650)=0))&gt;1,"",MAX($M$4:M649)+1)))</f>
        <v/>
      </c>
      <c r="N650" s="0" t="str">
        <f aca="false">IFERROR(INDEX(CSV貼付A!$N$5:$N$1004,MATCH(ROW()-4,$M$5:$M$1004,0)),"")</f>
        <v/>
      </c>
      <c r="O650" s="0" t="str">
        <f aca="false">IF(CSV貼付B!$N650="","",IF(COUNTIF($B$37:$B$48,CSV貼付B!$H650)&gt;0,"",IF(SUMPRODUCT((CSV貼付B!$N$5:$N650=CSV貼付B!$N650)*(COUNTIF($B$37:$B$48,CSV貼付B!$H$5:$H650)=0))&gt;1,"",MAX($O$4:O649)+1)))</f>
        <v/>
      </c>
      <c r="P650" s="0" t="str">
        <f aca="false">IFERROR(INDEX(CSV貼付B!$N$5:$N$1004,MATCH(ROW()-4,$O$5:$O$1004,0)),"")</f>
        <v/>
      </c>
      <c r="Q650" s="0" t="str">
        <f aca="false">IF(ROW()-4&lt;=MAX($M$5:$M$1004),IFERROR(INDEX($N$5:$N$1004,ROW()-4),""),IFERROR(INDEX($P$5:$P$1004,ROW()-4-MAX($M$5:$M$1004)),""))</f>
        <v/>
      </c>
    </row>
    <row r="651" customFormat="false" ht="15" hidden="false" customHeight="false" outlineLevel="0" collapsed="false">
      <c r="M651" s="0" t="str">
        <f aca="false">IF(CSV貼付A!$N651="","",IF(COUNTIF($B$37:$B$48,CSV貼付A!$H651)&gt;0,"",IF(SUMPRODUCT((CSV貼付A!$N$5:$N651=CSV貼付A!$N651)*(COUNTIF($B$37:$B$48,CSV貼付A!$H$5:$H651)=0))&gt;1,"",MAX($M$4:M650)+1)))</f>
        <v/>
      </c>
      <c r="N651" s="0" t="str">
        <f aca="false">IFERROR(INDEX(CSV貼付A!$N$5:$N$1004,MATCH(ROW()-4,$M$5:$M$1004,0)),"")</f>
        <v/>
      </c>
      <c r="O651" s="0" t="str">
        <f aca="false">IF(CSV貼付B!$N651="","",IF(COUNTIF($B$37:$B$48,CSV貼付B!$H651)&gt;0,"",IF(SUMPRODUCT((CSV貼付B!$N$5:$N651=CSV貼付B!$N651)*(COUNTIF($B$37:$B$48,CSV貼付B!$H$5:$H651)=0))&gt;1,"",MAX($O$4:O650)+1)))</f>
        <v/>
      </c>
      <c r="P651" s="0" t="str">
        <f aca="false">IFERROR(INDEX(CSV貼付B!$N$5:$N$1004,MATCH(ROW()-4,$O$5:$O$1004,0)),"")</f>
        <v/>
      </c>
      <c r="Q651" s="0" t="str">
        <f aca="false">IF(ROW()-4&lt;=MAX($M$5:$M$1004),IFERROR(INDEX($N$5:$N$1004,ROW()-4),""),IFERROR(INDEX($P$5:$P$1004,ROW()-4-MAX($M$5:$M$1004)),""))</f>
        <v/>
      </c>
    </row>
    <row r="652" customFormat="false" ht="15" hidden="false" customHeight="false" outlineLevel="0" collapsed="false">
      <c r="M652" s="0" t="str">
        <f aca="false">IF(CSV貼付A!$N652="","",IF(COUNTIF($B$37:$B$48,CSV貼付A!$H652)&gt;0,"",IF(SUMPRODUCT((CSV貼付A!$N$5:$N652=CSV貼付A!$N652)*(COUNTIF($B$37:$B$48,CSV貼付A!$H$5:$H652)=0))&gt;1,"",MAX($M$4:M651)+1)))</f>
        <v/>
      </c>
      <c r="N652" s="0" t="str">
        <f aca="false">IFERROR(INDEX(CSV貼付A!$N$5:$N$1004,MATCH(ROW()-4,$M$5:$M$1004,0)),"")</f>
        <v/>
      </c>
      <c r="O652" s="0" t="str">
        <f aca="false">IF(CSV貼付B!$N652="","",IF(COUNTIF($B$37:$B$48,CSV貼付B!$H652)&gt;0,"",IF(SUMPRODUCT((CSV貼付B!$N$5:$N652=CSV貼付B!$N652)*(COUNTIF($B$37:$B$48,CSV貼付B!$H$5:$H652)=0))&gt;1,"",MAX($O$4:O651)+1)))</f>
        <v/>
      </c>
      <c r="P652" s="0" t="str">
        <f aca="false">IFERROR(INDEX(CSV貼付B!$N$5:$N$1004,MATCH(ROW()-4,$O$5:$O$1004,0)),"")</f>
        <v/>
      </c>
      <c r="Q652" s="0" t="str">
        <f aca="false">IF(ROW()-4&lt;=MAX($M$5:$M$1004),IFERROR(INDEX($N$5:$N$1004,ROW()-4),""),IFERROR(INDEX($P$5:$P$1004,ROW()-4-MAX($M$5:$M$1004)),""))</f>
        <v/>
      </c>
    </row>
    <row r="653" customFormat="false" ht="15" hidden="false" customHeight="false" outlineLevel="0" collapsed="false">
      <c r="M653" s="0" t="str">
        <f aca="false">IF(CSV貼付A!$N653="","",IF(COUNTIF($B$37:$B$48,CSV貼付A!$H653)&gt;0,"",IF(SUMPRODUCT((CSV貼付A!$N$5:$N653=CSV貼付A!$N653)*(COUNTIF($B$37:$B$48,CSV貼付A!$H$5:$H653)=0))&gt;1,"",MAX($M$4:M652)+1)))</f>
        <v/>
      </c>
      <c r="N653" s="0" t="str">
        <f aca="false">IFERROR(INDEX(CSV貼付A!$N$5:$N$1004,MATCH(ROW()-4,$M$5:$M$1004,0)),"")</f>
        <v/>
      </c>
      <c r="O653" s="0" t="str">
        <f aca="false">IF(CSV貼付B!$N653="","",IF(COUNTIF($B$37:$B$48,CSV貼付B!$H653)&gt;0,"",IF(SUMPRODUCT((CSV貼付B!$N$5:$N653=CSV貼付B!$N653)*(COUNTIF($B$37:$B$48,CSV貼付B!$H$5:$H653)=0))&gt;1,"",MAX($O$4:O652)+1)))</f>
        <v/>
      </c>
      <c r="P653" s="0" t="str">
        <f aca="false">IFERROR(INDEX(CSV貼付B!$N$5:$N$1004,MATCH(ROW()-4,$O$5:$O$1004,0)),"")</f>
        <v/>
      </c>
      <c r="Q653" s="0" t="str">
        <f aca="false">IF(ROW()-4&lt;=MAX($M$5:$M$1004),IFERROR(INDEX($N$5:$N$1004,ROW()-4),""),IFERROR(INDEX($P$5:$P$1004,ROW()-4-MAX($M$5:$M$1004)),""))</f>
        <v/>
      </c>
    </row>
    <row r="654" customFormat="false" ht="15" hidden="false" customHeight="false" outlineLevel="0" collapsed="false">
      <c r="M654" s="0" t="str">
        <f aca="false">IF(CSV貼付A!$N654="","",IF(COUNTIF($B$37:$B$48,CSV貼付A!$H654)&gt;0,"",IF(SUMPRODUCT((CSV貼付A!$N$5:$N654=CSV貼付A!$N654)*(COUNTIF($B$37:$B$48,CSV貼付A!$H$5:$H654)=0))&gt;1,"",MAX($M$4:M653)+1)))</f>
        <v/>
      </c>
      <c r="N654" s="0" t="str">
        <f aca="false">IFERROR(INDEX(CSV貼付A!$N$5:$N$1004,MATCH(ROW()-4,$M$5:$M$1004,0)),"")</f>
        <v/>
      </c>
      <c r="O654" s="0" t="str">
        <f aca="false">IF(CSV貼付B!$N654="","",IF(COUNTIF($B$37:$B$48,CSV貼付B!$H654)&gt;0,"",IF(SUMPRODUCT((CSV貼付B!$N$5:$N654=CSV貼付B!$N654)*(COUNTIF($B$37:$B$48,CSV貼付B!$H$5:$H654)=0))&gt;1,"",MAX($O$4:O653)+1)))</f>
        <v/>
      </c>
      <c r="P654" s="0" t="str">
        <f aca="false">IFERROR(INDEX(CSV貼付B!$N$5:$N$1004,MATCH(ROW()-4,$O$5:$O$1004,0)),"")</f>
        <v/>
      </c>
      <c r="Q654" s="0" t="str">
        <f aca="false">IF(ROW()-4&lt;=MAX($M$5:$M$1004),IFERROR(INDEX($N$5:$N$1004,ROW()-4),""),IFERROR(INDEX($P$5:$P$1004,ROW()-4-MAX($M$5:$M$1004)),""))</f>
        <v/>
      </c>
    </row>
    <row r="655" customFormat="false" ht="15" hidden="false" customHeight="false" outlineLevel="0" collapsed="false">
      <c r="M655" s="0" t="str">
        <f aca="false">IF(CSV貼付A!$N655="","",IF(COUNTIF($B$37:$B$48,CSV貼付A!$H655)&gt;0,"",IF(SUMPRODUCT((CSV貼付A!$N$5:$N655=CSV貼付A!$N655)*(COUNTIF($B$37:$B$48,CSV貼付A!$H$5:$H655)=0))&gt;1,"",MAX($M$4:M654)+1)))</f>
        <v/>
      </c>
      <c r="N655" s="0" t="str">
        <f aca="false">IFERROR(INDEX(CSV貼付A!$N$5:$N$1004,MATCH(ROW()-4,$M$5:$M$1004,0)),"")</f>
        <v/>
      </c>
      <c r="O655" s="0" t="str">
        <f aca="false">IF(CSV貼付B!$N655="","",IF(COUNTIF($B$37:$B$48,CSV貼付B!$H655)&gt;0,"",IF(SUMPRODUCT((CSV貼付B!$N$5:$N655=CSV貼付B!$N655)*(COUNTIF($B$37:$B$48,CSV貼付B!$H$5:$H655)=0))&gt;1,"",MAX($O$4:O654)+1)))</f>
        <v/>
      </c>
      <c r="P655" s="0" t="str">
        <f aca="false">IFERROR(INDEX(CSV貼付B!$N$5:$N$1004,MATCH(ROW()-4,$O$5:$O$1004,0)),"")</f>
        <v/>
      </c>
      <c r="Q655" s="0" t="str">
        <f aca="false">IF(ROW()-4&lt;=MAX($M$5:$M$1004),IFERROR(INDEX($N$5:$N$1004,ROW()-4),""),IFERROR(INDEX($P$5:$P$1004,ROW()-4-MAX($M$5:$M$1004)),""))</f>
        <v/>
      </c>
    </row>
    <row r="656" customFormat="false" ht="15" hidden="false" customHeight="false" outlineLevel="0" collapsed="false">
      <c r="M656" s="0" t="str">
        <f aca="false">IF(CSV貼付A!$N656="","",IF(COUNTIF($B$37:$B$48,CSV貼付A!$H656)&gt;0,"",IF(SUMPRODUCT((CSV貼付A!$N$5:$N656=CSV貼付A!$N656)*(COUNTIF($B$37:$B$48,CSV貼付A!$H$5:$H656)=0))&gt;1,"",MAX($M$4:M655)+1)))</f>
        <v/>
      </c>
      <c r="N656" s="0" t="str">
        <f aca="false">IFERROR(INDEX(CSV貼付A!$N$5:$N$1004,MATCH(ROW()-4,$M$5:$M$1004,0)),"")</f>
        <v/>
      </c>
      <c r="O656" s="0" t="str">
        <f aca="false">IF(CSV貼付B!$N656="","",IF(COUNTIF($B$37:$B$48,CSV貼付B!$H656)&gt;0,"",IF(SUMPRODUCT((CSV貼付B!$N$5:$N656=CSV貼付B!$N656)*(COUNTIF($B$37:$B$48,CSV貼付B!$H$5:$H656)=0))&gt;1,"",MAX($O$4:O655)+1)))</f>
        <v/>
      </c>
      <c r="P656" s="0" t="str">
        <f aca="false">IFERROR(INDEX(CSV貼付B!$N$5:$N$1004,MATCH(ROW()-4,$O$5:$O$1004,0)),"")</f>
        <v/>
      </c>
      <c r="Q656" s="0" t="str">
        <f aca="false">IF(ROW()-4&lt;=MAX($M$5:$M$1004),IFERROR(INDEX($N$5:$N$1004,ROW()-4),""),IFERROR(INDEX($P$5:$P$1004,ROW()-4-MAX($M$5:$M$1004)),""))</f>
        <v/>
      </c>
    </row>
    <row r="657" customFormat="false" ht="15" hidden="false" customHeight="false" outlineLevel="0" collapsed="false">
      <c r="M657" s="0" t="str">
        <f aca="false">IF(CSV貼付A!$N657="","",IF(COUNTIF($B$37:$B$48,CSV貼付A!$H657)&gt;0,"",IF(SUMPRODUCT((CSV貼付A!$N$5:$N657=CSV貼付A!$N657)*(COUNTIF($B$37:$B$48,CSV貼付A!$H$5:$H657)=0))&gt;1,"",MAX($M$4:M656)+1)))</f>
        <v/>
      </c>
      <c r="N657" s="0" t="str">
        <f aca="false">IFERROR(INDEX(CSV貼付A!$N$5:$N$1004,MATCH(ROW()-4,$M$5:$M$1004,0)),"")</f>
        <v/>
      </c>
      <c r="O657" s="0" t="str">
        <f aca="false">IF(CSV貼付B!$N657="","",IF(COUNTIF($B$37:$B$48,CSV貼付B!$H657)&gt;0,"",IF(SUMPRODUCT((CSV貼付B!$N$5:$N657=CSV貼付B!$N657)*(COUNTIF($B$37:$B$48,CSV貼付B!$H$5:$H657)=0))&gt;1,"",MAX($O$4:O656)+1)))</f>
        <v/>
      </c>
      <c r="P657" s="0" t="str">
        <f aca="false">IFERROR(INDEX(CSV貼付B!$N$5:$N$1004,MATCH(ROW()-4,$O$5:$O$1004,0)),"")</f>
        <v/>
      </c>
      <c r="Q657" s="0" t="str">
        <f aca="false">IF(ROW()-4&lt;=MAX($M$5:$M$1004),IFERROR(INDEX($N$5:$N$1004,ROW()-4),""),IFERROR(INDEX($P$5:$P$1004,ROW()-4-MAX($M$5:$M$1004)),""))</f>
        <v/>
      </c>
    </row>
    <row r="658" customFormat="false" ht="15" hidden="false" customHeight="false" outlineLevel="0" collapsed="false">
      <c r="M658" s="0" t="str">
        <f aca="false">IF(CSV貼付A!$N658="","",IF(COUNTIF($B$37:$B$48,CSV貼付A!$H658)&gt;0,"",IF(SUMPRODUCT((CSV貼付A!$N$5:$N658=CSV貼付A!$N658)*(COUNTIF($B$37:$B$48,CSV貼付A!$H$5:$H658)=0))&gt;1,"",MAX($M$4:M657)+1)))</f>
        <v/>
      </c>
      <c r="N658" s="0" t="str">
        <f aca="false">IFERROR(INDEX(CSV貼付A!$N$5:$N$1004,MATCH(ROW()-4,$M$5:$M$1004,0)),"")</f>
        <v/>
      </c>
      <c r="O658" s="0" t="str">
        <f aca="false">IF(CSV貼付B!$N658="","",IF(COUNTIF($B$37:$B$48,CSV貼付B!$H658)&gt;0,"",IF(SUMPRODUCT((CSV貼付B!$N$5:$N658=CSV貼付B!$N658)*(COUNTIF($B$37:$B$48,CSV貼付B!$H$5:$H658)=0))&gt;1,"",MAX($O$4:O657)+1)))</f>
        <v/>
      </c>
      <c r="P658" s="0" t="str">
        <f aca="false">IFERROR(INDEX(CSV貼付B!$N$5:$N$1004,MATCH(ROW()-4,$O$5:$O$1004,0)),"")</f>
        <v/>
      </c>
      <c r="Q658" s="0" t="str">
        <f aca="false">IF(ROW()-4&lt;=MAX($M$5:$M$1004),IFERROR(INDEX($N$5:$N$1004,ROW()-4),""),IFERROR(INDEX($P$5:$P$1004,ROW()-4-MAX($M$5:$M$1004)),""))</f>
        <v/>
      </c>
    </row>
    <row r="659" customFormat="false" ht="15" hidden="false" customHeight="false" outlineLevel="0" collapsed="false">
      <c r="M659" s="0" t="str">
        <f aca="false">IF(CSV貼付A!$N659="","",IF(COUNTIF($B$37:$B$48,CSV貼付A!$H659)&gt;0,"",IF(SUMPRODUCT((CSV貼付A!$N$5:$N659=CSV貼付A!$N659)*(COUNTIF($B$37:$B$48,CSV貼付A!$H$5:$H659)=0))&gt;1,"",MAX($M$4:M658)+1)))</f>
        <v/>
      </c>
      <c r="N659" s="0" t="str">
        <f aca="false">IFERROR(INDEX(CSV貼付A!$N$5:$N$1004,MATCH(ROW()-4,$M$5:$M$1004,0)),"")</f>
        <v/>
      </c>
      <c r="O659" s="0" t="str">
        <f aca="false">IF(CSV貼付B!$N659="","",IF(COUNTIF($B$37:$B$48,CSV貼付B!$H659)&gt;0,"",IF(SUMPRODUCT((CSV貼付B!$N$5:$N659=CSV貼付B!$N659)*(COUNTIF($B$37:$B$48,CSV貼付B!$H$5:$H659)=0))&gt;1,"",MAX($O$4:O658)+1)))</f>
        <v/>
      </c>
      <c r="P659" s="0" t="str">
        <f aca="false">IFERROR(INDEX(CSV貼付B!$N$5:$N$1004,MATCH(ROW()-4,$O$5:$O$1004,0)),"")</f>
        <v/>
      </c>
      <c r="Q659" s="0" t="str">
        <f aca="false">IF(ROW()-4&lt;=MAX($M$5:$M$1004),IFERROR(INDEX($N$5:$N$1004,ROW()-4),""),IFERROR(INDEX($P$5:$P$1004,ROW()-4-MAX($M$5:$M$1004)),""))</f>
        <v/>
      </c>
    </row>
    <row r="660" customFormat="false" ht="15" hidden="false" customHeight="false" outlineLevel="0" collapsed="false">
      <c r="M660" s="0" t="str">
        <f aca="false">IF(CSV貼付A!$N660="","",IF(COUNTIF($B$37:$B$48,CSV貼付A!$H660)&gt;0,"",IF(SUMPRODUCT((CSV貼付A!$N$5:$N660=CSV貼付A!$N660)*(COUNTIF($B$37:$B$48,CSV貼付A!$H$5:$H660)=0))&gt;1,"",MAX($M$4:M659)+1)))</f>
        <v/>
      </c>
      <c r="N660" s="0" t="str">
        <f aca="false">IFERROR(INDEX(CSV貼付A!$N$5:$N$1004,MATCH(ROW()-4,$M$5:$M$1004,0)),"")</f>
        <v/>
      </c>
      <c r="O660" s="0" t="str">
        <f aca="false">IF(CSV貼付B!$N660="","",IF(COUNTIF($B$37:$B$48,CSV貼付B!$H660)&gt;0,"",IF(SUMPRODUCT((CSV貼付B!$N$5:$N660=CSV貼付B!$N660)*(COUNTIF($B$37:$B$48,CSV貼付B!$H$5:$H660)=0))&gt;1,"",MAX($O$4:O659)+1)))</f>
        <v/>
      </c>
      <c r="P660" s="0" t="str">
        <f aca="false">IFERROR(INDEX(CSV貼付B!$N$5:$N$1004,MATCH(ROW()-4,$O$5:$O$1004,0)),"")</f>
        <v/>
      </c>
      <c r="Q660" s="0" t="str">
        <f aca="false">IF(ROW()-4&lt;=MAX($M$5:$M$1004),IFERROR(INDEX($N$5:$N$1004,ROW()-4),""),IFERROR(INDEX($P$5:$P$1004,ROW()-4-MAX($M$5:$M$1004)),""))</f>
        <v/>
      </c>
    </row>
    <row r="661" customFormat="false" ht="15" hidden="false" customHeight="false" outlineLevel="0" collapsed="false">
      <c r="M661" s="0" t="str">
        <f aca="false">IF(CSV貼付A!$N661="","",IF(COUNTIF($B$37:$B$48,CSV貼付A!$H661)&gt;0,"",IF(SUMPRODUCT((CSV貼付A!$N$5:$N661=CSV貼付A!$N661)*(COUNTIF($B$37:$B$48,CSV貼付A!$H$5:$H661)=0))&gt;1,"",MAX($M$4:M660)+1)))</f>
        <v/>
      </c>
      <c r="N661" s="0" t="str">
        <f aca="false">IFERROR(INDEX(CSV貼付A!$N$5:$N$1004,MATCH(ROW()-4,$M$5:$M$1004,0)),"")</f>
        <v/>
      </c>
      <c r="O661" s="0" t="str">
        <f aca="false">IF(CSV貼付B!$N661="","",IF(COUNTIF($B$37:$B$48,CSV貼付B!$H661)&gt;0,"",IF(SUMPRODUCT((CSV貼付B!$N$5:$N661=CSV貼付B!$N661)*(COUNTIF($B$37:$B$48,CSV貼付B!$H$5:$H661)=0))&gt;1,"",MAX($O$4:O660)+1)))</f>
        <v/>
      </c>
      <c r="P661" s="0" t="str">
        <f aca="false">IFERROR(INDEX(CSV貼付B!$N$5:$N$1004,MATCH(ROW()-4,$O$5:$O$1004,0)),"")</f>
        <v/>
      </c>
      <c r="Q661" s="0" t="str">
        <f aca="false">IF(ROW()-4&lt;=MAX($M$5:$M$1004),IFERROR(INDEX($N$5:$N$1004,ROW()-4),""),IFERROR(INDEX($P$5:$P$1004,ROW()-4-MAX($M$5:$M$1004)),""))</f>
        <v/>
      </c>
    </row>
    <row r="662" customFormat="false" ht="15" hidden="false" customHeight="false" outlineLevel="0" collapsed="false">
      <c r="M662" s="0" t="str">
        <f aca="false">IF(CSV貼付A!$N662="","",IF(COUNTIF($B$37:$B$48,CSV貼付A!$H662)&gt;0,"",IF(SUMPRODUCT((CSV貼付A!$N$5:$N662=CSV貼付A!$N662)*(COUNTIF($B$37:$B$48,CSV貼付A!$H$5:$H662)=0))&gt;1,"",MAX($M$4:M661)+1)))</f>
        <v/>
      </c>
      <c r="N662" s="0" t="str">
        <f aca="false">IFERROR(INDEX(CSV貼付A!$N$5:$N$1004,MATCH(ROW()-4,$M$5:$M$1004,0)),"")</f>
        <v/>
      </c>
      <c r="O662" s="0" t="str">
        <f aca="false">IF(CSV貼付B!$N662="","",IF(COUNTIF($B$37:$B$48,CSV貼付B!$H662)&gt;0,"",IF(SUMPRODUCT((CSV貼付B!$N$5:$N662=CSV貼付B!$N662)*(COUNTIF($B$37:$B$48,CSV貼付B!$H$5:$H662)=0))&gt;1,"",MAX($O$4:O661)+1)))</f>
        <v/>
      </c>
      <c r="P662" s="0" t="str">
        <f aca="false">IFERROR(INDEX(CSV貼付B!$N$5:$N$1004,MATCH(ROW()-4,$O$5:$O$1004,0)),"")</f>
        <v/>
      </c>
      <c r="Q662" s="0" t="str">
        <f aca="false">IF(ROW()-4&lt;=MAX($M$5:$M$1004),IFERROR(INDEX($N$5:$N$1004,ROW()-4),""),IFERROR(INDEX($P$5:$P$1004,ROW()-4-MAX($M$5:$M$1004)),""))</f>
        <v/>
      </c>
    </row>
    <row r="663" customFormat="false" ht="15" hidden="false" customHeight="false" outlineLevel="0" collapsed="false">
      <c r="M663" s="0" t="str">
        <f aca="false">IF(CSV貼付A!$N663="","",IF(COUNTIF($B$37:$B$48,CSV貼付A!$H663)&gt;0,"",IF(SUMPRODUCT((CSV貼付A!$N$5:$N663=CSV貼付A!$N663)*(COUNTIF($B$37:$B$48,CSV貼付A!$H$5:$H663)=0))&gt;1,"",MAX($M$4:M662)+1)))</f>
        <v/>
      </c>
      <c r="N663" s="0" t="str">
        <f aca="false">IFERROR(INDEX(CSV貼付A!$N$5:$N$1004,MATCH(ROW()-4,$M$5:$M$1004,0)),"")</f>
        <v/>
      </c>
      <c r="O663" s="0" t="str">
        <f aca="false">IF(CSV貼付B!$N663="","",IF(COUNTIF($B$37:$B$48,CSV貼付B!$H663)&gt;0,"",IF(SUMPRODUCT((CSV貼付B!$N$5:$N663=CSV貼付B!$N663)*(COUNTIF($B$37:$B$48,CSV貼付B!$H$5:$H663)=0))&gt;1,"",MAX($O$4:O662)+1)))</f>
        <v/>
      </c>
      <c r="P663" s="0" t="str">
        <f aca="false">IFERROR(INDEX(CSV貼付B!$N$5:$N$1004,MATCH(ROW()-4,$O$5:$O$1004,0)),"")</f>
        <v/>
      </c>
      <c r="Q663" s="0" t="str">
        <f aca="false">IF(ROW()-4&lt;=MAX($M$5:$M$1004),IFERROR(INDEX($N$5:$N$1004,ROW()-4),""),IFERROR(INDEX($P$5:$P$1004,ROW()-4-MAX($M$5:$M$1004)),""))</f>
        <v/>
      </c>
    </row>
    <row r="664" customFormat="false" ht="15" hidden="false" customHeight="false" outlineLevel="0" collapsed="false">
      <c r="M664" s="0" t="str">
        <f aca="false">IF(CSV貼付A!$N664="","",IF(COUNTIF($B$37:$B$48,CSV貼付A!$H664)&gt;0,"",IF(SUMPRODUCT((CSV貼付A!$N$5:$N664=CSV貼付A!$N664)*(COUNTIF($B$37:$B$48,CSV貼付A!$H$5:$H664)=0))&gt;1,"",MAX($M$4:M663)+1)))</f>
        <v/>
      </c>
      <c r="N664" s="0" t="str">
        <f aca="false">IFERROR(INDEX(CSV貼付A!$N$5:$N$1004,MATCH(ROW()-4,$M$5:$M$1004,0)),"")</f>
        <v/>
      </c>
      <c r="O664" s="0" t="str">
        <f aca="false">IF(CSV貼付B!$N664="","",IF(COUNTIF($B$37:$B$48,CSV貼付B!$H664)&gt;0,"",IF(SUMPRODUCT((CSV貼付B!$N$5:$N664=CSV貼付B!$N664)*(COUNTIF($B$37:$B$48,CSV貼付B!$H$5:$H664)=0))&gt;1,"",MAX($O$4:O663)+1)))</f>
        <v/>
      </c>
      <c r="P664" s="0" t="str">
        <f aca="false">IFERROR(INDEX(CSV貼付B!$N$5:$N$1004,MATCH(ROW()-4,$O$5:$O$1004,0)),"")</f>
        <v/>
      </c>
      <c r="Q664" s="0" t="str">
        <f aca="false">IF(ROW()-4&lt;=MAX($M$5:$M$1004),IFERROR(INDEX($N$5:$N$1004,ROW()-4),""),IFERROR(INDEX($P$5:$P$1004,ROW()-4-MAX($M$5:$M$1004)),""))</f>
        <v/>
      </c>
    </row>
    <row r="665" customFormat="false" ht="15" hidden="false" customHeight="false" outlineLevel="0" collapsed="false">
      <c r="M665" s="0" t="str">
        <f aca="false">IF(CSV貼付A!$N665="","",IF(COUNTIF($B$37:$B$48,CSV貼付A!$H665)&gt;0,"",IF(SUMPRODUCT((CSV貼付A!$N$5:$N665=CSV貼付A!$N665)*(COUNTIF($B$37:$B$48,CSV貼付A!$H$5:$H665)=0))&gt;1,"",MAX($M$4:M664)+1)))</f>
        <v/>
      </c>
      <c r="N665" s="0" t="str">
        <f aca="false">IFERROR(INDEX(CSV貼付A!$N$5:$N$1004,MATCH(ROW()-4,$M$5:$M$1004,0)),"")</f>
        <v/>
      </c>
      <c r="O665" s="0" t="str">
        <f aca="false">IF(CSV貼付B!$N665="","",IF(COUNTIF($B$37:$B$48,CSV貼付B!$H665)&gt;0,"",IF(SUMPRODUCT((CSV貼付B!$N$5:$N665=CSV貼付B!$N665)*(COUNTIF($B$37:$B$48,CSV貼付B!$H$5:$H665)=0))&gt;1,"",MAX($O$4:O664)+1)))</f>
        <v/>
      </c>
      <c r="P665" s="0" t="str">
        <f aca="false">IFERROR(INDEX(CSV貼付B!$N$5:$N$1004,MATCH(ROW()-4,$O$5:$O$1004,0)),"")</f>
        <v/>
      </c>
      <c r="Q665" s="0" t="str">
        <f aca="false">IF(ROW()-4&lt;=MAX($M$5:$M$1004),IFERROR(INDEX($N$5:$N$1004,ROW()-4),""),IFERROR(INDEX($P$5:$P$1004,ROW()-4-MAX($M$5:$M$1004)),""))</f>
        <v/>
      </c>
    </row>
    <row r="666" customFormat="false" ht="15" hidden="false" customHeight="false" outlineLevel="0" collapsed="false">
      <c r="M666" s="0" t="str">
        <f aca="false">IF(CSV貼付A!$N666="","",IF(COUNTIF($B$37:$B$48,CSV貼付A!$H666)&gt;0,"",IF(SUMPRODUCT((CSV貼付A!$N$5:$N666=CSV貼付A!$N666)*(COUNTIF($B$37:$B$48,CSV貼付A!$H$5:$H666)=0))&gt;1,"",MAX($M$4:M665)+1)))</f>
        <v/>
      </c>
      <c r="N666" s="0" t="str">
        <f aca="false">IFERROR(INDEX(CSV貼付A!$N$5:$N$1004,MATCH(ROW()-4,$M$5:$M$1004,0)),"")</f>
        <v/>
      </c>
      <c r="O666" s="0" t="str">
        <f aca="false">IF(CSV貼付B!$N666="","",IF(COUNTIF($B$37:$B$48,CSV貼付B!$H666)&gt;0,"",IF(SUMPRODUCT((CSV貼付B!$N$5:$N666=CSV貼付B!$N666)*(COUNTIF($B$37:$B$48,CSV貼付B!$H$5:$H666)=0))&gt;1,"",MAX($O$4:O665)+1)))</f>
        <v/>
      </c>
      <c r="P666" s="0" t="str">
        <f aca="false">IFERROR(INDEX(CSV貼付B!$N$5:$N$1004,MATCH(ROW()-4,$O$5:$O$1004,0)),"")</f>
        <v/>
      </c>
      <c r="Q666" s="0" t="str">
        <f aca="false">IF(ROW()-4&lt;=MAX($M$5:$M$1004),IFERROR(INDEX($N$5:$N$1004,ROW()-4),""),IFERROR(INDEX($P$5:$P$1004,ROW()-4-MAX($M$5:$M$1004)),""))</f>
        <v/>
      </c>
    </row>
    <row r="667" customFormat="false" ht="15" hidden="false" customHeight="false" outlineLevel="0" collapsed="false">
      <c r="M667" s="0" t="str">
        <f aca="false">IF(CSV貼付A!$N667="","",IF(COUNTIF($B$37:$B$48,CSV貼付A!$H667)&gt;0,"",IF(SUMPRODUCT((CSV貼付A!$N$5:$N667=CSV貼付A!$N667)*(COUNTIF($B$37:$B$48,CSV貼付A!$H$5:$H667)=0))&gt;1,"",MAX($M$4:M666)+1)))</f>
        <v/>
      </c>
      <c r="N667" s="0" t="str">
        <f aca="false">IFERROR(INDEX(CSV貼付A!$N$5:$N$1004,MATCH(ROW()-4,$M$5:$M$1004,0)),"")</f>
        <v/>
      </c>
      <c r="O667" s="0" t="str">
        <f aca="false">IF(CSV貼付B!$N667="","",IF(COUNTIF($B$37:$B$48,CSV貼付B!$H667)&gt;0,"",IF(SUMPRODUCT((CSV貼付B!$N$5:$N667=CSV貼付B!$N667)*(COUNTIF($B$37:$B$48,CSV貼付B!$H$5:$H667)=0))&gt;1,"",MAX($O$4:O666)+1)))</f>
        <v/>
      </c>
      <c r="P667" s="0" t="str">
        <f aca="false">IFERROR(INDEX(CSV貼付B!$N$5:$N$1004,MATCH(ROW()-4,$O$5:$O$1004,0)),"")</f>
        <v/>
      </c>
      <c r="Q667" s="0" t="str">
        <f aca="false">IF(ROW()-4&lt;=MAX($M$5:$M$1004),IFERROR(INDEX($N$5:$N$1004,ROW()-4),""),IFERROR(INDEX($P$5:$P$1004,ROW()-4-MAX($M$5:$M$1004)),""))</f>
        <v/>
      </c>
    </row>
    <row r="668" customFormat="false" ht="15" hidden="false" customHeight="false" outlineLevel="0" collapsed="false">
      <c r="M668" s="0" t="str">
        <f aca="false">IF(CSV貼付A!$N668="","",IF(COUNTIF($B$37:$B$48,CSV貼付A!$H668)&gt;0,"",IF(SUMPRODUCT((CSV貼付A!$N$5:$N668=CSV貼付A!$N668)*(COUNTIF($B$37:$B$48,CSV貼付A!$H$5:$H668)=0))&gt;1,"",MAX($M$4:M667)+1)))</f>
        <v/>
      </c>
      <c r="N668" s="0" t="str">
        <f aca="false">IFERROR(INDEX(CSV貼付A!$N$5:$N$1004,MATCH(ROW()-4,$M$5:$M$1004,0)),"")</f>
        <v/>
      </c>
      <c r="O668" s="0" t="str">
        <f aca="false">IF(CSV貼付B!$N668="","",IF(COUNTIF($B$37:$B$48,CSV貼付B!$H668)&gt;0,"",IF(SUMPRODUCT((CSV貼付B!$N$5:$N668=CSV貼付B!$N668)*(COUNTIF($B$37:$B$48,CSV貼付B!$H$5:$H668)=0))&gt;1,"",MAX($O$4:O667)+1)))</f>
        <v/>
      </c>
      <c r="P668" s="0" t="str">
        <f aca="false">IFERROR(INDEX(CSV貼付B!$N$5:$N$1004,MATCH(ROW()-4,$O$5:$O$1004,0)),"")</f>
        <v/>
      </c>
      <c r="Q668" s="0" t="str">
        <f aca="false">IF(ROW()-4&lt;=MAX($M$5:$M$1004),IFERROR(INDEX($N$5:$N$1004,ROW()-4),""),IFERROR(INDEX($P$5:$P$1004,ROW()-4-MAX($M$5:$M$1004)),""))</f>
        <v/>
      </c>
    </row>
    <row r="669" customFormat="false" ht="15" hidden="false" customHeight="false" outlineLevel="0" collapsed="false">
      <c r="M669" s="0" t="str">
        <f aca="false">IF(CSV貼付A!$N669="","",IF(COUNTIF($B$37:$B$48,CSV貼付A!$H669)&gt;0,"",IF(SUMPRODUCT((CSV貼付A!$N$5:$N669=CSV貼付A!$N669)*(COUNTIF($B$37:$B$48,CSV貼付A!$H$5:$H669)=0))&gt;1,"",MAX($M$4:M668)+1)))</f>
        <v/>
      </c>
      <c r="N669" s="0" t="str">
        <f aca="false">IFERROR(INDEX(CSV貼付A!$N$5:$N$1004,MATCH(ROW()-4,$M$5:$M$1004,0)),"")</f>
        <v/>
      </c>
      <c r="O669" s="0" t="str">
        <f aca="false">IF(CSV貼付B!$N669="","",IF(COUNTIF($B$37:$B$48,CSV貼付B!$H669)&gt;0,"",IF(SUMPRODUCT((CSV貼付B!$N$5:$N669=CSV貼付B!$N669)*(COUNTIF($B$37:$B$48,CSV貼付B!$H$5:$H669)=0))&gt;1,"",MAX($O$4:O668)+1)))</f>
        <v/>
      </c>
      <c r="P669" s="0" t="str">
        <f aca="false">IFERROR(INDEX(CSV貼付B!$N$5:$N$1004,MATCH(ROW()-4,$O$5:$O$1004,0)),"")</f>
        <v/>
      </c>
      <c r="Q669" s="0" t="str">
        <f aca="false">IF(ROW()-4&lt;=MAX($M$5:$M$1004),IFERROR(INDEX($N$5:$N$1004,ROW()-4),""),IFERROR(INDEX($P$5:$P$1004,ROW()-4-MAX($M$5:$M$1004)),""))</f>
        <v/>
      </c>
    </row>
    <row r="670" customFormat="false" ht="15" hidden="false" customHeight="false" outlineLevel="0" collapsed="false">
      <c r="M670" s="0" t="str">
        <f aca="false">IF(CSV貼付A!$N670="","",IF(COUNTIF($B$37:$B$48,CSV貼付A!$H670)&gt;0,"",IF(SUMPRODUCT((CSV貼付A!$N$5:$N670=CSV貼付A!$N670)*(COUNTIF($B$37:$B$48,CSV貼付A!$H$5:$H670)=0))&gt;1,"",MAX($M$4:M669)+1)))</f>
        <v/>
      </c>
      <c r="N670" s="0" t="str">
        <f aca="false">IFERROR(INDEX(CSV貼付A!$N$5:$N$1004,MATCH(ROW()-4,$M$5:$M$1004,0)),"")</f>
        <v/>
      </c>
      <c r="O670" s="0" t="str">
        <f aca="false">IF(CSV貼付B!$N670="","",IF(COUNTIF($B$37:$B$48,CSV貼付B!$H670)&gt;0,"",IF(SUMPRODUCT((CSV貼付B!$N$5:$N670=CSV貼付B!$N670)*(COUNTIF($B$37:$B$48,CSV貼付B!$H$5:$H670)=0))&gt;1,"",MAX($O$4:O669)+1)))</f>
        <v/>
      </c>
      <c r="P670" s="0" t="str">
        <f aca="false">IFERROR(INDEX(CSV貼付B!$N$5:$N$1004,MATCH(ROW()-4,$O$5:$O$1004,0)),"")</f>
        <v/>
      </c>
      <c r="Q670" s="0" t="str">
        <f aca="false">IF(ROW()-4&lt;=MAX($M$5:$M$1004),IFERROR(INDEX($N$5:$N$1004,ROW()-4),""),IFERROR(INDEX($P$5:$P$1004,ROW()-4-MAX($M$5:$M$1004)),""))</f>
        <v/>
      </c>
    </row>
    <row r="671" customFormat="false" ht="15" hidden="false" customHeight="false" outlineLevel="0" collapsed="false">
      <c r="M671" s="0" t="str">
        <f aca="false">IF(CSV貼付A!$N671="","",IF(COUNTIF($B$37:$B$48,CSV貼付A!$H671)&gt;0,"",IF(SUMPRODUCT((CSV貼付A!$N$5:$N671=CSV貼付A!$N671)*(COUNTIF($B$37:$B$48,CSV貼付A!$H$5:$H671)=0))&gt;1,"",MAX($M$4:M670)+1)))</f>
        <v/>
      </c>
      <c r="N671" s="0" t="str">
        <f aca="false">IFERROR(INDEX(CSV貼付A!$N$5:$N$1004,MATCH(ROW()-4,$M$5:$M$1004,0)),"")</f>
        <v/>
      </c>
      <c r="O671" s="0" t="str">
        <f aca="false">IF(CSV貼付B!$N671="","",IF(COUNTIF($B$37:$B$48,CSV貼付B!$H671)&gt;0,"",IF(SUMPRODUCT((CSV貼付B!$N$5:$N671=CSV貼付B!$N671)*(COUNTIF($B$37:$B$48,CSV貼付B!$H$5:$H671)=0))&gt;1,"",MAX($O$4:O670)+1)))</f>
        <v/>
      </c>
      <c r="P671" s="0" t="str">
        <f aca="false">IFERROR(INDEX(CSV貼付B!$N$5:$N$1004,MATCH(ROW()-4,$O$5:$O$1004,0)),"")</f>
        <v/>
      </c>
      <c r="Q671" s="0" t="str">
        <f aca="false">IF(ROW()-4&lt;=MAX($M$5:$M$1004),IFERROR(INDEX($N$5:$N$1004,ROW()-4),""),IFERROR(INDEX($P$5:$P$1004,ROW()-4-MAX($M$5:$M$1004)),""))</f>
        <v/>
      </c>
    </row>
    <row r="672" customFormat="false" ht="15" hidden="false" customHeight="false" outlineLevel="0" collapsed="false">
      <c r="M672" s="0" t="str">
        <f aca="false">IF(CSV貼付A!$N672="","",IF(COUNTIF($B$37:$B$48,CSV貼付A!$H672)&gt;0,"",IF(SUMPRODUCT((CSV貼付A!$N$5:$N672=CSV貼付A!$N672)*(COUNTIF($B$37:$B$48,CSV貼付A!$H$5:$H672)=0))&gt;1,"",MAX($M$4:M671)+1)))</f>
        <v/>
      </c>
      <c r="N672" s="0" t="str">
        <f aca="false">IFERROR(INDEX(CSV貼付A!$N$5:$N$1004,MATCH(ROW()-4,$M$5:$M$1004,0)),"")</f>
        <v/>
      </c>
      <c r="O672" s="0" t="str">
        <f aca="false">IF(CSV貼付B!$N672="","",IF(COUNTIF($B$37:$B$48,CSV貼付B!$H672)&gt;0,"",IF(SUMPRODUCT((CSV貼付B!$N$5:$N672=CSV貼付B!$N672)*(COUNTIF($B$37:$B$48,CSV貼付B!$H$5:$H672)=0))&gt;1,"",MAX($O$4:O671)+1)))</f>
        <v/>
      </c>
      <c r="P672" s="0" t="str">
        <f aca="false">IFERROR(INDEX(CSV貼付B!$N$5:$N$1004,MATCH(ROW()-4,$O$5:$O$1004,0)),"")</f>
        <v/>
      </c>
      <c r="Q672" s="0" t="str">
        <f aca="false">IF(ROW()-4&lt;=MAX($M$5:$M$1004),IFERROR(INDEX($N$5:$N$1004,ROW()-4),""),IFERROR(INDEX($P$5:$P$1004,ROW()-4-MAX($M$5:$M$1004)),""))</f>
        <v/>
      </c>
    </row>
    <row r="673" customFormat="false" ht="15" hidden="false" customHeight="false" outlineLevel="0" collapsed="false">
      <c r="M673" s="0" t="str">
        <f aca="false">IF(CSV貼付A!$N673="","",IF(COUNTIF($B$37:$B$48,CSV貼付A!$H673)&gt;0,"",IF(SUMPRODUCT((CSV貼付A!$N$5:$N673=CSV貼付A!$N673)*(COUNTIF($B$37:$B$48,CSV貼付A!$H$5:$H673)=0))&gt;1,"",MAX($M$4:M672)+1)))</f>
        <v/>
      </c>
      <c r="N673" s="0" t="str">
        <f aca="false">IFERROR(INDEX(CSV貼付A!$N$5:$N$1004,MATCH(ROW()-4,$M$5:$M$1004,0)),"")</f>
        <v/>
      </c>
      <c r="O673" s="0" t="str">
        <f aca="false">IF(CSV貼付B!$N673="","",IF(COUNTIF($B$37:$B$48,CSV貼付B!$H673)&gt;0,"",IF(SUMPRODUCT((CSV貼付B!$N$5:$N673=CSV貼付B!$N673)*(COUNTIF($B$37:$B$48,CSV貼付B!$H$5:$H673)=0))&gt;1,"",MAX($O$4:O672)+1)))</f>
        <v/>
      </c>
      <c r="P673" s="0" t="str">
        <f aca="false">IFERROR(INDEX(CSV貼付B!$N$5:$N$1004,MATCH(ROW()-4,$O$5:$O$1004,0)),"")</f>
        <v/>
      </c>
      <c r="Q673" s="0" t="str">
        <f aca="false">IF(ROW()-4&lt;=MAX($M$5:$M$1004),IFERROR(INDEX($N$5:$N$1004,ROW()-4),""),IFERROR(INDEX($P$5:$P$1004,ROW()-4-MAX($M$5:$M$1004)),""))</f>
        <v/>
      </c>
    </row>
    <row r="674" customFormat="false" ht="15" hidden="false" customHeight="false" outlineLevel="0" collapsed="false">
      <c r="M674" s="0" t="str">
        <f aca="false">IF(CSV貼付A!$N674="","",IF(COUNTIF($B$37:$B$48,CSV貼付A!$H674)&gt;0,"",IF(SUMPRODUCT((CSV貼付A!$N$5:$N674=CSV貼付A!$N674)*(COUNTIF($B$37:$B$48,CSV貼付A!$H$5:$H674)=0))&gt;1,"",MAX($M$4:M673)+1)))</f>
        <v/>
      </c>
      <c r="N674" s="0" t="str">
        <f aca="false">IFERROR(INDEX(CSV貼付A!$N$5:$N$1004,MATCH(ROW()-4,$M$5:$M$1004,0)),"")</f>
        <v/>
      </c>
      <c r="O674" s="0" t="str">
        <f aca="false">IF(CSV貼付B!$N674="","",IF(COUNTIF($B$37:$B$48,CSV貼付B!$H674)&gt;0,"",IF(SUMPRODUCT((CSV貼付B!$N$5:$N674=CSV貼付B!$N674)*(COUNTIF($B$37:$B$48,CSV貼付B!$H$5:$H674)=0))&gt;1,"",MAX($O$4:O673)+1)))</f>
        <v/>
      </c>
      <c r="P674" s="0" t="str">
        <f aca="false">IFERROR(INDEX(CSV貼付B!$N$5:$N$1004,MATCH(ROW()-4,$O$5:$O$1004,0)),"")</f>
        <v/>
      </c>
      <c r="Q674" s="0" t="str">
        <f aca="false">IF(ROW()-4&lt;=MAX($M$5:$M$1004),IFERROR(INDEX($N$5:$N$1004,ROW()-4),""),IFERROR(INDEX($P$5:$P$1004,ROW()-4-MAX($M$5:$M$1004)),""))</f>
        <v/>
      </c>
    </row>
    <row r="675" customFormat="false" ht="15" hidden="false" customHeight="false" outlineLevel="0" collapsed="false">
      <c r="M675" s="0" t="str">
        <f aca="false">IF(CSV貼付A!$N675="","",IF(COUNTIF($B$37:$B$48,CSV貼付A!$H675)&gt;0,"",IF(SUMPRODUCT((CSV貼付A!$N$5:$N675=CSV貼付A!$N675)*(COUNTIF($B$37:$B$48,CSV貼付A!$H$5:$H675)=0))&gt;1,"",MAX($M$4:M674)+1)))</f>
        <v/>
      </c>
      <c r="N675" s="0" t="str">
        <f aca="false">IFERROR(INDEX(CSV貼付A!$N$5:$N$1004,MATCH(ROW()-4,$M$5:$M$1004,0)),"")</f>
        <v/>
      </c>
      <c r="O675" s="0" t="str">
        <f aca="false">IF(CSV貼付B!$N675="","",IF(COUNTIF($B$37:$B$48,CSV貼付B!$H675)&gt;0,"",IF(SUMPRODUCT((CSV貼付B!$N$5:$N675=CSV貼付B!$N675)*(COUNTIF($B$37:$B$48,CSV貼付B!$H$5:$H675)=0))&gt;1,"",MAX($O$4:O674)+1)))</f>
        <v/>
      </c>
      <c r="P675" s="0" t="str">
        <f aca="false">IFERROR(INDEX(CSV貼付B!$N$5:$N$1004,MATCH(ROW()-4,$O$5:$O$1004,0)),"")</f>
        <v/>
      </c>
      <c r="Q675" s="0" t="str">
        <f aca="false">IF(ROW()-4&lt;=MAX($M$5:$M$1004),IFERROR(INDEX($N$5:$N$1004,ROW()-4),""),IFERROR(INDEX($P$5:$P$1004,ROW()-4-MAX($M$5:$M$1004)),""))</f>
        <v/>
      </c>
    </row>
    <row r="676" customFormat="false" ht="15" hidden="false" customHeight="false" outlineLevel="0" collapsed="false">
      <c r="M676" s="0" t="str">
        <f aca="false">IF(CSV貼付A!$N676="","",IF(COUNTIF($B$37:$B$48,CSV貼付A!$H676)&gt;0,"",IF(SUMPRODUCT((CSV貼付A!$N$5:$N676=CSV貼付A!$N676)*(COUNTIF($B$37:$B$48,CSV貼付A!$H$5:$H676)=0))&gt;1,"",MAX($M$4:M675)+1)))</f>
        <v/>
      </c>
      <c r="N676" s="0" t="str">
        <f aca="false">IFERROR(INDEX(CSV貼付A!$N$5:$N$1004,MATCH(ROW()-4,$M$5:$M$1004,0)),"")</f>
        <v/>
      </c>
      <c r="O676" s="0" t="str">
        <f aca="false">IF(CSV貼付B!$N676="","",IF(COUNTIF($B$37:$B$48,CSV貼付B!$H676)&gt;0,"",IF(SUMPRODUCT((CSV貼付B!$N$5:$N676=CSV貼付B!$N676)*(COUNTIF($B$37:$B$48,CSV貼付B!$H$5:$H676)=0))&gt;1,"",MAX($O$4:O675)+1)))</f>
        <v/>
      </c>
      <c r="P676" s="0" t="str">
        <f aca="false">IFERROR(INDEX(CSV貼付B!$N$5:$N$1004,MATCH(ROW()-4,$O$5:$O$1004,0)),"")</f>
        <v/>
      </c>
      <c r="Q676" s="0" t="str">
        <f aca="false">IF(ROW()-4&lt;=MAX($M$5:$M$1004),IFERROR(INDEX($N$5:$N$1004,ROW()-4),""),IFERROR(INDEX($P$5:$P$1004,ROW()-4-MAX($M$5:$M$1004)),""))</f>
        <v/>
      </c>
    </row>
    <row r="677" customFormat="false" ht="15" hidden="false" customHeight="false" outlineLevel="0" collapsed="false">
      <c r="M677" s="0" t="str">
        <f aca="false">IF(CSV貼付A!$N677="","",IF(COUNTIF($B$37:$B$48,CSV貼付A!$H677)&gt;0,"",IF(SUMPRODUCT((CSV貼付A!$N$5:$N677=CSV貼付A!$N677)*(COUNTIF($B$37:$B$48,CSV貼付A!$H$5:$H677)=0))&gt;1,"",MAX($M$4:M676)+1)))</f>
        <v/>
      </c>
      <c r="N677" s="0" t="str">
        <f aca="false">IFERROR(INDEX(CSV貼付A!$N$5:$N$1004,MATCH(ROW()-4,$M$5:$M$1004,0)),"")</f>
        <v/>
      </c>
      <c r="O677" s="0" t="str">
        <f aca="false">IF(CSV貼付B!$N677="","",IF(COUNTIF($B$37:$B$48,CSV貼付B!$H677)&gt;0,"",IF(SUMPRODUCT((CSV貼付B!$N$5:$N677=CSV貼付B!$N677)*(COUNTIF($B$37:$B$48,CSV貼付B!$H$5:$H677)=0))&gt;1,"",MAX($O$4:O676)+1)))</f>
        <v/>
      </c>
      <c r="P677" s="0" t="str">
        <f aca="false">IFERROR(INDEX(CSV貼付B!$N$5:$N$1004,MATCH(ROW()-4,$O$5:$O$1004,0)),"")</f>
        <v/>
      </c>
      <c r="Q677" s="0" t="str">
        <f aca="false">IF(ROW()-4&lt;=MAX($M$5:$M$1004),IFERROR(INDEX($N$5:$N$1004,ROW()-4),""),IFERROR(INDEX($P$5:$P$1004,ROW()-4-MAX($M$5:$M$1004)),""))</f>
        <v/>
      </c>
    </row>
    <row r="678" customFormat="false" ht="15" hidden="false" customHeight="false" outlineLevel="0" collapsed="false">
      <c r="M678" s="0" t="str">
        <f aca="false">IF(CSV貼付A!$N678="","",IF(COUNTIF($B$37:$B$48,CSV貼付A!$H678)&gt;0,"",IF(SUMPRODUCT((CSV貼付A!$N$5:$N678=CSV貼付A!$N678)*(COUNTIF($B$37:$B$48,CSV貼付A!$H$5:$H678)=0))&gt;1,"",MAX($M$4:M677)+1)))</f>
        <v/>
      </c>
      <c r="N678" s="0" t="str">
        <f aca="false">IFERROR(INDEX(CSV貼付A!$N$5:$N$1004,MATCH(ROW()-4,$M$5:$M$1004,0)),"")</f>
        <v/>
      </c>
      <c r="O678" s="0" t="str">
        <f aca="false">IF(CSV貼付B!$N678="","",IF(COUNTIF($B$37:$B$48,CSV貼付B!$H678)&gt;0,"",IF(SUMPRODUCT((CSV貼付B!$N$5:$N678=CSV貼付B!$N678)*(COUNTIF($B$37:$B$48,CSV貼付B!$H$5:$H678)=0))&gt;1,"",MAX($O$4:O677)+1)))</f>
        <v/>
      </c>
      <c r="P678" s="0" t="str">
        <f aca="false">IFERROR(INDEX(CSV貼付B!$N$5:$N$1004,MATCH(ROW()-4,$O$5:$O$1004,0)),"")</f>
        <v/>
      </c>
      <c r="Q678" s="0" t="str">
        <f aca="false">IF(ROW()-4&lt;=MAX($M$5:$M$1004),IFERROR(INDEX($N$5:$N$1004,ROW()-4),""),IFERROR(INDEX($P$5:$P$1004,ROW()-4-MAX($M$5:$M$1004)),""))</f>
        <v/>
      </c>
    </row>
    <row r="679" customFormat="false" ht="15" hidden="false" customHeight="false" outlineLevel="0" collapsed="false">
      <c r="M679" s="0" t="str">
        <f aca="false">IF(CSV貼付A!$N679="","",IF(COUNTIF($B$37:$B$48,CSV貼付A!$H679)&gt;0,"",IF(SUMPRODUCT((CSV貼付A!$N$5:$N679=CSV貼付A!$N679)*(COUNTIF($B$37:$B$48,CSV貼付A!$H$5:$H679)=0))&gt;1,"",MAX($M$4:M678)+1)))</f>
        <v/>
      </c>
      <c r="N679" s="0" t="str">
        <f aca="false">IFERROR(INDEX(CSV貼付A!$N$5:$N$1004,MATCH(ROW()-4,$M$5:$M$1004,0)),"")</f>
        <v/>
      </c>
      <c r="O679" s="0" t="str">
        <f aca="false">IF(CSV貼付B!$N679="","",IF(COUNTIF($B$37:$B$48,CSV貼付B!$H679)&gt;0,"",IF(SUMPRODUCT((CSV貼付B!$N$5:$N679=CSV貼付B!$N679)*(COUNTIF($B$37:$B$48,CSV貼付B!$H$5:$H679)=0))&gt;1,"",MAX($O$4:O678)+1)))</f>
        <v/>
      </c>
      <c r="P679" s="0" t="str">
        <f aca="false">IFERROR(INDEX(CSV貼付B!$N$5:$N$1004,MATCH(ROW()-4,$O$5:$O$1004,0)),"")</f>
        <v/>
      </c>
      <c r="Q679" s="0" t="str">
        <f aca="false">IF(ROW()-4&lt;=MAX($M$5:$M$1004),IFERROR(INDEX($N$5:$N$1004,ROW()-4),""),IFERROR(INDEX($P$5:$P$1004,ROW()-4-MAX($M$5:$M$1004)),""))</f>
        <v/>
      </c>
    </row>
    <row r="680" customFormat="false" ht="15" hidden="false" customHeight="false" outlineLevel="0" collapsed="false">
      <c r="M680" s="0" t="str">
        <f aca="false">IF(CSV貼付A!$N680="","",IF(COUNTIF($B$37:$B$48,CSV貼付A!$H680)&gt;0,"",IF(SUMPRODUCT((CSV貼付A!$N$5:$N680=CSV貼付A!$N680)*(COUNTIF($B$37:$B$48,CSV貼付A!$H$5:$H680)=0))&gt;1,"",MAX($M$4:M679)+1)))</f>
        <v/>
      </c>
      <c r="N680" s="0" t="str">
        <f aca="false">IFERROR(INDEX(CSV貼付A!$N$5:$N$1004,MATCH(ROW()-4,$M$5:$M$1004,0)),"")</f>
        <v/>
      </c>
      <c r="O680" s="0" t="str">
        <f aca="false">IF(CSV貼付B!$N680="","",IF(COUNTIF($B$37:$B$48,CSV貼付B!$H680)&gt;0,"",IF(SUMPRODUCT((CSV貼付B!$N$5:$N680=CSV貼付B!$N680)*(COUNTIF($B$37:$B$48,CSV貼付B!$H$5:$H680)=0))&gt;1,"",MAX($O$4:O679)+1)))</f>
        <v/>
      </c>
      <c r="P680" s="0" t="str">
        <f aca="false">IFERROR(INDEX(CSV貼付B!$N$5:$N$1004,MATCH(ROW()-4,$O$5:$O$1004,0)),"")</f>
        <v/>
      </c>
      <c r="Q680" s="0" t="str">
        <f aca="false">IF(ROW()-4&lt;=MAX($M$5:$M$1004),IFERROR(INDEX($N$5:$N$1004,ROW()-4),""),IFERROR(INDEX($P$5:$P$1004,ROW()-4-MAX($M$5:$M$1004)),""))</f>
        <v/>
      </c>
    </row>
    <row r="681" customFormat="false" ht="15" hidden="false" customHeight="false" outlineLevel="0" collapsed="false">
      <c r="M681" s="0" t="str">
        <f aca="false">IF(CSV貼付A!$N681="","",IF(COUNTIF($B$37:$B$48,CSV貼付A!$H681)&gt;0,"",IF(SUMPRODUCT((CSV貼付A!$N$5:$N681=CSV貼付A!$N681)*(COUNTIF($B$37:$B$48,CSV貼付A!$H$5:$H681)=0))&gt;1,"",MAX($M$4:M680)+1)))</f>
        <v/>
      </c>
      <c r="N681" s="0" t="str">
        <f aca="false">IFERROR(INDEX(CSV貼付A!$N$5:$N$1004,MATCH(ROW()-4,$M$5:$M$1004,0)),"")</f>
        <v/>
      </c>
      <c r="O681" s="0" t="str">
        <f aca="false">IF(CSV貼付B!$N681="","",IF(COUNTIF($B$37:$B$48,CSV貼付B!$H681)&gt;0,"",IF(SUMPRODUCT((CSV貼付B!$N$5:$N681=CSV貼付B!$N681)*(COUNTIF($B$37:$B$48,CSV貼付B!$H$5:$H681)=0))&gt;1,"",MAX($O$4:O680)+1)))</f>
        <v/>
      </c>
      <c r="P681" s="0" t="str">
        <f aca="false">IFERROR(INDEX(CSV貼付B!$N$5:$N$1004,MATCH(ROW()-4,$O$5:$O$1004,0)),"")</f>
        <v/>
      </c>
      <c r="Q681" s="0" t="str">
        <f aca="false">IF(ROW()-4&lt;=MAX($M$5:$M$1004),IFERROR(INDEX($N$5:$N$1004,ROW()-4),""),IFERROR(INDEX($P$5:$P$1004,ROW()-4-MAX($M$5:$M$1004)),""))</f>
        <v/>
      </c>
    </row>
    <row r="682" customFormat="false" ht="15" hidden="false" customHeight="false" outlineLevel="0" collapsed="false">
      <c r="M682" s="0" t="str">
        <f aca="false">IF(CSV貼付A!$N682="","",IF(COUNTIF($B$37:$B$48,CSV貼付A!$H682)&gt;0,"",IF(SUMPRODUCT((CSV貼付A!$N$5:$N682=CSV貼付A!$N682)*(COUNTIF($B$37:$B$48,CSV貼付A!$H$5:$H682)=0))&gt;1,"",MAX($M$4:M681)+1)))</f>
        <v/>
      </c>
      <c r="N682" s="0" t="str">
        <f aca="false">IFERROR(INDEX(CSV貼付A!$N$5:$N$1004,MATCH(ROW()-4,$M$5:$M$1004,0)),"")</f>
        <v/>
      </c>
      <c r="O682" s="0" t="str">
        <f aca="false">IF(CSV貼付B!$N682="","",IF(COUNTIF($B$37:$B$48,CSV貼付B!$H682)&gt;0,"",IF(SUMPRODUCT((CSV貼付B!$N$5:$N682=CSV貼付B!$N682)*(COUNTIF($B$37:$B$48,CSV貼付B!$H$5:$H682)=0))&gt;1,"",MAX($O$4:O681)+1)))</f>
        <v/>
      </c>
      <c r="P682" s="0" t="str">
        <f aca="false">IFERROR(INDEX(CSV貼付B!$N$5:$N$1004,MATCH(ROW()-4,$O$5:$O$1004,0)),"")</f>
        <v/>
      </c>
      <c r="Q682" s="0" t="str">
        <f aca="false">IF(ROW()-4&lt;=MAX($M$5:$M$1004),IFERROR(INDEX($N$5:$N$1004,ROW()-4),""),IFERROR(INDEX($P$5:$P$1004,ROW()-4-MAX($M$5:$M$1004)),""))</f>
        <v/>
      </c>
    </row>
    <row r="683" customFormat="false" ht="15" hidden="false" customHeight="false" outlineLevel="0" collapsed="false">
      <c r="M683" s="0" t="str">
        <f aca="false">IF(CSV貼付A!$N683="","",IF(COUNTIF($B$37:$B$48,CSV貼付A!$H683)&gt;0,"",IF(SUMPRODUCT((CSV貼付A!$N$5:$N683=CSV貼付A!$N683)*(COUNTIF($B$37:$B$48,CSV貼付A!$H$5:$H683)=0))&gt;1,"",MAX($M$4:M682)+1)))</f>
        <v/>
      </c>
      <c r="N683" s="0" t="str">
        <f aca="false">IFERROR(INDEX(CSV貼付A!$N$5:$N$1004,MATCH(ROW()-4,$M$5:$M$1004,0)),"")</f>
        <v/>
      </c>
      <c r="O683" s="0" t="str">
        <f aca="false">IF(CSV貼付B!$N683="","",IF(COUNTIF($B$37:$B$48,CSV貼付B!$H683)&gt;0,"",IF(SUMPRODUCT((CSV貼付B!$N$5:$N683=CSV貼付B!$N683)*(COUNTIF($B$37:$B$48,CSV貼付B!$H$5:$H683)=0))&gt;1,"",MAX($O$4:O682)+1)))</f>
        <v/>
      </c>
      <c r="P683" s="0" t="str">
        <f aca="false">IFERROR(INDEX(CSV貼付B!$N$5:$N$1004,MATCH(ROW()-4,$O$5:$O$1004,0)),"")</f>
        <v/>
      </c>
      <c r="Q683" s="0" t="str">
        <f aca="false">IF(ROW()-4&lt;=MAX($M$5:$M$1004),IFERROR(INDEX($N$5:$N$1004,ROW()-4),""),IFERROR(INDEX($P$5:$P$1004,ROW()-4-MAX($M$5:$M$1004)),""))</f>
        <v/>
      </c>
    </row>
    <row r="684" customFormat="false" ht="15" hidden="false" customHeight="false" outlineLevel="0" collapsed="false">
      <c r="M684" s="0" t="str">
        <f aca="false">IF(CSV貼付A!$N684="","",IF(COUNTIF($B$37:$B$48,CSV貼付A!$H684)&gt;0,"",IF(SUMPRODUCT((CSV貼付A!$N$5:$N684=CSV貼付A!$N684)*(COUNTIF($B$37:$B$48,CSV貼付A!$H$5:$H684)=0))&gt;1,"",MAX($M$4:M683)+1)))</f>
        <v/>
      </c>
      <c r="N684" s="0" t="str">
        <f aca="false">IFERROR(INDEX(CSV貼付A!$N$5:$N$1004,MATCH(ROW()-4,$M$5:$M$1004,0)),"")</f>
        <v/>
      </c>
      <c r="O684" s="0" t="str">
        <f aca="false">IF(CSV貼付B!$N684="","",IF(COUNTIF($B$37:$B$48,CSV貼付B!$H684)&gt;0,"",IF(SUMPRODUCT((CSV貼付B!$N$5:$N684=CSV貼付B!$N684)*(COUNTIF($B$37:$B$48,CSV貼付B!$H$5:$H684)=0))&gt;1,"",MAX($O$4:O683)+1)))</f>
        <v/>
      </c>
      <c r="P684" s="0" t="str">
        <f aca="false">IFERROR(INDEX(CSV貼付B!$N$5:$N$1004,MATCH(ROW()-4,$O$5:$O$1004,0)),"")</f>
        <v/>
      </c>
      <c r="Q684" s="0" t="str">
        <f aca="false">IF(ROW()-4&lt;=MAX($M$5:$M$1004),IFERROR(INDEX($N$5:$N$1004,ROW()-4),""),IFERROR(INDEX($P$5:$P$1004,ROW()-4-MAX($M$5:$M$1004)),""))</f>
        <v/>
      </c>
    </row>
    <row r="685" customFormat="false" ht="15" hidden="false" customHeight="false" outlineLevel="0" collapsed="false">
      <c r="M685" s="0" t="str">
        <f aca="false">IF(CSV貼付A!$N685="","",IF(COUNTIF($B$37:$B$48,CSV貼付A!$H685)&gt;0,"",IF(SUMPRODUCT((CSV貼付A!$N$5:$N685=CSV貼付A!$N685)*(COUNTIF($B$37:$B$48,CSV貼付A!$H$5:$H685)=0))&gt;1,"",MAX($M$4:M684)+1)))</f>
        <v/>
      </c>
      <c r="N685" s="0" t="str">
        <f aca="false">IFERROR(INDEX(CSV貼付A!$N$5:$N$1004,MATCH(ROW()-4,$M$5:$M$1004,0)),"")</f>
        <v/>
      </c>
      <c r="O685" s="0" t="str">
        <f aca="false">IF(CSV貼付B!$N685="","",IF(COUNTIF($B$37:$B$48,CSV貼付B!$H685)&gt;0,"",IF(SUMPRODUCT((CSV貼付B!$N$5:$N685=CSV貼付B!$N685)*(COUNTIF($B$37:$B$48,CSV貼付B!$H$5:$H685)=0))&gt;1,"",MAX($O$4:O684)+1)))</f>
        <v/>
      </c>
      <c r="P685" s="0" t="str">
        <f aca="false">IFERROR(INDEX(CSV貼付B!$N$5:$N$1004,MATCH(ROW()-4,$O$5:$O$1004,0)),"")</f>
        <v/>
      </c>
      <c r="Q685" s="0" t="str">
        <f aca="false">IF(ROW()-4&lt;=MAX($M$5:$M$1004),IFERROR(INDEX($N$5:$N$1004,ROW()-4),""),IFERROR(INDEX($P$5:$P$1004,ROW()-4-MAX($M$5:$M$1004)),""))</f>
        <v/>
      </c>
    </row>
    <row r="686" customFormat="false" ht="15" hidden="false" customHeight="false" outlineLevel="0" collapsed="false">
      <c r="M686" s="0" t="str">
        <f aca="false">IF(CSV貼付A!$N686="","",IF(COUNTIF($B$37:$B$48,CSV貼付A!$H686)&gt;0,"",IF(SUMPRODUCT((CSV貼付A!$N$5:$N686=CSV貼付A!$N686)*(COUNTIF($B$37:$B$48,CSV貼付A!$H$5:$H686)=0))&gt;1,"",MAX($M$4:M685)+1)))</f>
        <v/>
      </c>
      <c r="N686" s="0" t="str">
        <f aca="false">IFERROR(INDEX(CSV貼付A!$N$5:$N$1004,MATCH(ROW()-4,$M$5:$M$1004,0)),"")</f>
        <v/>
      </c>
      <c r="O686" s="0" t="str">
        <f aca="false">IF(CSV貼付B!$N686="","",IF(COUNTIF($B$37:$B$48,CSV貼付B!$H686)&gt;0,"",IF(SUMPRODUCT((CSV貼付B!$N$5:$N686=CSV貼付B!$N686)*(COUNTIF($B$37:$B$48,CSV貼付B!$H$5:$H686)=0))&gt;1,"",MAX($O$4:O685)+1)))</f>
        <v/>
      </c>
      <c r="P686" s="0" t="str">
        <f aca="false">IFERROR(INDEX(CSV貼付B!$N$5:$N$1004,MATCH(ROW()-4,$O$5:$O$1004,0)),"")</f>
        <v/>
      </c>
      <c r="Q686" s="0" t="str">
        <f aca="false">IF(ROW()-4&lt;=MAX($M$5:$M$1004),IFERROR(INDEX($N$5:$N$1004,ROW()-4),""),IFERROR(INDEX($P$5:$P$1004,ROW()-4-MAX($M$5:$M$1004)),""))</f>
        <v/>
      </c>
    </row>
    <row r="687" customFormat="false" ht="15" hidden="false" customHeight="false" outlineLevel="0" collapsed="false">
      <c r="M687" s="0" t="str">
        <f aca="false">IF(CSV貼付A!$N687="","",IF(COUNTIF($B$37:$B$48,CSV貼付A!$H687)&gt;0,"",IF(SUMPRODUCT((CSV貼付A!$N$5:$N687=CSV貼付A!$N687)*(COUNTIF($B$37:$B$48,CSV貼付A!$H$5:$H687)=0))&gt;1,"",MAX($M$4:M686)+1)))</f>
        <v/>
      </c>
      <c r="N687" s="0" t="str">
        <f aca="false">IFERROR(INDEX(CSV貼付A!$N$5:$N$1004,MATCH(ROW()-4,$M$5:$M$1004,0)),"")</f>
        <v/>
      </c>
      <c r="O687" s="0" t="str">
        <f aca="false">IF(CSV貼付B!$N687="","",IF(COUNTIF($B$37:$B$48,CSV貼付B!$H687)&gt;0,"",IF(SUMPRODUCT((CSV貼付B!$N$5:$N687=CSV貼付B!$N687)*(COUNTIF($B$37:$B$48,CSV貼付B!$H$5:$H687)=0))&gt;1,"",MAX($O$4:O686)+1)))</f>
        <v/>
      </c>
      <c r="P687" s="0" t="str">
        <f aca="false">IFERROR(INDEX(CSV貼付B!$N$5:$N$1004,MATCH(ROW()-4,$O$5:$O$1004,0)),"")</f>
        <v/>
      </c>
      <c r="Q687" s="0" t="str">
        <f aca="false">IF(ROW()-4&lt;=MAX($M$5:$M$1004),IFERROR(INDEX($N$5:$N$1004,ROW()-4),""),IFERROR(INDEX($P$5:$P$1004,ROW()-4-MAX($M$5:$M$1004)),""))</f>
        <v/>
      </c>
    </row>
    <row r="688" customFormat="false" ht="15" hidden="false" customHeight="false" outlineLevel="0" collapsed="false">
      <c r="M688" s="0" t="str">
        <f aca="false">IF(CSV貼付A!$N688="","",IF(COUNTIF($B$37:$B$48,CSV貼付A!$H688)&gt;0,"",IF(SUMPRODUCT((CSV貼付A!$N$5:$N688=CSV貼付A!$N688)*(COUNTIF($B$37:$B$48,CSV貼付A!$H$5:$H688)=0))&gt;1,"",MAX($M$4:M687)+1)))</f>
        <v/>
      </c>
      <c r="N688" s="0" t="str">
        <f aca="false">IFERROR(INDEX(CSV貼付A!$N$5:$N$1004,MATCH(ROW()-4,$M$5:$M$1004,0)),"")</f>
        <v/>
      </c>
      <c r="O688" s="0" t="str">
        <f aca="false">IF(CSV貼付B!$N688="","",IF(COUNTIF($B$37:$B$48,CSV貼付B!$H688)&gt;0,"",IF(SUMPRODUCT((CSV貼付B!$N$5:$N688=CSV貼付B!$N688)*(COUNTIF($B$37:$B$48,CSV貼付B!$H$5:$H688)=0))&gt;1,"",MAX($O$4:O687)+1)))</f>
        <v/>
      </c>
      <c r="P688" s="0" t="str">
        <f aca="false">IFERROR(INDEX(CSV貼付B!$N$5:$N$1004,MATCH(ROW()-4,$O$5:$O$1004,0)),"")</f>
        <v/>
      </c>
      <c r="Q688" s="0" t="str">
        <f aca="false">IF(ROW()-4&lt;=MAX($M$5:$M$1004),IFERROR(INDEX($N$5:$N$1004,ROW()-4),""),IFERROR(INDEX($P$5:$P$1004,ROW()-4-MAX($M$5:$M$1004)),""))</f>
        <v/>
      </c>
    </row>
    <row r="689" customFormat="false" ht="15" hidden="false" customHeight="false" outlineLevel="0" collapsed="false">
      <c r="M689" s="0" t="str">
        <f aca="false">IF(CSV貼付A!$N689="","",IF(COUNTIF($B$37:$B$48,CSV貼付A!$H689)&gt;0,"",IF(SUMPRODUCT((CSV貼付A!$N$5:$N689=CSV貼付A!$N689)*(COUNTIF($B$37:$B$48,CSV貼付A!$H$5:$H689)=0))&gt;1,"",MAX($M$4:M688)+1)))</f>
        <v/>
      </c>
      <c r="N689" s="0" t="str">
        <f aca="false">IFERROR(INDEX(CSV貼付A!$N$5:$N$1004,MATCH(ROW()-4,$M$5:$M$1004,0)),"")</f>
        <v/>
      </c>
      <c r="O689" s="0" t="str">
        <f aca="false">IF(CSV貼付B!$N689="","",IF(COUNTIF($B$37:$B$48,CSV貼付B!$H689)&gt;0,"",IF(SUMPRODUCT((CSV貼付B!$N$5:$N689=CSV貼付B!$N689)*(COUNTIF($B$37:$B$48,CSV貼付B!$H$5:$H689)=0))&gt;1,"",MAX($O$4:O688)+1)))</f>
        <v/>
      </c>
      <c r="P689" s="0" t="str">
        <f aca="false">IFERROR(INDEX(CSV貼付B!$N$5:$N$1004,MATCH(ROW()-4,$O$5:$O$1004,0)),"")</f>
        <v/>
      </c>
      <c r="Q689" s="0" t="str">
        <f aca="false">IF(ROW()-4&lt;=MAX($M$5:$M$1004),IFERROR(INDEX($N$5:$N$1004,ROW()-4),""),IFERROR(INDEX($P$5:$P$1004,ROW()-4-MAX($M$5:$M$1004)),""))</f>
        <v/>
      </c>
    </row>
    <row r="690" customFormat="false" ht="15" hidden="false" customHeight="false" outlineLevel="0" collapsed="false">
      <c r="M690" s="0" t="str">
        <f aca="false">IF(CSV貼付A!$N690="","",IF(COUNTIF($B$37:$B$48,CSV貼付A!$H690)&gt;0,"",IF(SUMPRODUCT((CSV貼付A!$N$5:$N690=CSV貼付A!$N690)*(COUNTIF($B$37:$B$48,CSV貼付A!$H$5:$H690)=0))&gt;1,"",MAX($M$4:M689)+1)))</f>
        <v/>
      </c>
      <c r="N690" s="0" t="str">
        <f aca="false">IFERROR(INDEX(CSV貼付A!$N$5:$N$1004,MATCH(ROW()-4,$M$5:$M$1004,0)),"")</f>
        <v/>
      </c>
      <c r="O690" s="0" t="str">
        <f aca="false">IF(CSV貼付B!$N690="","",IF(COUNTIF($B$37:$B$48,CSV貼付B!$H690)&gt;0,"",IF(SUMPRODUCT((CSV貼付B!$N$5:$N690=CSV貼付B!$N690)*(COUNTIF($B$37:$B$48,CSV貼付B!$H$5:$H690)=0))&gt;1,"",MAX($O$4:O689)+1)))</f>
        <v/>
      </c>
      <c r="P690" s="0" t="str">
        <f aca="false">IFERROR(INDEX(CSV貼付B!$N$5:$N$1004,MATCH(ROW()-4,$O$5:$O$1004,0)),"")</f>
        <v/>
      </c>
      <c r="Q690" s="0" t="str">
        <f aca="false">IF(ROW()-4&lt;=MAX($M$5:$M$1004),IFERROR(INDEX($N$5:$N$1004,ROW()-4),""),IFERROR(INDEX($P$5:$P$1004,ROW()-4-MAX($M$5:$M$1004)),""))</f>
        <v/>
      </c>
    </row>
    <row r="691" customFormat="false" ht="15" hidden="false" customHeight="false" outlineLevel="0" collapsed="false">
      <c r="M691" s="0" t="str">
        <f aca="false">IF(CSV貼付A!$N691="","",IF(COUNTIF($B$37:$B$48,CSV貼付A!$H691)&gt;0,"",IF(SUMPRODUCT((CSV貼付A!$N$5:$N691=CSV貼付A!$N691)*(COUNTIF($B$37:$B$48,CSV貼付A!$H$5:$H691)=0))&gt;1,"",MAX($M$4:M690)+1)))</f>
        <v/>
      </c>
      <c r="N691" s="0" t="str">
        <f aca="false">IFERROR(INDEX(CSV貼付A!$N$5:$N$1004,MATCH(ROW()-4,$M$5:$M$1004,0)),"")</f>
        <v/>
      </c>
      <c r="O691" s="0" t="str">
        <f aca="false">IF(CSV貼付B!$N691="","",IF(COUNTIF($B$37:$B$48,CSV貼付B!$H691)&gt;0,"",IF(SUMPRODUCT((CSV貼付B!$N$5:$N691=CSV貼付B!$N691)*(COUNTIF($B$37:$B$48,CSV貼付B!$H$5:$H691)=0))&gt;1,"",MAX($O$4:O690)+1)))</f>
        <v/>
      </c>
      <c r="P691" s="0" t="str">
        <f aca="false">IFERROR(INDEX(CSV貼付B!$N$5:$N$1004,MATCH(ROW()-4,$O$5:$O$1004,0)),"")</f>
        <v/>
      </c>
      <c r="Q691" s="0" t="str">
        <f aca="false">IF(ROW()-4&lt;=MAX($M$5:$M$1004),IFERROR(INDEX($N$5:$N$1004,ROW()-4),""),IFERROR(INDEX($P$5:$P$1004,ROW()-4-MAX($M$5:$M$1004)),""))</f>
        <v/>
      </c>
    </row>
    <row r="692" customFormat="false" ht="15" hidden="false" customHeight="false" outlineLevel="0" collapsed="false">
      <c r="M692" s="0" t="str">
        <f aca="false">IF(CSV貼付A!$N692="","",IF(COUNTIF($B$37:$B$48,CSV貼付A!$H692)&gt;0,"",IF(SUMPRODUCT((CSV貼付A!$N$5:$N692=CSV貼付A!$N692)*(COUNTIF($B$37:$B$48,CSV貼付A!$H$5:$H692)=0))&gt;1,"",MAX($M$4:M691)+1)))</f>
        <v/>
      </c>
      <c r="N692" s="0" t="str">
        <f aca="false">IFERROR(INDEX(CSV貼付A!$N$5:$N$1004,MATCH(ROW()-4,$M$5:$M$1004,0)),"")</f>
        <v/>
      </c>
      <c r="O692" s="0" t="str">
        <f aca="false">IF(CSV貼付B!$N692="","",IF(COUNTIF($B$37:$B$48,CSV貼付B!$H692)&gt;0,"",IF(SUMPRODUCT((CSV貼付B!$N$5:$N692=CSV貼付B!$N692)*(COUNTIF($B$37:$B$48,CSV貼付B!$H$5:$H692)=0))&gt;1,"",MAX($O$4:O691)+1)))</f>
        <v/>
      </c>
      <c r="P692" s="0" t="str">
        <f aca="false">IFERROR(INDEX(CSV貼付B!$N$5:$N$1004,MATCH(ROW()-4,$O$5:$O$1004,0)),"")</f>
        <v/>
      </c>
      <c r="Q692" s="0" t="str">
        <f aca="false">IF(ROW()-4&lt;=MAX($M$5:$M$1004),IFERROR(INDEX($N$5:$N$1004,ROW()-4),""),IFERROR(INDEX($P$5:$P$1004,ROW()-4-MAX($M$5:$M$1004)),""))</f>
        <v/>
      </c>
    </row>
    <row r="693" customFormat="false" ht="15" hidden="false" customHeight="false" outlineLevel="0" collapsed="false">
      <c r="M693" s="0" t="str">
        <f aca="false">IF(CSV貼付A!$N693="","",IF(COUNTIF($B$37:$B$48,CSV貼付A!$H693)&gt;0,"",IF(SUMPRODUCT((CSV貼付A!$N$5:$N693=CSV貼付A!$N693)*(COUNTIF($B$37:$B$48,CSV貼付A!$H$5:$H693)=0))&gt;1,"",MAX($M$4:M692)+1)))</f>
        <v/>
      </c>
      <c r="N693" s="0" t="str">
        <f aca="false">IFERROR(INDEX(CSV貼付A!$N$5:$N$1004,MATCH(ROW()-4,$M$5:$M$1004,0)),"")</f>
        <v/>
      </c>
      <c r="O693" s="0" t="str">
        <f aca="false">IF(CSV貼付B!$N693="","",IF(COUNTIF($B$37:$B$48,CSV貼付B!$H693)&gt;0,"",IF(SUMPRODUCT((CSV貼付B!$N$5:$N693=CSV貼付B!$N693)*(COUNTIF($B$37:$B$48,CSV貼付B!$H$5:$H693)=0))&gt;1,"",MAX($O$4:O692)+1)))</f>
        <v/>
      </c>
      <c r="P693" s="0" t="str">
        <f aca="false">IFERROR(INDEX(CSV貼付B!$N$5:$N$1004,MATCH(ROW()-4,$O$5:$O$1004,0)),"")</f>
        <v/>
      </c>
      <c r="Q693" s="0" t="str">
        <f aca="false">IF(ROW()-4&lt;=MAX($M$5:$M$1004),IFERROR(INDEX($N$5:$N$1004,ROW()-4),""),IFERROR(INDEX($P$5:$P$1004,ROW()-4-MAX($M$5:$M$1004)),""))</f>
        <v/>
      </c>
    </row>
    <row r="694" customFormat="false" ht="15" hidden="false" customHeight="false" outlineLevel="0" collapsed="false">
      <c r="M694" s="0" t="str">
        <f aca="false">IF(CSV貼付A!$N694="","",IF(COUNTIF($B$37:$B$48,CSV貼付A!$H694)&gt;0,"",IF(SUMPRODUCT((CSV貼付A!$N$5:$N694=CSV貼付A!$N694)*(COUNTIF($B$37:$B$48,CSV貼付A!$H$5:$H694)=0))&gt;1,"",MAX($M$4:M693)+1)))</f>
        <v/>
      </c>
      <c r="N694" s="0" t="str">
        <f aca="false">IFERROR(INDEX(CSV貼付A!$N$5:$N$1004,MATCH(ROW()-4,$M$5:$M$1004,0)),"")</f>
        <v/>
      </c>
      <c r="O694" s="0" t="str">
        <f aca="false">IF(CSV貼付B!$N694="","",IF(COUNTIF($B$37:$B$48,CSV貼付B!$H694)&gt;0,"",IF(SUMPRODUCT((CSV貼付B!$N$5:$N694=CSV貼付B!$N694)*(COUNTIF($B$37:$B$48,CSV貼付B!$H$5:$H694)=0))&gt;1,"",MAX($O$4:O693)+1)))</f>
        <v/>
      </c>
      <c r="P694" s="0" t="str">
        <f aca="false">IFERROR(INDEX(CSV貼付B!$N$5:$N$1004,MATCH(ROW()-4,$O$5:$O$1004,0)),"")</f>
        <v/>
      </c>
      <c r="Q694" s="0" t="str">
        <f aca="false">IF(ROW()-4&lt;=MAX($M$5:$M$1004),IFERROR(INDEX($N$5:$N$1004,ROW()-4),""),IFERROR(INDEX($P$5:$P$1004,ROW()-4-MAX($M$5:$M$1004)),""))</f>
        <v/>
      </c>
    </row>
    <row r="695" customFormat="false" ht="15" hidden="false" customHeight="false" outlineLevel="0" collapsed="false">
      <c r="M695" s="0" t="str">
        <f aca="false">IF(CSV貼付A!$N695="","",IF(COUNTIF($B$37:$B$48,CSV貼付A!$H695)&gt;0,"",IF(SUMPRODUCT((CSV貼付A!$N$5:$N695=CSV貼付A!$N695)*(COUNTIF($B$37:$B$48,CSV貼付A!$H$5:$H695)=0))&gt;1,"",MAX($M$4:M694)+1)))</f>
        <v/>
      </c>
      <c r="N695" s="0" t="str">
        <f aca="false">IFERROR(INDEX(CSV貼付A!$N$5:$N$1004,MATCH(ROW()-4,$M$5:$M$1004,0)),"")</f>
        <v/>
      </c>
      <c r="O695" s="0" t="str">
        <f aca="false">IF(CSV貼付B!$N695="","",IF(COUNTIF($B$37:$B$48,CSV貼付B!$H695)&gt;0,"",IF(SUMPRODUCT((CSV貼付B!$N$5:$N695=CSV貼付B!$N695)*(COUNTIF($B$37:$B$48,CSV貼付B!$H$5:$H695)=0))&gt;1,"",MAX($O$4:O694)+1)))</f>
        <v/>
      </c>
      <c r="P695" s="0" t="str">
        <f aca="false">IFERROR(INDEX(CSV貼付B!$N$5:$N$1004,MATCH(ROW()-4,$O$5:$O$1004,0)),"")</f>
        <v/>
      </c>
      <c r="Q695" s="0" t="str">
        <f aca="false">IF(ROW()-4&lt;=MAX($M$5:$M$1004),IFERROR(INDEX($N$5:$N$1004,ROW()-4),""),IFERROR(INDEX($P$5:$P$1004,ROW()-4-MAX($M$5:$M$1004)),""))</f>
        <v/>
      </c>
    </row>
    <row r="696" customFormat="false" ht="15" hidden="false" customHeight="false" outlineLevel="0" collapsed="false">
      <c r="M696" s="0" t="str">
        <f aca="false">IF(CSV貼付A!$N696="","",IF(COUNTIF($B$37:$B$48,CSV貼付A!$H696)&gt;0,"",IF(SUMPRODUCT((CSV貼付A!$N$5:$N696=CSV貼付A!$N696)*(COUNTIF($B$37:$B$48,CSV貼付A!$H$5:$H696)=0))&gt;1,"",MAX($M$4:M695)+1)))</f>
        <v/>
      </c>
      <c r="N696" s="0" t="str">
        <f aca="false">IFERROR(INDEX(CSV貼付A!$N$5:$N$1004,MATCH(ROW()-4,$M$5:$M$1004,0)),"")</f>
        <v/>
      </c>
      <c r="O696" s="0" t="str">
        <f aca="false">IF(CSV貼付B!$N696="","",IF(COUNTIF($B$37:$B$48,CSV貼付B!$H696)&gt;0,"",IF(SUMPRODUCT((CSV貼付B!$N$5:$N696=CSV貼付B!$N696)*(COUNTIF($B$37:$B$48,CSV貼付B!$H$5:$H696)=0))&gt;1,"",MAX($O$4:O695)+1)))</f>
        <v/>
      </c>
      <c r="P696" s="0" t="str">
        <f aca="false">IFERROR(INDEX(CSV貼付B!$N$5:$N$1004,MATCH(ROW()-4,$O$5:$O$1004,0)),"")</f>
        <v/>
      </c>
      <c r="Q696" s="0" t="str">
        <f aca="false">IF(ROW()-4&lt;=MAX($M$5:$M$1004),IFERROR(INDEX($N$5:$N$1004,ROW()-4),""),IFERROR(INDEX($P$5:$P$1004,ROW()-4-MAX($M$5:$M$1004)),""))</f>
        <v/>
      </c>
    </row>
    <row r="697" customFormat="false" ht="15" hidden="false" customHeight="false" outlineLevel="0" collapsed="false">
      <c r="M697" s="0" t="str">
        <f aca="false">IF(CSV貼付A!$N697="","",IF(COUNTIF($B$37:$B$48,CSV貼付A!$H697)&gt;0,"",IF(SUMPRODUCT((CSV貼付A!$N$5:$N697=CSV貼付A!$N697)*(COUNTIF($B$37:$B$48,CSV貼付A!$H$5:$H697)=0))&gt;1,"",MAX($M$4:M696)+1)))</f>
        <v/>
      </c>
      <c r="N697" s="0" t="str">
        <f aca="false">IFERROR(INDEX(CSV貼付A!$N$5:$N$1004,MATCH(ROW()-4,$M$5:$M$1004,0)),"")</f>
        <v/>
      </c>
      <c r="O697" s="0" t="str">
        <f aca="false">IF(CSV貼付B!$N697="","",IF(COUNTIF($B$37:$B$48,CSV貼付B!$H697)&gt;0,"",IF(SUMPRODUCT((CSV貼付B!$N$5:$N697=CSV貼付B!$N697)*(COUNTIF($B$37:$B$48,CSV貼付B!$H$5:$H697)=0))&gt;1,"",MAX($O$4:O696)+1)))</f>
        <v/>
      </c>
      <c r="P697" s="0" t="str">
        <f aca="false">IFERROR(INDEX(CSV貼付B!$N$5:$N$1004,MATCH(ROW()-4,$O$5:$O$1004,0)),"")</f>
        <v/>
      </c>
      <c r="Q697" s="0" t="str">
        <f aca="false">IF(ROW()-4&lt;=MAX($M$5:$M$1004),IFERROR(INDEX($N$5:$N$1004,ROW()-4),""),IFERROR(INDEX($P$5:$P$1004,ROW()-4-MAX($M$5:$M$1004)),""))</f>
        <v/>
      </c>
    </row>
    <row r="698" customFormat="false" ht="15" hidden="false" customHeight="false" outlineLevel="0" collapsed="false">
      <c r="M698" s="0" t="str">
        <f aca="false">IF(CSV貼付A!$N698="","",IF(COUNTIF($B$37:$B$48,CSV貼付A!$H698)&gt;0,"",IF(SUMPRODUCT((CSV貼付A!$N$5:$N698=CSV貼付A!$N698)*(COUNTIF($B$37:$B$48,CSV貼付A!$H$5:$H698)=0))&gt;1,"",MAX($M$4:M697)+1)))</f>
        <v/>
      </c>
      <c r="N698" s="0" t="str">
        <f aca="false">IFERROR(INDEX(CSV貼付A!$N$5:$N$1004,MATCH(ROW()-4,$M$5:$M$1004,0)),"")</f>
        <v/>
      </c>
      <c r="O698" s="0" t="str">
        <f aca="false">IF(CSV貼付B!$N698="","",IF(COUNTIF($B$37:$B$48,CSV貼付B!$H698)&gt;0,"",IF(SUMPRODUCT((CSV貼付B!$N$5:$N698=CSV貼付B!$N698)*(COUNTIF($B$37:$B$48,CSV貼付B!$H$5:$H698)=0))&gt;1,"",MAX($O$4:O697)+1)))</f>
        <v/>
      </c>
      <c r="P698" s="0" t="str">
        <f aca="false">IFERROR(INDEX(CSV貼付B!$N$5:$N$1004,MATCH(ROW()-4,$O$5:$O$1004,0)),"")</f>
        <v/>
      </c>
      <c r="Q698" s="0" t="str">
        <f aca="false">IF(ROW()-4&lt;=MAX($M$5:$M$1004),IFERROR(INDEX($N$5:$N$1004,ROW()-4),""),IFERROR(INDEX($P$5:$P$1004,ROW()-4-MAX($M$5:$M$1004)),""))</f>
        <v/>
      </c>
    </row>
    <row r="699" customFormat="false" ht="15" hidden="false" customHeight="false" outlineLevel="0" collapsed="false">
      <c r="M699" s="0" t="str">
        <f aca="false">IF(CSV貼付A!$N699="","",IF(COUNTIF($B$37:$B$48,CSV貼付A!$H699)&gt;0,"",IF(SUMPRODUCT((CSV貼付A!$N$5:$N699=CSV貼付A!$N699)*(COUNTIF($B$37:$B$48,CSV貼付A!$H$5:$H699)=0))&gt;1,"",MAX($M$4:M698)+1)))</f>
        <v/>
      </c>
      <c r="N699" s="0" t="str">
        <f aca="false">IFERROR(INDEX(CSV貼付A!$N$5:$N$1004,MATCH(ROW()-4,$M$5:$M$1004,0)),"")</f>
        <v/>
      </c>
      <c r="O699" s="0" t="str">
        <f aca="false">IF(CSV貼付B!$N699="","",IF(COUNTIF($B$37:$B$48,CSV貼付B!$H699)&gt;0,"",IF(SUMPRODUCT((CSV貼付B!$N$5:$N699=CSV貼付B!$N699)*(COUNTIF($B$37:$B$48,CSV貼付B!$H$5:$H699)=0))&gt;1,"",MAX($O$4:O698)+1)))</f>
        <v/>
      </c>
      <c r="P699" s="0" t="str">
        <f aca="false">IFERROR(INDEX(CSV貼付B!$N$5:$N$1004,MATCH(ROW()-4,$O$5:$O$1004,0)),"")</f>
        <v/>
      </c>
      <c r="Q699" s="0" t="str">
        <f aca="false">IF(ROW()-4&lt;=MAX($M$5:$M$1004),IFERROR(INDEX($N$5:$N$1004,ROW()-4),""),IFERROR(INDEX($P$5:$P$1004,ROW()-4-MAX($M$5:$M$1004)),""))</f>
        <v/>
      </c>
    </row>
    <row r="700" customFormat="false" ht="15" hidden="false" customHeight="false" outlineLevel="0" collapsed="false">
      <c r="M700" s="0" t="str">
        <f aca="false">IF(CSV貼付A!$N700="","",IF(COUNTIF($B$37:$B$48,CSV貼付A!$H700)&gt;0,"",IF(SUMPRODUCT((CSV貼付A!$N$5:$N700=CSV貼付A!$N700)*(COUNTIF($B$37:$B$48,CSV貼付A!$H$5:$H700)=0))&gt;1,"",MAX($M$4:M699)+1)))</f>
        <v/>
      </c>
      <c r="N700" s="0" t="str">
        <f aca="false">IFERROR(INDEX(CSV貼付A!$N$5:$N$1004,MATCH(ROW()-4,$M$5:$M$1004,0)),"")</f>
        <v/>
      </c>
      <c r="O700" s="0" t="str">
        <f aca="false">IF(CSV貼付B!$N700="","",IF(COUNTIF($B$37:$B$48,CSV貼付B!$H700)&gt;0,"",IF(SUMPRODUCT((CSV貼付B!$N$5:$N700=CSV貼付B!$N700)*(COUNTIF($B$37:$B$48,CSV貼付B!$H$5:$H700)=0))&gt;1,"",MAX($O$4:O699)+1)))</f>
        <v/>
      </c>
      <c r="P700" s="0" t="str">
        <f aca="false">IFERROR(INDEX(CSV貼付B!$N$5:$N$1004,MATCH(ROW()-4,$O$5:$O$1004,0)),"")</f>
        <v/>
      </c>
      <c r="Q700" s="0" t="str">
        <f aca="false">IF(ROW()-4&lt;=MAX($M$5:$M$1004),IFERROR(INDEX($N$5:$N$1004,ROW()-4),""),IFERROR(INDEX($P$5:$P$1004,ROW()-4-MAX($M$5:$M$1004)),""))</f>
        <v/>
      </c>
    </row>
    <row r="701" customFormat="false" ht="15" hidden="false" customHeight="false" outlineLevel="0" collapsed="false">
      <c r="M701" s="0" t="str">
        <f aca="false">IF(CSV貼付A!$N701="","",IF(COUNTIF($B$37:$B$48,CSV貼付A!$H701)&gt;0,"",IF(SUMPRODUCT((CSV貼付A!$N$5:$N701=CSV貼付A!$N701)*(COUNTIF($B$37:$B$48,CSV貼付A!$H$5:$H701)=0))&gt;1,"",MAX($M$4:M700)+1)))</f>
        <v/>
      </c>
      <c r="N701" s="0" t="str">
        <f aca="false">IFERROR(INDEX(CSV貼付A!$N$5:$N$1004,MATCH(ROW()-4,$M$5:$M$1004,0)),"")</f>
        <v/>
      </c>
      <c r="O701" s="0" t="str">
        <f aca="false">IF(CSV貼付B!$N701="","",IF(COUNTIF($B$37:$B$48,CSV貼付B!$H701)&gt;0,"",IF(SUMPRODUCT((CSV貼付B!$N$5:$N701=CSV貼付B!$N701)*(COUNTIF($B$37:$B$48,CSV貼付B!$H$5:$H701)=0))&gt;1,"",MAX($O$4:O700)+1)))</f>
        <v/>
      </c>
      <c r="P701" s="0" t="str">
        <f aca="false">IFERROR(INDEX(CSV貼付B!$N$5:$N$1004,MATCH(ROW()-4,$O$5:$O$1004,0)),"")</f>
        <v/>
      </c>
      <c r="Q701" s="0" t="str">
        <f aca="false">IF(ROW()-4&lt;=MAX($M$5:$M$1004),IFERROR(INDEX($N$5:$N$1004,ROW()-4),""),IFERROR(INDEX($P$5:$P$1004,ROW()-4-MAX($M$5:$M$1004)),""))</f>
        <v/>
      </c>
    </row>
    <row r="702" customFormat="false" ht="15" hidden="false" customHeight="false" outlineLevel="0" collapsed="false">
      <c r="M702" s="0" t="str">
        <f aca="false">IF(CSV貼付A!$N702="","",IF(COUNTIF($B$37:$B$48,CSV貼付A!$H702)&gt;0,"",IF(SUMPRODUCT((CSV貼付A!$N$5:$N702=CSV貼付A!$N702)*(COUNTIF($B$37:$B$48,CSV貼付A!$H$5:$H702)=0))&gt;1,"",MAX($M$4:M701)+1)))</f>
        <v/>
      </c>
      <c r="N702" s="0" t="str">
        <f aca="false">IFERROR(INDEX(CSV貼付A!$N$5:$N$1004,MATCH(ROW()-4,$M$5:$M$1004,0)),"")</f>
        <v/>
      </c>
      <c r="O702" s="0" t="str">
        <f aca="false">IF(CSV貼付B!$N702="","",IF(COUNTIF($B$37:$B$48,CSV貼付B!$H702)&gt;0,"",IF(SUMPRODUCT((CSV貼付B!$N$5:$N702=CSV貼付B!$N702)*(COUNTIF($B$37:$B$48,CSV貼付B!$H$5:$H702)=0))&gt;1,"",MAX($O$4:O701)+1)))</f>
        <v/>
      </c>
      <c r="P702" s="0" t="str">
        <f aca="false">IFERROR(INDEX(CSV貼付B!$N$5:$N$1004,MATCH(ROW()-4,$O$5:$O$1004,0)),"")</f>
        <v/>
      </c>
      <c r="Q702" s="0" t="str">
        <f aca="false">IF(ROW()-4&lt;=MAX($M$5:$M$1004),IFERROR(INDEX($N$5:$N$1004,ROW()-4),""),IFERROR(INDEX($P$5:$P$1004,ROW()-4-MAX($M$5:$M$1004)),""))</f>
        <v/>
      </c>
    </row>
    <row r="703" customFormat="false" ht="15" hidden="false" customHeight="false" outlineLevel="0" collapsed="false">
      <c r="M703" s="0" t="str">
        <f aca="false">IF(CSV貼付A!$N703="","",IF(COUNTIF($B$37:$B$48,CSV貼付A!$H703)&gt;0,"",IF(SUMPRODUCT((CSV貼付A!$N$5:$N703=CSV貼付A!$N703)*(COUNTIF($B$37:$B$48,CSV貼付A!$H$5:$H703)=0))&gt;1,"",MAX($M$4:M702)+1)))</f>
        <v/>
      </c>
      <c r="N703" s="0" t="str">
        <f aca="false">IFERROR(INDEX(CSV貼付A!$N$5:$N$1004,MATCH(ROW()-4,$M$5:$M$1004,0)),"")</f>
        <v/>
      </c>
      <c r="O703" s="0" t="str">
        <f aca="false">IF(CSV貼付B!$N703="","",IF(COUNTIF($B$37:$B$48,CSV貼付B!$H703)&gt;0,"",IF(SUMPRODUCT((CSV貼付B!$N$5:$N703=CSV貼付B!$N703)*(COUNTIF($B$37:$B$48,CSV貼付B!$H$5:$H703)=0))&gt;1,"",MAX($O$4:O702)+1)))</f>
        <v/>
      </c>
      <c r="P703" s="0" t="str">
        <f aca="false">IFERROR(INDEX(CSV貼付B!$N$5:$N$1004,MATCH(ROW()-4,$O$5:$O$1004,0)),"")</f>
        <v/>
      </c>
      <c r="Q703" s="0" t="str">
        <f aca="false">IF(ROW()-4&lt;=MAX($M$5:$M$1004),IFERROR(INDEX($N$5:$N$1004,ROW()-4),""),IFERROR(INDEX($P$5:$P$1004,ROW()-4-MAX($M$5:$M$1004)),""))</f>
        <v/>
      </c>
    </row>
    <row r="704" customFormat="false" ht="15" hidden="false" customHeight="false" outlineLevel="0" collapsed="false">
      <c r="M704" s="0" t="str">
        <f aca="false">IF(CSV貼付A!$N704="","",IF(COUNTIF($B$37:$B$48,CSV貼付A!$H704)&gt;0,"",IF(SUMPRODUCT((CSV貼付A!$N$5:$N704=CSV貼付A!$N704)*(COUNTIF($B$37:$B$48,CSV貼付A!$H$5:$H704)=0))&gt;1,"",MAX($M$4:M703)+1)))</f>
        <v/>
      </c>
      <c r="N704" s="0" t="str">
        <f aca="false">IFERROR(INDEX(CSV貼付A!$N$5:$N$1004,MATCH(ROW()-4,$M$5:$M$1004,0)),"")</f>
        <v/>
      </c>
      <c r="O704" s="0" t="str">
        <f aca="false">IF(CSV貼付B!$N704="","",IF(COUNTIF($B$37:$B$48,CSV貼付B!$H704)&gt;0,"",IF(SUMPRODUCT((CSV貼付B!$N$5:$N704=CSV貼付B!$N704)*(COUNTIF($B$37:$B$48,CSV貼付B!$H$5:$H704)=0))&gt;1,"",MAX($O$4:O703)+1)))</f>
        <v/>
      </c>
      <c r="P704" s="0" t="str">
        <f aca="false">IFERROR(INDEX(CSV貼付B!$N$5:$N$1004,MATCH(ROW()-4,$O$5:$O$1004,0)),"")</f>
        <v/>
      </c>
      <c r="Q704" s="0" t="str">
        <f aca="false">IF(ROW()-4&lt;=MAX($M$5:$M$1004),IFERROR(INDEX($N$5:$N$1004,ROW()-4),""),IFERROR(INDEX($P$5:$P$1004,ROW()-4-MAX($M$5:$M$1004)),""))</f>
        <v/>
      </c>
    </row>
    <row r="705" customFormat="false" ht="15" hidden="false" customHeight="false" outlineLevel="0" collapsed="false">
      <c r="M705" s="0" t="str">
        <f aca="false">IF(CSV貼付A!$N705="","",IF(COUNTIF($B$37:$B$48,CSV貼付A!$H705)&gt;0,"",IF(SUMPRODUCT((CSV貼付A!$N$5:$N705=CSV貼付A!$N705)*(COUNTIF($B$37:$B$48,CSV貼付A!$H$5:$H705)=0))&gt;1,"",MAX($M$4:M704)+1)))</f>
        <v/>
      </c>
      <c r="N705" s="0" t="str">
        <f aca="false">IFERROR(INDEX(CSV貼付A!$N$5:$N$1004,MATCH(ROW()-4,$M$5:$M$1004,0)),"")</f>
        <v/>
      </c>
      <c r="O705" s="0" t="str">
        <f aca="false">IF(CSV貼付B!$N705="","",IF(COUNTIF($B$37:$B$48,CSV貼付B!$H705)&gt;0,"",IF(SUMPRODUCT((CSV貼付B!$N$5:$N705=CSV貼付B!$N705)*(COUNTIF($B$37:$B$48,CSV貼付B!$H$5:$H705)=0))&gt;1,"",MAX($O$4:O704)+1)))</f>
        <v/>
      </c>
      <c r="P705" s="0" t="str">
        <f aca="false">IFERROR(INDEX(CSV貼付B!$N$5:$N$1004,MATCH(ROW()-4,$O$5:$O$1004,0)),"")</f>
        <v/>
      </c>
      <c r="Q705" s="0" t="str">
        <f aca="false">IF(ROW()-4&lt;=MAX($M$5:$M$1004),IFERROR(INDEX($N$5:$N$1004,ROW()-4),""),IFERROR(INDEX($P$5:$P$1004,ROW()-4-MAX($M$5:$M$1004)),""))</f>
        <v/>
      </c>
    </row>
    <row r="706" customFormat="false" ht="15" hidden="false" customHeight="false" outlineLevel="0" collapsed="false">
      <c r="M706" s="0" t="str">
        <f aca="false">IF(CSV貼付A!$N706="","",IF(COUNTIF($B$37:$B$48,CSV貼付A!$H706)&gt;0,"",IF(SUMPRODUCT((CSV貼付A!$N$5:$N706=CSV貼付A!$N706)*(COUNTIF($B$37:$B$48,CSV貼付A!$H$5:$H706)=0))&gt;1,"",MAX($M$4:M705)+1)))</f>
        <v/>
      </c>
      <c r="N706" s="0" t="str">
        <f aca="false">IFERROR(INDEX(CSV貼付A!$N$5:$N$1004,MATCH(ROW()-4,$M$5:$M$1004,0)),"")</f>
        <v/>
      </c>
      <c r="O706" s="0" t="str">
        <f aca="false">IF(CSV貼付B!$N706="","",IF(COUNTIF($B$37:$B$48,CSV貼付B!$H706)&gt;0,"",IF(SUMPRODUCT((CSV貼付B!$N$5:$N706=CSV貼付B!$N706)*(COUNTIF($B$37:$B$48,CSV貼付B!$H$5:$H706)=0))&gt;1,"",MAX($O$4:O705)+1)))</f>
        <v/>
      </c>
      <c r="P706" s="0" t="str">
        <f aca="false">IFERROR(INDEX(CSV貼付B!$N$5:$N$1004,MATCH(ROW()-4,$O$5:$O$1004,0)),"")</f>
        <v/>
      </c>
      <c r="Q706" s="0" t="str">
        <f aca="false">IF(ROW()-4&lt;=MAX($M$5:$M$1004),IFERROR(INDEX($N$5:$N$1004,ROW()-4),""),IFERROR(INDEX($P$5:$P$1004,ROW()-4-MAX($M$5:$M$1004)),""))</f>
        <v/>
      </c>
    </row>
    <row r="707" customFormat="false" ht="15" hidden="false" customHeight="false" outlineLevel="0" collapsed="false">
      <c r="M707" s="0" t="str">
        <f aca="false">IF(CSV貼付A!$N707="","",IF(COUNTIF($B$37:$B$48,CSV貼付A!$H707)&gt;0,"",IF(SUMPRODUCT((CSV貼付A!$N$5:$N707=CSV貼付A!$N707)*(COUNTIF($B$37:$B$48,CSV貼付A!$H$5:$H707)=0))&gt;1,"",MAX($M$4:M706)+1)))</f>
        <v/>
      </c>
      <c r="N707" s="0" t="str">
        <f aca="false">IFERROR(INDEX(CSV貼付A!$N$5:$N$1004,MATCH(ROW()-4,$M$5:$M$1004,0)),"")</f>
        <v/>
      </c>
      <c r="O707" s="0" t="str">
        <f aca="false">IF(CSV貼付B!$N707="","",IF(COUNTIF($B$37:$B$48,CSV貼付B!$H707)&gt;0,"",IF(SUMPRODUCT((CSV貼付B!$N$5:$N707=CSV貼付B!$N707)*(COUNTIF($B$37:$B$48,CSV貼付B!$H$5:$H707)=0))&gt;1,"",MAX($O$4:O706)+1)))</f>
        <v/>
      </c>
      <c r="P707" s="0" t="str">
        <f aca="false">IFERROR(INDEX(CSV貼付B!$N$5:$N$1004,MATCH(ROW()-4,$O$5:$O$1004,0)),"")</f>
        <v/>
      </c>
      <c r="Q707" s="0" t="str">
        <f aca="false">IF(ROW()-4&lt;=MAX($M$5:$M$1004),IFERROR(INDEX($N$5:$N$1004,ROW()-4),""),IFERROR(INDEX($P$5:$P$1004,ROW()-4-MAX($M$5:$M$1004)),""))</f>
        <v/>
      </c>
    </row>
    <row r="708" customFormat="false" ht="15" hidden="false" customHeight="false" outlineLevel="0" collapsed="false">
      <c r="M708" s="0" t="str">
        <f aca="false">IF(CSV貼付A!$N708="","",IF(COUNTIF($B$37:$B$48,CSV貼付A!$H708)&gt;0,"",IF(SUMPRODUCT((CSV貼付A!$N$5:$N708=CSV貼付A!$N708)*(COUNTIF($B$37:$B$48,CSV貼付A!$H$5:$H708)=0))&gt;1,"",MAX($M$4:M707)+1)))</f>
        <v/>
      </c>
      <c r="N708" s="0" t="str">
        <f aca="false">IFERROR(INDEX(CSV貼付A!$N$5:$N$1004,MATCH(ROW()-4,$M$5:$M$1004,0)),"")</f>
        <v/>
      </c>
      <c r="O708" s="0" t="str">
        <f aca="false">IF(CSV貼付B!$N708="","",IF(COUNTIF($B$37:$B$48,CSV貼付B!$H708)&gt;0,"",IF(SUMPRODUCT((CSV貼付B!$N$5:$N708=CSV貼付B!$N708)*(COUNTIF($B$37:$B$48,CSV貼付B!$H$5:$H708)=0))&gt;1,"",MAX($O$4:O707)+1)))</f>
        <v/>
      </c>
      <c r="P708" s="0" t="str">
        <f aca="false">IFERROR(INDEX(CSV貼付B!$N$5:$N$1004,MATCH(ROW()-4,$O$5:$O$1004,0)),"")</f>
        <v/>
      </c>
      <c r="Q708" s="0" t="str">
        <f aca="false">IF(ROW()-4&lt;=MAX($M$5:$M$1004),IFERROR(INDEX($N$5:$N$1004,ROW()-4),""),IFERROR(INDEX($P$5:$P$1004,ROW()-4-MAX($M$5:$M$1004)),""))</f>
        <v/>
      </c>
    </row>
    <row r="709" customFormat="false" ht="15" hidden="false" customHeight="false" outlineLevel="0" collapsed="false">
      <c r="M709" s="0" t="str">
        <f aca="false">IF(CSV貼付A!$N709="","",IF(COUNTIF($B$37:$B$48,CSV貼付A!$H709)&gt;0,"",IF(SUMPRODUCT((CSV貼付A!$N$5:$N709=CSV貼付A!$N709)*(COUNTIF($B$37:$B$48,CSV貼付A!$H$5:$H709)=0))&gt;1,"",MAX($M$4:M708)+1)))</f>
        <v/>
      </c>
      <c r="N709" s="0" t="str">
        <f aca="false">IFERROR(INDEX(CSV貼付A!$N$5:$N$1004,MATCH(ROW()-4,$M$5:$M$1004,0)),"")</f>
        <v/>
      </c>
      <c r="O709" s="0" t="str">
        <f aca="false">IF(CSV貼付B!$N709="","",IF(COUNTIF($B$37:$B$48,CSV貼付B!$H709)&gt;0,"",IF(SUMPRODUCT((CSV貼付B!$N$5:$N709=CSV貼付B!$N709)*(COUNTIF($B$37:$B$48,CSV貼付B!$H$5:$H709)=0))&gt;1,"",MAX($O$4:O708)+1)))</f>
        <v/>
      </c>
      <c r="P709" s="0" t="str">
        <f aca="false">IFERROR(INDEX(CSV貼付B!$N$5:$N$1004,MATCH(ROW()-4,$O$5:$O$1004,0)),"")</f>
        <v/>
      </c>
      <c r="Q709" s="0" t="str">
        <f aca="false">IF(ROW()-4&lt;=MAX($M$5:$M$1004),IFERROR(INDEX($N$5:$N$1004,ROW()-4),""),IFERROR(INDEX($P$5:$P$1004,ROW()-4-MAX($M$5:$M$1004)),""))</f>
        <v/>
      </c>
    </row>
    <row r="710" customFormat="false" ht="15" hidden="false" customHeight="false" outlineLevel="0" collapsed="false">
      <c r="M710" s="0" t="str">
        <f aca="false">IF(CSV貼付A!$N710="","",IF(COUNTIF($B$37:$B$48,CSV貼付A!$H710)&gt;0,"",IF(SUMPRODUCT((CSV貼付A!$N$5:$N710=CSV貼付A!$N710)*(COUNTIF($B$37:$B$48,CSV貼付A!$H$5:$H710)=0))&gt;1,"",MAX($M$4:M709)+1)))</f>
        <v/>
      </c>
      <c r="N710" s="0" t="str">
        <f aca="false">IFERROR(INDEX(CSV貼付A!$N$5:$N$1004,MATCH(ROW()-4,$M$5:$M$1004,0)),"")</f>
        <v/>
      </c>
      <c r="O710" s="0" t="str">
        <f aca="false">IF(CSV貼付B!$N710="","",IF(COUNTIF($B$37:$B$48,CSV貼付B!$H710)&gt;0,"",IF(SUMPRODUCT((CSV貼付B!$N$5:$N710=CSV貼付B!$N710)*(COUNTIF($B$37:$B$48,CSV貼付B!$H$5:$H710)=0))&gt;1,"",MAX($O$4:O709)+1)))</f>
        <v/>
      </c>
      <c r="P710" s="0" t="str">
        <f aca="false">IFERROR(INDEX(CSV貼付B!$N$5:$N$1004,MATCH(ROW()-4,$O$5:$O$1004,0)),"")</f>
        <v/>
      </c>
      <c r="Q710" s="0" t="str">
        <f aca="false">IF(ROW()-4&lt;=MAX($M$5:$M$1004),IFERROR(INDEX($N$5:$N$1004,ROW()-4),""),IFERROR(INDEX($P$5:$P$1004,ROW()-4-MAX($M$5:$M$1004)),""))</f>
        <v/>
      </c>
    </row>
    <row r="711" customFormat="false" ht="15" hidden="false" customHeight="false" outlineLevel="0" collapsed="false">
      <c r="M711" s="0" t="str">
        <f aca="false">IF(CSV貼付A!$N711="","",IF(COUNTIF($B$37:$B$48,CSV貼付A!$H711)&gt;0,"",IF(SUMPRODUCT((CSV貼付A!$N$5:$N711=CSV貼付A!$N711)*(COUNTIF($B$37:$B$48,CSV貼付A!$H$5:$H711)=0))&gt;1,"",MAX($M$4:M710)+1)))</f>
        <v/>
      </c>
      <c r="N711" s="0" t="str">
        <f aca="false">IFERROR(INDEX(CSV貼付A!$N$5:$N$1004,MATCH(ROW()-4,$M$5:$M$1004,0)),"")</f>
        <v/>
      </c>
      <c r="O711" s="0" t="str">
        <f aca="false">IF(CSV貼付B!$N711="","",IF(COUNTIF($B$37:$B$48,CSV貼付B!$H711)&gt;0,"",IF(SUMPRODUCT((CSV貼付B!$N$5:$N711=CSV貼付B!$N711)*(COUNTIF($B$37:$B$48,CSV貼付B!$H$5:$H711)=0))&gt;1,"",MAX($O$4:O710)+1)))</f>
        <v/>
      </c>
      <c r="P711" s="0" t="str">
        <f aca="false">IFERROR(INDEX(CSV貼付B!$N$5:$N$1004,MATCH(ROW()-4,$O$5:$O$1004,0)),"")</f>
        <v/>
      </c>
      <c r="Q711" s="0" t="str">
        <f aca="false">IF(ROW()-4&lt;=MAX($M$5:$M$1004),IFERROR(INDEX($N$5:$N$1004,ROW()-4),""),IFERROR(INDEX($P$5:$P$1004,ROW()-4-MAX($M$5:$M$1004)),""))</f>
        <v/>
      </c>
    </row>
    <row r="712" customFormat="false" ht="15" hidden="false" customHeight="false" outlineLevel="0" collapsed="false">
      <c r="M712" s="0" t="str">
        <f aca="false">IF(CSV貼付A!$N712="","",IF(COUNTIF($B$37:$B$48,CSV貼付A!$H712)&gt;0,"",IF(SUMPRODUCT((CSV貼付A!$N$5:$N712=CSV貼付A!$N712)*(COUNTIF($B$37:$B$48,CSV貼付A!$H$5:$H712)=0))&gt;1,"",MAX($M$4:M711)+1)))</f>
        <v/>
      </c>
      <c r="N712" s="0" t="str">
        <f aca="false">IFERROR(INDEX(CSV貼付A!$N$5:$N$1004,MATCH(ROW()-4,$M$5:$M$1004,0)),"")</f>
        <v/>
      </c>
      <c r="O712" s="0" t="str">
        <f aca="false">IF(CSV貼付B!$N712="","",IF(COUNTIF($B$37:$B$48,CSV貼付B!$H712)&gt;0,"",IF(SUMPRODUCT((CSV貼付B!$N$5:$N712=CSV貼付B!$N712)*(COUNTIF($B$37:$B$48,CSV貼付B!$H$5:$H712)=0))&gt;1,"",MAX($O$4:O711)+1)))</f>
        <v/>
      </c>
      <c r="P712" s="0" t="str">
        <f aca="false">IFERROR(INDEX(CSV貼付B!$N$5:$N$1004,MATCH(ROW()-4,$O$5:$O$1004,0)),"")</f>
        <v/>
      </c>
      <c r="Q712" s="0" t="str">
        <f aca="false">IF(ROW()-4&lt;=MAX($M$5:$M$1004),IFERROR(INDEX($N$5:$N$1004,ROW()-4),""),IFERROR(INDEX($P$5:$P$1004,ROW()-4-MAX($M$5:$M$1004)),""))</f>
        <v/>
      </c>
    </row>
    <row r="713" customFormat="false" ht="15" hidden="false" customHeight="false" outlineLevel="0" collapsed="false">
      <c r="M713" s="0" t="str">
        <f aca="false">IF(CSV貼付A!$N713="","",IF(COUNTIF($B$37:$B$48,CSV貼付A!$H713)&gt;0,"",IF(SUMPRODUCT((CSV貼付A!$N$5:$N713=CSV貼付A!$N713)*(COUNTIF($B$37:$B$48,CSV貼付A!$H$5:$H713)=0))&gt;1,"",MAX($M$4:M712)+1)))</f>
        <v/>
      </c>
      <c r="N713" s="0" t="str">
        <f aca="false">IFERROR(INDEX(CSV貼付A!$N$5:$N$1004,MATCH(ROW()-4,$M$5:$M$1004,0)),"")</f>
        <v/>
      </c>
      <c r="O713" s="0" t="str">
        <f aca="false">IF(CSV貼付B!$N713="","",IF(COUNTIF($B$37:$B$48,CSV貼付B!$H713)&gt;0,"",IF(SUMPRODUCT((CSV貼付B!$N$5:$N713=CSV貼付B!$N713)*(COUNTIF($B$37:$B$48,CSV貼付B!$H$5:$H713)=0))&gt;1,"",MAX($O$4:O712)+1)))</f>
        <v/>
      </c>
      <c r="P713" s="0" t="str">
        <f aca="false">IFERROR(INDEX(CSV貼付B!$N$5:$N$1004,MATCH(ROW()-4,$O$5:$O$1004,0)),"")</f>
        <v/>
      </c>
      <c r="Q713" s="0" t="str">
        <f aca="false">IF(ROW()-4&lt;=MAX($M$5:$M$1004),IFERROR(INDEX($N$5:$N$1004,ROW()-4),""),IFERROR(INDEX($P$5:$P$1004,ROW()-4-MAX($M$5:$M$1004)),""))</f>
        <v/>
      </c>
    </row>
    <row r="714" customFormat="false" ht="15" hidden="false" customHeight="false" outlineLevel="0" collapsed="false">
      <c r="M714" s="0" t="str">
        <f aca="false">IF(CSV貼付A!$N714="","",IF(COUNTIF($B$37:$B$48,CSV貼付A!$H714)&gt;0,"",IF(SUMPRODUCT((CSV貼付A!$N$5:$N714=CSV貼付A!$N714)*(COUNTIF($B$37:$B$48,CSV貼付A!$H$5:$H714)=0))&gt;1,"",MAX($M$4:M713)+1)))</f>
        <v/>
      </c>
      <c r="N714" s="0" t="str">
        <f aca="false">IFERROR(INDEX(CSV貼付A!$N$5:$N$1004,MATCH(ROW()-4,$M$5:$M$1004,0)),"")</f>
        <v/>
      </c>
      <c r="O714" s="0" t="str">
        <f aca="false">IF(CSV貼付B!$N714="","",IF(COUNTIF($B$37:$B$48,CSV貼付B!$H714)&gt;0,"",IF(SUMPRODUCT((CSV貼付B!$N$5:$N714=CSV貼付B!$N714)*(COUNTIF($B$37:$B$48,CSV貼付B!$H$5:$H714)=0))&gt;1,"",MAX($O$4:O713)+1)))</f>
        <v/>
      </c>
      <c r="P714" s="0" t="str">
        <f aca="false">IFERROR(INDEX(CSV貼付B!$N$5:$N$1004,MATCH(ROW()-4,$O$5:$O$1004,0)),"")</f>
        <v/>
      </c>
      <c r="Q714" s="0" t="str">
        <f aca="false">IF(ROW()-4&lt;=MAX($M$5:$M$1004),IFERROR(INDEX($N$5:$N$1004,ROW()-4),""),IFERROR(INDEX($P$5:$P$1004,ROW()-4-MAX($M$5:$M$1004)),""))</f>
        <v/>
      </c>
    </row>
    <row r="715" customFormat="false" ht="15" hidden="false" customHeight="false" outlineLevel="0" collapsed="false">
      <c r="M715" s="0" t="str">
        <f aca="false">IF(CSV貼付A!$N715="","",IF(COUNTIF($B$37:$B$48,CSV貼付A!$H715)&gt;0,"",IF(SUMPRODUCT((CSV貼付A!$N$5:$N715=CSV貼付A!$N715)*(COUNTIF($B$37:$B$48,CSV貼付A!$H$5:$H715)=0))&gt;1,"",MAX($M$4:M714)+1)))</f>
        <v/>
      </c>
      <c r="N715" s="0" t="str">
        <f aca="false">IFERROR(INDEX(CSV貼付A!$N$5:$N$1004,MATCH(ROW()-4,$M$5:$M$1004,0)),"")</f>
        <v/>
      </c>
      <c r="O715" s="0" t="str">
        <f aca="false">IF(CSV貼付B!$N715="","",IF(COUNTIF($B$37:$B$48,CSV貼付B!$H715)&gt;0,"",IF(SUMPRODUCT((CSV貼付B!$N$5:$N715=CSV貼付B!$N715)*(COUNTIF($B$37:$B$48,CSV貼付B!$H$5:$H715)=0))&gt;1,"",MAX($O$4:O714)+1)))</f>
        <v/>
      </c>
      <c r="P715" s="0" t="str">
        <f aca="false">IFERROR(INDEX(CSV貼付B!$N$5:$N$1004,MATCH(ROW()-4,$O$5:$O$1004,0)),"")</f>
        <v/>
      </c>
      <c r="Q715" s="0" t="str">
        <f aca="false">IF(ROW()-4&lt;=MAX($M$5:$M$1004),IFERROR(INDEX($N$5:$N$1004,ROW()-4),""),IFERROR(INDEX($P$5:$P$1004,ROW()-4-MAX($M$5:$M$1004)),""))</f>
        <v/>
      </c>
    </row>
    <row r="716" customFormat="false" ht="15" hidden="false" customHeight="false" outlineLevel="0" collapsed="false">
      <c r="M716" s="0" t="str">
        <f aca="false">IF(CSV貼付A!$N716="","",IF(COUNTIF($B$37:$B$48,CSV貼付A!$H716)&gt;0,"",IF(SUMPRODUCT((CSV貼付A!$N$5:$N716=CSV貼付A!$N716)*(COUNTIF($B$37:$B$48,CSV貼付A!$H$5:$H716)=0))&gt;1,"",MAX($M$4:M715)+1)))</f>
        <v/>
      </c>
      <c r="N716" s="0" t="str">
        <f aca="false">IFERROR(INDEX(CSV貼付A!$N$5:$N$1004,MATCH(ROW()-4,$M$5:$M$1004,0)),"")</f>
        <v/>
      </c>
      <c r="O716" s="0" t="str">
        <f aca="false">IF(CSV貼付B!$N716="","",IF(COUNTIF($B$37:$B$48,CSV貼付B!$H716)&gt;0,"",IF(SUMPRODUCT((CSV貼付B!$N$5:$N716=CSV貼付B!$N716)*(COUNTIF($B$37:$B$48,CSV貼付B!$H$5:$H716)=0))&gt;1,"",MAX($O$4:O715)+1)))</f>
        <v/>
      </c>
      <c r="P716" s="0" t="str">
        <f aca="false">IFERROR(INDEX(CSV貼付B!$N$5:$N$1004,MATCH(ROW()-4,$O$5:$O$1004,0)),"")</f>
        <v/>
      </c>
      <c r="Q716" s="0" t="str">
        <f aca="false">IF(ROW()-4&lt;=MAX($M$5:$M$1004),IFERROR(INDEX($N$5:$N$1004,ROW()-4),""),IFERROR(INDEX($P$5:$P$1004,ROW()-4-MAX($M$5:$M$1004)),""))</f>
        <v/>
      </c>
    </row>
    <row r="717" customFormat="false" ht="15" hidden="false" customHeight="false" outlineLevel="0" collapsed="false">
      <c r="M717" s="0" t="str">
        <f aca="false">IF(CSV貼付A!$N717="","",IF(COUNTIF($B$37:$B$48,CSV貼付A!$H717)&gt;0,"",IF(SUMPRODUCT((CSV貼付A!$N$5:$N717=CSV貼付A!$N717)*(COUNTIF($B$37:$B$48,CSV貼付A!$H$5:$H717)=0))&gt;1,"",MAX($M$4:M716)+1)))</f>
        <v/>
      </c>
      <c r="N717" s="0" t="str">
        <f aca="false">IFERROR(INDEX(CSV貼付A!$N$5:$N$1004,MATCH(ROW()-4,$M$5:$M$1004,0)),"")</f>
        <v/>
      </c>
      <c r="O717" s="0" t="str">
        <f aca="false">IF(CSV貼付B!$N717="","",IF(COUNTIF($B$37:$B$48,CSV貼付B!$H717)&gt;0,"",IF(SUMPRODUCT((CSV貼付B!$N$5:$N717=CSV貼付B!$N717)*(COUNTIF($B$37:$B$48,CSV貼付B!$H$5:$H717)=0))&gt;1,"",MAX($O$4:O716)+1)))</f>
        <v/>
      </c>
      <c r="P717" s="0" t="str">
        <f aca="false">IFERROR(INDEX(CSV貼付B!$N$5:$N$1004,MATCH(ROW()-4,$O$5:$O$1004,0)),"")</f>
        <v/>
      </c>
      <c r="Q717" s="0" t="str">
        <f aca="false">IF(ROW()-4&lt;=MAX($M$5:$M$1004),IFERROR(INDEX($N$5:$N$1004,ROW()-4),""),IFERROR(INDEX($P$5:$P$1004,ROW()-4-MAX($M$5:$M$1004)),""))</f>
        <v/>
      </c>
    </row>
    <row r="718" customFormat="false" ht="15" hidden="false" customHeight="false" outlineLevel="0" collapsed="false">
      <c r="M718" s="0" t="str">
        <f aca="false">IF(CSV貼付A!$N718="","",IF(COUNTIF($B$37:$B$48,CSV貼付A!$H718)&gt;0,"",IF(SUMPRODUCT((CSV貼付A!$N$5:$N718=CSV貼付A!$N718)*(COUNTIF($B$37:$B$48,CSV貼付A!$H$5:$H718)=0))&gt;1,"",MAX($M$4:M717)+1)))</f>
        <v/>
      </c>
      <c r="N718" s="0" t="str">
        <f aca="false">IFERROR(INDEX(CSV貼付A!$N$5:$N$1004,MATCH(ROW()-4,$M$5:$M$1004,0)),"")</f>
        <v/>
      </c>
      <c r="O718" s="0" t="str">
        <f aca="false">IF(CSV貼付B!$N718="","",IF(COUNTIF($B$37:$B$48,CSV貼付B!$H718)&gt;0,"",IF(SUMPRODUCT((CSV貼付B!$N$5:$N718=CSV貼付B!$N718)*(COUNTIF($B$37:$B$48,CSV貼付B!$H$5:$H718)=0))&gt;1,"",MAX($O$4:O717)+1)))</f>
        <v/>
      </c>
      <c r="P718" s="0" t="str">
        <f aca="false">IFERROR(INDEX(CSV貼付B!$N$5:$N$1004,MATCH(ROW()-4,$O$5:$O$1004,0)),"")</f>
        <v/>
      </c>
      <c r="Q718" s="0" t="str">
        <f aca="false">IF(ROW()-4&lt;=MAX($M$5:$M$1004),IFERROR(INDEX($N$5:$N$1004,ROW()-4),""),IFERROR(INDEX($P$5:$P$1004,ROW()-4-MAX($M$5:$M$1004)),""))</f>
        <v/>
      </c>
    </row>
    <row r="719" customFormat="false" ht="15" hidden="false" customHeight="false" outlineLevel="0" collapsed="false">
      <c r="M719" s="0" t="str">
        <f aca="false">IF(CSV貼付A!$N719="","",IF(COUNTIF($B$37:$B$48,CSV貼付A!$H719)&gt;0,"",IF(SUMPRODUCT((CSV貼付A!$N$5:$N719=CSV貼付A!$N719)*(COUNTIF($B$37:$B$48,CSV貼付A!$H$5:$H719)=0))&gt;1,"",MAX($M$4:M718)+1)))</f>
        <v/>
      </c>
      <c r="N719" s="0" t="str">
        <f aca="false">IFERROR(INDEX(CSV貼付A!$N$5:$N$1004,MATCH(ROW()-4,$M$5:$M$1004,0)),"")</f>
        <v/>
      </c>
      <c r="O719" s="0" t="str">
        <f aca="false">IF(CSV貼付B!$N719="","",IF(COUNTIF($B$37:$B$48,CSV貼付B!$H719)&gt;0,"",IF(SUMPRODUCT((CSV貼付B!$N$5:$N719=CSV貼付B!$N719)*(COUNTIF($B$37:$B$48,CSV貼付B!$H$5:$H719)=0))&gt;1,"",MAX($O$4:O718)+1)))</f>
        <v/>
      </c>
      <c r="P719" s="0" t="str">
        <f aca="false">IFERROR(INDEX(CSV貼付B!$N$5:$N$1004,MATCH(ROW()-4,$O$5:$O$1004,0)),"")</f>
        <v/>
      </c>
      <c r="Q719" s="0" t="str">
        <f aca="false">IF(ROW()-4&lt;=MAX($M$5:$M$1004),IFERROR(INDEX($N$5:$N$1004,ROW()-4),""),IFERROR(INDEX($P$5:$P$1004,ROW()-4-MAX($M$5:$M$1004)),""))</f>
        <v/>
      </c>
    </row>
    <row r="720" customFormat="false" ht="15" hidden="false" customHeight="false" outlineLevel="0" collapsed="false">
      <c r="M720" s="0" t="str">
        <f aca="false">IF(CSV貼付A!$N720="","",IF(COUNTIF($B$37:$B$48,CSV貼付A!$H720)&gt;0,"",IF(SUMPRODUCT((CSV貼付A!$N$5:$N720=CSV貼付A!$N720)*(COUNTIF($B$37:$B$48,CSV貼付A!$H$5:$H720)=0))&gt;1,"",MAX($M$4:M719)+1)))</f>
        <v/>
      </c>
      <c r="N720" s="0" t="str">
        <f aca="false">IFERROR(INDEX(CSV貼付A!$N$5:$N$1004,MATCH(ROW()-4,$M$5:$M$1004,0)),"")</f>
        <v/>
      </c>
      <c r="O720" s="0" t="str">
        <f aca="false">IF(CSV貼付B!$N720="","",IF(COUNTIF($B$37:$B$48,CSV貼付B!$H720)&gt;0,"",IF(SUMPRODUCT((CSV貼付B!$N$5:$N720=CSV貼付B!$N720)*(COUNTIF($B$37:$B$48,CSV貼付B!$H$5:$H720)=0))&gt;1,"",MAX($O$4:O719)+1)))</f>
        <v/>
      </c>
      <c r="P720" s="0" t="str">
        <f aca="false">IFERROR(INDEX(CSV貼付B!$N$5:$N$1004,MATCH(ROW()-4,$O$5:$O$1004,0)),"")</f>
        <v/>
      </c>
      <c r="Q720" s="0" t="str">
        <f aca="false">IF(ROW()-4&lt;=MAX($M$5:$M$1004),IFERROR(INDEX($N$5:$N$1004,ROW()-4),""),IFERROR(INDEX($P$5:$P$1004,ROW()-4-MAX($M$5:$M$1004)),""))</f>
        <v/>
      </c>
    </row>
    <row r="721" customFormat="false" ht="15" hidden="false" customHeight="false" outlineLevel="0" collapsed="false">
      <c r="M721" s="0" t="str">
        <f aca="false">IF(CSV貼付A!$N721="","",IF(COUNTIF($B$37:$B$48,CSV貼付A!$H721)&gt;0,"",IF(SUMPRODUCT((CSV貼付A!$N$5:$N721=CSV貼付A!$N721)*(COUNTIF($B$37:$B$48,CSV貼付A!$H$5:$H721)=0))&gt;1,"",MAX($M$4:M720)+1)))</f>
        <v/>
      </c>
      <c r="N721" s="0" t="str">
        <f aca="false">IFERROR(INDEX(CSV貼付A!$N$5:$N$1004,MATCH(ROW()-4,$M$5:$M$1004,0)),"")</f>
        <v/>
      </c>
      <c r="O721" s="0" t="str">
        <f aca="false">IF(CSV貼付B!$N721="","",IF(COUNTIF($B$37:$B$48,CSV貼付B!$H721)&gt;0,"",IF(SUMPRODUCT((CSV貼付B!$N$5:$N721=CSV貼付B!$N721)*(COUNTIF($B$37:$B$48,CSV貼付B!$H$5:$H721)=0))&gt;1,"",MAX($O$4:O720)+1)))</f>
        <v/>
      </c>
      <c r="P721" s="0" t="str">
        <f aca="false">IFERROR(INDEX(CSV貼付B!$N$5:$N$1004,MATCH(ROW()-4,$O$5:$O$1004,0)),"")</f>
        <v/>
      </c>
      <c r="Q721" s="0" t="str">
        <f aca="false">IF(ROW()-4&lt;=MAX($M$5:$M$1004),IFERROR(INDEX($N$5:$N$1004,ROW()-4),""),IFERROR(INDEX($P$5:$P$1004,ROW()-4-MAX($M$5:$M$1004)),""))</f>
        <v/>
      </c>
    </row>
    <row r="722" customFormat="false" ht="15" hidden="false" customHeight="false" outlineLevel="0" collapsed="false">
      <c r="M722" s="0" t="str">
        <f aca="false">IF(CSV貼付A!$N722="","",IF(COUNTIF($B$37:$B$48,CSV貼付A!$H722)&gt;0,"",IF(SUMPRODUCT((CSV貼付A!$N$5:$N722=CSV貼付A!$N722)*(COUNTIF($B$37:$B$48,CSV貼付A!$H$5:$H722)=0))&gt;1,"",MAX($M$4:M721)+1)))</f>
        <v/>
      </c>
      <c r="N722" s="0" t="str">
        <f aca="false">IFERROR(INDEX(CSV貼付A!$N$5:$N$1004,MATCH(ROW()-4,$M$5:$M$1004,0)),"")</f>
        <v/>
      </c>
      <c r="O722" s="0" t="str">
        <f aca="false">IF(CSV貼付B!$N722="","",IF(COUNTIF($B$37:$B$48,CSV貼付B!$H722)&gt;0,"",IF(SUMPRODUCT((CSV貼付B!$N$5:$N722=CSV貼付B!$N722)*(COUNTIF($B$37:$B$48,CSV貼付B!$H$5:$H722)=0))&gt;1,"",MAX($O$4:O721)+1)))</f>
        <v/>
      </c>
      <c r="P722" s="0" t="str">
        <f aca="false">IFERROR(INDEX(CSV貼付B!$N$5:$N$1004,MATCH(ROW()-4,$O$5:$O$1004,0)),"")</f>
        <v/>
      </c>
      <c r="Q722" s="0" t="str">
        <f aca="false">IF(ROW()-4&lt;=MAX($M$5:$M$1004),IFERROR(INDEX($N$5:$N$1004,ROW()-4),""),IFERROR(INDEX($P$5:$P$1004,ROW()-4-MAX($M$5:$M$1004)),""))</f>
        <v/>
      </c>
    </row>
    <row r="723" customFormat="false" ht="15" hidden="false" customHeight="false" outlineLevel="0" collapsed="false">
      <c r="M723" s="0" t="str">
        <f aca="false">IF(CSV貼付A!$N723="","",IF(COUNTIF($B$37:$B$48,CSV貼付A!$H723)&gt;0,"",IF(SUMPRODUCT((CSV貼付A!$N$5:$N723=CSV貼付A!$N723)*(COUNTIF($B$37:$B$48,CSV貼付A!$H$5:$H723)=0))&gt;1,"",MAX($M$4:M722)+1)))</f>
        <v/>
      </c>
      <c r="N723" s="0" t="str">
        <f aca="false">IFERROR(INDEX(CSV貼付A!$N$5:$N$1004,MATCH(ROW()-4,$M$5:$M$1004,0)),"")</f>
        <v/>
      </c>
      <c r="O723" s="0" t="str">
        <f aca="false">IF(CSV貼付B!$N723="","",IF(COUNTIF($B$37:$B$48,CSV貼付B!$H723)&gt;0,"",IF(SUMPRODUCT((CSV貼付B!$N$5:$N723=CSV貼付B!$N723)*(COUNTIF($B$37:$B$48,CSV貼付B!$H$5:$H723)=0))&gt;1,"",MAX($O$4:O722)+1)))</f>
        <v/>
      </c>
      <c r="P723" s="0" t="str">
        <f aca="false">IFERROR(INDEX(CSV貼付B!$N$5:$N$1004,MATCH(ROW()-4,$O$5:$O$1004,0)),"")</f>
        <v/>
      </c>
      <c r="Q723" s="0" t="str">
        <f aca="false">IF(ROW()-4&lt;=MAX($M$5:$M$1004),IFERROR(INDEX($N$5:$N$1004,ROW()-4),""),IFERROR(INDEX($P$5:$P$1004,ROW()-4-MAX($M$5:$M$1004)),""))</f>
        <v/>
      </c>
    </row>
    <row r="724" customFormat="false" ht="15" hidden="false" customHeight="false" outlineLevel="0" collapsed="false">
      <c r="M724" s="0" t="str">
        <f aca="false">IF(CSV貼付A!$N724="","",IF(COUNTIF($B$37:$B$48,CSV貼付A!$H724)&gt;0,"",IF(SUMPRODUCT((CSV貼付A!$N$5:$N724=CSV貼付A!$N724)*(COUNTIF($B$37:$B$48,CSV貼付A!$H$5:$H724)=0))&gt;1,"",MAX($M$4:M723)+1)))</f>
        <v/>
      </c>
      <c r="N724" s="0" t="str">
        <f aca="false">IFERROR(INDEX(CSV貼付A!$N$5:$N$1004,MATCH(ROW()-4,$M$5:$M$1004,0)),"")</f>
        <v/>
      </c>
      <c r="O724" s="0" t="str">
        <f aca="false">IF(CSV貼付B!$N724="","",IF(COUNTIF($B$37:$B$48,CSV貼付B!$H724)&gt;0,"",IF(SUMPRODUCT((CSV貼付B!$N$5:$N724=CSV貼付B!$N724)*(COUNTIF($B$37:$B$48,CSV貼付B!$H$5:$H724)=0))&gt;1,"",MAX($O$4:O723)+1)))</f>
        <v/>
      </c>
      <c r="P724" s="0" t="str">
        <f aca="false">IFERROR(INDEX(CSV貼付B!$N$5:$N$1004,MATCH(ROW()-4,$O$5:$O$1004,0)),"")</f>
        <v/>
      </c>
      <c r="Q724" s="0" t="str">
        <f aca="false">IF(ROW()-4&lt;=MAX($M$5:$M$1004),IFERROR(INDEX($N$5:$N$1004,ROW()-4),""),IFERROR(INDEX($P$5:$P$1004,ROW()-4-MAX($M$5:$M$1004)),""))</f>
        <v/>
      </c>
    </row>
    <row r="725" customFormat="false" ht="15" hidden="false" customHeight="false" outlineLevel="0" collapsed="false">
      <c r="M725" s="0" t="str">
        <f aca="false">IF(CSV貼付A!$N725="","",IF(COUNTIF($B$37:$B$48,CSV貼付A!$H725)&gt;0,"",IF(SUMPRODUCT((CSV貼付A!$N$5:$N725=CSV貼付A!$N725)*(COUNTIF($B$37:$B$48,CSV貼付A!$H$5:$H725)=0))&gt;1,"",MAX($M$4:M724)+1)))</f>
        <v/>
      </c>
      <c r="N725" s="0" t="str">
        <f aca="false">IFERROR(INDEX(CSV貼付A!$N$5:$N$1004,MATCH(ROW()-4,$M$5:$M$1004,0)),"")</f>
        <v/>
      </c>
      <c r="O725" s="0" t="str">
        <f aca="false">IF(CSV貼付B!$N725="","",IF(COUNTIF($B$37:$B$48,CSV貼付B!$H725)&gt;0,"",IF(SUMPRODUCT((CSV貼付B!$N$5:$N725=CSV貼付B!$N725)*(COUNTIF($B$37:$B$48,CSV貼付B!$H$5:$H725)=0))&gt;1,"",MAX($O$4:O724)+1)))</f>
        <v/>
      </c>
      <c r="P725" s="0" t="str">
        <f aca="false">IFERROR(INDEX(CSV貼付B!$N$5:$N$1004,MATCH(ROW()-4,$O$5:$O$1004,0)),"")</f>
        <v/>
      </c>
      <c r="Q725" s="0" t="str">
        <f aca="false">IF(ROW()-4&lt;=MAX($M$5:$M$1004),IFERROR(INDEX($N$5:$N$1004,ROW()-4),""),IFERROR(INDEX($P$5:$P$1004,ROW()-4-MAX($M$5:$M$1004)),""))</f>
        <v/>
      </c>
    </row>
    <row r="726" customFormat="false" ht="15" hidden="false" customHeight="false" outlineLevel="0" collapsed="false">
      <c r="M726" s="0" t="str">
        <f aca="false">IF(CSV貼付A!$N726="","",IF(COUNTIF($B$37:$B$48,CSV貼付A!$H726)&gt;0,"",IF(SUMPRODUCT((CSV貼付A!$N$5:$N726=CSV貼付A!$N726)*(COUNTIF($B$37:$B$48,CSV貼付A!$H$5:$H726)=0))&gt;1,"",MAX($M$4:M725)+1)))</f>
        <v/>
      </c>
      <c r="N726" s="0" t="str">
        <f aca="false">IFERROR(INDEX(CSV貼付A!$N$5:$N$1004,MATCH(ROW()-4,$M$5:$M$1004,0)),"")</f>
        <v/>
      </c>
      <c r="O726" s="0" t="str">
        <f aca="false">IF(CSV貼付B!$N726="","",IF(COUNTIF($B$37:$B$48,CSV貼付B!$H726)&gt;0,"",IF(SUMPRODUCT((CSV貼付B!$N$5:$N726=CSV貼付B!$N726)*(COUNTIF($B$37:$B$48,CSV貼付B!$H$5:$H726)=0))&gt;1,"",MAX($O$4:O725)+1)))</f>
        <v/>
      </c>
      <c r="P726" s="0" t="str">
        <f aca="false">IFERROR(INDEX(CSV貼付B!$N$5:$N$1004,MATCH(ROW()-4,$O$5:$O$1004,0)),"")</f>
        <v/>
      </c>
      <c r="Q726" s="0" t="str">
        <f aca="false">IF(ROW()-4&lt;=MAX($M$5:$M$1004),IFERROR(INDEX($N$5:$N$1004,ROW()-4),""),IFERROR(INDEX($P$5:$P$1004,ROW()-4-MAX($M$5:$M$1004)),""))</f>
        <v/>
      </c>
    </row>
    <row r="727" customFormat="false" ht="15" hidden="false" customHeight="false" outlineLevel="0" collapsed="false">
      <c r="M727" s="0" t="str">
        <f aca="false">IF(CSV貼付A!$N727="","",IF(COUNTIF($B$37:$B$48,CSV貼付A!$H727)&gt;0,"",IF(SUMPRODUCT((CSV貼付A!$N$5:$N727=CSV貼付A!$N727)*(COUNTIF($B$37:$B$48,CSV貼付A!$H$5:$H727)=0))&gt;1,"",MAX($M$4:M726)+1)))</f>
        <v/>
      </c>
      <c r="N727" s="0" t="str">
        <f aca="false">IFERROR(INDEX(CSV貼付A!$N$5:$N$1004,MATCH(ROW()-4,$M$5:$M$1004,0)),"")</f>
        <v/>
      </c>
      <c r="O727" s="0" t="str">
        <f aca="false">IF(CSV貼付B!$N727="","",IF(COUNTIF($B$37:$B$48,CSV貼付B!$H727)&gt;0,"",IF(SUMPRODUCT((CSV貼付B!$N$5:$N727=CSV貼付B!$N727)*(COUNTIF($B$37:$B$48,CSV貼付B!$H$5:$H727)=0))&gt;1,"",MAX($O$4:O726)+1)))</f>
        <v/>
      </c>
      <c r="P727" s="0" t="str">
        <f aca="false">IFERROR(INDEX(CSV貼付B!$N$5:$N$1004,MATCH(ROW()-4,$O$5:$O$1004,0)),"")</f>
        <v/>
      </c>
      <c r="Q727" s="0" t="str">
        <f aca="false">IF(ROW()-4&lt;=MAX($M$5:$M$1004),IFERROR(INDEX($N$5:$N$1004,ROW()-4),""),IFERROR(INDEX($P$5:$P$1004,ROW()-4-MAX($M$5:$M$1004)),""))</f>
        <v/>
      </c>
    </row>
    <row r="728" customFormat="false" ht="15" hidden="false" customHeight="false" outlineLevel="0" collapsed="false">
      <c r="M728" s="0" t="str">
        <f aca="false">IF(CSV貼付A!$N728="","",IF(COUNTIF($B$37:$B$48,CSV貼付A!$H728)&gt;0,"",IF(SUMPRODUCT((CSV貼付A!$N$5:$N728=CSV貼付A!$N728)*(COUNTIF($B$37:$B$48,CSV貼付A!$H$5:$H728)=0))&gt;1,"",MAX($M$4:M727)+1)))</f>
        <v/>
      </c>
      <c r="N728" s="0" t="str">
        <f aca="false">IFERROR(INDEX(CSV貼付A!$N$5:$N$1004,MATCH(ROW()-4,$M$5:$M$1004,0)),"")</f>
        <v/>
      </c>
      <c r="O728" s="0" t="str">
        <f aca="false">IF(CSV貼付B!$N728="","",IF(COUNTIF($B$37:$B$48,CSV貼付B!$H728)&gt;0,"",IF(SUMPRODUCT((CSV貼付B!$N$5:$N728=CSV貼付B!$N728)*(COUNTIF($B$37:$B$48,CSV貼付B!$H$5:$H728)=0))&gt;1,"",MAX($O$4:O727)+1)))</f>
        <v/>
      </c>
      <c r="P728" s="0" t="str">
        <f aca="false">IFERROR(INDEX(CSV貼付B!$N$5:$N$1004,MATCH(ROW()-4,$O$5:$O$1004,0)),"")</f>
        <v/>
      </c>
      <c r="Q728" s="0" t="str">
        <f aca="false">IF(ROW()-4&lt;=MAX($M$5:$M$1004),IFERROR(INDEX($N$5:$N$1004,ROW()-4),""),IFERROR(INDEX($P$5:$P$1004,ROW()-4-MAX($M$5:$M$1004)),""))</f>
        <v/>
      </c>
    </row>
    <row r="729" customFormat="false" ht="15" hidden="false" customHeight="false" outlineLevel="0" collapsed="false">
      <c r="M729" s="0" t="str">
        <f aca="false">IF(CSV貼付A!$N729="","",IF(COUNTIF($B$37:$B$48,CSV貼付A!$H729)&gt;0,"",IF(SUMPRODUCT((CSV貼付A!$N$5:$N729=CSV貼付A!$N729)*(COUNTIF($B$37:$B$48,CSV貼付A!$H$5:$H729)=0))&gt;1,"",MAX($M$4:M728)+1)))</f>
        <v/>
      </c>
      <c r="N729" s="0" t="str">
        <f aca="false">IFERROR(INDEX(CSV貼付A!$N$5:$N$1004,MATCH(ROW()-4,$M$5:$M$1004,0)),"")</f>
        <v/>
      </c>
      <c r="O729" s="0" t="str">
        <f aca="false">IF(CSV貼付B!$N729="","",IF(COUNTIF($B$37:$B$48,CSV貼付B!$H729)&gt;0,"",IF(SUMPRODUCT((CSV貼付B!$N$5:$N729=CSV貼付B!$N729)*(COUNTIF($B$37:$B$48,CSV貼付B!$H$5:$H729)=0))&gt;1,"",MAX($O$4:O728)+1)))</f>
        <v/>
      </c>
      <c r="P729" s="0" t="str">
        <f aca="false">IFERROR(INDEX(CSV貼付B!$N$5:$N$1004,MATCH(ROW()-4,$O$5:$O$1004,0)),"")</f>
        <v/>
      </c>
      <c r="Q729" s="0" t="str">
        <f aca="false">IF(ROW()-4&lt;=MAX($M$5:$M$1004),IFERROR(INDEX($N$5:$N$1004,ROW()-4),""),IFERROR(INDEX($P$5:$P$1004,ROW()-4-MAX($M$5:$M$1004)),""))</f>
        <v/>
      </c>
    </row>
    <row r="730" customFormat="false" ht="15" hidden="false" customHeight="false" outlineLevel="0" collapsed="false">
      <c r="M730" s="0" t="str">
        <f aca="false">IF(CSV貼付A!$N730="","",IF(COUNTIF($B$37:$B$48,CSV貼付A!$H730)&gt;0,"",IF(SUMPRODUCT((CSV貼付A!$N$5:$N730=CSV貼付A!$N730)*(COUNTIF($B$37:$B$48,CSV貼付A!$H$5:$H730)=0))&gt;1,"",MAX($M$4:M729)+1)))</f>
        <v/>
      </c>
      <c r="N730" s="0" t="str">
        <f aca="false">IFERROR(INDEX(CSV貼付A!$N$5:$N$1004,MATCH(ROW()-4,$M$5:$M$1004,0)),"")</f>
        <v/>
      </c>
      <c r="O730" s="0" t="str">
        <f aca="false">IF(CSV貼付B!$N730="","",IF(COUNTIF($B$37:$B$48,CSV貼付B!$H730)&gt;0,"",IF(SUMPRODUCT((CSV貼付B!$N$5:$N730=CSV貼付B!$N730)*(COUNTIF($B$37:$B$48,CSV貼付B!$H$5:$H730)=0))&gt;1,"",MAX($O$4:O729)+1)))</f>
        <v/>
      </c>
      <c r="P730" s="0" t="str">
        <f aca="false">IFERROR(INDEX(CSV貼付B!$N$5:$N$1004,MATCH(ROW()-4,$O$5:$O$1004,0)),"")</f>
        <v/>
      </c>
      <c r="Q730" s="0" t="str">
        <f aca="false">IF(ROW()-4&lt;=MAX($M$5:$M$1004),IFERROR(INDEX($N$5:$N$1004,ROW()-4),""),IFERROR(INDEX($P$5:$P$1004,ROW()-4-MAX($M$5:$M$1004)),""))</f>
        <v/>
      </c>
    </row>
    <row r="731" customFormat="false" ht="15" hidden="false" customHeight="false" outlineLevel="0" collapsed="false">
      <c r="M731" s="0" t="str">
        <f aca="false">IF(CSV貼付A!$N731="","",IF(COUNTIF($B$37:$B$48,CSV貼付A!$H731)&gt;0,"",IF(SUMPRODUCT((CSV貼付A!$N$5:$N731=CSV貼付A!$N731)*(COUNTIF($B$37:$B$48,CSV貼付A!$H$5:$H731)=0))&gt;1,"",MAX($M$4:M730)+1)))</f>
        <v/>
      </c>
      <c r="N731" s="0" t="str">
        <f aca="false">IFERROR(INDEX(CSV貼付A!$N$5:$N$1004,MATCH(ROW()-4,$M$5:$M$1004,0)),"")</f>
        <v/>
      </c>
      <c r="O731" s="0" t="str">
        <f aca="false">IF(CSV貼付B!$N731="","",IF(COUNTIF($B$37:$B$48,CSV貼付B!$H731)&gt;0,"",IF(SUMPRODUCT((CSV貼付B!$N$5:$N731=CSV貼付B!$N731)*(COUNTIF($B$37:$B$48,CSV貼付B!$H$5:$H731)=0))&gt;1,"",MAX($O$4:O730)+1)))</f>
        <v/>
      </c>
      <c r="P731" s="0" t="str">
        <f aca="false">IFERROR(INDEX(CSV貼付B!$N$5:$N$1004,MATCH(ROW()-4,$O$5:$O$1004,0)),"")</f>
        <v/>
      </c>
      <c r="Q731" s="0" t="str">
        <f aca="false">IF(ROW()-4&lt;=MAX($M$5:$M$1004),IFERROR(INDEX($N$5:$N$1004,ROW()-4),""),IFERROR(INDEX($P$5:$P$1004,ROW()-4-MAX($M$5:$M$1004)),""))</f>
        <v/>
      </c>
    </row>
    <row r="732" customFormat="false" ht="15" hidden="false" customHeight="false" outlineLevel="0" collapsed="false">
      <c r="M732" s="0" t="str">
        <f aca="false">IF(CSV貼付A!$N732="","",IF(COUNTIF($B$37:$B$48,CSV貼付A!$H732)&gt;0,"",IF(SUMPRODUCT((CSV貼付A!$N$5:$N732=CSV貼付A!$N732)*(COUNTIF($B$37:$B$48,CSV貼付A!$H$5:$H732)=0))&gt;1,"",MAX($M$4:M731)+1)))</f>
        <v/>
      </c>
      <c r="N732" s="0" t="str">
        <f aca="false">IFERROR(INDEX(CSV貼付A!$N$5:$N$1004,MATCH(ROW()-4,$M$5:$M$1004,0)),"")</f>
        <v/>
      </c>
      <c r="O732" s="0" t="str">
        <f aca="false">IF(CSV貼付B!$N732="","",IF(COUNTIF($B$37:$B$48,CSV貼付B!$H732)&gt;0,"",IF(SUMPRODUCT((CSV貼付B!$N$5:$N732=CSV貼付B!$N732)*(COUNTIF($B$37:$B$48,CSV貼付B!$H$5:$H732)=0))&gt;1,"",MAX($O$4:O731)+1)))</f>
        <v/>
      </c>
      <c r="P732" s="0" t="str">
        <f aca="false">IFERROR(INDEX(CSV貼付B!$N$5:$N$1004,MATCH(ROW()-4,$O$5:$O$1004,0)),"")</f>
        <v/>
      </c>
      <c r="Q732" s="0" t="str">
        <f aca="false">IF(ROW()-4&lt;=MAX($M$5:$M$1004),IFERROR(INDEX($N$5:$N$1004,ROW()-4),""),IFERROR(INDEX($P$5:$P$1004,ROW()-4-MAX($M$5:$M$1004)),""))</f>
        <v/>
      </c>
    </row>
    <row r="733" customFormat="false" ht="15" hidden="false" customHeight="false" outlineLevel="0" collapsed="false">
      <c r="M733" s="0" t="str">
        <f aca="false">IF(CSV貼付A!$N733="","",IF(COUNTIF($B$37:$B$48,CSV貼付A!$H733)&gt;0,"",IF(SUMPRODUCT((CSV貼付A!$N$5:$N733=CSV貼付A!$N733)*(COUNTIF($B$37:$B$48,CSV貼付A!$H$5:$H733)=0))&gt;1,"",MAX($M$4:M732)+1)))</f>
        <v/>
      </c>
      <c r="N733" s="0" t="str">
        <f aca="false">IFERROR(INDEX(CSV貼付A!$N$5:$N$1004,MATCH(ROW()-4,$M$5:$M$1004,0)),"")</f>
        <v/>
      </c>
      <c r="O733" s="0" t="str">
        <f aca="false">IF(CSV貼付B!$N733="","",IF(COUNTIF($B$37:$B$48,CSV貼付B!$H733)&gt;0,"",IF(SUMPRODUCT((CSV貼付B!$N$5:$N733=CSV貼付B!$N733)*(COUNTIF($B$37:$B$48,CSV貼付B!$H$5:$H733)=0))&gt;1,"",MAX($O$4:O732)+1)))</f>
        <v/>
      </c>
      <c r="P733" s="0" t="str">
        <f aca="false">IFERROR(INDEX(CSV貼付B!$N$5:$N$1004,MATCH(ROW()-4,$O$5:$O$1004,0)),"")</f>
        <v/>
      </c>
      <c r="Q733" s="0" t="str">
        <f aca="false">IF(ROW()-4&lt;=MAX($M$5:$M$1004),IFERROR(INDEX($N$5:$N$1004,ROW()-4),""),IFERROR(INDEX($P$5:$P$1004,ROW()-4-MAX($M$5:$M$1004)),""))</f>
        <v/>
      </c>
    </row>
    <row r="734" customFormat="false" ht="15" hidden="false" customHeight="false" outlineLevel="0" collapsed="false">
      <c r="M734" s="0" t="str">
        <f aca="false">IF(CSV貼付A!$N734="","",IF(COUNTIF($B$37:$B$48,CSV貼付A!$H734)&gt;0,"",IF(SUMPRODUCT((CSV貼付A!$N$5:$N734=CSV貼付A!$N734)*(COUNTIF($B$37:$B$48,CSV貼付A!$H$5:$H734)=0))&gt;1,"",MAX($M$4:M733)+1)))</f>
        <v/>
      </c>
      <c r="N734" s="0" t="str">
        <f aca="false">IFERROR(INDEX(CSV貼付A!$N$5:$N$1004,MATCH(ROW()-4,$M$5:$M$1004,0)),"")</f>
        <v/>
      </c>
      <c r="O734" s="0" t="str">
        <f aca="false">IF(CSV貼付B!$N734="","",IF(COUNTIF($B$37:$B$48,CSV貼付B!$H734)&gt;0,"",IF(SUMPRODUCT((CSV貼付B!$N$5:$N734=CSV貼付B!$N734)*(COUNTIF($B$37:$B$48,CSV貼付B!$H$5:$H734)=0))&gt;1,"",MAX($O$4:O733)+1)))</f>
        <v/>
      </c>
      <c r="P734" s="0" t="str">
        <f aca="false">IFERROR(INDEX(CSV貼付B!$N$5:$N$1004,MATCH(ROW()-4,$O$5:$O$1004,0)),"")</f>
        <v/>
      </c>
      <c r="Q734" s="0" t="str">
        <f aca="false">IF(ROW()-4&lt;=MAX($M$5:$M$1004),IFERROR(INDEX($N$5:$N$1004,ROW()-4),""),IFERROR(INDEX($P$5:$P$1004,ROW()-4-MAX($M$5:$M$1004)),""))</f>
        <v/>
      </c>
    </row>
    <row r="735" customFormat="false" ht="15" hidden="false" customHeight="false" outlineLevel="0" collapsed="false">
      <c r="M735" s="0" t="str">
        <f aca="false">IF(CSV貼付A!$N735="","",IF(COUNTIF($B$37:$B$48,CSV貼付A!$H735)&gt;0,"",IF(SUMPRODUCT((CSV貼付A!$N$5:$N735=CSV貼付A!$N735)*(COUNTIF($B$37:$B$48,CSV貼付A!$H$5:$H735)=0))&gt;1,"",MAX($M$4:M734)+1)))</f>
        <v/>
      </c>
      <c r="N735" s="0" t="str">
        <f aca="false">IFERROR(INDEX(CSV貼付A!$N$5:$N$1004,MATCH(ROW()-4,$M$5:$M$1004,0)),"")</f>
        <v/>
      </c>
      <c r="O735" s="0" t="str">
        <f aca="false">IF(CSV貼付B!$N735="","",IF(COUNTIF($B$37:$B$48,CSV貼付B!$H735)&gt;0,"",IF(SUMPRODUCT((CSV貼付B!$N$5:$N735=CSV貼付B!$N735)*(COUNTIF($B$37:$B$48,CSV貼付B!$H$5:$H735)=0))&gt;1,"",MAX($O$4:O734)+1)))</f>
        <v/>
      </c>
      <c r="P735" s="0" t="str">
        <f aca="false">IFERROR(INDEX(CSV貼付B!$N$5:$N$1004,MATCH(ROW()-4,$O$5:$O$1004,0)),"")</f>
        <v/>
      </c>
      <c r="Q735" s="0" t="str">
        <f aca="false">IF(ROW()-4&lt;=MAX($M$5:$M$1004),IFERROR(INDEX($N$5:$N$1004,ROW()-4),""),IFERROR(INDEX($P$5:$P$1004,ROW()-4-MAX($M$5:$M$1004)),""))</f>
        <v/>
      </c>
    </row>
    <row r="736" customFormat="false" ht="15" hidden="false" customHeight="false" outlineLevel="0" collapsed="false">
      <c r="M736" s="0" t="str">
        <f aca="false">IF(CSV貼付A!$N736="","",IF(COUNTIF($B$37:$B$48,CSV貼付A!$H736)&gt;0,"",IF(SUMPRODUCT((CSV貼付A!$N$5:$N736=CSV貼付A!$N736)*(COUNTIF($B$37:$B$48,CSV貼付A!$H$5:$H736)=0))&gt;1,"",MAX($M$4:M735)+1)))</f>
        <v/>
      </c>
      <c r="N736" s="0" t="str">
        <f aca="false">IFERROR(INDEX(CSV貼付A!$N$5:$N$1004,MATCH(ROW()-4,$M$5:$M$1004,0)),"")</f>
        <v/>
      </c>
      <c r="O736" s="0" t="str">
        <f aca="false">IF(CSV貼付B!$N736="","",IF(COUNTIF($B$37:$B$48,CSV貼付B!$H736)&gt;0,"",IF(SUMPRODUCT((CSV貼付B!$N$5:$N736=CSV貼付B!$N736)*(COUNTIF($B$37:$B$48,CSV貼付B!$H$5:$H736)=0))&gt;1,"",MAX($O$4:O735)+1)))</f>
        <v/>
      </c>
      <c r="P736" s="0" t="str">
        <f aca="false">IFERROR(INDEX(CSV貼付B!$N$5:$N$1004,MATCH(ROW()-4,$O$5:$O$1004,0)),"")</f>
        <v/>
      </c>
      <c r="Q736" s="0" t="str">
        <f aca="false">IF(ROW()-4&lt;=MAX($M$5:$M$1004),IFERROR(INDEX($N$5:$N$1004,ROW()-4),""),IFERROR(INDEX($P$5:$P$1004,ROW()-4-MAX($M$5:$M$1004)),""))</f>
        <v/>
      </c>
    </row>
    <row r="737" customFormat="false" ht="15" hidden="false" customHeight="false" outlineLevel="0" collapsed="false">
      <c r="M737" s="0" t="str">
        <f aca="false">IF(CSV貼付A!$N737="","",IF(COUNTIF($B$37:$B$48,CSV貼付A!$H737)&gt;0,"",IF(SUMPRODUCT((CSV貼付A!$N$5:$N737=CSV貼付A!$N737)*(COUNTIF($B$37:$B$48,CSV貼付A!$H$5:$H737)=0))&gt;1,"",MAX($M$4:M736)+1)))</f>
        <v/>
      </c>
      <c r="N737" s="0" t="str">
        <f aca="false">IFERROR(INDEX(CSV貼付A!$N$5:$N$1004,MATCH(ROW()-4,$M$5:$M$1004,0)),"")</f>
        <v/>
      </c>
      <c r="O737" s="0" t="str">
        <f aca="false">IF(CSV貼付B!$N737="","",IF(COUNTIF($B$37:$B$48,CSV貼付B!$H737)&gt;0,"",IF(SUMPRODUCT((CSV貼付B!$N$5:$N737=CSV貼付B!$N737)*(COUNTIF($B$37:$B$48,CSV貼付B!$H$5:$H737)=0))&gt;1,"",MAX($O$4:O736)+1)))</f>
        <v/>
      </c>
      <c r="P737" s="0" t="str">
        <f aca="false">IFERROR(INDEX(CSV貼付B!$N$5:$N$1004,MATCH(ROW()-4,$O$5:$O$1004,0)),"")</f>
        <v/>
      </c>
      <c r="Q737" s="0" t="str">
        <f aca="false">IF(ROW()-4&lt;=MAX($M$5:$M$1004),IFERROR(INDEX($N$5:$N$1004,ROW()-4),""),IFERROR(INDEX($P$5:$P$1004,ROW()-4-MAX($M$5:$M$1004)),""))</f>
        <v/>
      </c>
    </row>
    <row r="738" customFormat="false" ht="15" hidden="false" customHeight="false" outlineLevel="0" collapsed="false">
      <c r="M738" s="0" t="str">
        <f aca="false">IF(CSV貼付A!$N738="","",IF(COUNTIF($B$37:$B$48,CSV貼付A!$H738)&gt;0,"",IF(SUMPRODUCT((CSV貼付A!$N$5:$N738=CSV貼付A!$N738)*(COUNTIF($B$37:$B$48,CSV貼付A!$H$5:$H738)=0))&gt;1,"",MAX($M$4:M737)+1)))</f>
        <v/>
      </c>
      <c r="N738" s="0" t="str">
        <f aca="false">IFERROR(INDEX(CSV貼付A!$N$5:$N$1004,MATCH(ROW()-4,$M$5:$M$1004,0)),"")</f>
        <v/>
      </c>
      <c r="O738" s="0" t="str">
        <f aca="false">IF(CSV貼付B!$N738="","",IF(COUNTIF($B$37:$B$48,CSV貼付B!$H738)&gt;0,"",IF(SUMPRODUCT((CSV貼付B!$N$5:$N738=CSV貼付B!$N738)*(COUNTIF($B$37:$B$48,CSV貼付B!$H$5:$H738)=0))&gt;1,"",MAX($O$4:O737)+1)))</f>
        <v/>
      </c>
      <c r="P738" s="0" t="str">
        <f aca="false">IFERROR(INDEX(CSV貼付B!$N$5:$N$1004,MATCH(ROW()-4,$O$5:$O$1004,0)),"")</f>
        <v/>
      </c>
      <c r="Q738" s="0" t="str">
        <f aca="false">IF(ROW()-4&lt;=MAX($M$5:$M$1004),IFERROR(INDEX($N$5:$N$1004,ROW()-4),""),IFERROR(INDEX($P$5:$P$1004,ROW()-4-MAX($M$5:$M$1004)),""))</f>
        <v/>
      </c>
    </row>
    <row r="739" customFormat="false" ht="15" hidden="false" customHeight="false" outlineLevel="0" collapsed="false">
      <c r="M739" s="0" t="str">
        <f aca="false">IF(CSV貼付A!$N739="","",IF(COUNTIF($B$37:$B$48,CSV貼付A!$H739)&gt;0,"",IF(SUMPRODUCT((CSV貼付A!$N$5:$N739=CSV貼付A!$N739)*(COUNTIF($B$37:$B$48,CSV貼付A!$H$5:$H739)=0))&gt;1,"",MAX($M$4:M738)+1)))</f>
        <v/>
      </c>
      <c r="N739" s="0" t="str">
        <f aca="false">IFERROR(INDEX(CSV貼付A!$N$5:$N$1004,MATCH(ROW()-4,$M$5:$M$1004,0)),"")</f>
        <v/>
      </c>
      <c r="O739" s="0" t="str">
        <f aca="false">IF(CSV貼付B!$N739="","",IF(COUNTIF($B$37:$B$48,CSV貼付B!$H739)&gt;0,"",IF(SUMPRODUCT((CSV貼付B!$N$5:$N739=CSV貼付B!$N739)*(COUNTIF($B$37:$B$48,CSV貼付B!$H$5:$H739)=0))&gt;1,"",MAX($O$4:O738)+1)))</f>
        <v/>
      </c>
      <c r="P739" s="0" t="str">
        <f aca="false">IFERROR(INDEX(CSV貼付B!$N$5:$N$1004,MATCH(ROW()-4,$O$5:$O$1004,0)),"")</f>
        <v/>
      </c>
      <c r="Q739" s="0" t="str">
        <f aca="false">IF(ROW()-4&lt;=MAX($M$5:$M$1004),IFERROR(INDEX($N$5:$N$1004,ROW()-4),""),IFERROR(INDEX($P$5:$P$1004,ROW()-4-MAX($M$5:$M$1004)),""))</f>
        <v/>
      </c>
    </row>
    <row r="740" customFormat="false" ht="15" hidden="false" customHeight="false" outlineLevel="0" collapsed="false">
      <c r="M740" s="0" t="str">
        <f aca="false">IF(CSV貼付A!$N740="","",IF(COUNTIF($B$37:$B$48,CSV貼付A!$H740)&gt;0,"",IF(SUMPRODUCT((CSV貼付A!$N$5:$N740=CSV貼付A!$N740)*(COUNTIF($B$37:$B$48,CSV貼付A!$H$5:$H740)=0))&gt;1,"",MAX($M$4:M739)+1)))</f>
        <v/>
      </c>
      <c r="N740" s="0" t="str">
        <f aca="false">IFERROR(INDEX(CSV貼付A!$N$5:$N$1004,MATCH(ROW()-4,$M$5:$M$1004,0)),"")</f>
        <v/>
      </c>
      <c r="O740" s="0" t="str">
        <f aca="false">IF(CSV貼付B!$N740="","",IF(COUNTIF($B$37:$B$48,CSV貼付B!$H740)&gt;0,"",IF(SUMPRODUCT((CSV貼付B!$N$5:$N740=CSV貼付B!$N740)*(COUNTIF($B$37:$B$48,CSV貼付B!$H$5:$H740)=0))&gt;1,"",MAX($O$4:O739)+1)))</f>
        <v/>
      </c>
      <c r="P740" s="0" t="str">
        <f aca="false">IFERROR(INDEX(CSV貼付B!$N$5:$N$1004,MATCH(ROW()-4,$O$5:$O$1004,0)),"")</f>
        <v/>
      </c>
      <c r="Q740" s="0" t="str">
        <f aca="false">IF(ROW()-4&lt;=MAX($M$5:$M$1004),IFERROR(INDEX($N$5:$N$1004,ROW()-4),""),IFERROR(INDEX($P$5:$P$1004,ROW()-4-MAX($M$5:$M$1004)),""))</f>
        <v/>
      </c>
    </row>
    <row r="741" customFormat="false" ht="15" hidden="false" customHeight="false" outlineLevel="0" collapsed="false">
      <c r="M741" s="0" t="str">
        <f aca="false">IF(CSV貼付A!$N741="","",IF(COUNTIF($B$37:$B$48,CSV貼付A!$H741)&gt;0,"",IF(SUMPRODUCT((CSV貼付A!$N$5:$N741=CSV貼付A!$N741)*(COUNTIF($B$37:$B$48,CSV貼付A!$H$5:$H741)=0))&gt;1,"",MAX($M$4:M740)+1)))</f>
        <v/>
      </c>
      <c r="N741" s="0" t="str">
        <f aca="false">IFERROR(INDEX(CSV貼付A!$N$5:$N$1004,MATCH(ROW()-4,$M$5:$M$1004,0)),"")</f>
        <v/>
      </c>
      <c r="O741" s="0" t="str">
        <f aca="false">IF(CSV貼付B!$N741="","",IF(COUNTIF($B$37:$B$48,CSV貼付B!$H741)&gt;0,"",IF(SUMPRODUCT((CSV貼付B!$N$5:$N741=CSV貼付B!$N741)*(COUNTIF($B$37:$B$48,CSV貼付B!$H$5:$H741)=0))&gt;1,"",MAX($O$4:O740)+1)))</f>
        <v/>
      </c>
      <c r="P741" s="0" t="str">
        <f aca="false">IFERROR(INDEX(CSV貼付B!$N$5:$N$1004,MATCH(ROW()-4,$O$5:$O$1004,0)),"")</f>
        <v/>
      </c>
      <c r="Q741" s="0" t="str">
        <f aca="false">IF(ROW()-4&lt;=MAX($M$5:$M$1004),IFERROR(INDEX($N$5:$N$1004,ROW()-4),""),IFERROR(INDEX($P$5:$P$1004,ROW()-4-MAX($M$5:$M$1004)),""))</f>
        <v/>
      </c>
    </row>
    <row r="742" customFormat="false" ht="15" hidden="false" customHeight="false" outlineLevel="0" collapsed="false">
      <c r="M742" s="0" t="str">
        <f aca="false">IF(CSV貼付A!$N742="","",IF(COUNTIF($B$37:$B$48,CSV貼付A!$H742)&gt;0,"",IF(SUMPRODUCT((CSV貼付A!$N$5:$N742=CSV貼付A!$N742)*(COUNTIF($B$37:$B$48,CSV貼付A!$H$5:$H742)=0))&gt;1,"",MAX($M$4:M741)+1)))</f>
        <v/>
      </c>
      <c r="N742" s="0" t="str">
        <f aca="false">IFERROR(INDEX(CSV貼付A!$N$5:$N$1004,MATCH(ROW()-4,$M$5:$M$1004,0)),"")</f>
        <v/>
      </c>
      <c r="O742" s="0" t="str">
        <f aca="false">IF(CSV貼付B!$N742="","",IF(COUNTIF($B$37:$B$48,CSV貼付B!$H742)&gt;0,"",IF(SUMPRODUCT((CSV貼付B!$N$5:$N742=CSV貼付B!$N742)*(COUNTIF($B$37:$B$48,CSV貼付B!$H$5:$H742)=0))&gt;1,"",MAX($O$4:O741)+1)))</f>
        <v/>
      </c>
      <c r="P742" s="0" t="str">
        <f aca="false">IFERROR(INDEX(CSV貼付B!$N$5:$N$1004,MATCH(ROW()-4,$O$5:$O$1004,0)),"")</f>
        <v/>
      </c>
      <c r="Q742" s="0" t="str">
        <f aca="false">IF(ROW()-4&lt;=MAX($M$5:$M$1004),IFERROR(INDEX($N$5:$N$1004,ROW()-4),""),IFERROR(INDEX($P$5:$P$1004,ROW()-4-MAX($M$5:$M$1004)),""))</f>
        <v/>
      </c>
    </row>
    <row r="743" customFormat="false" ht="15" hidden="false" customHeight="false" outlineLevel="0" collapsed="false">
      <c r="M743" s="0" t="str">
        <f aca="false">IF(CSV貼付A!$N743="","",IF(COUNTIF($B$37:$B$48,CSV貼付A!$H743)&gt;0,"",IF(SUMPRODUCT((CSV貼付A!$N$5:$N743=CSV貼付A!$N743)*(COUNTIF($B$37:$B$48,CSV貼付A!$H$5:$H743)=0))&gt;1,"",MAX($M$4:M742)+1)))</f>
        <v/>
      </c>
      <c r="N743" s="0" t="str">
        <f aca="false">IFERROR(INDEX(CSV貼付A!$N$5:$N$1004,MATCH(ROW()-4,$M$5:$M$1004,0)),"")</f>
        <v/>
      </c>
      <c r="O743" s="0" t="str">
        <f aca="false">IF(CSV貼付B!$N743="","",IF(COUNTIF($B$37:$B$48,CSV貼付B!$H743)&gt;0,"",IF(SUMPRODUCT((CSV貼付B!$N$5:$N743=CSV貼付B!$N743)*(COUNTIF($B$37:$B$48,CSV貼付B!$H$5:$H743)=0))&gt;1,"",MAX($O$4:O742)+1)))</f>
        <v/>
      </c>
      <c r="P743" s="0" t="str">
        <f aca="false">IFERROR(INDEX(CSV貼付B!$N$5:$N$1004,MATCH(ROW()-4,$O$5:$O$1004,0)),"")</f>
        <v/>
      </c>
      <c r="Q743" s="0" t="str">
        <f aca="false">IF(ROW()-4&lt;=MAX($M$5:$M$1004),IFERROR(INDEX($N$5:$N$1004,ROW()-4),""),IFERROR(INDEX($P$5:$P$1004,ROW()-4-MAX($M$5:$M$1004)),""))</f>
        <v/>
      </c>
    </row>
    <row r="744" customFormat="false" ht="15" hidden="false" customHeight="false" outlineLevel="0" collapsed="false">
      <c r="M744" s="0" t="str">
        <f aca="false">IF(CSV貼付A!$N744="","",IF(COUNTIF($B$37:$B$48,CSV貼付A!$H744)&gt;0,"",IF(SUMPRODUCT((CSV貼付A!$N$5:$N744=CSV貼付A!$N744)*(COUNTIF($B$37:$B$48,CSV貼付A!$H$5:$H744)=0))&gt;1,"",MAX($M$4:M743)+1)))</f>
        <v/>
      </c>
      <c r="N744" s="0" t="str">
        <f aca="false">IFERROR(INDEX(CSV貼付A!$N$5:$N$1004,MATCH(ROW()-4,$M$5:$M$1004,0)),"")</f>
        <v/>
      </c>
      <c r="O744" s="0" t="str">
        <f aca="false">IF(CSV貼付B!$N744="","",IF(COUNTIF($B$37:$B$48,CSV貼付B!$H744)&gt;0,"",IF(SUMPRODUCT((CSV貼付B!$N$5:$N744=CSV貼付B!$N744)*(COUNTIF($B$37:$B$48,CSV貼付B!$H$5:$H744)=0))&gt;1,"",MAX($O$4:O743)+1)))</f>
        <v/>
      </c>
      <c r="P744" s="0" t="str">
        <f aca="false">IFERROR(INDEX(CSV貼付B!$N$5:$N$1004,MATCH(ROW()-4,$O$5:$O$1004,0)),"")</f>
        <v/>
      </c>
      <c r="Q744" s="0" t="str">
        <f aca="false">IF(ROW()-4&lt;=MAX($M$5:$M$1004),IFERROR(INDEX($N$5:$N$1004,ROW()-4),""),IFERROR(INDEX($P$5:$P$1004,ROW()-4-MAX($M$5:$M$1004)),""))</f>
        <v/>
      </c>
    </row>
    <row r="745" customFormat="false" ht="15" hidden="false" customHeight="false" outlineLevel="0" collapsed="false">
      <c r="M745" s="0" t="str">
        <f aca="false">IF(CSV貼付A!$N745="","",IF(COUNTIF($B$37:$B$48,CSV貼付A!$H745)&gt;0,"",IF(SUMPRODUCT((CSV貼付A!$N$5:$N745=CSV貼付A!$N745)*(COUNTIF($B$37:$B$48,CSV貼付A!$H$5:$H745)=0))&gt;1,"",MAX($M$4:M744)+1)))</f>
        <v/>
      </c>
      <c r="N745" s="0" t="str">
        <f aca="false">IFERROR(INDEX(CSV貼付A!$N$5:$N$1004,MATCH(ROW()-4,$M$5:$M$1004,0)),"")</f>
        <v/>
      </c>
      <c r="O745" s="0" t="str">
        <f aca="false">IF(CSV貼付B!$N745="","",IF(COUNTIF($B$37:$B$48,CSV貼付B!$H745)&gt;0,"",IF(SUMPRODUCT((CSV貼付B!$N$5:$N745=CSV貼付B!$N745)*(COUNTIF($B$37:$B$48,CSV貼付B!$H$5:$H745)=0))&gt;1,"",MAX($O$4:O744)+1)))</f>
        <v/>
      </c>
      <c r="P745" s="0" t="str">
        <f aca="false">IFERROR(INDEX(CSV貼付B!$N$5:$N$1004,MATCH(ROW()-4,$O$5:$O$1004,0)),"")</f>
        <v/>
      </c>
      <c r="Q745" s="0" t="str">
        <f aca="false">IF(ROW()-4&lt;=MAX($M$5:$M$1004),IFERROR(INDEX($N$5:$N$1004,ROW()-4),""),IFERROR(INDEX($P$5:$P$1004,ROW()-4-MAX($M$5:$M$1004)),""))</f>
        <v/>
      </c>
    </row>
    <row r="746" customFormat="false" ht="15" hidden="false" customHeight="false" outlineLevel="0" collapsed="false">
      <c r="M746" s="0" t="str">
        <f aca="false">IF(CSV貼付A!$N746="","",IF(COUNTIF($B$37:$B$48,CSV貼付A!$H746)&gt;0,"",IF(SUMPRODUCT((CSV貼付A!$N$5:$N746=CSV貼付A!$N746)*(COUNTIF($B$37:$B$48,CSV貼付A!$H$5:$H746)=0))&gt;1,"",MAX($M$4:M745)+1)))</f>
        <v/>
      </c>
      <c r="N746" s="0" t="str">
        <f aca="false">IFERROR(INDEX(CSV貼付A!$N$5:$N$1004,MATCH(ROW()-4,$M$5:$M$1004,0)),"")</f>
        <v/>
      </c>
      <c r="O746" s="0" t="str">
        <f aca="false">IF(CSV貼付B!$N746="","",IF(COUNTIF($B$37:$B$48,CSV貼付B!$H746)&gt;0,"",IF(SUMPRODUCT((CSV貼付B!$N$5:$N746=CSV貼付B!$N746)*(COUNTIF($B$37:$B$48,CSV貼付B!$H$5:$H746)=0))&gt;1,"",MAX($O$4:O745)+1)))</f>
        <v/>
      </c>
      <c r="P746" s="0" t="str">
        <f aca="false">IFERROR(INDEX(CSV貼付B!$N$5:$N$1004,MATCH(ROW()-4,$O$5:$O$1004,0)),"")</f>
        <v/>
      </c>
      <c r="Q746" s="0" t="str">
        <f aca="false">IF(ROW()-4&lt;=MAX($M$5:$M$1004),IFERROR(INDEX($N$5:$N$1004,ROW()-4),""),IFERROR(INDEX($P$5:$P$1004,ROW()-4-MAX($M$5:$M$1004)),""))</f>
        <v/>
      </c>
    </row>
    <row r="747" customFormat="false" ht="15" hidden="false" customHeight="false" outlineLevel="0" collapsed="false">
      <c r="M747" s="0" t="str">
        <f aca="false">IF(CSV貼付A!$N747="","",IF(COUNTIF($B$37:$B$48,CSV貼付A!$H747)&gt;0,"",IF(SUMPRODUCT((CSV貼付A!$N$5:$N747=CSV貼付A!$N747)*(COUNTIF($B$37:$B$48,CSV貼付A!$H$5:$H747)=0))&gt;1,"",MAX($M$4:M746)+1)))</f>
        <v/>
      </c>
      <c r="N747" s="0" t="str">
        <f aca="false">IFERROR(INDEX(CSV貼付A!$N$5:$N$1004,MATCH(ROW()-4,$M$5:$M$1004,0)),"")</f>
        <v/>
      </c>
      <c r="O747" s="0" t="str">
        <f aca="false">IF(CSV貼付B!$N747="","",IF(COUNTIF($B$37:$B$48,CSV貼付B!$H747)&gt;0,"",IF(SUMPRODUCT((CSV貼付B!$N$5:$N747=CSV貼付B!$N747)*(COUNTIF($B$37:$B$48,CSV貼付B!$H$5:$H747)=0))&gt;1,"",MAX($O$4:O746)+1)))</f>
        <v/>
      </c>
      <c r="P747" s="0" t="str">
        <f aca="false">IFERROR(INDEX(CSV貼付B!$N$5:$N$1004,MATCH(ROW()-4,$O$5:$O$1004,0)),"")</f>
        <v/>
      </c>
      <c r="Q747" s="0" t="str">
        <f aca="false">IF(ROW()-4&lt;=MAX($M$5:$M$1004),IFERROR(INDEX($N$5:$N$1004,ROW()-4),""),IFERROR(INDEX($P$5:$P$1004,ROW()-4-MAX($M$5:$M$1004)),""))</f>
        <v/>
      </c>
    </row>
    <row r="748" customFormat="false" ht="15" hidden="false" customHeight="false" outlineLevel="0" collapsed="false">
      <c r="M748" s="0" t="str">
        <f aca="false">IF(CSV貼付A!$N748="","",IF(COUNTIF($B$37:$B$48,CSV貼付A!$H748)&gt;0,"",IF(SUMPRODUCT((CSV貼付A!$N$5:$N748=CSV貼付A!$N748)*(COUNTIF($B$37:$B$48,CSV貼付A!$H$5:$H748)=0))&gt;1,"",MAX($M$4:M747)+1)))</f>
        <v/>
      </c>
      <c r="N748" s="0" t="str">
        <f aca="false">IFERROR(INDEX(CSV貼付A!$N$5:$N$1004,MATCH(ROW()-4,$M$5:$M$1004,0)),"")</f>
        <v/>
      </c>
      <c r="O748" s="0" t="str">
        <f aca="false">IF(CSV貼付B!$N748="","",IF(COUNTIF($B$37:$B$48,CSV貼付B!$H748)&gt;0,"",IF(SUMPRODUCT((CSV貼付B!$N$5:$N748=CSV貼付B!$N748)*(COUNTIF($B$37:$B$48,CSV貼付B!$H$5:$H748)=0))&gt;1,"",MAX($O$4:O747)+1)))</f>
        <v/>
      </c>
      <c r="P748" s="0" t="str">
        <f aca="false">IFERROR(INDEX(CSV貼付B!$N$5:$N$1004,MATCH(ROW()-4,$O$5:$O$1004,0)),"")</f>
        <v/>
      </c>
      <c r="Q748" s="0" t="str">
        <f aca="false">IF(ROW()-4&lt;=MAX($M$5:$M$1004),IFERROR(INDEX($N$5:$N$1004,ROW()-4),""),IFERROR(INDEX($P$5:$P$1004,ROW()-4-MAX($M$5:$M$1004)),""))</f>
        <v/>
      </c>
    </row>
    <row r="749" customFormat="false" ht="15" hidden="false" customHeight="false" outlineLevel="0" collapsed="false">
      <c r="M749" s="0" t="str">
        <f aca="false">IF(CSV貼付A!$N749="","",IF(COUNTIF($B$37:$B$48,CSV貼付A!$H749)&gt;0,"",IF(SUMPRODUCT((CSV貼付A!$N$5:$N749=CSV貼付A!$N749)*(COUNTIF($B$37:$B$48,CSV貼付A!$H$5:$H749)=0))&gt;1,"",MAX($M$4:M748)+1)))</f>
        <v/>
      </c>
      <c r="N749" s="0" t="str">
        <f aca="false">IFERROR(INDEX(CSV貼付A!$N$5:$N$1004,MATCH(ROW()-4,$M$5:$M$1004,0)),"")</f>
        <v/>
      </c>
      <c r="O749" s="0" t="str">
        <f aca="false">IF(CSV貼付B!$N749="","",IF(COUNTIF($B$37:$B$48,CSV貼付B!$H749)&gt;0,"",IF(SUMPRODUCT((CSV貼付B!$N$5:$N749=CSV貼付B!$N749)*(COUNTIF($B$37:$B$48,CSV貼付B!$H$5:$H749)=0))&gt;1,"",MAX($O$4:O748)+1)))</f>
        <v/>
      </c>
      <c r="P749" s="0" t="str">
        <f aca="false">IFERROR(INDEX(CSV貼付B!$N$5:$N$1004,MATCH(ROW()-4,$O$5:$O$1004,0)),"")</f>
        <v/>
      </c>
      <c r="Q749" s="0" t="str">
        <f aca="false">IF(ROW()-4&lt;=MAX($M$5:$M$1004),IFERROR(INDEX($N$5:$N$1004,ROW()-4),""),IFERROR(INDEX($P$5:$P$1004,ROW()-4-MAX($M$5:$M$1004)),""))</f>
        <v/>
      </c>
    </row>
    <row r="750" customFormat="false" ht="15" hidden="false" customHeight="false" outlineLevel="0" collapsed="false">
      <c r="M750" s="0" t="str">
        <f aca="false">IF(CSV貼付A!$N750="","",IF(COUNTIF($B$37:$B$48,CSV貼付A!$H750)&gt;0,"",IF(SUMPRODUCT((CSV貼付A!$N$5:$N750=CSV貼付A!$N750)*(COUNTIF($B$37:$B$48,CSV貼付A!$H$5:$H750)=0))&gt;1,"",MAX($M$4:M749)+1)))</f>
        <v/>
      </c>
      <c r="N750" s="0" t="str">
        <f aca="false">IFERROR(INDEX(CSV貼付A!$N$5:$N$1004,MATCH(ROW()-4,$M$5:$M$1004,0)),"")</f>
        <v/>
      </c>
      <c r="O750" s="0" t="str">
        <f aca="false">IF(CSV貼付B!$N750="","",IF(COUNTIF($B$37:$B$48,CSV貼付B!$H750)&gt;0,"",IF(SUMPRODUCT((CSV貼付B!$N$5:$N750=CSV貼付B!$N750)*(COUNTIF($B$37:$B$48,CSV貼付B!$H$5:$H750)=0))&gt;1,"",MAX($O$4:O749)+1)))</f>
        <v/>
      </c>
      <c r="P750" s="0" t="str">
        <f aca="false">IFERROR(INDEX(CSV貼付B!$N$5:$N$1004,MATCH(ROW()-4,$O$5:$O$1004,0)),"")</f>
        <v/>
      </c>
      <c r="Q750" s="0" t="str">
        <f aca="false">IF(ROW()-4&lt;=MAX($M$5:$M$1004),IFERROR(INDEX($N$5:$N$1004,ROW()-4),""),IFERROR(INDEX($P$5:$P$1004,ROW()-4-MAX($M$5:$M$1004)),""))</f>
        <v/>
      </c>
    </row>
    <row r="751" customFormat="false" ht="15" hidden="false" customHeight="false" outlineLevel="0" collapsed="false">
      <c r="M751" s="0" t="str">
        <f aca="false">IF(CSV貼付A!$N751="","",IF(COUNTIF($B$37:$B$48,CSV貼付A!$H751)&gt;0,"",IF(SUMPRODUCT((CSV貼付A!$N$5:$N751=CSV貼付A!$N751)*(COUNTIF($B$37:$B$48,CSV貼付A!$H$5:$H751)=0))&gt;1,"",MAX($M$4:M750)+1)))</f>
        <v/>
      </c>
      <c r="N751" s="0" t="str">
        <f aca="false">IFERROR(INDEX(CSV貼付A!$N$5:$N$1004,MATCH(ROW()-4,$M$5:$M$1004,0)),"")</f>
        <v/>
      </c>
      <c r="O751" s="0" t="str">
        <f aca="false">IF(CSV貼付B!$N751="","",IF(COUNTIF($B$37:$B$48,CSV貼付B!$H751)&gt;0,"",IF(SUMPRODUCT((CSV貼付B!$N$5:$N751=CSV貼付B!$N751)*(COUNTIF($B$37:$B$48,CSV貼付B!$H$5:$H751)=0))&gt;1,"",MAX($O$4:O750)+1)))</f>
        <v/>
      </c>
      <c r="P751" s="0" t="str">
        <f aca="false">IFERROR(INDEX(CSV貼付B!$N$5:$N$1004,MATCH(ROW()-4,$O$5:$O$1004,0)),"")</f>
        <v/>
      </c>
      <c r="Q751" s="0" t="str">
        <f aca="false">IF(ROW()-4&lt;=MAX($M$5:$M$1004),IFERROR(INDEX($N$5:$N$1004,ROW()-4),""),IFERROR(INDEX($P$5:$P$1004,ROW()-4-MAX($M$5:$M$1004)),""))</f>
        <v/>
      </c>
    </row>
    <row r="752" customFormat="false" ht="15" hidden="false" customHeight="false" outlineLevel="0" collapsed="false">
      <c r="M752" s="0" t="str">
        <f aca="false">IF(CSV貼付A!$N752="","",IF(COUNTIF($B$37:$B$48,CSV貼付A!$H752)&gt;0,"",IF(SUMPRODUCT((CSV貼付A!$N$5:$N752=CSV貼付A!$N752)*(COUNTIF($B$37:$B$48,CSV貼付A!$H$5:$H752)=0))&gt;1,"",MAX($M$4:M751)+1)))</f>
        <v/>
      </c>
      <c r="N752" s="0" t="str">
        <f aca="false">IFERROR(INDEX(CSV貼付A!$N$5:$N$1004,MATCH(ROW()-4,$M$5:$M$1004,0)),"")</f>
        <v/>
      </c>
      <c r="O752" s="0" t="str">
        <f aca="false">IF(CSV貼付B!$N752="","",IF(COUNTIF($B$37:$B$48,CSV貼付B!$H752)&gt;0,"",IF(SUMPRODUCT((CSV貼付B!$N$5:$N752=CSV貼付B!$N752)*(COUNTIF($B$37:$B$48,CSV貼付B!$H$5:$H752)=0))&gt;1,"",MAX($O$4:O751)+1)))</f>
        <v/>
      </c>
      <c r="P752" s="0" t="str">
        <f aca="false">IFERROR(INDEX(CSV貼付B!$N$5:$N$1004,MATCH(ROW()-4,$O$5:$O$1004,0)),"")</f>
        <v/>
      </c>
      <c r="Q752" s="0" t="str">
        <f aca="false">IF(ROW()-4&lt;=MAX($M$5:$M$1004),IFERROR(INDEX($N$5:$N$1004,ROW()-4),""),IFERROR(INDEX($P$5:$P$1004,ROW()-4-MAX($M$5:$M$1004)),""))</f>
        <v/>
      </c>
    </row>
    <row r="753" customFormat="false" ht="15" hidden="false" customHeight="false" outlineLevel="0" collapsed="false">
      <c r="M753" s="0" t="str">
        <f aca="false">IF(CSV貼付A!$N753="","",IF(COUNTIF($B$37:$B$48,CSV貼付A!$H753)&gt;0,"",IF(SUMPRODUCT((CSV貼付A!$N$5:$N753=CSV貼付A!$N753)*(COUNTIF($B$37:$B$48,CSV貼付A!$H$5:$H753)=0))&gt;1,"",MAX($M$4:M752)+1)))</f>
        <v/>
      </c>
      <c r="N753" s="0" t="str">
        <f aca="false">IFERROR(INDEX(CSV貼付A!$N$5:$N$1004,MATCH(ROW()-4,$M$5:$M$1004,0)),"")</f>
        <v/>
      </c>
      <c r="O753" s="0" t="str">
        <f aca="false">IF(CSV貼付B!$N753="","",IF(COUNTIF($B$37:$B$48,CSV貼付B!$H753)&gt;0,"",IF(SUMPRODUCT((CSV貼付B!$N$5:$N753=CSV貼付B!$N753)*(COUNTIF($B$37:$B$48,CSV貼付B!$H$5:$H753)=0))&gt;1,"",MAX($O$4:O752)+1)))</f>
        <v/>
      </c>
      <c r="P753" s="0" t="str">
        <f aca="false">IFERROR(INDEX(CSV貼付B!$N$5:$N$1004,MATCH(ROW()-4,$O$5:$O$1004,0)),"")</f>
        <v/>
      </c>
      <c r="Q753" s="0" t="str">
        <f aca="false">IF(ROW()-4&lt;=MAX($M$5:$M$1004),IFERROR(INDEX($N$5:$N$1004,ROW()-4),""),IFERROR(INDEX($P$5:$P$1004,ROW()-4-MAX($M$5:$M$1004)),""))</f>
        <v/>
      </c>
    </row>
    <row r="754" customFormat="false" ht="15" hidden="false" customHeight="false" outlineLevel="0" collapsed="false">
      <c r="M754" s="0" t="str">
        <f aca="false">IF(CSV貼付A!$N754="","",IF(COUNTIF($B$37:$B$48,CSV貼付A!$H754)&gt;0,"",IF(SUMPRODUCT((CSV貼付A!$N$5:$N754=CSV貼付A!$N754)*(COUNTIF($B$37:$B$48,CSV貼付A!$H$5:$H754)=0))&gt;1,"",MAX($M$4:M753)+1)))</f>
        <v/>
      </c>
      <c r="N754" s="0" t="str">
        <f aca="false">IFERROR(INDEX(CSV貼付A!$N$5:$N$1004,MATCH(ROW()-4,$M$5:$M$1004,0)),"")</f>
        <v/>
      </c>
      <c r="O754" s="0" t="str">
        <f aca="false">IF(CSV貼付B!$N754="","",IF(COUNTIF($B$37:$B$48,CSV貼付B!$H754)&gt;0,"",IF(SUMPRODUCT((CSV貼付B!$N$5:$N754=CSV貼付B!$N754)*(COUNTIF($B$37:$B$48,CSV貼付B!$H$5:$H754)=0))&gt;1,"",MAX($O$4:O753)+1)))</f>
        <v/>
      </c>
      <c r="P754" s="0" t="str">
        <f aca="false">IFERROR(INDEX(CSV貼付B!$N$5:$N$1004,MATCH(ROW()-4,$O$5:$O$1004,0)),"")</f>
        <v/>
      </c>
      <c r="Q754" s="0" t="str">
        <f aca="false">IF(ROW()-4&lt;=MAX($M$5:$M$1004),IFERROR(INDEX($N$5:$N$1004,ROW()-4),""),IFERROR(INDEX($P$5:$P$1004,ROW()-4-MAX($M$5:$M$1004)),""))</f>
        <v/>
      </c>
    </row>
    <row r="755" customFormat="false" ht="15" hidden="false" customHeight="false" outlineLevel="0" collapsed="false">
      <c r="M755" s="0" t="str">
        <f aca="false">IF(CSV貼付A!$N755="","",IF(COUNTIF($B$37:$B$48,CSV貼付A!$H755)&gt;0,"",IF(SUMPRODUCT((CSV貼付A!$N$5:$N755=CSV貼付A!$N755)*(COUNTIF($B$37:$B$48,CSV貼付A!$H$5:$H755)=0))&gt;1,"",MAX($M$4:M754)+1)))</f>
        <v/>
      </c>
      <c r="N755" s="0" t="str">
        <f aca="false">IFERROR(INDEX(CSV貼付A!$N$5:$N$1004,MATCH(ROW()-4,$M$5:$M$1004,0)),"")</f>
        <v/>
      </c>
      <c r="O755" s="0" t="str">
        <f aca="false">IF(CSV貼付B!$N755="","",IF(COUNTIF($B$37:$B$48,CSV貼付B!$H755)&gt;0,"",IF(SUMPRODUCT((CSV貼付B!$N$5:$N755=CSV貼付B!$N755)*(COUNTIF($B$37:$B$48,CSV貼付B!$H$5:$H755)=0))&gt;1,"",MAX($O$4:O754)+1)))</f>
        <v/>
      </c>
      <c r="P755" s="0" t="str">
        <f aca="false">IFERROR(INDEX(CSV貼付B!$N$5:$N$1004,MATCH(ROW()-4,$O$5:$O$1004,0)),"")</f>
        <v/>
      </c>
      <c r="Q755" s="0" t="str">
        <f aca="false">IF(ROW()-4&lt;=MAX($M$5:$M$1004),IFERROR(INDEX($N$5:$N$1004,ROW()-4),""),IFERROR(INDEX($P$5:$P$1004,ROW()-4-MAX($M$5:$M$1004)),""))</f>
        <v/>
      </c>
    </row>
    <row r="756" customFormat="false" ht="15" hidden="false" customHeight="false" outlineLevel="0" collapsed="false">
      <c r="M756" s="0" t="str">
        <f aca="false">IF(CSV貼付A!$N756="","",IF(COUNTIF($B$37:$B$48,CSV貼付A!$H756)&gt;0,"",IF(SUMPRODUCT((CSV貼付A!$N$5:$N756=CSV貼付A!$N756)*(COUNTIF($B$37:$B$48,CSV貼付A!$H$5:$H756)=0))&gt;1,"",MAX($M$4:M755)+1)))</f>
        <v/>
      </c>
      <c r="N756" s="0" t="str">
        <f aca="false">IFERROR(INDEX(CSV貼付A!$N$5:$N$1004,MATCH(ROW()-4,$M$5:$M$1004,0)),"")</f>
        <v/>
      </c>
      <c r="O756" s="0" t="str">
        <f aca="false">IF(CSV貼付B!$N756="","",IF(COUNTIF($B$37:$B$48,CSV貼付B!$H756)&gt;0,"",IF(SUMPRODUCT((CSV貼付B!$N$5:$N756=CSV貼付B!$N756)*(COUNTIF($B$37:$B$48,CSV貼付B!$H$5:$H756)=0))&gt;1,"",MAX($O$4:O755)+1)))</f>
        <v/>
      </c>
      <c r="P756" s="0" t="str">
        <f aca="false">IFERROR(INDEX(CSV貼付B!$N$5:$N$1004,MATCH(ROW()-4,$O$5:$O$1004,0)),"")</f>
        <v/>
      </c>
      <c r="Q756" s="0" t="str">
        <f aca="false">IF(ROW()-4&lt;=MAX($M$5:$M$1004),IFERROR(INDEX($N$5:$N$1004,ROW()-4),""),IFERROR(INDEX($P$5:$P$1004,ROW()-4-MAX($M$5:$M$1004)),""))</f>
        <v/>
      </c>
    </row>
    <row r="757" customFormat="false" ht="15" hidden="false" customHeight="false" outlineLevel="0" collapsed="false">
      <c r="M757" s="0" t="str">
        <f aca="false">IF(CSV貼付A!$N757="","",IF(COUNTIF($B$37:$B$48,CSV貼付A!$H757)&gt;0,"",IF(SUMPRODUCT((CSV貼付A!$N$5:$N757=CSV貼付A!$N757)*(COUNTIF($B$37:$B$48,CSV貼付A!$H$5:$H757)=0))&gt;1,"",MAX($M$4:M756)+1)))</f>
        <v/>
      </c>
      <c r="N757" s="0" t="str">
        <f aca="false">IFERROR(INDEX(CSV貼付A!$N$5:$N$1004,MATCH(ROW()-4,$M$5:$M$1004,0)),"")</f>
        <v/>
      </c>
      <c r="O757" s="0" t="str">
        <f aca="false">IF(CSV貼付B!$N757="","",IF(COUNTIF($B$37:$B$48,CSV貼付B!$H757)&gt;0,"",IF(SUMPRODUCT((CSV貼付B!$N$5:$N757=CSV貼付B!$N757)*(COUNTIF($B$37:$B$48,CSV貼付B!$H$5:$H757)=0))&gt;1,"",MAX($O$4:O756)+1)))</f>
        <v/>
      </c>
      <c r="P757" s="0" t="str">
        <f aca="false">IFERROR(INDEX(CSV貼付B!$N$5:$N$1004,MATCH(ROW()-4,$O$5:$O$1004,0)),"")</f>
        <v/>
      </c>
      <c r="Q757" s="0" t="str">
        <f aca="false">IF(ROW()-4&lt;=MAX($M$5:$M$1004),IFERROR(INDEX($N$5:$N$1004,ROW()-4),""),IFERROR(INDEX($P$5:$P$1004,ROW()-4-MAX($M$5:$M$1004)),""))</f>
        <v/>
      </c>
    </row>
    <row r="758" customFormat="false" ht="15" hidden="false" customHeight="false" outlineLevel="0" collapsed="false">
      <c r="M758" s="0" t="str">
        <f aca="false">IF(CSV貼付A!$N758="","",IF(COUNTIF($B$37:$B$48,CSV貼付A!$H758)&gt;0,"",IF(SUMPRODUCT((CSV貼付A!$N$5:$N758=CSV貼付A!$N758)*(COUNTIF($B$37:$B$48,CSV貼付A!$H$5:$H758)=0))&gt;1,"",MAX($M$4:M757)+1)))</f>
        <v/>
      </c>
      <c r="N758" s="0" t="str">
        <f aca="false">IFERROR(INDEX(CSV貼付A!$N$5:$N$1004,MATCH(ROW()-4,$M$5:$M$1004,0)),"")</f>
        <v/>
      </c>
      <c r="O758" s="0" t="str">
        <f aca="false">IF(CSV貼付B!$N758="","",IF(COUNTIF($B$37:$B$48,CSV貼付B!$H758)&gt;0,"",IF(SUMPRODUCT((CSV貼付B!$N$5:$N758=CSV貼付B!$N758)*(COUNTIF($B$37:$B$48,CSV貼付B!$H$5:$H758)=0))&gt;1,"",MAX($O$4:O757)+1)))</f>
        <v/>
      </c>
      <c r="P758" s="0" t="str">
        <f aca="false">IFERROR(INDEX(CSV貼付B!$N$5:$N$1004,MATCH(ROW()-4,$O$5:$O$1004,0)),"")</f>
        <v/>
      </c>
      <c r="Q758" s="0" t="str">
        <f aca="false">IF(ROW()-4&lt;=MAX($M$5:$M$1004),IFERROR(INDEX($N$5:$N$1004,ROW()-4),""),IFERROR(INDEX($P$5:$P$1004,ROW()-4-MAX($M$5:$M$1004)),""))</f>
        <v/>
      </c>
    </row>
    <row r="759" customFormat="false" ht="15" hidden="false" customHeight="false" outlineLevel="0" collapsed="false">
      <c r="M759" s="0" t="str">
        <f aca="false">IF(CSV貼付A!$N759="","",IF(COUNTIF($B$37:$B$48,CSV貼付A!$H759)&gt;0,"",IF(SUMPRODUCT((CSV貼付A!$N$5:$N759=CSV貼付A!$N759)*(COUNTIF($B$37:$B$48,CSV貼付A!$H$5:$H759)=0))&gt;1,"",MAX($M$4:M758)+1)))</f>
        <v/>
      </c>
      <c r="N759" s="0" t="str">
        <f aca="false">IFERROR(INDEX(CSV貼付A!$N$5:$N$1004,MATCH(ROW()-4,$M$5:$M$1004,0)),"")</f>
        <v/>
      </c>
      <c r="O759" s="0" t="str">
        <f aca="false">IF(CSV貼付B!$N759="","",IF(COUNTIF($B$37:$B$48,CSV貼付B!$H759)&gt;0,"",IF(SUMPRODUCT((CSV貼付B!$N$5:$N759=CSV貼付B!$N759)*(COUNTIF($B$37:$B$48,CSV貼付B!$H$5:$H759)=0))&gt;1,"",MAX($O$4:O758)+1)))</f>
        <v/>
      </c>
      <c r="P759" s="0" t="str">
        <f aca="false">IFERROR(INDEX(CSV貼付B!$N$5:$N$1004,MATCH(ROW()-4,$O$5:$O$1004,0)),"")</f>
        <v/>
      </c>
      <c r="Q759" s="0" t="str">
        <f aca="false">IF(ROW()-4&lt;=MAX($M$5:$M$1004),IFERROR(INDEX($N$5:$N$1004,ROW()-4),""),IFERROR(INDEX($P$5:$P$1004,ROW()-4-MAX($M$5:$M$1004)),""))</f>
        <v/>
      </c>
    </row>
    <row r="760" customFormat="false" ht="15" hidden="false" customHeight="false" outlineLevel="0" collapsed="false">
      <c r="M760" s="0" t="str">
        <f aca="false">IF(CSV貼付A!$N760="","",IF(COUNTIF($B$37:$B$48,CSV貼付A!$H760)&gt;0,"",IF(SUMPRODUCT((CSV貼付A!$N$5:$N760=CSV貼付A!$N760)*(COUNTIF($B$37:$B$48,CSV貼付A!$H$5:$H760)=0))&gt;1,"",MAX($M$4:M759)+1)))</f>
        <v/>
      </c>
      <c r="N760" s="0" t="str">
        <f aca="false">IFERROR(INDEX(CSV貼付A!$N$5:$N$1004,MATCH(ROW()-4,$M$5:$M$1004,0)),"")</f>
        <v/>
      </c>
      <c r="O760" s="0" t="str">
        <f aca="false">IF(CSV貼付B!$N760="","",IF(COUNTIF($B$37:$B$48,CSV貼付B!$H760)&gt;0,"",IF(SUMPRODUCT((CSV貼付B!$N$5:$N760=CSV貼付B!$N760)*(COUNTIF($B$37:$B$48,CSV貼付B!$H$5:$H760)=0))&gt;1,"",MAX($O$4:O759)+1)))</f>
        <v/>
      </c>
      <c r="P760" s="0" t="str">
        <f aca="false">IFERROR(INDEX(CSV貼付B!$N$5:$N$1004,MATCH(ROW()-4,$O$5:$O$1004,0)),"")</f>
        <v/>
      </c>
      <c r="Q760" s="0" t="str">
        <f aca="false">IF(ROW()-4&lt;=MAX($M$5:$M$1004),IFERROR(INDEX($N$5:$N$1004,ROW()-4),""),IFERROR(INDEX($P$5:$P$1004,ROW()-4-MAX($M$5:$M$1004)),""))</f>
        <v/>
      </c>
    </row>
    <row r="761" customFormat="false" ht="15" hidden="false" customHeight="false" outlineLevel="0" collapsed="false">
      <c r="M761" s="0" t="str">
        <f aca="false">IF(CSV貼付A!$N761="","",IF(COUNTIF($B$37:$B$48,CSV貼付A!$H761)&gt;0,"",IF(SUMPRODUCT((CSV貼付A!$N$5:$N761=CSV貼付A!$N761)*(COUNTIF($B$37:$B$48,CSV貼付A!$H$5:$H761)=0))&gt;1,"",MAX($M$4:M760)+1)))</f>
        <v/>
      </c>
      <c r="N761" s="0" t="str">
        <f aca="false">IFERROR(INDEX(CSV貼付A!$N$5:$N$1004,MATCH(ROW()-4,$M$5:$M$1004,0)),"")</f>
        <v/>
      </c>
      <c r="O761" s="0" t="str">
        <f aca="false">IF(CSV貼付B!$N761="","",IF(COUNTIF($B$37:$B$48,CSV貼付B!$H761)&gt;0,"",IF(SUMPRODUCT((CSV貼付B!$N$5:$N761=CSV貼付B!$N761)*(COUNTIF($B$37:$B$48,CSV貼付B!$H$5:$H761)=0))&gt;1,"",MAX($O$4:O760)+1)))</f>
        <v/>
      </c>
      <c r="P761" s="0" t="str">
        <f aca="false">IFERROR(INDEX(CSV貼付B!$N$5:$N$1004,MATCH(ROW()-4,$O$5:$O$1004,0)),"")</f>
        <v/>
      </c>
      <c r="Q761" s="0" t="str">
        <f aca="false">IF(ROW()-4&lt;=MAX($M$5:$M$1004),IFERROR(INDEX($N$5:$N$1004,ROW()-4),""),IFERROR(INDEX($P$5:$P$1004,ROW()-4-MAX($M$5:$M$1004)),""))</f>
        <v/>
      </c>
    </row>
    <row r="762" customFormat="false" ht="15" hidden="false" customHeight="false" outlineLevel="0" collapsed="false">
      <c r="M762" s="0" t="str">
        <f aca="false">IF(CSV貼付A!$N762="","",IF(COUNTIF($B$37:$B$48,CSV貼付A!$H762)&gt;0,"",IF(SUMPRODUCT((CSV貼付A!$N$5:$N762=CSV貼付A!$N762)*(COUNTIF($B$37:$B$48,CSV貼付A!$H$5:$H762)=0))&gt;1,"",MAX($M$4:M761)+1)))</f>
        <v/>
      </c>
      <c r="N762" s="0" t="str">
        <f aca="false">IFERROR(INDEX(CSV貼付A!$N$5:$N$1004,MATCH(ROW()-4,$M$5:$M$1004,0)),"")</f>
        <v/>
      </c>
      <c r="O762" s="0" t="str">
        <f aca="false">IF(CSV貼付B!$N762="","",IF(COUNTIF($B$37:$B$48,CSV貼付B!$H762)&gt;0,"",IF(SUMPRODUCT((CSV貼付B!$N$5:$N762=CSV貼付B!$N762)*(COUNTIF($B$37:$B$48,CSV貼付B!$H$5:$H762)=0))&gt;1,"",MAX($O$4:O761)+1)))</f>
        <v/>
      </c>
      <c r="P762" s="0" t="str">
        <f aca="false">IFERROR(INDEX(CSV貼付B!$N$5:$N$1004,MATCH(ROW()-4,$O$5:$O$1004,0)),"")</f>
        <v/>
      </c>
      <c r="Q762" s="0" t="str">
        <f aca="false">IF(ROW()-4&lt;=MAX($M$5:$M$1004),IFERROR(INDEX($N$5:$N$1004,ROW()-4),""),IFERROR(INDEX($P$5:$P$1004,ROW()-4-MAX($M$5:$M$1004)),""))</f>
        <v/>
      </c>
    </row>
    <row r="763" customFormat="false" ht="15" hidden="false" customHeight="false" outlineLevel="0" collapsed="false">
      <c r="M763" s="0" t="str">
        <f aca="false">IF(CSV貼付A!$N763="","",IF(COUNTIF($B$37:$B$48,CSV貼付A!$H763)&gt;0,"",IF(SUMPRODUCT((CSV貼付A!$N$5:$N763=CSV貼付A!$N763)*(COUNTIF($B$37:$B$48,CSV貼付A!$H$5:$H763)=0))&gt;1,"",MAX($M$4:M762)+1)))</f>
        <v/>
      </c>
      <c r="N763" s="0" t="str">
        <f aca="false">IFERROR(INDEX(CSV貼付A!$N$5:$N$1004,MATCH(ROW()-4,$M$5:$M$1004,0)),"")</f>
        <v/>
      </c>
      <c r="O763" s="0" t="str">
        <f aca="false">IF(CSV貼付B!$N763="","",IF(COUNTIF($B$37:$B$48,CSV貼付B!$H763)&gt;0,"",IF(SUMPRODUCT((CSV貼付B!$N$5:$N763=CSV貼付B!$N763)*(COUNTIF($B$37:$B$48,CSV貼付B!$H$5:$H763)=0))&gt;1,"",MAX($O$4:O762)+1)))</f>
        <v/>
      </c>
      <c r="P763" s="0" t="str">
        <f aca="false">IFERROR(INDEX(CSV貼付B!$N$5:$N$1004,MATCH(ROW()-4,$O$5:$O$1004,0)),"")</f>
        <v/>
      </c>
      <c r="Q763" s="0" t="str">
        <f aca="false">IF(ROW()-4&lt;=MAX($M$5:$M$1004),IFERROR(INDEX($N$5:$N$1004,ROW()-4),""),IFERROR(INDEX($P$5:$P$1004,ROW()-4-MAX($M$5:$M$1004)),""))</f>
        <v/>
      </c>
    </row>
    <row r="764" customFormat="false" ht="15" hidden="false" customHeight="false" outlineLevel="0" collapsed="false">
      <c r="M764" s="0" t="str">
        <f aca="false">IF(CSV貼付A!$N764="","",IF(COUNTIF($B$37:$B$48,CSV貼付A!$H764)&gt;0,"",IF(SUMPRODUCT((CSV貼付A!$N$5:$N764=CSV貼付A!$N764)*(COUNTIF($B$37:$B$48,CSV貼付A!$H$5:$H764)=0))&gt;1,"",MAX($M$4:M763)+1)))</f>
        <v/>
      </c>
      <c r="N764" s="0" t="str">
        <f aca="false">IFERROR(INDEX(CSV貼付A!$N$5:$N$1004,MATCH(ROW()-4,$M$5:$M$1004,0)),"")</f>
        <v/>
      </c>
      <c r="O764" s="0" t="str">
        <f aca="false">IF(CSV貼付B!$N764="","",IF(COUNTIF($B$37:$B$48,CSV貼付B!$H764)&gt;0,"",IF(SUMPRODUCT((CSV貼付B!$N$5:$N764=CSV貼付B!$N764)*(COUNTIF($B$37:$B$48,CSV貼付B!$H$5:$H764)=0))&gt;1,"",MAX($O$4:O763)+1)))</f>
        <v/>
      </c>
      <c r="P764" s="0" t="str">
        <f aca="false">IFERROR(INDEX(CSV貼付B!$N$5:$N$1004,MATCH(ROW()-4,$O$5:$O$1004,0)),"")</f>
        <v/>
      </c>
      <c r="Q764" s="0" t="str">
        <f aca="false">IF(ROW()-4&lt;=MAX($M$5:$M$1004),IFERROR(INDEX($N$5:$N$1004,ROW()-4),""),IFERROR(INDEX($P$5:$P$1004,ROW()-4-MAX($M$5:$M$1004)),""))</f>
        <v/>
      </c>
    </row>
    <row r="765" customFormat="false" ht="15" hidden="false" customHeight="false" outlineLevel="0" collapsed="false">
      <c r="M765" s="0" t="str">
        <f aca="false">IF(CSV貼付A!$N765="","",IF(COUNTIF($B$37:$B$48,CSV貼付A!$H765)&gt;0,"",IF(SUMPRODUCT((CSV貼付A!$N$5:$N765=CSV貼付A!$N765)*(COUNTIF($B$37:$B$48,CSV貼付A!$H$5:$H765)=0))&gt;1,"",MAX($M$4:M764)+1)))</f>
        <v/>
      </c>
      <c r="N765" s="0" t="str">
        <f aca="false">IFERROR(INDEX(CSV貼付A!$N$5:$N$1004,MATCH(ROW()-4,$M$5:$M$1004,0)),"")</f>
        <v/>
      </c>
      <c r="O765" s="0" t="str">
        <f aca="false">IF(CSV貼付B!$N765="","",IF(COUNTIF($B$37:$B$48,CSV貼付B!$H765)&gt;0,"",IF(SUMPRODUCT((CSV貼付B!$N$5:$N765=CSV貼付B!$N765)*(COUNTIF($B$37:$B$48,CSV貼付B!$H$5:$H765)=0))&gt;1,"",MAX($O$4:O764)+1)))</f>
        <v/>
      </c>
      <c r="P765" s="0" t="str">
        <f aca="false">IFERROR(INDEX(CSV貼付B!$N$5:$N$1004,MATCH(ROW()-4,$O$5:$O$1004,0)),"")</f>
        <v/>
      </c>
      <c r="Q765" s="0" t="str">
        <f aca="false">IF(ROW()-4&lt;=MAX($M$5:$M$1004),IFERROR(INDEX($N$5:$N$1004,ROW()-4),""),IFERROR(INDEX($P$5:$P$1004,ROW()-4-MAX($M$5:$M$1004)),""))</f>
        <v/>
      </c>
    </row>
    <row r="766" customFormat="false" ht="15" hidden="false" customHeight="false" outlineLevel="0" collapsed="false">
      <c r="M766" s="0" t="str">
        <f aca="false">IF(CSV貼付A!$N766="","",IF(COUNTIF($B$37:$B$48,CSV貼付A!$H766)&gt;0,"",IF(SUMPRODUCT((CSV貼付A!$N$5:$N766=CSV貼付A!$N766)*(COUNTIF($B$37:$B$48,CSV貼付A!$H$5:$H766)=0))&gt;1,"",MAX($M$4:M765)+1)))</f>
        <v/>
      </c>
      <c r="N766" s="0" t="str">
        <f aca="false">IFERROR(INDEX(CSV貼付A!$N$5:$N$1004,MATCH(ROW()-4,$M$5:$M$1004,0)),"")</f>
        <v/>
      </c>
      <c r="O766" s="0" t="str">
        <f aca="false">IF(CSV貼付B!$N766="","",IF(COUNTIF($B$37:$B$48,CSV貼付B!$H766)&gt;0,"",IF(SUMPRODUCT((CSV貼付B!$N$5:$N766=CSV貼付B!$N766)*(COUNTIF($B$37:$B$48,CSV貼付B!$H$5:$H766)=0))&gt;1,"",MAX($O$4:O765)+1)))</f>
        <v/>
      </c>
      <c r="P766" s="0" t="str">
        <f aca="false">IFERROR(INDEX(CSV貼付B!$N$5:$N$1004,MATCH(ROW()-4,$O$5:$O$1004,0)),"")</f>
        <v/>
      </c>
      <c r="Q766" s="0" t="str">
        <f aca="false">IF(ROW()-4&lt;=MAX($M$5:$M$1004),IFERROR(INDEX($N$5:$N$1004,ROW()-4),""),IFERROR(INDEX($P$5:$P$1004,ROW()-4-MAX($M$5:$M$1004)),""))</f>
        <v/>
      </c>
    </row>
    <row r="767" customFormat="false" ht="15" hidden="false" customHeight="false" outlineLevel="0" collapsed="false">
      <c r="M767" s="0" t="str">
        <f aca="false">IF(CSV貼付A!$N767="","",IF(COUNTIF($B$37:$B$48,CSV貼付A!$H767)&gt;0,"",IF(SUMPRODUCT((CSV貼付A!$N$5:$N767=CSV貼付A!$N767)*(COUNTIF($B$37:$B$48,CSV貼付A!$H$5:$H767)=0))&gt;1,"",MAX($M$4:M766)+1)))</f>
        <v/>
      </c>
      <c r="N767" s="0" t="str">
        <f aca="false">IFERROR(INDEX(CSV貼付A!$N$5:$N$1004,MATCH(ROW()-4,$M$5:$M$1004,0)),"")</f>
        <v/>
      </c>
      <c r="O767" s="0" t="str">
        <f aca="false">IF(CSV貼付B!$N767="","",IF(COUNTIF($B$37:$B$48,CSV貼付B!$H767)&gt;0,"",IF(SUMPRODUCT((CSV貼付B!$N$5:$N767=CSV貼付B!$N767)*(COUNTIF($B$37:$B$48,CSV貼付B!$H$5:$H767)=0))&gt;1,"",MAX($O$4:O766)+1)))</f>
        <v/>
      </c>
      <c r="P767" s="0" t="str">
        <f aca="false">IFERROR(INDEX(CSV貼付B!$N$5:$N$1004,MATCH(ROW()-4,$O$5:$O$1004,0)),"")</f>
        <v/>
      </c>
      <c r="Q767" s="0" t="str">
        <f aca="false">IF(ROW()-4&lt;=MAX($M$5:$M$1004),IFERROR(INDEX($N$5:$N$1004,ROW()-4),""),IFERROR(INDEX($P$5:$P$1004,ROW()-4-MAX($M$5:$M$1004)),""))</f>
        <v/>
      </c>
    </row>
    <row r="768" customFormat="false" ht="15" hidden="false" customHeight="false" outlineLevel="0" collapsed="false">
      <c r="M768" s="0" t="str">
        <f aca="false">IF(CSV貼付A!$N768="","",IF(COUNTIF($B$37:$B$48,CSV貼付A!$H768)&gt;0,"",IF(SUMPRODUCT((CSV貼付A!$N$5:$N768=CSV貼付A!$N768)*(COUNTIF($B$37:$B$48,CSV貼付A!$H$5:$H768)=0))&gt;1,"",MAX($M$4:M767)+1)))</f>
        <v/>
      </c>
      <c r="N768" s="0" t="str">
        <f aca="false">IFERROR(INDEX(CSV貼付A!$N$5:$N$1004,MATCH(ROW()-4,$M$5:$M$1004,0)),"")</f>
        <v/>
      </c>
      <c r="O768" s="0" t="str">
        <f aca="false">IF(CSV貼付B!$N768="","",IF(COUNTIF($B$37:$B$48,CSV貼付B!$H768)&gt;0,"",IF(SUMPRODUCT((CSV貼付B!$N$5:$N768=CSV貼付B!$N768)*(COUNTIF($B$37:$B$48,CSV貼付B!$H$5:$H768)=0))&gt;1,"",MAX($O$4:O767)+1)))</f>
        <v/>
      </c>
      <c r="P768" s="0" t="str">
        <f aca="false">IFERROR(INDEX(CSV貼付B!$N$5:$N$1004,MATCH(ROW()-4,$O$5:$O$1004,0)),"")</f>
        <v/>
      </c>
      <c r="Q768" s="0" t="str">
        <f aca="false">IF(ROW()-4&lt;=MAX($M$5:$M$1004),IFERROR(INDEX($N$5:$N$1004,ROW()-4),""),IFERROR(INDEX($P$5:$P$1004,ROW()-4-MAX($M$5:$M$1004)),""))</f>
        <v/>
      </c>
    </row>
    <row r="769" customFormat="false" ht="15" hidden="false" customHeight="false" outlineLevel="0" collapsed="false">
      <c r="M769" s="0" t="str">
        <f aca="false">IF(CSV貼付A!$N769="","",IF(COUNTIF($B$37:$B$48,CSV貼付A!$H769)&gt;0,"",IF(SUMPRODUCT((CSV貼付A!$N$5:$N769=CSV貼付A!$N769)*(COUNTIF($B$37:$B$48,CSV貼付A!$H$5:$H769)=0))&gt;1,"",MAX($M$4:M768)+1)))</f>
        <v/>
      </c>
      <c r="N769" s="0" t="str">
        <f aca="false">IFERROR(INDEX(CSV貼付A!$N$5:$N$1004,MATCH(ROW()-4,$M$5:$M$1004,0)),"")</f>
        <v/>
      </c>
      <c r="O769" s="0" t="str">
        <f aca="false">IF(CSV貼付B!$N769="","",IF(COUNTIF($B$37:$B$48,CSV貼付B!$H769)&gt;0,"",IF(SUMPRODUCT((CSV貼付B!$N$5:$N769=CSV貼付B!$N769)*(COUNTIF($B$37:$B$48,CSV貼付B!$H$5:$H769)=0))&gt;1,"",MAX($O$4:O768)+1)))</f>
        <v/>
      </c>
      <c r="P769" s="0" t="str">
        <f aca="false">IFERROR(INDEX(CSV貼付B!$N$5:$N$1004,MATCH(ROW()-4,$O$5:$O$1004,0)),"")</f>
        <v/>
      </c>
      <c r="Q769" s="0" t="str">
        <f aca="false">IF(ROW()-4&lt;=MAX($M$5:$M$1004),IFERROR(INDEX($N$5:$N$1004,ROW()-4),""),IFERROR(INDEX($P$5:$P$1004,ROW()-4-MAX($M$5:$M$1004)),""))</f>
        <v/>
      </c>
    </row>
    <row r="770" customFormat="false" ht="15" hidden="false" customHeight="false" outlineLevel="0" collapsed="false">
      <c r="M770" s="0" t="str">
        <f aca="false">IF(CSV貼付A!$N770="","",IF(COUNTIF($B$37:$B$48,CSV貼付A!$H770)&gt;0,"",IF(SUMPRODUCT((CSV貼付A!$N$5:$N770=CSV貼付A!$N770)*(COUNTIF($B$37:$B$48,CSV貼付A!$H$5:$H770)=0))&gt;1,"",MAX($M$4:M769)+1)))</f>
        <v/>
      </c>
      <c r="N770" s="0" t="str">
        <f aca="false">IFERROR(INDEX(CSV貼付A!$N$5:$N$1004,MATCH(ROW()-4,$M$5:$M$1004,0)),"")</f>
        <v/>
      </c>
      <c r="O770" s="0" t="str">
        <f aca="false">IF(CSV貼付B!$N770="","",IF(COUNTIF($B$37:$B$48,CSV貼付B!$H770)&gt;0,"",IF(SUMPRODUCT((CSV貼付B!$N$5:$N770=CSV貼付B!$N770)*(COUNTIF($B$37:$B$48,CSV貼付B!$H$5:$H770)=0))&gt;1,"",MAX($O$4:O769)+1)))</f>
        <v/>
      </c>
      <c r="P770" s="0" t="str">
        <f aca="false">IFERROR(INDEX(CSV貼付B!$N$5:$N$1004,MATCH(ROW()-4,$O$5:$O$1004,0)),"")</f>
        <v/>
      </c>
      <c r="Q770" s="0" t="str">
        <f aca="false">IF(ROW()-4&lt;=MAX($M$5:$M$1004),IFERROR(INDEX($N$5:$N$1004,ROW()-4),""),IFERROR(INDEX($P$5:$P$1004,ROW()-4-MAX($M$5:$M$1004)),""))</f>
        <v/>
      </c>
    </row>
    <row r="771" customFormat="false" ht="15" hidden="false" customHeight="false" outlineLevel="0" collapsed="false">
      <c r="M771" s="0" t="str">
        <f aca="false">IF(CSV貼付A!$N771="","",IF(COUNTIF($B$37:$B$48,CSV貼付A!$H771)&gt;0,"",IF(SUMPRODUCT((CSV貼付A!$N$5:$N771=CSV貼付A!$N771)*(COUNTIF($B$37:$B$48,CSV貼付A!$H$5:$H771)=0))&gt;1,"",MAX($M$4:M770)+1)))</f>
        <v/>
      </c>
      <c r="N771" s="0" t="str">
        <f aca="false">IFERROR(INDEX(CSV貼付A!$N$5:$N$1004,MATCH(ROW()-4,$M$5:$M$1004,0)),"")</f>
        <v/>
      </c>
      <c r="O771" s="0" t="str">
        <f aca="false">IF(CSV貼付B!$N771="","",IF(COUNTIF($B$37:$B$48,CSV貼付B!$H771)&gt;0,"",IF(SUMPRODUCT((CSV貼付B!$N$5:$N771=CSV貼付B!$N771)*(COUNTIF($B$37:$B$48,CSV貼付B!$H$5:$H771)=0))&gt;1,"",MAX($O$4:O770)+1)))</f>
        <v/>
      </c>
      <c r="P771" s="0" t="str">
        <f aca="false">IFERROR(INDEX(CSV貼付B!$N$5:$N$1004,MATCH(ROW()-4,$O$5:$O$1004,0)),"")</f>
        <v/>
      </c>
      <c r="Q771" s="0" t="str">
        <f aca="false">IF(ROW()-4&lt;=MAX($M$5:$M$1004),IFERROR(INDEX($N$5:$N$1004,ROW()-4),""),IFERROR(INDEX($P$5:$P$1004,ROW()-4-MAX($M$5:$M$1004)),""))</f>
        <v/>
      </c>
    </row>
    <row r="772" customFormat="false" ht="15" hidden="false" customHeight="false" outlineLevel="0" collapsed="false">
      <c r="M772" s="0" t="str">
        <f aca="false">IF(CSV貼付A!$N772="","",IF(COUNTIF($B$37:$B$48,CSV貼付A!$H772)&gt;0,"",IF(SUMPRODUCT((CSV貼付A!$N$5:$N772=CSV貼付A!$N772)*(COUNTIF($B$37:$B$48,CSV貼付A!$H$5:$H772)=0))&gt;1,"",MAX($M$4:M771)+1)))</f>
        <v/>
      </c>
      <c r="N772" s="0" t="str">
        <f aca="false">IFERROR(INDEX(CSV貼付A!$N$5:$N$1004,MATCH(ROW()-4,$M$5:$M$1004,0)),"")</f>
        <v/>
      </c>
      <c r="O772" s="0" t="str">
        <f aca="false">IF(CSV貼付B!$N772="","",IF(COUNTIF($B$37:$B$48,CSV貼付B!$H772)&gt;0,"",IF(SUMPRODUCT((CSV貼付B!$N$5:$N772=CSV貼付B!$N772)*(COUNTIF($B$37:$B$48,CSV貼付B!$H$5:$H772)=0))&gt;1,"",MAX($O$4:O771)+1)))</f>
        <v/>
      </c>
      <c r="P772" s="0" t="str">
        <f aca="false">IFERROR(INDEX(CSV貼付B!$N$5:$N$1004,MATCH(ROW()-4,$O$5:$O$1004,0)),"")</f>
        <v/>
      </c>
      <c r="Q772" s="0" t="str">
        <f aca="false">IF(ROW()-4&lt;=MAX($M$5:$M$1004),IFERROR(INDEX($N$5:$N$1004,ROW()-4),""),IFERROR(INDEX($P$5:$P$1004,ROW()-4-MAX($M$5:$M$1004)),""))</f>
        <v/>
      </c>
    </row>
    <row r="773" customFormat="false" ht="15" hidden="false" customHeight="false" outlineLevel="0" collapsed="false">
      <c r="M773" s="0" t="str">
        <f aca="false">IF(CSV貼付A!$N773="","",IF(COUNTIF($B$37:$B$48,CSV貼付A!$H773)&gt;0,"",IF(SUMPRODUCT((CSV貼付A!$N$5:$N773=CSV貼付A!$N773)*(COUNTIF($B$37:$B$48,CSV貼付A!$H$5:$H773)=0))&gt;1,"",MAX($M$4:M772)+1)))</f>
        <v/>
      </c>
      <c r="N773" s="0" t="str">
        <f aca="false">IFERROR(INDEX(CSV貼付A!$N$5:$N$1004,MATCH(ROW()-4,$M$5:$M$1004,0)),"")</f>
        <v/>
      </c>
      <c r="O773" s="0" t="str">
        <f aca="false">IF(CSV貼付B!$N773="","",IF(COUNTIF($B$37:$B$48,CSV貼付B!$H773)&gt;0,"",IF(SUMPRODUCT((CSV貼付B!$N$5:$N773=CSV貼付B!$N773)*(COUNTIF($B$37:$B$48,CSV貼付B!$H$5:$H773)=0))&gt;1,"",MAX($O$4:O772)+1)))</f>
        <v/>
      </c>
      <c r="P773" s="0" t="str">
        <f aca="false">IFERROR(INDEX(CSV貼付B!$N$5:$N$1004,MATCH(ROW()-4,$O$5:$O$1004,0)),"")</f>
        <v/>
      </c>
      <c r="Q773" s="0" t="str">
        <f aca="false">IF(ROW()-4&lt;=MAX($M$5:$M$1004),IFERROR(INDEX($N$5:$N$1004,ROW()-4),""),IFERROR(INDEX($P$5:$P$1004,ROW()-4-MAX($M$5:$M$1004)),""))</f>
        <v/>
      </c>
    </row>
    <row r="774" customFormat="false" ht="15" hidden="false" customHeight="false" outlineLevel="0" collapsed="false">
      <c r="M774" s="0" t="str">
        <f aca="false">IF(CSV貼付A!$N774="","",IF(COUNTIF($B$37:$B$48,CSV貼付A!$H774)&gt;0,"",IF(SUMPRODUCT((CSV貼付A!$N$5:$N774=CSV貼付A!$N774)*(COUNTIF($B$37:$B$48,CSV貼付A!$H$5:$H774)=0))&gt;1,"",MAX($M$4:M773)+1)))</f>
        <v/>
      </c>
      <c r="N774" s="0" t="str">
        <f aca="false">IFERROR(INDEX(CSV貼付A!$N$5:$N$1004,MATCH(ROW()-4,$M$5:$M$1004,0)),"")</f>
        <v/>
      </c>
      <c r="O774" s="0" t="str">
        <f aca="false">IF(CSV貼付B!$N774="","",IF(COUNTIF($B$37:$B$48,CSV貼付B!$H774)&gt;0,"",IF(SUMPRODUCT((CSV貼付B!$N$5:$N774=CSV貼付B!$N774)*(COUNTIF($B$37:$B$48,CSV貼付B!$H$5:$H774)=0))&gt;1,"",MAX($O$4:O773)+1)))</f>
        <v/>
      </c>
      <c r="P774" s="0" t="str">
        <f aca="false">IFERROR(INDEX(CSV貼付B!$N$5:$N$1004,MATCH(ROW()-4,$O$5:$O$1004,0)),"")</f>
        <v/>
      </c>
      <c r="Q774" s="0" t="str">
        <f aca="false">IF(ROW()-4&lt;=MAX($M$5:$M$1004),IFERROR(INDEX($N$5:$N$1004,ROW()-4),""),IFERROR(INDEX($P$5:$P$1004,ROW()-4-MAX($M$5:$M$1004)),""))</f>
        <v/>
      </c>
    </row>
    <row r="775" customFormat="false" ht="15" hidden="false" customHeight="false" outlineLevel="0" collapsed="false">
      <c r="M775" s="0" t="str">
        <f aca="false">IF(CSV貼付A!$N775="","",IF(COUNTIF($B$37:$B$48,CSV貼付A!$H775)&gt;0,"",IF(SUMPRODUCT((CSV貼付A!$N$5:$N775=CSV貼付A!$N775)*(COUNTIF($B$37:$B$48,CSV貼付A!$H$5:$H775)=0))&gt;1,"",MAX($M$4:M774)+1)))</f>
        <v/>
      </c>
      <c r="N775" s="0" t="str">
        <f aca="false">IFERROR(INDEX(CSV貼付A!$N$5:$N$1004,MATCH(ROW()-4,$M$5:$M$1004,0)),"")</f>
        <v/>
      </c>
      <c r="O775" s="0" t="str">
        <f aca="false">IF(CSV貼付B!$N775="","",IF(COUNTIF($B$37:$B$48,CSV貼付B!$H775)&gt;0,"",IF(SUMPRODUCT((CSV貼付B!$N$5:$N775=CSV貼付B!$N775)*(COUNTIF($B$37:$B$48,CSV貼付B!$H$5:$H775)=0))&gt;1,"",MAX($O$4:O774)+1)))</f>
        <v/>
      </c>
      <c r="P775" s="0" t="str">
        <f aca="false">IFERROR(INDEX(CSV貼付B!$N$5:$N$1004,MATCH(ROW()-4,$O$5:$O$1004,0)),"")</f>
        <v/>
      </c>
      <c r="Q775" s="0" t="str">
        <f aca="false">IF(ROW()-4&lt;=MAX($M$5:$M$1004),IFERROR(INDEX($N$5:$N$1004,ROW()-4),""),IFERROR(INDEX($P$5:$P$1004,ROW()-4-MAX($M$5:$M$1004)),""))</f>
        <v/>
      </c>
    </row>
    <row r="776" customFormat="false" ht="15" hidden="false" customHeight="false" outlineLevel="0" collapsed="false">
      <c r="M776" s="0" t="str">
        <f aca="false">IF(CSV貼付A!$N776="","",IF(COUNTIF($B$37:$B$48,CSV貼付A!$H776)&gt;0,"",IF(SUMPRODUCT((CSV貼付A!$N$5:$N776=CSV貼付A!$N776)*(COUNTIF($B$37:$B$48,CSV貼付A!$H$5:$H776)=0))&gt;1,"",MAX($M$4:M775)+1)))</f>
        <v/>
      </c>
      <c r="N776" s="0" t="str">
        <f aca="false">IFERROR(INDEX(CSV貼付A!$N$5:$N$1004,MATCH(ROW()-4,$M$5:$M$1004,0)),"")</f>
        <v/>
      </c>
      <c r="O776" s="0" t="str">
        <f aca="false">IF(CSV貼付B!$N776="","",IF(COUNTIF($B$37:$B$48,CSV貼付B!$H776)&gt;0,"",IF(SUMPRODUCT((CSV貼付B!$N$5:$N776=CSV貼付B!$N776)*(COUNTIF($B$37:$B$48,CSV貼付B!$H$5:$H776)=0))&gt;1,"",MAX($O$4:O775)+1)))</f>
        <v/>
      </c>
      <c r="P776" s="0" t="str">
        <f aca="false">IFERROR(INDEX(CSV貼付B!$N$5:$N$1004,MATCH(ROW()-4,$O$5:$O$1004,0)),"")</f>
        <v/>
      </c>
      <c r="Q776" s="0" t="str">
        <f aca="false">IF(ROW()-4&lt;=MAX($M$5:$M$1004),IFERROR(INDEX($N$5:$N$1004,ROW()-4),""),IFERROR(INDEX($P$5:$P$1004,ROW()-4-MAX($M$5:$M$1004)),""))</f>
        <v/>
      </c>
    </row>
    <row r="777" customFormat="false" ht="15" hidden="false" customHeight="false" outlineLevel="0" collapsed="false">
      <c r="M777" s="0" t="str">
        <f aca="false">IF(CSV貼付A!$N777="","",IF(COUNTIF($B$37:$B$48,CSV貼付A!$H777)&gt;0,"",IF(SUMPRODUCT((CSV貼付A!$N$5:$N777=CSV貼付A!$N777)*(COUNTIF($B$37:$B$48,CSV貼付A!$H$5:$H777)=0))&gt;1,"",MAX($M$4:M776)+1)))</f>
        <v/>
      </c>
      <c r="N777" s="0" t="str">
        <f aca="false">IFERROR(INDEX(CSV貼付A!$N$5:$N$1004,MATCH(ROW()-4,$M$5:$M$1004,0)),"")</f>
        <v/>
      </c>
      <c r="O777" s="0" t="str">
        <f aca="false">IF(CSV貼付B!$N777="","",IF(COUNTIF($B$37:$B$48,CSV貼付B!$H777)&gt;0,"",IF(SUMPRODUCT((CSV貼付B!$N$5:$N777=CSV貼付B!$N777)*(COUNTIF($B$37:$B$48,CSV貼付B!$H$5:$H777)=0))&gt;1,"",MAX($O$4:O776)+1)))</f>
        <v/>
      </c>
      <c r="P777" s="0" t="str">
        <f aca="false">IFERROR(INDEX(CSV貼付B!$N$5:$N$1004,MATCH(ROW()-4,$O$5:$O$1004,0)),"")</f>
        <v/>
      </c>
      <c r="Q777" s="0" t="str">
        <f aca="false">IF(ROW()-4&lt;=MAX($M$5:$M$1004),IFERROR(INDEX($N$5:$N$1004,ROW()-4),""),IFERROR(INDEX($P$5:$P$1004,ROW()-4-MAX($M$5:$M$1004)),""))</f>
        <v/>
      </c>
    </row>
    <row r="778" customFormat="false" ht="15" hidden="false" customHeight="false" outlineLevel="0" collapsed="false">
      <c r="M778" s="0" t="str">
        <f aca="false">IF(CSV貼付A!$N778="","",IF(COUNTIF($B$37:$B$48,CSV貼付A!$H778)&gt;0,"",IF(SUMPRODUCT((CSV貼付A!$N$5:$N778=CSV貼付A!$N778)*(COUNTIF($B$37:$B$48,CSV貼付A!$H$5:$H778)=0))&gt;1,"",MAX($M$4:M777)+1)))</f>
        <v/>
      </c>
      <c r="N778" s="0" t="str">
        <f aca="false">IFERROR(INDEX(CSV貼付A!$N$5:$N$1004,MATCH(ROW()-4,$M$5:$M$1004,0)),"")</f>
        <v/>
      </c>
      <c r="O778" s="0" t="str">
        <f aca="false">IF(CSV貼付B!$N778="","",IF(COUNTIF($B$37:$B$48,CSV貼付B!$H778)&gt;0,"",IF(SUMPRODUCT((CSV貼付B!$N$5:$N778=CSV貼付B!$N778)*(COUNTIF($B$37:$B$48,CSV貼付B!$H$5:$H778)=0))&gt;1,"",MAX($O$4:O777)+1)))</f>
        <v/>
      </c>
      <c r="P778" s="0" t="str">
        <f aca="false">IFERROR(INDEX(CSV貼付B!$N$5:$N$1004,MATCH(ROW()-4,$O$5:$O$1004,0)),"")</f>
        <v/>
      </c>
      <c r="Q778" s="0" t="str">
        <f aca="false">IF(ROW()-4&lt;=MAX($M$5:$M$1004),IFERROR(INDEX($N$5:$N$1004,ROW()-4),""),IFERROR(INDEX($P$5:$P$1004,ROW()-4-MAX($M$5:$M$1004)),""))</f>
        <v/>
      </c>
    </row>
    <row r="779" customFormat="false" ht="15" hidden="false" customHeight="false" outlineLevel="0" collapsed="false">
      <c r="M779" s="0" t="str">
        <f aca="false">IF(CSV貼付A!$N779="","",IF(COUNTIF($B$37:$B$48,CSV貼付A!$H779)&gt;0,"",IF(SUMPRODUCT((CSV貼付A!$N$5:$N779=CSV貼付A!$N779)*(COUNTIF($B$37:$B$48,CSV貼付A!$H$5:$H779)=0))&gt;1,"",MAX($M$4:M778)+1)))</f>
        <v/>
      </c>
      <c r="N779" s="0" t="str">
        <f aca="false">IFERROR(INDEX(CSV貼付A!$N$5:$N$1004,MATCH(ROW()-4,$M$5:$M$1004,0)),"")</f>
        <v/>
      </c>
      <c r="O779" s="0" t="str">
        <f aca="false">IF(CSV貼付B!$N779="","",IF(COUNTIF($B$37:$B$48,CSV貼付B!$H779)&gt;0,"",IF(SUMPRODUCT((CSV貼付B!$N$5:$N779=CSV貼付B!$N779)*(COUNTIF($B$37:$B$48,CSV貼付B!$H$5:$H779)=0))&gt;1,"",MAX($O$4:O778)+1)))</f>
        <v/>
      </c>
      <c r="P779" s="0" t="str">
        <f aca="false">IFERROR(INDEX(CSV貼付B!$N$5:$N$1004,MATCH(ROW()-4,$O$5:$O$1004,0)),"")</f>
        <v/>
      </c>
      <c r="Q779" s="0" t="str">
        <f aca="false">IF(ROW()-4&lt;=MAX($M$5:$M$1004),IFERROR(INDEX($N$5:$N$1004,ROW()-4),""),IFERROR(INDEX($P$5:$P$1004,ROW()-4-MAX($M$5:$M$1004)),""))</f>
        <v/>
      </c>
    </row>
    <row r="780" customFormat="false" ht="15" hidden="false" customHeight="false" outlineLevel="0" collapsed="false">
      <c r="M780" s="0" t="str">
        <f aca="false">IF(CSV貼付A!$N780="","",IF(COUNTIF($B$37:$B$48,CSV貼付A!$H780)&gt;0,"",IF(SUMPRODUCT((CSV貼付A!$N$5:$N780=CSV貼付A!$N780)*(COUNTIF($B$37:$B$48,CSV貼付A!$H$5:$H780)=0))&gt;1,"",MAX($M$4:M779)+1)))</f>
        <v/>
      </c>
      <c r="N780" s="0" t="str">
        <f aca="false">IFERROR(INDEX(CSV貼付A!$N$5:$N$1004,MATCH(ROW()-4,$M$5:$M$1004,0)),"")</f>
        <v/>
      </c>
      <c r="O780" s="0" t="str">
        <f aca="false">IF(CSV貼付B!$N780="","",IF(COUNTIF($B$37:$B$48,CSV貼付B!$H780)&gt;0,"",IF(SUMPRODUCT((CSV貼付B!$N$5:$N780=CSV貼付B!$N780)*(COUNTIF($B$37:$B$48,CSV貼付B!$H$5:$H780)=0))&gt;1,"",MAX($O$4:O779)+1)))</f>
        <v/>
      </c>
      <c r="P780" s="0" t="str">
        <f aca="false">IFERROR(INDEX(CSV貼付B!$N$5:$N$1004,MATCH(ROW()-4,$O$5:$O$1004,0)),"")</f>
        <v/>
      </c>
      <c r="Q780" s="0" t="str">
        <f aca="false">IF(ROW()-4&lt;=MAX($M$5:$M$1004),IFERROR(INDEX($N$5:$N$1004,ROW()-4),""),IFERROR(INDEX($P$5:$P$1004,ROW()-4-MAX($M$5:$M$1004)),""))</f>
        <v/>
      </c>
    </row>
    <row r="781" customFormat="false" ht="15" hidden="false" customHeight="false" outlineLevel="0" collapsed="false">
      <c r="M781" s="0" t="str">
        <f aca="false">IF(CSV貼付A!$N781="","",IF(COUNTIF($B$37:$B$48,CSV貼付A!$H781)&gt;0,"",IF(SUMPRODUCT((CSV貼付A!$N$5:$N781=CSV貼付A!$N781)*(COUNTIF($B$37:$B$48,CSV貼付A!$H$5:$H781)=0))&gt;1,"",MAX($M$4:M780)+1)))</f>
        <v/>
      </c>
      <c r="N781" s="0" t="str">
        <f aca="false">IFERROR(INDEX(CSV貼付A!$N$5:$N$1004,MATCH(ROW()-4,$M$5:$M$1004,0)),"")</f>
        <v/>
      </c>
      <c r="O781" s="0" t="str">
        <f aca="false">IF(CSV貼付B!$N781="","",IF(COUNTIF($B$37:$B$48,CSV貼付B!$H781)&gt;0,"",IF(SUMPRODUCT((CSV貼付B!$N$5:$N781=CSV貼付B!$N781)*(COUNTIF($B$37:$B$48,CSV貼付B!$H$5:$H781)=0))&gt;1,"",MAX($O$4:O780)+1)))</f>
        <v/>
      </c>
      <c r="P781" s="0" t="str">
        <f aca="false">IFERROR(INDEX(CSV貼付B!$N$5:$N$1004,MATCH(ROW()-4,$O$5:$O$1004,0)),"")</f>
        <v/>
      </c>
      <c r="Q781" s="0" t="str">
        <f aca="false">IF(ROW()-4&lt;=MAX($M$5:$M$1004),IFERROR(INDEX($N$5:$N$1004,ROW()-4),""),IFERROR(INDEX($P$5:$P$1004,ROW()-4-MAX($M$5:$M$1004)),""))</f>
        <v/>
      </c>
    </row>
    <row r="782" customFormat="false" ht="15" hidden="false" customHeight="false" outlineLevel="0" collapsed="false">
      <c r="M782" s="0" t="str">
        <f aca="false">IF(CSV貼付A!$N782="","",IF(COUNTIF($B$37:$B$48,CSV貼付A!$H782)&gt;0,"",IF(SUMPRODUCT((CSV貼付A!$N$5:$N782=CSV貼付A!$N782)*(COUNTIF($B$37:$B$48,CSV貼付A!$H$5:$H782)=0))&gt;1,"",MAX($M$4:M781)+1)))</f>
        <v/>
      </c>
      <c r="N782" s="0" t="str">
        <f aca="false">IFERROR(INDEX(CSV貼付A!$N$5:$N$1004,MATCH(ROW()-4,$M$5:$M$1004,0)),"")</f>
        <v/>
      </c>
      <c r="O782" s="0" t="str">
        <f aca="false">IF(CSV貼付B!$N782="","",IF(COUNTIF($B$37:$B$48,CSV貼付B!$H782)&gt;0,"",IF(SUMPRODUCT((CSV貼付B!$N$5:$N782=CSV貼付B!$N782)*(COUNTIF($B$37:$B$48,CSV貼付B!$H$5:$H782)=0))&gt;1,"",MAX($O$4:O781)+1)))</f>
        <v/>
      </c>
      <c r="P782" s="0" t="str">
        <f aca="false">IFERROR(INDEX(CSV貼付B!$N$5:$N$1004,MATCH(ROW()-4,$O$5:$O$1004,0)),"")</f>
        <v/>
      </c>
      <c r="Q782" s="0" t="str">
        <f aca="false">IF(ROW()-4&lt;=MAX($M$5:$M$1004),IFERROR(INDEX($N$5:$N$1004,ROW()-4),""),IFERROR(INDEX($P$5:$P$1004,ROW()-4-MAX($M$5:$M$1004)),""))</f>
        <v/>
      </c>
    </row>
    <row r="783" customFormat="false" ht="15" hidden="false" customHeight="false" outlineLevel="0" collapsed="false">
      <c r="M783" s="0" t="str">
        <f aca="false">IF(CSV貼付A!$N783="","",IF(COUNTIF($B$37:$B$48,CSV貼付A!$H783)&gt;0,"",IF(SUMPRODUCT((CSV貼付A!$N$5:$N783=CSV貼付A!$N783)*(COUNTIF($B$37:$B$48,CSV貼付A!$H$5:$H783)=0))&gt;1,"",MAX($M$4:M782)+1)))</f>
        <v/>
      </c>
      <c r="N783" s="0" t="str">
        <f aca="false">IFERROR(INDEX(CSV貼付A!$N$5:$N$1004,MATCH(ROW()-4,$M$5:$M$1004,0)),"")</f>
        <v/>
      </c>
      <c r="O783" s="0" t="str">
        <f aca="false">IF(CSV貼付B!$N783="","",IF(COUNTIF($B$37:$B$48,CSV貼付B!$H783)&gt;0,"",IF(SUMPRODUCT((CSV貼付B!$N$5:$N783=CSV貼付B!$N783)*(COUNTIF($B$37:$B$48,CSV貼付B!$H$5:$H783)=0))&gt;1,"",MAX($O$4:O782)+1)))</f>
        <v/>
      </c>
      <c r="P783" s="0" t="str">
        <f aca="false">IFERROR(INDEX(CSV貼付B!$N$5:$N$1004,MATCH(ROW()-4,$O$5:$O$1004,0)),"")</f>
        <v/>
      </c>
      <c r="Q783" s="0" t="str">
        <f aca="false">IF(ROW()-4&lt;=MAX($M$5:$M$1004),IFERROR(INDEX($N$5:$N$1004,ROW()-4),""),IFERROR(INDEX($P$5:$P$1004,ROW()-4-MAX($M$5:$M$1004)),""))</f>
        <v/>
      </c>
    </row>
    <row r="784" customFormat="false" ht="15" hidden="false" customHeight="false" outlineLevel="0" collapsed="false">
      <c r="M784" s="0" t="str">
        <f aca="false">IF(CSV貼付A!$N784="","",IF(COUNTIF($B$37:$B$48,CSV貼付A!$H784)&gt;0,"",IF(SUMPRODUCT((CSV貼付A!$N$5:$N784=CSV貼付A!$N784)*(COUNTIF($B$37:$B$48,CSV貼付A!$H$5:$H784)=0))&gt;1,"",MAX($M$4:M783)+1)))</f>
        <v/>
      </c>
      <c r="N784" s="0" t="str">
        <f aca="false">IFERROR(INDEX(CSV貼付A!$N$5:$N$1004,MATCH(ROW()-4,$M$5:$M$1004,0)),"")</f>
        <v/>
      </c>
      <c r="O784" s="0" t="str">
        <f aca="false">IF(CSV貼付B!$N784="","",IF(COUNTIF($B$37:$B$48,CSV貼付B!$H784)&gt;0,"",IF(SUMPRODUCT((CSV貼付B!$N$5:$N784=CSV貼付B!$N784)*(COUNTIF($B$37:$B$48,CSV貼付B!$H$5:$H784)=0))&gt;1,"",MAX($O$4:O783)+1)))</f>
        <v/>
      </c>
      <c r="P784" s="0" t="str">
        <f aca="false">IFERROR(INDEX(CSV貼付B!$N$5:$N$1004,MATCH(ROW()-4,$O$5:$O$1004,0)),"")</f>
        <v/>
      </c>
      <c r="Q784" s="0" t="str">
        <f aca="false">IF(ROW()-4&lt;=MAX($M$5:$M$1004),IFERROR(INDEX($N$5:$N$1004,ROW()-4),""),IFERROR(INDEX($P$5:$P$1004,ROW()-4-MAX($M$5:$M$1004)),""))</f>
        <v/>
      </c>
    </row>
    <row r="785" customFormat="false" ht="15" hidden="false" customHeight="false" outlineLevel="0" collapsed="false">
      <c r="M785" s="0" t="str">
        <f aca="false">IF(CSV貼付A!$N785="","",IF(COUNTIF($B$37:$B$48,CSV貼付A!$H785)&gt;0,"",IF(SUMPRODUCT((CSV貼付A!$N$5:$N785=CSV貼付A!$N785)*(COUNTIF($B$37:$B$48,CSV貼付A!$H$5:$H785)=0))&gt;1,"",MAX($M$4:M784)+1)))</f>
        <v/>
      </c>
      <c r="N785" s="0" t="str">
        <f aca="false">IFERROR(INDEX(CSV貼付A!$N$5:$N$1004,MATCH(ROW()-4,$M$5:$M$1004,0)),"")</f>
        <v/>
      </c>
      <c r="O785" s="0" t="str">
        <f aca="false">IF(CSV貼付B!$N785="","",IF(COUNTIF($B$37:$B$48,CSV貼付B!$H785)&gt;0,"",IF(SUMPRODUCT((CSV貼付B!$N$5:$N785=CSV貼付B!$N785)*(COUNTIF($B$37:$B$48,CSV貼付B!$H$5:$H785)=0))&gt;1,"",MAX($O$4:O784)+1)))</f>
        <v/>
      </c>
      <c r="P785" s="0" t="str">
        <f aca="false">IFERROR(INDEX(CSV貼付B!$N$5:$N$1004,MATCH(ROW()-4,$O$5:$O$1004,0)),"")</f>
        <v/>
      </c>
      <c r="Q785" s="0" t="str">
        <f aca="false">IF(ROW()-4&lt;=MAX($M$5:$M$1004),IFERROR(INDEX($N$5:$N$1004,ROW()-4),""),IFERROR(INDEX($P$5:$P$1004,ROW()-4-MAX($M$5:$M$1004)),""))</f>
        <v/>
      </c>
    </row>
    <row r="786" customFormat="false" ht="15" hidden="false" customHeight="false" outlineLevel="0" collapsed="false">
      <c r="M786" s="0" t="str">
        <f aca="false">IF(CSV貼付A!$N786="","",IF(COUNTIF($B$37:$B$48,CSV貼付A!$H786)&gt;0,"",IF(SUMPRODUCT((CSV貼付A!$N$5:$N786=CSV貼付A!$N786)*(COUNTIF($B$37:$B$48,CSV貼付A!$H$5:$H786)=0))&gt;1,"",MAX($M$4:M785)+1)))</f>
        <v/>
      </c>
      <c r="N786" s="0" t="str">
        <f aca="false">IFERROR(INDEX(CSV貼付A!$N$5:$N$1004,MATCH(ROW()-4,$M$5:$M$1004,0)),"")</f>
        <v/>
      </c>
      <c r="O786" s="0" t="str">
        <f aca="false">IF(CSV貼付B!$N786="","",IF(COUNTIF($B$37:$B$48,CSV貼付B!$H786)&gt;0,"",IF(SUMPRODUCT((CSV貼付B!$N$5:$N786=CSV貼付B!$N786)*(COUNTIF($B$37:$B$48,CSV貼付B!$H$5:$H786)=0))&gt;1,"",MAX($O$4:O785)+1)))</f>
        <v/>
      </c>
      <c r="P786" s="0" t="str">
        <f aca="false">IFERROR(INDEX(CSV貼付B!$N$5:$N$1004,MATCH(ROW()-4,$O$5:$O$1004,0)),"")</f>
        <v/>
      </c>
      <c r="Q786" s="0" t="str">
        <f aca="false">IF(ROW()-4&lt;=MAX($M$5:$M$1004),IFERROR(INDEX($N$5:$N$1004,ROW()-4),""),IFERROR(INDEX($P$5:$P$1004,ROW()-4-MAX($M$5:$M$1004)),""))</f>
        <v/>
      </c>
    </row>
    <row r="787" customFormat="false" ht="15" hidden="false" customHeight="false" outlineLevel="0" collapsed="false">
      <c r="M787" s="0" t="str">
        <f aca="false">IF(CSV貼付A!$N787="","",IF(COUNTIF($B$37:$B$48,CSV貼付A!$H787)&gt;0,"",IF(SUMPRODUCT((CSV貼付A!$N$5:$N787=CSV貼付A!$N787)*(COUNTIF($B$37:$B$48,CSV貼付A!$H$5:$H787)=0))&gt;1,"",MAX($M$4:M786)+1)))</f>
        <v/>
      </c>
      <c r="N787" s="0" t="str">
        <f aca="false">IFERROR(INDEX(CSV貼付A!$N$5:$N$1004,MATCH(ROW()-4,$M$5:$M$1004,0)),"")</f>
        <v/>
      </c>
      <c r="O787" s="0" t="str">
        <f aca="false">IF(CSV貼付B!$N787="","",IF(COUNTIF($B$37:$B$48,CSV貼付B!$H787)&gt;0,"",IF(SUMPRODUCT((CSV貼付B!$N$5:$N787=CSV貼付B!$N787)*(COUNTIF($B$37:$B$48,CSV貼付B!$H$5:$H787)=0))&gt;1,"",MAX($O$4:O786)+1)))</f>
        <v/>
      </c>
      <c r="P787" s="0" t="str">
        <f aca="false">IFERROR(INDEX(CSV貼付B!$N$5:$N$1004,MATCH(ROW()-4,$O$5:$O$1004,0)),"")</f>
        <v/>
      </c>
      <c r="Q787" s="0" t="str">
        <f aca="false">IF(ROW()-4&lt;=MAX($M$5:$M$1004),IFERROR(INDEX($N$5:$N$1004,ROW()-4),""),IFERROR(INDEX($P$5:$P$1004,ROW()-4-MAX($M$5:$M$1004)),""))</f>
        <v/>
      </c>
    </row>
    <row r="788" customFormat="false" ht="15" hidden="false" customHeight="false" outlineLevel="0" collapsed="false">
      <c r="M788" s="0" t="str">
        <f aca="false">IF(CSV貼付A!$N788="","",IF(COUNTIF($B$37:$B$48,CSV貼付A!$H788)&gt;0,"",IF(SUMPRODUCT((CSV貼付A!$N$5:$N788=CSV貼付A!$N788)*(COUNTIF($B$37:$B$48,CSV貼付A!$H$5:$H788)=0))&gt;1,"",MAX($M$4:M787)+1)))</f>
        <v/>
      </c>
      <c r="N788" s="0" t="str">
        <f aca="false">IFERROR(INDEX(CSV貼付A!$N$5:$N$1004,MATCH(ROW()-4,$M$5:$M$1004,0)),"")</f>
        <v/>
      </c>
      <c r="O788" s="0" t="str">
        <f aca="false">IF(CSV貼付B!$N788="","",IF(COUNTIF($B$37:$B$48,CSV貼付B!$H788)&gt;0,"",IF(SUMPRODUCT((CSV貼付B!$N$5:$N788=CSV貼付B!$N788)*(COUNTIF($B$37:$B$48,CSV貼付B!$H$5:$H788)=0))&gt;1,"",MAX($O$4:O787)+1)))</f>
        <v/>
      </c>
      <c r="P788" s="0" t="str">
        <f aca="false">IFERROR(INDEX(CSV貼付B!$N$5:$N$1004,MATCH(ROW()-4,$O$5:$O$1004,0)),"")</f>
        <v/>
      </c>
      <c r="Q788" s="0" t="str">
        <f aca="false">IF(ROW()-4&lt;=MAX($M$5:$M$1004),IFERROR(INDEX($N$5:$N$1004,ROW()-4),""),IFERROR(INDEX($P$5:$P$1004,ROW()-4-MAX($M$5:$M$1004)),""))</f>
        <v/>
      </c>
    </row>
    <row r="789" customFormat="false" ht="15" hidden="false" customHeight="false" outlineLevel="0" collapsed="false">
      <c r="M789" s="0" t="str">
        <f aca="false">IF(CSV貼付A!$N789="","",IF(COUNTIF($B$37:$B$48,CSV貼付A!$H789)&gt;0,"",IF(SUMPRODUCT((CSV貼付A!$N$5:$N789=CSV貼付A!$N789)*(COUNTIF($B$37:$B$48,CSV貼付A!$H$5:$H789)=0))&gt;1,"",MAX($M$4:M788)+1)))</f>
        <v/>
      </c>
      <c r="N789" s="0" t="str">
        <f aca="false">IFERROR(INDEX(CSV貼付A!$N$5:$N$1004,MATCH(ROW()-4,$M$5:$M$1004,0)),"")</f>
        <v/>
      </c>
      <c r="O789" s="0" t="str">
        <f aca="false">IF(CSV貼付B!$N789="","",IF(COUNTIF($B$37:$B$48,CSV貼付B!$H789)&gt;0,"",IF(SUMPRODUCT((CSV貼付B!$N$5:$N789=CSV貼付B!$N789)*(COUNTIF($B$37:$B$48,CSV貼付B!$H$5:$H789)=0))&gt;1,"",MAX($O$4:O788)+1)))</f>
        <v/>
      </c>
      <c r="P789" s="0" t="str">
        <f aca="false">IFERROR(INDEX(CSV貼付B!$N$5:$N$1004,MATCH(ROW()-4,$O$5:$O$1004,0)),"")</f>
        <v/>
      </c>
      <c r="Q789" s="0" t="str">
        <f aca="false">IF(ROW()-4&lt;=MAX($M$5:$M$1004),IFERROR(INDEX($N$5:$N$1004,ROW()-4),""),IFERROR(INDEX($P$5:$P$1004,ROW()-4-MAX($M$5:$M$1004)),""))</f>
        <v/>
      </c>
    </row>
    <row r="790" customFormat="false" ht="15" hidden="false" customHeight="false" outlineLevel="0" collapsed="false">
      <c r="M790" s="0" t="str">
        <f aca="false">IF(CSV貼付A!$N790="","",IF(COUNTIF($B$37:$B$48,CSV貼付A!$H790)&gt;0,"",IF(SUMPRODUCT((CSV貼付A!$N$5:$N790=CSV貼付A!$N790)*(COUNTIF($B$37:$B$48,CSV貼付A!$H$5:$H790)=0))&gt;1,"",MAX($M$4:M789)+1)))</f>
        <v/>
      </c>
      <c r="N790" s="0" t="str">
        <f aca="false">IFERROR(INDEX(CSV貼付A!$N$5:$N$1004,MATCH(ROW()-4,$M$5:$M$1004,0)),"")</f>
        <v/>
      </c>
      <c r="O790" s="0" t="str">
        <f aca="false">IF(CSV貼付B!$N790="","",IF(COUNTIF($B$37:$B$48,CSV貼付B!$H790)&gt;0,"",IF(SUMPRODUCT((CSV貼付B!$N$5:$N790=CSV貼付B!$N790)*(COUNTIF($B$37:$B$48,CSV貼付B!$H$5:$H790)=0))&gt;1,"",MAX($O$4:O789)+1)))</f>
        <v/>
      </c>
      <c r="P790" s="0" t="str">
        <f aca="false">IFERROR(INDEX(CSV貼付B!$N$5:$N$1004,MATCH(ROW()-4,$O$5:$O$1004,0)),"")</f>
        <v/>
      </c>
      <c r="Q790" s="0" t="str">
        <f aca="false">IF(ROW()-4&lt;=MAX($M$5:$M$1004),IFERROR(INDEX($N$5:$N$1004,ROW()-4),""),IFERROR(INDEX($P$5:$P$1004,ROW()-4-MAX($M$5:$M$1004)),""))</f>
        <v/>
      </c>
    </row>
    <row r="791" customFormat="false" ht="15" hidden="false" customHeight="false" outlineLevel="0" collapsed="false">
      <c r="M791" s="0" t="str">
        <f aca="false">IF(CSV貼付A!$N791="","",IF(COUNTIF($B$37:$B$48,CSV貼付A!$H791)&gt;0,"",IF(SUMPRODUCT((CSV貼付A!$N$5:$N791=CSV貼付A!$N791)*(COUNTIF($B$37:$B$48,CSV貼付A!$H$5:$H791)=0))&gt;1,"",MAX($M$4:M790)+1)))</f>
        <v/>
      </c>
      <c r="N791" s="0" t="str">
        <f aca="false">IFERROR(INDEX(CSV貼付A!$N$5:$N$1004,MATCH(ROW()-4,$M$5:$M$1004,0)),"")</f>
        <v/>
      </c>
      <c r="O791" s="0" t="str">
        <f aca="false">IF(CSV貼付B!$N791="","",IF(COUNTIF($B$37:$B$48,CSV貼付B!$H791)&gt;0,"",IF(SUMPRODUCT((CSV貼付B!$N$5:$N791=CSV貼付B!$N791)*(COUNTIF($B$37:$B$48,CSV貼付B!$H$5:$H791)=0))&gt;1,"",MAX($O$4:O790)+1)))</f>
        <v/>
      </c>
      <c r="P791" s="0" t="str">
        <f aca="false">IFERROR(INDEX(CSV貼付B!$N$5:$N$1004,MATCH(ROW()-4,$O$5:$O$1004,0)),"")</f>
        <v/>
      </c>
      <c r="Q791" s="0" t="str">
        <f aca="false">IF(ROW()-4&lt;=MAX($M$5:$M$1004),IFERROR(INDEX($N$5:$N$1004,ROW()-4),""),IFERROR(INDEX($P$5:$P$1004,ROW()-4-MAX($M$5:$M$1004)),""))</f>
        <v/>
      </c>
    </row>
    <row r="792" customFormat="false" ht="15" hidden="false" customHeight="false" outlineLevel="0" collapsed="false">
      <c r="M792" s="0" t="str">
        <f aca="false">IF(CSV貼付A!$N792="","",IF(COUNTIF($B$37:$B$48,CSV貼付A!$H792)&gt;0,"",IF(SUMPRODUCT((CSV貼付A!$N$5:$N792=CSV貼付A!$N792)*(COUNTIF($B$37:$B$48,CSV貼付A!$H$5:$H792)=0))&gt;1,"",MAX($M$4:M791)+1)))</f>
        <v/>
      </c>
      <c r="N792" s="0" t="str">
        <f aca="false">IFERROR(INDEX(CSV貼付A!$N$5:$N$1004,MATCH(ROW()-4,$M$5:$M$1004,0)),"")</f>
        <v/>
      </c>
      <c r="O792" s="0" t="str">
        <f aca="false">IF(CSV貼付B!$N792="","",IF(COUNTIF($B$37:$B$48,CSV貼付B!$H792)&gt;0,"",IF(SUMPRODUCT((CSV貼付B!$N$5:$N792=CSV貼付B!$N792)*(COUNTIF($B$37:$B$48,CSV貼付B!$H$5:$H792)=0))&gt;1,"",MAX($O$4:O791)+1)))</f>
        <v/>
      </c>
      <c r="P792" s="0" t="str">
        <f aca="false">IFERROR(INDEX(CSV貼付B!$N$5:$N$1004,MATCH(ROW()-4,$O$5:$O$1004,0)),"")</f>
        <v/>
      </c>
      <c r="Q792" s="0" t="str">
        <f aca="false">IF(ROW()-4&lt;=MAX($M$5:$M$1004),IFERROR(INDEX($N$5:$N$1004,ROW()-4),""),IFERROR(INDEX($P$5:$P$1004,ROW()-4-MAX($M$5:$M$1004)),""))</f>
        <v/>
      </c>
    </row>
    <row r="793" customFormat="false" ht="15" hidden="false" customHeight="false" outlineLevel="0" collapsed="false">
      <c r="M793" s="0" t="str">
        <f aca="false">IF(CSV貼付A!$N793="","",IF(COUNTIF($B$37:$B$48,CSV貼付A!$H793)&gt;0,"",IF(SUMPRODUCT((CSV貼付A!$N$5:$N793=CSV貼付A!$N793)*(COUNTIF($B$37:$B$48,CSV貼付A!$H$5:$H793)=0))&gt;1,"",MAX($M$4:M792)+1)))</f>
        <v/>
      </c>
      <c r="N793" s="0" t="str">
        <f aca="false">IFERROR(INDEX(CSV貼付A!$N$5:$N$1004,MATCH(ROW()-4,$M$5:$M$1004,0)),"")</f>
        <v/>
      </c>
      <c r="O793" s="0" t="str">
        <f aca="false">IF(CSV貼付B!$N793="","",IF(COUNTIF($B$37:$B$48,CSV貼付B!$H793)&gt;0,"",IF(SUMPRODUCT((CSV貼付B!$N$5:$N793=CSV貼付B!$N793)*(COUNTIF($B$37:$B$48,CSV貼付B!$H$5:$H793)=0))&gt;1,"",MAX($O$4:O792)+1)))</f>
        <v/>
      </c>
      <c r="P793" s="0" t="str">
        <f aca="false">IFERROR(INDEX(CSV貼付B!$N$5:$N$1004,MATCH(ROW()-4,$O$5:$O$1004,0)),"")</f>
        <v/>
      </c>
      <c r="Q793" s="0" t="str">
        <f aca="false">IF(ROW()-4&lt;=MAX($M$5:$M$1004),IFERROR(INDEX($N$5:$N$1004,ROW()-4),""),IFERROR(INDEX($P$5:$P$1004,ROW()-4-MAX($M$5:$M$1004)),""))</f>
        <v/>
      </c>
    </row>
    <row r="794" customFormat="false" ht="15" hidden="false" customHeight="false" outlineLevel="0" collapsed="false">
      <c r="M794" s="0" t="str">
        <f aca="false">IF(CSV貼付A!$N794="","",IF(COUNTIF($B$37:$B$48,CSV貼付A!$H794)&gt;0,"",IF(SUMPRODUCT((CSV貼付A!$N$5:$N794=CSV貼付A!$N794)*(COUNTIF($B$37:$B$48,CSV貼付A!$H$5:$H794)=0))&gt;1,"",MAX($M$4:M793)+1)))</f>
        <v/>
      </c>
      <c r="N794" s="0" t="str">
        <f aca="false">IFERROR(INDEX(CSV貼付A!$N$5:$N$1004,MATCH(ROW()-4,$M$5:$M$1004,0)),"")</f>
        <v/>
      </c>
      <c r="O794" s="0" t="str">
        <f aca="false">IF(CSV貼付B!$N794="","",IF(COUNTIF($B$37:$B$48,CSV貼付B!$H794)&gt;0,"",IF(SUMPRODUCT((CSV貼付B!$N$5:$N794=CSV貼付B!$N794)*(COUNTIF($B$37:$B$48,CSV貼付B!$H$5:$H794)=0))&gt;1,"",MAX($O$4:O793)+1)))</f>
        <v/>
      </c>
      <c r="P794" s="0" t="str">
        <f aca="false">IFERROR(INDEX(CSV貼付B!$N$5:$N$1004,MATCH(ROW()-4,$O$5:$O$1004,0)),"")</f>
        <v/>
      </c>
      <c r="Q794" s="0" t="str">
        <f aca="false">IF(ROW()-4&lt;=MAX($M$5:$M$1004),IFERROR(INDEX($N$5:$N$1004,ROW()-4),""),IFERROR(INDEX($P$5:$P$1004,ROW()-4-MAX($M$5:$M$1004)),""))</f>
        <v/>
      </c>
    </row>
    <row r="795" customFormat="false" ht="15" hidden="false" customHeight="false" outlineLevel="0" collapsed="false">
      <c r="M795" s="0" t="str">
        <f aca="false">IF(CSV貼付A!$N795="","",IF(COUNTIF($B$37:$B$48,CSV貼付A!$H795)&gt;0,"",IF(SUMPRODUCT((CSV貼付A!$N$5:$N795=CSV貼付A!$N795)*(COUNTIF($B$37:$B$48,CSV貼付A!$H$5:$H795)=0))&gt;1,"",MAX($M$4:M794)+1)))</f>
        <v/>
      </c>
      <c r="N795" s="0" t="str">
        <f aca="false">IFERROR(INDEX(CSV貼付A!$N$5:$N$1004,MATCH(ROW()-4,$M$5:$M$1004,0)),"")</f>
        <v/>
      </c>
      <c r="O795" s="0" t="str">
        <f aca="false">IF(CSV貼付B!$N795="","",IF(COUNTIF($B$37:$B$48,CSV貼付B!$H795)&gt;0,"",IF(SUMPRODUCT((CSV貼付B!$N$5:$N795=CSV貼付B!$N795)*(COUNTIF($B$37:$B$48,CSV貼付B!$H$5:$H795)=0))&gt;1,"",MAX($O$4:O794)+1)))</f>
        <v/>
      </c>
      <c r="P795" s="0" t="str">
        <f aca="false">IFERROR(INDEX(CSV貼付B!$N$5:$N$1004,MATCH(ROW()-4,$O$5:$O$1004,0)),"")</f>
        <v/>
      </c>
      <c r="Q795" s="0" t="str">
        <f aca="false">IF(ROW()-4&lt;=MAX($M$5:$M$1004),IFERROR(INDEX($N$5:$N$1004,ROW()-4),""),IFERROR(INDEX($P$5:$P$1004,ROW()-4-MAX($M$5:$M$1004)),""))</f>
        <v/>
      </c>
    </row>
    <row r="796" customFormat="false" ht="15" hidden="false" customHeight="false" outlineLevel="0" collapsed="false">
      <c r="M796" s="0" t="str">
        <f aca="false">IF(CSV貼付A!$N796="","",IF(COUNTIF($B$37:$B$48,CSV貼付A!$H796)&gt;0,"",IF(SUMPRODUCT((CSV貼付A!$N$5:$N796=CSV貼付A!$N796)*(COUNTIF($B$37:$B$48,CSV貼付A!$H$5:$H796)=0))&gt;1,"",MAX($M$4:M795)+1)))</f>
        <v/>
      </c>
      <c r="N796" s="0" t="str">
        <f aca="false">IFERROR(INDEX(CSV貼付A!$N$5:$N$1004,MATCH(ROW()-4,$M$5:$M$1004,0)),"")</f>
        <v/>
      </c>
      <c r="O796" s="0" t="str">
        <f aca="false">IF(CSV貼付B!$N796="","",IF(COUNTIF($B$37:$B$48,CSV貼付B!$H796)&gt;0,"",IF(SUMPRODUCT((CSV貼付B!$N$5:$N796=CSV貼付B!$N796)*(COUNTIF($B$37:$B$48,CSV貼付B!$H$5:$H796)=0))&gt;1,"",MAX($O$4:O795)+1)))</f>
        <v/>
      </c>
      <c r="P796" s="0" t="str">
        <f aca="false">IFERROR(INDEX(CSV貼付B!$N$5:$N$1004,MATCH(ROW()-4,$O$5:$O$1004,0)),"")</f>
        <v/>
      </c>
      <c r="Q796" s="0" t="str">
        <f aca="false">IF(ROW()-4&lt;=MAX($M$5:$M$1004),IFERROR(INDEX($N$5:$N$1004,ROW()-4),""),IFERROR(INDEX($P$5:$P$1004,ROW()-4-MAX($M$5:$M$1004)),""))</f>
        <v/>
      </c>
    </row>
    <row r="797" customFormat="false" ht="15" hidden="false" customHeight="false" outlineLevel="0" collapsed="false">
      <c r="M797" s="0" t="str">
        <f aca="false">IF(CSV貼付A!$N797="","",IF(COUNTIF($B$37:$B$48,CSV貼付A!$H797)&gt;0,"",IF(SUMPRODUCT((CSV貼付A!$N$5:$N797=CSV貼付A!$N797)*(COUNTIF($B$37:$B$48,CSV貼付A!$H$5:$H797)=0))&gt;1,"",MAX($M$4:M796)+1)))</f>
        <v/>
      </c>
      <c r="N797" s="0" t="str">
        <f aca="false">IFERROR(INDEX(CSV貼付A!$N$5:$N$1004,MATCH(ROW()-4,$M$5:$M$1004,0)),"")</f>
        <v/>
      </c>
      <c r="O797" s="0" t="str">
        <f aca="false">IF(CSV貼付B!$N797="","",IF(COUNTIF($B$37:$B$48,CSV貼付B!$H797)&gt;0,"",IF(SUMPRODUCT((CSV貼付B!$N$5:$N797=CSV貼付B!$N797)*(COUNTIF($B$37:$B$48,CSV貼付B!$H$5:$H797)=0))&gt;1,"",MAX($O$4:O796)+1)))</f>
        <v/>
      </c>
      <c r="P797" s="0" t="str">
        <f aca="false">IFERROR(INDEX(CSV貼付B!$N$5:$N$1004,MATCH(ROW()-4,$O$5:$O$1004,0)),"")</f>
        <v/>
      </c>
      <c r="Q797" s="0" t="str">
        <f aca="false">IF(ROW()-4&lt;=MAX($M$5:$M$1004),IFERROR(INDEX($N$5:$N$1004,ROW()-4),""),IFERROR(INDEX($P$5:$P$1004,ROW()-4-MAX($M$5:$M$1004)),""))</f>
        <v/>
      </c>
    </row>
    <row r="798" customFormat="false" ht="15" hidden="false" customHeight="false" outlineLevel="0" collapsed="false">
      <c r="M798" s="0" t="str">
        <f aca="false">IF(CSV貼付A!$N798="","",IF(COUNTIF($B$37:$B$48,CSV貼付A!$H798)&gt;0,"",IF(SUMPRODUCT((CSV貼付A!$N$5:$N798=CSV貼付A!$N798)*(COUNTIF($B$37:$B$48,CSV貼付A!$H$5:$H798)=0))&gt;1,"",MAX($M$4:M797)+1)))</f>
        <v/>
      </c>
      <c r="N798" s="0" t="str">
        <f aca="false">IFERROR(INDEX(CSV貼付A!$N$5:$N$1004,MATCH(ROW()-4,$M$5:$M$1004,0)),"")</f>
        <v/>
      </c>
      <c r="O798" s="0" t="str">
        <f aca="false">IF(CSV貼付B!$N798="","",IF(COUNTIF($B$37:$B$48,CSV貼付B!$H798)&gt;0,"",IF(SUMPRODUCT((CSV貼付B!$N$5:$N798=CSV貼付B!$N798)*(COUNTIF($B$37:$B$48,CSV貼付B!$H$5:$H798)=0))&gt;1,"",MAX($O$4:O797)+1)))</f>
        <v/>
      </c>
      <c r="P798" s="0" t="str">
        <f aca="false">IFERROR(INDEX(CSV貼付B!$N$5:$N$1004,MATCH(ROW()-4,$O$5:$O$1004,0)),"")</f>
        <v/>
      </c>
      <c r="Q798" s="0" t="str">
        <f aca="false">IF(ROW()-4&lt;=MAX($M$5:$M$1004),IFERROR(INDEX($N$5:$N$1004,ROW()-4),""),IFERROR(INDEX($P$5:$P$1004,ROW()-4-MAX($M$5:$M$1004)),""))</f>
        <v/>
      </c>
    </row>
    <row r="799" customFormat="false" ht="15" hidden="false" customHeight="false" outlineLevel="0" collapsed="false">
      <c r="M799" s="0" t="str">
        <f aca="false">IF(CSV貼付A!$N799="","",IF(COUNTIF($B$37:$B$48,CSV貼付A!$H799)&gt;0,"",IF(SUMPRODUCT((CSV貼付A!$N$5:$N799=CSV貼付A!$N799)*(COUNTIF($B$37:$B$48,CSV貼付A!$H$5:$H799)=0))&gt;1,"",MAX($M$4:M798)+1)))</f>
        <v/>
      </c>
      <c r="N799" s="0" t="str">
        <f aca="false">IFERROR(INDEX(CSV貼付A!$N$5:$N$1004,MATCH(ROW()-4,$M$5:$M$1004,0)),"")</f>
        <v/>
      </c>
      <c r="O799" s="0" t="str">
        <f aca="false">IF(CSV貼付B!$N799="","",IF(COUNTIF($B$37:$B$48,CSV貼付B!$H799)&gt;0,"",IF(SUMPRODUCT((CSV貼付B!$N$5:$N799=CSV貼付B!$N799)*(COUNTIF($B$37:$B$48,CSV貼付B!$H$5:$H799)=0))&gt;1,"",MAX($O$4:O798)+1)))</f>
        <v/>
      </c>
      <c r="P799" s="0" t="str">
        <f aca="false">IFERROR(INDEX(CSV貼付B!$N$5:$N$1004,MATCH(ROW()-4,$O$5:$O$1004,0)),"")</f>
        <v/>
      </c>
      <c r="Q799" s="0" t="str">
        <f aca="false">IF(ROW()-4&lt;=MAX($M$5:$M$1004),IFERROR(INDEX($N$5:$N$1004,ROW()-4),""),IFERROR(INDEX($P$5:$P$1004,ROW()-4-MAX($M$5:$M$1004)),""))</f>
        <v/>
      </c>
    </row>
    <row r="800" customFormat="false" ht="15" hidden="false" customHeight="false" outlineLevel="0" collapsed="false">
      <c r="M800" s="0" t="str">
        <f aca="false">IF(CSV貼付A!$N800="","",IF(COUNTIF($B$37:$B$48,CSV貼付A!$H800)&gt;0,"",IF(SUMPRODUCT((CSV貼付A!$N$5:$N800=CSV貼付A!$N800)*(COUNTIF($B$37:$B$48,CSV貼付A!$H$5:$H800)=0))&gt;1,"",MAX($M$4:M799)+1)))</f>
        <v/>
      </c>
      <c r="N800" s="0" t="str">
        <f aca="false">IFERROR(INDEX(CSV貼付A!$N$5:$N$1004,MATCH(ROW()-4,$M$5:$M$1004,0)),"")</f>
        <v/>
      </c>
      <c r="O800" s="0" t="str">
        <f aca="false">IF(CSV貼付B!$N800="","",IF(COUNTIF($B$37:$B$48,CSV貼付B!$H800)&gt;0,"",IF(SUMPRODUCT((CSV貼付B!$N$5:$N800=CSV貼付B!$N800)*(COUNTIF($B$37:$B$48,CSV貼付B!$H$5:$H800)=0))&gt;1,"",MAX($O$4:O799)+1)))</f>
        <v/>
      </c>
      <c r="P800" s="0" t="str">
        <f aca="false">IFERROR(INDEX(CSV貼付B!$N$5:$N$1004,MATCH(ROW()-4,$O$5:$O$1004,0)),"")</f>
        <v/>
      </c>
      <c r="Q800" s="0" t="str">
        <f aca="false">IF(ROW()-4&lt;=MAX($M$5:$M$1004),IFERROR(INDEX($N$5:$N$1004,ROW()-4),""),IFERROR(INDEX($P$5:$P$1004,ROW()-4-MAX($M$5:$M$1004)),""))</f>
        <v/>
      </c>
    </row>
    <row r="801" customFormat="false" ht="15" hidden="false" customHeight="false" outlineLevel="0" collapsed="false">
      <c r="M801" s="0" t="str">
        <f aca="false">IF(CSV貼付A!$N801="","",IF(COUNTIF($B$37:$B$48,CSV貼付A!$H801)&gt;0,"",IF(SUMPRODUCT((CSV貼付A!$N$5:$N801=CSV貼付A!$N801)*(COUNTIF($B$37:$B$48,CSV貼付A!$H$5:$H801)=0))&gt;1,"",MAX($M$4:M800)+1)))</f>
        <v/>
      </c>
      <c r="N801" s="0" t="str">
        <f aca="false">IFERROR(INDEX(CSV貼付A!$N$5:$N$1004,MATCH(ROW()-4,$M$5:$M$1004,0)),"")</f>
        <v/>
      </c>
      <c r="O801" s="0" t="str">
        <f aca="false">IF(CSV貼付B!$N801="","",IF(COUNTIF($B$37:$B$48,CSV貼付B!$H801)&gt;0,"",IF(SUMPRODUCT((CSV貼付B!$N$5:$N801=CSV貼付B!$N801)*(COUNTIF($B$37:$B$48,CSV貼付B!$H$5:$H801)=0))&gt;1,"",MAX($O$4:O800)+1)))</f>
        <v/>
      </c>
      <c r="P801" s="0" t="str">
        <f aca="false">IFERROR(INDEX(CSV貼付B!$N$5:$N$1004,MATCH(ROW()-4,$O$5:$O$1004,0)),"")</f>
        <v/>
      </c>
      <c r="Q801" s="0" t="str">
        <f aca="false">IF(ROW()-4&lt;=MAX($M$5:$M$1004),IFERROR(INDEX($N$5:$N$1004,ROW()-4),""),IFERROR(INDEX($P$5:$P$1004,ROW()-4-MAX($M$5:$M$1004)),""))</f>
        <v/>
      </c>
    </row>
    <row r="802" customFormat="false" ht="15" hidden="false" customHeight="false" outlineLevel="0" collapsed="false">
      <c r="M802" s="0" t="str">
        <f aca="false">IF(CSV貼付A!$N802="","",IF(COUNTIF($B$37:$B$48,CSV貼付A!$H802)&gt;0,"",IF(SUMPRODUCT((CSV貼付A!$N$5:$N802=CSV貼付A!$N802)*(COUNTIF($B$37:$B$48,CSV貼付A!$H$5:$H802)=0))&gt;1,"",MAX($M$4:M801)+1)))</f>
        <v/>
      </c>
      <c r="N802" s="0" t="str">
        <f aca="false">IFERROR(INDEX(CSV貼付A!$N$5:$N$1004,MATCH(ROW()-4,$M$5:$M$1004,0)),"")</f>
        <v/>
      </c>
      <c r="O802" s="0" t="str">
        <f aca="false">IF(CSV貼付B!$N802="","",IF(COUNTIF($B$37:$B$48,CSV貼付B!$H802)&gt;0,"",IF(SUMPRODUCT((CSV貼付B!$N$5:$N802=CSV貼付B!$N802)*(COUNTIF($B$37:$B$48,CSV貼付B!$H$5:$H802)=0))&gt;1,"",MAX($O$4:O801)+1)))</f>
        <v/>
      </c>
      <c r="P802" s="0" t="str">
        <f aca="false">IFERROR(INDEX(CSV貼付B!$N$5:$N$1004,MATCH(ROW()-4,$O$5:$O$1004,0)),"")</f>
        <v/>
      </c>
      <c r="Q802" s="0" t="str">
        <f aca="false">IF(ROW()-4&lt;=MAX($M$5:$M$1004),IFERROR(INDEX($N$5:$N$1004,ROW()-4),""),IFERROR(INDEX($P$5:$P$1004,ROW()-4-MAX($M$5:$M$1004)),""))</f>
        <v/>
      </c>
    </row>
    <row r="803" customFormat="false" ht="15" hidden="false" customHeight="false" outlineLevel="0" collapsed="false">
      <c r="M803" s="0" t="str">
        <f aca="false">IF(CSV貼付A!$N803="","",IF(COUNTIF($B$37:$B$48,CSV貼付A!$H803)&gt;0,"",IF(SUMPRODUCT((CSV貼付A!$N$5:$N803=CSV貼付A!$N803)*(COUNTIF($B$37:$B$48,CSV貼付A!$H$5:$H803)=0))&gt;1,"",MAX($M$4:M802)+1)))</f>
        <v/>
      </c>
      <c r="N803" s="0" t="str">
        <f aca="false">IFERROR(INDEX(CSV貼付A!$N$5:$N$1004,MATCH(ROW()-4,$M$5:$M$1004,0)),"")</f>
        <v/>
      </c>
      <c r="O803" s="0" t="str">
        <f aca="false">IF(CSV貼付B!$N803="","",IF(COUNTIF($B$37:$B$48,CSV貼付B!$H803)&gt;0,"",IF(SUMPRODUCT((CSV貼付B!$N$5:$N803=CSV貼付B!$N803)*(COUNTIF($B$37:$B$48,CSV貼付B!$H$5:$H803)=0))&gt;1,"",MAX($O$4:O802)+1)))</f>
        <v/>
      </c>
      <c r="P803" s="0" t="str">
        <f aca="false">IFERROR(INDEX(CSV貼付B!$N$5:$N$1004,MATCH(ROW()-4,$O$5:$O$1004,0)),"")</f>
        <v/>
      </c>
      <c r="Q803" s="0" t="str">
        <f aca="false">IF(ROW()-4&lt;=MAX($M$5:$M$1004),IFERROR(INDEX($N$5:$N$1004,ROW()-4),""),IFERROR(INDEX($P$5:$P$1004,ROW()-4-MAX($M$5:$M$1004)),""))</f>
        <v/>
      </c>
    </row>
    <row r="804" customFormat="false" ht="15" hidden="false" customHeight="false" outlineLevel="0" collapsed="false">
      <c r="M804" s="0" t="str">
        <f aca="false">IF(CSV貼付A!$N804="","",IF(COUNTIF($B$37:$B$48,CSV貼付A!$H804)&gt;0,"",IF(SUMPRODUCT((CSV貼付A!$N$5:$N804=CSV貼付A!$N804)*(COUNTIF($B$37:$B$48,CSV貼付A!$H$5:$H804)=0))&gt;1,"",MAX($M$4:M803)+1)))</f>
        <v/>
      </c>
      <c r="N804" s="0" t="str">
        <f aca="false">IFERROR(INDEX(CSV貼付A!$N$5:$N$1004,MATCH(ROW()-4,$M$5:$M$1004,0)),"")</f>
        <v/>
      </c>
      <c r="O804" s="0" t="str">
        <f aca="false">IF(CSV貼付B!$N804="","",IF(COUNTIF($B$37:$B$48,CSV貼付B!$H804)&gt;0,"",IF(SUMPRODUCT((CSV貼付B!$N$5:$N804=CSV貼付B!$N804)*(COUNTIF($B$37:$B$48,CSV貼付B!$H$5:$H804)=0))&gt;1,"",MAX($O$4:O803)+1)))</f>
        <v/>
      </c>
      <c r="P804" s="0" t="str">
        <f aca="false">IFERROR(INDEX(CSV貼付B!$N$5:$N$1004,MATCH(ROW()-4,$O$5:$O$1004,0)),"")</f>
        <v/>
      </c>
      <c r="Q804" s="0" t="str">
        <f aca="false">IF(ROW()-4&lt;=MAX($M$5:$M$1004),IFERROR(INDEX($N$5:$N$1004,ROW()-4),""),IFERROR(INDEX($P$5:$P$1004,ROW()-4-MAX($M$5:$M$1004)),""))</f>
        <v/>
      </c>
    </row>
    <row r="805" customFormat="false" ht="15" hidden="false" customHeight="false" outlineLevel="0" collapsed="false">
      <c r="M805" s="0" t="str">
        <f aca="false">IF(CSV貼付A!$N805="","",IF(COUNTIF($B$37:$B$48,CSV貼付A!$H805)&gt;0,"",IF(SUMPRODUCT((CSV貼付A!$N$5:$N805=CSV貼付A!$N805)*(COUNTIF($B$37:$B$48,CSV貼付A!$H$5:$H805)=0))&gt;1,"",MAX($M$4:M804)+1)))</f>
        <v/>
      </c>
      <c r="N805" s="0" t="str">
        <f aca="false">IFERROR(INDEX(CSV貼付A!$N$5:$N$1004,MATCH(ROW()-4,$M$5:$M$1004,0)),"")</f>
        <v/>
      </c>
      <c r="O805" s="0" t="str">
        <f aca="false">IF(CSV貼付B!$N805="","",IF(COUNTIF($B$37:$B$48,CSV貼付B!$H805)&gt;0,"",IF(SUMPRODUCT((CSV貼付B!$N$5:$N805=CSV貼付B!$N805)*(COUNTIF($B$37:$B$48,CSV貼付B!$H$5:$H805)=0))&gt;1,"",MAX($O$4:O804)+1)))</f>
        <v/>
      </c>
      <c r="P805" s="0" t="str">
        <f aca="false">IFERROR(INDEX(CSV貼付B!$N$5:$N$1004,MATCH(ROW()-4,$O$5:$O$1004,0)),"")</f>
        <v/>
      </c>
      <c r="Q805" s="0" t="str">
        <f aca="false">IF(ROW()-4&lt;=MAX($M$5:$M$1004),IFERROR(INDEX($N$5:$N$1004,ROW()-4),""),IFERROR(INDEX($P$5:$P$1004,ROW()-4-MAX($M$5:$M$1004)),""))</f>
        <v/>
      </c>
    </row>
    <row r="806" customFormat="false" ht="15" hidden="false" customHeight="false" outlineLevel="0" collapsed="false">
      <c r="M806" s="0" t="str">
        <f aca="false">IF(CSV貼付A!$N806="","",IF(COUNTIF($B$37:$B$48,CSV貼付A!$H806)&gt;0,"",IF(SUMPRODUCT((CSV貼付A!$N$5:$N806=CSV貼付A!$N806)*(COUNTIF($B$37:$B$48,CSV貼付A!$H$5:$H806)=0))&gt;1,"",MAX($M$4:M805)+1)))</f>
        <v/>
      </c>
      <c r="N806" s="0" t="str">
        <f aca="false">IFERROR(INDEX(CSV貼付A!$N$5:$N$1004,MATCH(ROW()-4,$M$5:$M$1004,0)),"")</f>
        <v/>
      </c>
      <c r="O806" s="0" t="str">
        <f aca="false">IF(CSV貼付B!$N806="","",IF(COUNTIF($B$37:$B$48,CSV貼付B!$H806)&gt;0,"",IF(SUMPRODUCT((CSV貼付B!$N$5:$N806=CSV貼付B!$N806)*(COUNTIF($B$37:$B$48,CSV貼付B!$H$5:$H806)=0))&gt;1,"",MAX($O$4:O805)+1)))</f>
        <v/>
      </c>
      <c r="P806" s="0" t="str">
        <f aca="false">IFERROR(INDEX(CSV貼付B!$N$5:$N$1004,MATCH(ROW()-4,$O$5:$O$1004,0)),"")</f>
        <v/>
      </c>
      <c r="Q806" s="0" t="str">
        <f aca="false">IF(ROW()-4&lt;=MAX($M$5:$M$1004),IFERROR(INDEX($N$5:$N$1004,ROW()-4),""),IFERROR(INDEX($P$5:$P$1004,ROW()-4-MAX($M$5:$M$1004)),""))</f>
        <v/>
      </c>
    </row>
    <row r="807" customFormat="false" ht="15" hidden="false" customHeight="false" outlineLevel="0" collapsed="false">
      <c r="M807" s="0" t="str">
        <f aca="false">IF(CSV貼付A!$N807="","",IF(COUNTIF($B$37:$B$48,CSV貼付A!$H807)&gt;0,"",IF(SUMPRODUCT((CSV貼付A!$N$5:$N807=CSV貼付A!$N807)*(COUNTIF($B$37:$B$48,CSV貼付A!$H$5:$H807)=0))&gt;1,"",MAX($M$4:M806)+1)))</f>
        <v/>
      </c>
      <c r="N807" s="0" t="str">
        <f aca="false">IFERROR(INDEX(CSV貼付A!$N$5:$N$1004,MATCH(ROW()-4,$M$5:$M$1004,0)),"")</f>
        <v/>
      </c>
      <c r="O807" s="0" t="str">
        <f aca="false">IF(CSV貼付B!$N807="","",IF(COUNTIF($B$37:$B$48,CSV貼付B!$H807)&gt;0,"",IF(SUMPRODUCT((CSV貼付B!$N$5:$N807=CSV貼付B!$N807)*(COUNTIF($B$37:$B$48,CSV貼付B!$H$5:$H807)=0))&gt;1,"",MAX($O$4:O806)+1)))</f>
        <v/>
      </c>
      <c r="P807" s="0" t="str">
        <f aca="false">IFERROR(INDEX(CSV貼付B!$N$5:$N$1004,MATCH(ROW()-4,$O$5:$O$1004,0)),"")</f>
        <v/>
      </c>
      <c r="Q807" s="0" t="str">
        <f aca="false">IF(ROW()-4&lt;=MAX($M$5:$M$1004),IFERROR(INDEX($N$5:$N$1004,ROW()-4),""),IFERROR(INDEX($P$5:$P$1004,ROW()-4-MAX($M$5:$M$1004)),""))</f>
        <v/>
      </c>
    </row>
    <row r="808" customFormat="false" ht="15" hidden="false" customHeight="false" outlineLevel="0" collapsed="false">
      <c r="M808" s="0" t="str">
        <f aca="false">IF(CSV貼付A!$N808="","",IF(COUNTIF($B$37:$B$48,CSV貼付A!$H808)&gt;0,"",IF(SUMPRODUCT((CSV貼付A!$N$5:$N808=CSV貼付A!$N808)*(COUNTIF($B$37:$B$48,CSV貼付A!$H$5:$H808)=0))&gt;1,"",MAX($M$4:M807)+1)))</f>
        <v/>
      </c>
      <c r="N808" s="0" t="str">
        <f aca="false">IFERROR(INDEX(CSV貼付A!$N$5:$N$1004,MATCH(ROW()-4,$M$5:$M$1004,0)),"")</f>
        <v/>
      </c>
      <c r="O808" s="0" t="str">
        <f aca="false">IF(CSV貼付B!$N808="","",IF(COUNTIF($B$37:$B$48,CSV貼付B!$H808)&gt;0,"",IF(SUMPRODUCT((CSV貼付B!$N$5:$N808=CSV貼付B!$N808)*(COUNTIF($B$37:$B$48,CSV貼付B!$H$5:$H808)=0))&gt;1,"",MAX($O$4:O807)+1)))</f>
        <v/>
      </c>
      <c r="P808" s="0" t="str">
        <f aca="false">IFERROR(INDEX(CSV貼付B!$N$5:$N$1004,MATCH(ROW()-4,$O$5:$O$1004,0)),"")</f>
        <v/>
      </c>
      <c r="Q808" s="0" t="str">
        <f aca="false">IF(ROW()-4&lt;=MAX($M$5:$M$1004),IFERROR(INDEX($N$5:$N$1004,ROW()-4),""),IFERROR(INDEX($P$5:$P$1004,ROW()-4-MAX($M$5:$M$1004)),""))</f>
        <v/>
      </c>
    </row>
    <row r="809" customFormat="false" ht="15" hidden="false" customHeight="false" outlineLevel="0" collapsed="false">
      <c r="M809" s="0" t="str">
        <f aca="false">IF(CSV貼付A!$N809="","",IF(COUNTIF($B$37:$B$48,CSV貼付A!$H809)&gt;0,"",IF(SUMPRODUCT((CSV貼付A!$N$5:$N809=CSV貼付A!$N809)*(COUNTIF($B$37:$B$48,CSV貼付A!$H$5:$H809)=0))&gt;1,"",MAX($M$4:M808)+1)))</f>
        <v/>
      </c>
      <c r="N809" s="0" t="str">
        <f aca="false">IFERROR(INDEX(CSV貼付A!$N$5:$N$1004,MATCH(ROW()-4,$M$5:$M$1004,0)),"")</f>
        <v/>
      </c>
      <c r="O809" s="0" t="str">
        <f aca="false">IF(CSV貼付B!$N809="","",IF(COUNTIF($B$37:$B$48,CSV貼付B!$H809)&gt;0,"",IF(SUMPRODUCT((CSV貼付B!$N$5:$N809=CSV貼付B!$N809)*(COUNTIF($B$37:$B$48,CSV貼付B!$H$5:$H809)=0))&gt;1,"",MAX($O$4:O808)+1)))</f>
        <v/>
      </c>
      <c r="P809" s="0" t="str">
        <f aca="false">IFERROR(INDEX(CSV貼付B!$N$5:$N$1004,MATCH(ROW()-4,$O$5:$O$1004,0)),"")</f>
        <v/>
      </c>
      <c r="Q809" s="0" t="str">
        <f aca="false">IF(ROW()-4&lt;=MAX($M$5:$M$1004),IFERROR(INDEX($N$5:$N$1004,ROW()-4),""),IFERROR(INDEX($P$5:$P$1004,ROW()-4-MAX($M$5:$M$1004)),""))</f>
        <v/>
      </c>
    </row>
    <row r="810" customFormat="false" ht="15" hidden="false" customHeight="false" outlineLevel="0" collapsed="false">
      <c r="M810" s="0" t="str">
        <f aca="false">IF(CSV貼付A!$N810="","",IF(COUNTIF($B$37:$B$48,CSV貼付A!$H810)&gt;0,"",IF(SUMPRODUCT((CSV貼付A!$N$5:$N810=CSV貼付A!$N810)*(COUNTIF($B$37:$B$48,CSV貼付A!$H$5:$H810)=0))&gt;1,"",MAX($M$4:M809)+1)))</f>
        <v/>
      </c>
      <c r="N810" s="0" t="str">
        <f aca="false">IFERROR(INDEX(CSV貼付A!$N$5:$N$1004,MATCH(ROW()-4,$M$5:$M$1004,0)),"")</f>
        <v/>
      </c>
      <c r="O810" s="0" t="str">
        <f aca="false">IF(CSV貼付B!$N810="","",IF(COUNTIF($B$37:$B$48,CSV貼付B!$H810)&gt;0,"",IF(SUMPRODUCT((CSV貼付B!$N$5:$N810=CSV貼付B!$N810)*(COUNTIF($B$37:$B$48,CSV貼付B!$H$5:$H810)=0))&gt;1,"",MAX($O$4:O809)+1)))</f>
        <v/>
      </c>
      <c r="P810" s="0" t="str">
        <f aca="false">IFERROR(INDEX(CSV貼付B!$N$5:$N$1004,MATCH(ROW()-4,$O$5:$O$1004,0)),"")</f>
        <v/>
      </c>
      <c r="Q810" s="0" t="str">
        <f aca="false">IF(ROW()-4&lt;=MAX($M$5:$M$1004),IFERROR(INDEX($N$5:$N$1004,ROW()-4),""),IFERROR(INDEX($P$5:$P$1004,ROW()-4-MAX($M$5:$M$1004)),""))</f>
        <v/>
      </c>
    </row>
    <row r="811" customFormat="false" ht="15" hidden="false" customHeight="false" outlineLevel="0" collapsed="false">
      <c r="M811" s="0" t="str">
        <f aca="false">IF(CSV貼付A!$N811="","",IF(COUNTIF($B$37:$B$48,CSV貼付A!$H811)&gt;0,"",IF(SUMPRODUCT((CSV貼付A!$N$5:$N811=CSV貼付A!$N811)*(COUNTIF($B$37:$B$48,CSV貼付A!$H$5:$H811)=0))&gt;1,"",MAX($M$4:M810)+1)))</f>
        <v/>
      </c>
      <c r="N811" s="0" t="str">
        <f aca="false">IFERROR(INDEX(CSV貼付A!$N$5:$N$1004,MATCH(ROW()-4,$M$5:$M$1004,0)),"")</f>
        <v/>
      </c>
      <c r="O811" s="0" t="str">
        <f aca="false">IF(CSV貼付B!$N811="","",IF(COUNTIF($B$37:$B$48,CSV貼付B!$H811)&gt;0,"",IF(SUMPRODUCT((CSV貼付B!$N$5:$N811=CSV貼付B!$N811)*(COUNTIF($B$37:$B$48,CSV貼付B!$H$5:$H811)=0))&gt;1,"",MAX($O$4:O810)+1)))</f>
        <v/>
      </c>
      <c r="P811" s="0" t="str">
        <f aca="false">IFERROR(INDEX(CSV貼付B!$N$5:$N$1004,MATCH(ROW()-4,$O$5:$O$1004,0)),"")</f>
        <v/>
      </c>
      <c r="Q811" s="0" t="str">
        <f aca="false">IF(ROW()-4&lt;=MAX($M$5:$M$1004),IFERROR(INDEX($N$5:$N$1004,ROW()-4),""),IFERROR(INDEX($P$5:$P$1004,ROW()-4-MAX($M$5:$M$1004)),""))</f>
        <v/>
      </c>
    </row>
    <row r="812" customFormat="false" ht="15" hidden="false" customHeight="false" outlineLevel="0" collapsed="false">
      <c r="M812" s="0" t="str">
        <f aca="false">IF(CSV貼付A!$N812="","",IF(COUNTIF($B$37:$B$48,CSV貼付A!$H812)&gt;0,"",IF(SUMPRODUCT((CSV貼付A!$N$5:$N812=CSV貼付A!$N812)*(COUNTIF($B$37:$B$48,CSV貼付A!$H$5:$H812)=0))&gt;1,"",MAX($M$4:M811)+1)))</f>
        <v/>
      </c>
      <c r="N812" s="0" t="str">
        <f aca="false">IFERROR(INDEX(CSV貼付A!$N$5:$N$1004,MATCH(ROW()-4,$M$5:$M$1004,0)),"")</f>
        <v/>
      </c>
      <c r="O812" s="0" t="str">
        <f aca="false">IF(CSV貼付B!$N812="","",IF(COUNTIF($B$37:$B$48,CSV貼付B!$H812)&gt;0,"",IF(SUMPRODUCT((CSV貼付B!$N$5:$N812=CSV貼付B!$N812)*(COUNTIF($B$37:$B$48,CSV貼付B!$H$5:$H812)=0))&gt;1,"",MAX($O$4:O811)+1)))</f>
        <v/>
      </c>
      <c r="P812" s="0" t="str">
        <f aca="false">IFERROR(INDEX(CSV貼付B!$N$5:$N$1004,MATCH(ROW()-4,$O$5:$O$1004,0)),"")</f>
        <v/>
      </c>
      <c r="Q812" s="0" t="str">
        <f aca="false">IF(ROW()-4&lt;=MAX($M$5:$M$1004),IFERROR(INDEX($N$5:$N$1004,ROW()-4),""),IFERROR(INDEX($P$5:$P$1004,ROW()-4-MAX($M$5:$M$1004)),""))</f>
        <v/>
      </c>
    </row>
    <row r="813" customFormat="false" ht="15" hidden="false" customHeight="false" outlineLevel="0" collapsed="false">
      <c r="M813" s="0" t="str">
        <f aca="false">IF(CSV貼付A!$N813="","",IF(COUNTIF($B$37:$B$48,CSV貼付A!$H813)&gt;0,"",IF(SUMPRODUCT((CSV貼付A!$N$5:$N813=CSV貼付A!$N813)*(COUNTIF($B$37:$B$48,CSV貼付A!$H$5:$H813)=0))&gt;1,"",MAX($M$4:M812)+1)))</f>
        <v/>
      </c>
      <c r="N813" s="0" t="str">
        <f aca="false">IFERROR(INDEX(CSV貼付A!$N$5:$N$1004,MATCH(ROW()-4,$M$5:$M$1004,0)),"")</f>
        <v/>
      </c>
      <c r="O813" s="0" t="str">
        <f aca="false">IF(CSV貼付B!$N813="","",IF(COUNTIF($B$37:$B$48,CSV貼付B!$H813)&gt;0,"",IF(SUMPRODUCT((CSV貼付B!$N$5:$N813=CSV貼付B!$N813)*(COUNTIF($B$37:$B$48,CSV貼付B!$H$5:$H813)=0))&gt;1,"",MAX($O$4:O812)+1)))</f>
        <v/>
      </c>
      <c r="P813" s="0" t="str">
        <f aca="false">IFERROR(INDEX(CSV貼付B!$N$5:$N$1004,MATCH(ROW()-4,$O$5:$O$1004,0)),"")</f>
        <v/>
      </c>
      <c r="Q813" s="0" t="str">
        <f aca="false">IF(ROW()-4&lt;=MAX($M$5:$M$1004),IFERROR(INDEX($N$5:$N$1004,ROW()-4),""),IFERROR(INDEX($P$5:$P$1004,ROW()-4-MAX($M$5:$M$1004)),""))</f>
        <v/>
      </c>
    </row>
    <row r="814" customFormat="false" ht="15" hidden="false" customHeight="false" outlineLevel="0" collapsed="false">
      <c r="M814" s="0" t="str">
        <f aca="false">IF(CSV貼付A!$N814="","",IF(COUNTIF($B$37:$B$48,CSV貼付A!$H814)&gt;0,"",IF(SUMPRODUCT((CSV貼付A!$N$5:$N814=CSV貼付A!$N814)*(COUNTIF($B$37:$B$48,CSV貼付A!$H$5:$H814)=0))&gt;1,"",MAX($M$4:M813)+1)))</f>
        <v/>
      </c>
      <c r="N814" s="0" t="str">
        <f aca="false">IFERROR(INDEX(CSV貼付A!$N$5:$N$1004,MATCH(ROW()-4,$M$5:$M$1004,0)),"")</f>
        <v/>
      </c>
      <c r="O814" s="0" t="str">
        <f aca="false">IF(CSV貼付B!$N814="","",IF(COUNTIF($B$37:$B$48,CSV貼付B!$H814)&gt;0,"",IF(SUMPRODUCT((CSV貼付B!$N$5:$N814=CSV貼付B!$N814)*(COUNTIF($B$37:$B$48,CSV貼付B!$H$5:$H814)=0))&gt;1,"",MAX($O$4:O813)+1)))</f>
        <v/>
      </c>
      <c r="P814" s="0" t="str">
        <f aca="false">IFERROR(INDEX(CSV貼付B!$N$5:$N$1004,MATCH(ROW()-4,$O$5:$O$1004,0)),"")</f>
        <v/>
      </c>
      <c r="Q814" s="0" t="str">
        <f aca="false">IF(ROW()-4&lt;=MAX($M$5:$M$1004),IFERROR(INDEX($N$5:$N$1004,ROW()-4),""),IFERROR(INDEX($P$5:$P$1004,ROW()-4-MAX($M$5:$M$1004)),""))</f>
        <v/>
      </c>
    </row>
    <row r="815" customFormat="false" ht="15" hidden="false" customHeight="false" outlineLevel="0" collapsed="false">
      <c r="M815" s="0" t="str">
        <f aca="false">IF(CSV貼付A!$N815="","",IF(COUNTIF($B$37:$B$48,CSV貼付A!$H815)&gt;0,"",IF(SUMPRODUCT((CSV貼付A!$N$5:$N815=CSV貼付A!$N815)*(COUNTIF($B$37:$B$48,CSV貼付A!$H$5:$H815)=0))&gt;1,"",MAX($M$4:M814)+1)))</f>
        <v/>
      </c>
      <c r="N815" s="0" t="str">
        <f aca="false">IFERROR(INDEX(CSV貼付A!$N$5:$N$1004,MATCH(ROW()-4,$M$5:$M$1004,0)),"")</f>
        <v/>
      </c>
      <c r="O815" s="0" t="str">
        <f aca="false">IF(CSV貼付B!$N815="","",IF(COUNTIF($B$37:$B$48,CSV貼付B!$H815)&gt;0,"",IF(SUMPRODUCT((CSV貼付B!$N$5:$N815=CSV貼付B!$N815)*(COUNTIF($B$37:$B$48,CSV貼付B!$H$5:$H815)=0))&gt;1,"",MAX($O$4:O814)+1)))</f>
        <v/>
      </c>
      <c r="P815" s="0" t="str">
        <f aca="false">IFERROR(INDEX(CSV貼付B!$N$5:$N$1004,MATCH(ROW()-4,$O$5:$O$1004,0)),"")</f>
        <v/>
      </c>
      <c r="Q815" s="0" t="str">
        <f aca="false">IF(ROW()-4&lt;=MAX($M$5:$M$1004),IFERROR(INDEX($N$5:$N$1004,ROW()-4),""),IFERROR(INDEX($P$5:$P$1004,ROW()-4-MAX($M$5:$M$1004)),""))</f>
        <v/>
      </c>
    </row>
    <row r="816" customFormat="false" ht="15" hidden="false" customHeight="false" outlineLevel="0" collapsed="false">
      <c r="M816" s="0" t="str">
        <f aca="false">IF(CSV貼付A!$N816="","",IF(COUNTIF($B$37:$B$48,CSV貼付A!$H816)&gt;0,"",IF(SUMPRODUCT((CSV貼付A!$N$5:$N816=CSV貼付A!$N816)*(COUNTIF($B$37:$B$48,CSV貼付A!$H$5:$H816)=0))&gt;1,"",MAX($M$4:M815)+1)))</f>
        <v/>
      </c>
      <c r="N816" s="0" t="str">
        <f aca="false">IFERROR(INDEX(CSV貼付A!$N$5:$N$1004,MATCH(ROW()-4,$M$5:$M$1004,0)),"")</f>
        <v/>
      </c>
      <c r="O816" s="0" t="str">
        <f aca="false">IF(CSV貼付B!$N816="","",IF(COUNTIF($B$37:$B$48,CSV貼付B!$H816)&gt;0,"",IF(SUMPRODUCT((CSV貼付B!$N$5:$N816=CSV貼付B!$N816)*(COUNTIF($B$37:$B$48,CSV貼付B!$H$5:$H816)=0))&gt;1,"",MAX($O$4:O815)+1)))</f>
        <v/>
      </c>
      <c r="P816" s="0" t="str">
        <f aca="false">IFERROR(INDEX(CSV貼付B!$N$5:$N$1004,MATCH(ROW()-4,$O$5:$O$1004,0)),"")</f>
        <v/>
      </c>
      <c r="Q816" s="0" t="str">
        <f aca="false">IF(ROW()-4&lt;=MAX($M$5:$M$1004),IFERROR(INDEX($N$5:$N$1004,ROW()-4),""),IFERROR(INDEX($P$5:$P$1004,ROW()-4-MAX($M$5:$M$1004)),""))</f>
        <v/>
      </c>
    </row>
    <row r="817" customFormat="false" ht="15" hidden="false" customHeight="false" outlineLevel="0" collapsed="false">
      <c r="M817" s="0" t="str">
        <f aca="false">IF(CSV貼付A!$N817="","",IF(COUNTIF($B$37:$B$48,CSV貼付A!$H817)&gt;0,"",IF(SUMPRODUCT((CSV貼付A!$N$5:$N817=CSV貼付A!$N817)*(COUNTIF($B$37:$B$48,CSV貼付A!$H$5:$H817)=0))&gt;1,"",MAX($M$4:M816)+1)))</f>
        <v/>
      </c>
      <c r="N817" s="0" t="str">
        <f aca="false">IFERROR(INDEX(CSV貼付A!$N$5:$N$1004,MATCH(ROW()-4,$M$5:$M$1004,0)),"")</f>
        <v/>
      </c>
      <c r="O817" s="0" t="str">
        <f aca="false">IF(CSV貼付B!$N817="","",IF(COUNTIF($B$37:$B$48,CSV貼付B!$H817)&gt;0,"",IF(SUMPRODUCT((CSV貼付B!$N$5:$N817=CSV貼付B!$N817)*(COUNTIF($B$37:$B$48,CSV貼付B!$H$5:$H817)=0))&gt;1,"",MAX($O$4:O816)+1)))</f>
        <v/>
      </c>
      <c r="P817" s="0" t="str">
        <f aca="false">IFERROR(INDEX(CSV貼付B!$N$5:$N$1004,MATCH(ROW()-4,$O$5:$O$1004,0)),"")</f>
        <v/>
      </c>
      <c r="Q817" s="0" t="str">
        <f aca="false">IF(ROW()-4&lt;=MAX($M$5:$M$1004),IFERROR(INDEX($N$5:$N$1004,ROW()-4),""),IFERROR(INDEX($P$5:$P$1004,ROW()-4-MAX($M$5:$M$1004)),""))</f>
        <v/>
      </c>
    </row>
    <row r="818" customFormat="false" ht="15" hidden="false" customHeight="false" outlineLevel="0" collapsed="false">
      <c r="M818" s="0" t="str">
        <f aca="false">IF(CSV貼付A!$N818="","",IF(COUNTIF($B$37:$B$48,CSV貼付A!$H818)&gt;0,"",IF(SUMPRODUCT((CSV貼付A!$N$5:$N818=CSV貼付A!$N818)*(COUNTIF($B$37:$B$48,CSV貼付A!$H$5:$H818)=0))&gt;1,"",MAX($M$4:M817)+1)))</f>
        <v/>
      </c>
      <c r="N818" s="0" t="str">
        <f aca="false">IFERROR(INDEX(CSV貼付A!$N$5:$N$1004,MATCH(ROW()-4,$M$5:$M$1004,0)),"")</f>
        <v/>
      </c>
      <c r="O818" s="0" t="str">
        <f aca="false">IF(CSV貼付B!$N818="","",IF(COUNTIF($B$37:$B$48,CSV貼付B!$H818)&gt;0,"",IF(SUMPRODUCT((CSV貼付B!$N$5:$N818=CSV貼付B!$N818)*(COUNTIF($B$37:$B$48,CSV貼付B!$H$5:$H818)=0))&gt;1,"",MAX($O$4:O817)+1)))</f>
        <v/>
      </c>
      <c r="P818" s="0" t="str">
        <f aca="false">IFERROR(INDEX(CSV貼付B!$N$5:$N$1004,MATCH(ROW()-4,$O$5:$O$1004,0)),"")</f>
        <v/>
      </c>
      <c r="Q818" s="0" t="str">
        <f aca="false">IF(ROW()-4&lt;=MAX($M$5:$M$1004),IFERROR(INDEX($N$5:$N$1004,ROW()-4),""),IFERROR(INDEX($P$5:$P$1004,ROW()-4-MAX($M$5:$M$1004)),""))</f>
        <v/>
      </c>
    </row>
    <row r="819" customFormat="false" ht="15" hidden="false" customHeight="false" outlineLevel="0" collapsed="false">
      <c r="M819" s="0" t="str">
        <f aca="false">IF(CSV貼付A!$N819="","",IF(COUNTIF($B$37:$B$48,CSV貼付A!$H819)&gt;0,"",IF(SUMPRODUCT((CSV貼付A!$N$5:$N819=CSV貼付A!$N819)*(COUNTIF($B$37:$B$48,CSV貼付A!$H$5:$H819)=0))&gt;1,"",MAX($M$4:M818)+1)))</f>
        <v/>
      </c>
      <c r="N819" s="0" t="str">
        <f aca="false">IFERROR(INDEX(CSV貼付A!$N$5:$N$1004,MATCH(ROW()-4,$M$5:$M$1004,0)),"")</f>
        <v/>
      </c>
      <c r="O819" s="0" t="str">
        <f aca="false">IF(CSV貼付B!$N819="","",IF(COUNTIF($B$37:$B$48,CSV貼付B!$H819)&gt;0,"",IF(SUMPRODUCT((CSV貼付B!$N$5:$N819=CSV貼付B!$N819)*(COUNTIF($B$37:$B$48,CSV貼付B!$H$5:$H819)=0))&gt;1,"",MAX($O$4:O818)+1)))</f>
        <v/>
      </c>
      <c r="P819" s="0" t="str">
        <f aca="false">IFERROR(INDEX(CSV貼付B!$N$5:$N$1004,MATCH(ROW()-4,$O$5:$O$1004,0)),"")</f>
        <v/>
      </c>
      <c r="Q819" s="0" t="str">
        <f aca="false">IF(ROW()-4&lt;=MAX($M$5:$M$1004),IFERROR(INDEX($N$5:$N$1004,ROW()-4),""),IFERROR(INDEX($P$5:$P$1004,ROW()-4-MAX($M$5:$M$1004)),""))</f>
        <v/>
      </c>
    </row>
    <row r="820" customFormat="false" ht="15" hidden="false" customHeight="false" outlineLevel="0" collapsed="false">
      <c r="M820" s="0" t="str">
        <f aca="false">IF(CSV貼付A!$N820="","",IF(COUNTIF($B$37:$B$48,CSV貼付A!$H820)&gt;0,"",IF(SUMPRODUCT((CSV貼付A!$N$5:$N820=CSV貼付A!$N820)*(COUNTIF($B$37:$B$48,CSV貼付A!$H$5:$H820)=0))&gt;1,"",MAX($M$4:M819)+1)))</f>
        <v/>
      </c>
      <c r="N820" s="0" t="str">
        <f aca="false">IFERROR(INDEX(CSV貼付A!$N$5:$N$1004,MATCH(ROW()-4,$M$5:$M$1004,0)),"")</f>
        <v/>
      </c>
      <c r="O820" s="0" t="str">
        <f aca="false">IF(CSV貼付B!$N820="","",IF(COUNTIF($B$37:$B$48,CSV貼付B!$H820)&gt;0,"",IF(SUMPRODUCT((CSV貼付B!$N$5:$N820=CSV貼付B!$N820)*(COUNTIF($B$37:$B$48,CSV貼付B!$H$5:$H820)=0))&gt;1,"",MAX($O$4:O819)+1)))</f>
        <v/>
      </c>
      <c r="P820" s="0" t="str">
        <f aca="false">IFERROR(INDEX(CSV貼付B!$N$5:$N$1004,MATCH(ROW()-4,$O$5:$O$1004,0)),"")</f>
        <v/>
      </c>
      <c r="Q820" s="0" t="str">
        <f aca="false">IF(ROW()-4&lt;=MAX($M$5:$M$1004),IFERROR(INDEX($N$5:$N$1004,ROW()-4),""),IFERROR(INDEX($P$5:$P$1004,ROW()-4-MAX($M$5:$M$1004)),""))</f>
        <v/>
      </c>
    </row>
    <row r="821" customFormat="false" ht="15" hidden="false" customHeight="false" outlineLevel="0" collapsed="false">
      <c r="M821" s="0" t="str">
        <f aca="false">IF(CSV貼付A!$N821="","",IF(COUNTIF($B$37:$B$48,CSV貼付A!$H821)&gt;0,"",IF(SUMPRODUCT((CSV貼付A!$N$5:$N821=CSV貼付A!$N821)*(COUNTIF($B$37:$B$48,CSV貼付A!$H$5:$H821)=0))&gt;1,"",MAX($M$4:M820)+1)))</f>
        <v/>
      </c>
      <c r="N821" s="0" t="str">
        <f aca="false">IFERROR(INDEX(CSV貼付A!$N$5:$N$1004,MATCH(ROW()-4,$M$5:$M$1004,0)),"")</f>
        <v/>
      </c>
      <c r="O821" s="0" t="str">
        <f aca="false">IF(CSV貼付B!$N821="","",IF(COUNTIF($B$37:$B$48,CSV貼付B!$H821)&gt;0,"",IF(SUMPRODUCT((CSV貼付B!$N$5:$N821=CSV貼付B!$N821)*(COUNTIF($B$37:$B$48,CSV貼付B!$H$5:$H821)=0))&gt;1,"",MAX($O$4:O820)+1)))</f>
        <v/>
      </c>
      <c r="P821" s="0" t="str">
        <f aca="false">IFERROR(INDEX(CSV貼付B!$N$5:$N$1004,MATCH(ROW()-4,$O$5:$O$1004,0)),"")</f>
        <v/>
      </c>
      <c r="Q821" s="0" t="str">
        <f aca="false">IF(ROW()-4&lt;=MAX($M$5:$M$1004),IFERROR(INDEX($N$5:$N$1004,ROW()-4),""),IFERROR(INDEX($P$5:$P$1004,ROW()-4-MAX($M$5:$M$1004)),""))</f>
        <v/>
      </c>
    </row>
    <row r="822" customFormat="false" ht="15" hidden="false" customHeight="false" outlineLevel="0" collapsed="false">
      <c r="M822" s="0" t="str">
        <f aca="false">IF(CSV貼付A!$N822="","",IF(COUNTIF($B$37:$B$48,CSV貼付A!$H822)&gt;0,"",IF(SUMPRODUCT((CSV貼付A!$N$5:$N822=CSV貼付A!$N822)*(COUNTIF($B$37:$B$48,CSV貼付A!$H$5:$H822)=0))&gt;1,"",MAX($M$4:M821)+1)))</f>
        <v/>
      </c>
      <c r="N822" s="0" t="str">
        <f aca="false">IFERROR(INDEX(CSV貼付A!$N$5:$N$1004,MATCH(ROW()-4,$M$5:$M$1004,0)),"")</f>
        <v/>
      </c>
      <c r="O822" s="0" t="str">
        <f aca="false">IF(CSV貼付B!$N822="","",IF(COUNTIF($B$37:$B$48,CSV貼付B!$H822)&gt;0,"",IF(SUMPRODUCT((CSV貼付B!$N$5:$N822=CSV貼付B!$N822)*(COUNTIF($B$37:$B$48,CSV貼付B!$H$5:$H822)=0))&gt;1,"",MAX($O$4:O821)+1)))</f>
        <v/>
      </c>
      <c r="P822" s="0" t="str">
        <f aca="false">IFERROR(INDEX(CSV貼付B!$N$5:$N$1004,MATCH(ROW()-4,$O$5:$O$1004,0)),"")</f>
        <v/>
      </c>
      <c r="Q822" s="0" t="str">
        <f aca="false">IF(ROW()-4&lt;=MAX($M$5:$M$1004),IFERROR(INDEX($N$5:$N$1004,ROW()-4),""),IFERROR(INDEX($P$5:$P$1004,ROW()-4-MAX($M$5:$M$1004)),""))</f>
        <v/>
      </c>
    </row>
    <row r="823" customFormat="false" ht="15" hidden="false" customHeight="false" outlineLevel="0" collapsed="false">
      <c r="M823" s="0" t="str">
        <f aca="false">IF(CSV貼付A!$N823="","",IF(COUNTIF($B$37:$B$48,CSV貼付A!$H823)&gt;0,"",IF(SUMPRODUCT((CSV貼付A!$N$5:$N823=CSV貼付A!$N823)*(COUNTIF($B$37:$B$48,CSV貼付A!$H$5:$H823)=0))&gt;1,"",MAX($M$4:M822)+1)))</f>
        <v/>
      </c>
      <c r="N823" s="0" t="str">
        <f aca="false">IFERROR(INDEX(CSV貼付A!$N$5:$N$1004,MATCH(ROW()-4,$M$5:$M$1004,0)),"")</f>
        <v/>
      </c>
      <c r="O823" s="0" t="str">
        <f aca="false">IF(CSV貼付B!$N823="","",IF(COUNTIF($B$37:$B$48,CSV貼付B!$H823)&gt;0,"",IF(SUMPRODUCT((CSV貼付B!$N$5:$N823=CSV貼付B!$N823)*(COUNTIF($B$37:$B$48,CSV貼付B!$H$5:$H823)=0))&gt;1,"",MAX($O$4:O822)+1)))</f>
        <v/>
      </c>
      <c r="P823" s="0" t="str">
        <f aca="false">IFERROR(INDEX(CSV貼付B!$N$5:$N$1004,MATCH(ROW()-4,$O$5:$O$1004,0)),"")</f>
        <v/>
      </c>
      <c r="Q823" s="0" t="str">
        <f aca="false">IF(ROW()-4&lt;=MAX($M$5:$M$1004),IFERROR(INDEX($N$5:$N$1004,ROW()-4),""),IFERROR(INDEX($P$5:$P$1004,ROW()-4-MAX($M$5:$M$1004)),""))</f>
        <v/>
      </c>
    </row>
    <row r="824" customFormat="false" ht="15" hidden="false" customHeight="false" outlineLevel="0" collapsed="false">
      <c r="M824" s="0" t="str">
        <f aca="false">IF(CSV貼付A!$N824="","",IF(COUNTIF($B$37:$B$48,CSV貼付A!$H824)&gt;0,"",IF(SUMPRODUCT((CSV貼付A!$N$5:$N824=CSV貼付A!$N824)*(COUNTIF($B$37:$B$48,CSV貼付A!$H$5:$H824)=0))&gt;1,"",MAX($M$4:M823)+1)))</f>
        <v/>
      </c>
      <c r="N824" s="0" t="str">
        <f aca="false">IFERROR(INDEX(CSV貼付A!$N$5:$N$1004,MATCH(ROW()-4,$M$5:$M$1004,0)),"")</f>
        <v/>
      </c>
      <c r="O824" s="0" t="str">
        <f aca="false">IF(CSV貼付B!$N824="","",IF(COUNTIF($B$37:$B$48,CSV貼付B!$H824)&gt;0,"",IF(SUMPRODUCT((CSV貼付B!$N$5:$N824=CSV貼付B!$N824)*(COUNTIF($B$37:$B$48,CSV貼付B!$H$5:$H824)=0))&gt;1,"",MAX($O$4:O823)+1)))</f>
        <v/>
      </c>
      <c r="P824" s="0" t="str">
        <f aca="false">IFERROR(INDEX(CSV貼付B!$N$5:$N$1004,MATCH(ROW()-4,$O$5:$O$1004,0)),"")</f>
        <v/>
      </c>
      <c r="Q824" s="0" t="str">
        <f aca="false">IF(ROW()-4&lt;=MAX($M$5:$M$1004),IFERROR(INDEX($N$5:$N$1004,ROW()-4),""),IFERROR(INDEX($P$5:$P$1004,ROW()-4-MAX($M$5:$M$1004)),""))</f>
        <v/>
      </c>
    </row>
    <row r="825" customFormat="false" ht="15" hidden="false" customHeight="false" outlineLevel="0" collapsed="false">
      <c r="M825" s="0" t="str">
        <f aca="false">IF(CSV貼付A!$N825="","",IF(COUNTIF($B$37:$B$48,CSV貼付A!$H825)&gt;0,"",IF(SUMPRODUCT((CSV貼付A!$N$5:$N825=CSV貼付A!$N825)*(COUNTIF($B$37:$B$48,CSV貼付A!$H$5:$H825)=0))&gt;1,"",MAX($M$4:M824)+1)))</f>
        <v/>
      </c>
      <c r="N825" s="0" t="str">
        <f aca="false">IFERROR(INDEX(CSV貼付A!$N$5:$N$1004,MATCH(ROW()-4,$M$5:$M$1004,0)),"")</f>
        <v/>
      </c>
      <c r="O825" s="0" t="str">
        <f aca="false">IF(CSV貼付B!$N825="","",IF(COUNTIF($B$37:$B$48,CSV貼付B!$H825)&gt;0,"",IF(SUMPRODUCT((CSV貼付B!$N$5:$N825=CSV貼付B!$N825)*(COUNTIF($B$37:$B$48,CSV貼付B!$H$5:$H825)=0))&gt;1,"",MAX($O$4:O824)+1)))</f>
        <v/>
      </c>
      <c r="P825" s="0" t="str">
        <f aca="false">IFERROR(INDEX(CSV貼付B!$N$5:$N$1004,MATCH(ROW()-4,$O$5:$O$1004,0)),"")</f>
        <v/>
      </c>
      <c r="Q825" s="0" t="str">
        <f aca="false">IF(ROW()-4&lt;=MAX($M$5:$M$1004),IFERROR(INDEX($N$5:$N$1004,ROW()-4),""),IFERROR(INDEX($P$5:$P$1004,ROW()-4-MAX($M$5:$M$1004)),""))</f>
        <v/>
      </c>
    </row>
    <row r="826" customFormat="false" ht="15" hidden="false" customHeight="false" outlineLevel="0" collapsed="false">
      <c r="M826" s="0" t="str">
        <f aca="false">IF(CSV貼付A!$N826="","",IF(COUNTIF($B$37:$B$48,CSV貼付A!$H826)&gt;0,"",IF(SUMPRODUCT((CSV貼付A!$N$5:$N826=CSV貼付A!$N826)*(COUNTIF($B$37:$B$48,CSV貼付A!$H$5:$H826)=0))&gt;1,"",MAX($M$4:M825)+1)))</f>
        <v/>
      </c>
      <c r="N826" s="0" t="str">
        <f aca="false">IFERROR(INDEX(CSV貼付A!$N$5:$N$1004,MATCH(ROW()-4,$M$5:$M$1004,0)),"")</f>
        <v/>
      </c>
      <c r="O826" s="0" t="str">
        <f aca="false">IF(CSV貼付B!$N826="","",IF(COUNTIF($B$37:$B$48,CSV貼付B!$H826)&gt;0,"",IF(SUMPRODUCT((CSV貼付B!$N$5:$N826=CSV貼付B!$N826)*(COUNTIF($B$37:$B$48,CSV貼付B!$H$5:$H826)=0))&gt;1,"",MAX($O$4:O825)+1)))</f>
        <v/>
      </c>
      <c r="P826" s="0" t="str">
        <f aca="false">IFERROR(INDEX(CSV貼付B!$N$5:$N$1004,MATCH(ROW()-4,$O$5:$O$1004,0)),"")</f>
        <v/>
      </c>
      <c r="Q826" s="0" t="str">
        <f aca="false">IF(ROW()-4&lt;=MAX($M$5:$M$1004),IFERROR(INDEX($N$5:$N$1004,ROW()-4),""),IFERROR(INDEX($P$5:$P$1004,ROW()-4-MAX($M$5:$M$1004)),""))</f>
        <v/>
      </c>
    </row>
    <row r="827" customFormat="false" ht="15" hidden="false" customHeight="false" outlineLevel="0" collapsed="false">
      <c r="M827" s="0" t="str">
        <f aca="false">IF(CSV貼付A!$N827="","",IF(COUNTIF($B$37:$B$48,CSV貼付A!$H827)&gt;0,"",IF(SUMPRODUCT((CSV貼付A!$N$5:$N827=CSV貼付A!$N827)*(COUNTIF($B$37:$B$48,CSV貼付A!$H$5:$H827)=0))&gt;1,"",MAX($M$4:M826)+1)))</f>
        <v/>
      </c>
      <c r="N827" s="0" t="str">
        <f aca="false">IFERROR(INDEX(CSV貼付A!$N$5:$N$1004,MATCH(ROW()-4,$M$5:$M$1004,0)),"")</f>
        <v/>
      </c>
      <c r="O827" s="0" t="str">
        <f aca="false">IF(CSV貼付B!$N827="","",IF(COUNTIF($B$37:$B$48,CSV貼付B!$H827)&gt;0,"",IF(SUMPRODUCT((CSV貼付B!$N$5:$N827=CSV貼付B!$N827)*(COUNTIF($B$37:$B$48,CSV貼付B!$H$5:$H827)=0))&gt;1,"",MAX($O$4:O826)+1)))</f>
        <v/>
      </c>
      <c r="P827" s="0" t="str">
        <f aca="false">IFERROR(INDEX(CSV貼付B!$N$5:$N$1004,MATCH(ROW()-4,$O$5:$O$1004,0)),"")</f>
        <v/>
      </c>
      <c r="Q827" s="0" t="str">
        <f aca="false">IF(ROW()-4&lt;=MAX($M$5:$M$1004),IFERROR(INDEX($N$5:$N$1004,ROW()-4),""),IFERROR(INDEX($P$5:$P$1004,ROW()-4-MAX($M$5:$M$1004)),""))</f>
        <v/>
      </c>
    </row>
    <row r="828" customFormat="false" ht="15" hidden="false" customHeight="false" outlineLevel="0" collapsed="false">
      <c r="M828" s="0" t="str">
        <f aca="false">IF(CSV貼付A!$N828="","",IF(COUNTIF($B$37:$B$48,CSV貼付A!$H828)&gt;0,"",IF(SUMPRODUCT((CSV貼付A!$N$5:$N828=CSV貼付A!$N828)*(COUNTIF($B$37:$B$48,CSV貼付A!$H$5:$H828)=0))&gt;1,"",MAX($M$4:M827)+1)))</f>
        <v/>
      </c>
      <c r="N828" s="0" t="str">
        <f aca="false">IFERROR(INDEX(CSV貼付A!$N$5:$N$1004,MATCH(ROW()-4,$M$5:$M$1004,0)),"")</f>
        <v/>
      </c>
      <c r="O828" s="0" t="str">
        <f aca="false">IF(CSV貼付B!$N828="","",IF(COUNTIF($B$37:$B$48,CSV貼付B!$H828)&gt;0,"",IF(SUMPRODUCT((CSV貼付B!$N$5:$N828=CSV貼付B!$N828)*(COUNTIF($B$37:$B$48,CSV貼付B!$H$5:$H828)=0))&gt;1,"",MAX($O$4:O827)+1)))</f>
        <v/>
      </c>
      <c r="P828" s="0" t="str">
        <f aca="false">IFERROR(INDEX(CSV貼付B!$N$5:$N$1004,MATCH(ROW()-4,$O$5:$O$1004,0)),"")</f>
        <v/>
      </c>
      <c r="Q828" s="0" t="str">
        <f aca="false">IF(ROW()-4&lt;=MAX($M$5:$M$1004),IFERROR(INDEX($N$5:$N$1004,ROW()-4),""),IFERROR(INDEX($P$5:$P$1004,ROW()-4-MAX($M$5:$M$1004)),""))</f>
        <v/>
      </c>
    </row>
    <row r="829" customFormat="false" ht="15" hidden="false" customHeight="false" outlineLevel="0" collapsed="false">
      <c r="M829" s="0" t="str">
        <f aca="false">IF(CSV貼付A!$N829="","",IF(COUNTIF($B$37:$B$48,CSV貼付A!$H829)&gt;0,"",IF(SUMPRODUCT((CSV貼付A!$N$5:$N829=CSV貼付A!$N829)*(COUNTIF($B$37:$B$48,CSV貼付A!$H$5:$H829)=0))&gt;1,"",MAX($M$4:M828)+1)))</f>
        <v/>
      </c>
      <c r="N829" s="0" t="str">
        <f aca="false">IFERROR(INDEX(CSV貼付A!$N$5:$N$1004,MATCH(ROW()-4,$M$5:$M$1004,0)),"")</f>
        <v/>
      </c>
      <c r="O829" s="0" t="str">
        <f aca="false">IF(CSV貼付B!$N829="","",IF(COUNTIF($B$37:$B$48,CSV貼付B!$H829)&gt;0,"",IF(SUMPRODUCT((CSV貼付B!$N$5:$N829=CSV貼付B!$N829)*(COUNTIF($B$37:$B$48,CSV貼付B!$H$5:$H829)=0))&gt;1,"",MAX($O$4:O828)+1)))</f>
        <v/>
      </c>
      <c r="P829" s="0" t="str">
        <f aca="false">IFERROR(INDEX(CSV貼付B!$N$5:$N$1004,MATCH(ROW()-4,$O$5:$O$1004,0)),"")</f>
        <v/>
      </c>
      <c r="Q829" s="0" t="str">
        <f aca="false">IF(ROW()-4&lt;=MAX($M$5:$M$1004),IFERROR(INDEX($N$5:$N$1004,ROW()-4),""),IFERROR(INDEX($P$5:$P$1004,ROW()-4-MAX($M$5:$M$1004)),""))</f>
        <v/>
      </c>
    </row>
    <row r="830" customFormat="false" ht="15" hidden="false" customHeight="false" outlineLevel="0" collapsed="false">
      <c r="M830" s="0" t="str">
        <f aca="false">IF(CSV貼付A!$N830="","",IF(COUNTIF($B$37:$B$48,CSV貼付A!$H830)&gt;0,"",IF(SUMPRODUCT((CSV貼付A!$N$5:$N830=CSV貼付A!$N830)*(COUNTIF($B$37:$B$48,CSV貼付A!$H$5:$H830)=0))&gt;1,"",MAX($M$4:M829)+1)))</f>
        <v/>
      </c>
      <c r="N830" s="0" t="str">
        <f aca="false">IFERROR(INDEX(CSV貼付A!$N$5:$N$1004,MATCH(ROW()-4,$M$5:$M$1004,0)),"")</f>
        <v/>
      </c>
      <c r="O830" s="0" t="str">
        <f aca="false">IF(CSV貼付B!$N830="","",IF(COUNTIF($B$37:$B$48,CSV貼付B!$H830)&gt;0,"",IF(SUMPRODUCT((CSV貼付B!$N$5:$N830=CSV貼付B!$N830)*(COUNTIF($B$37:$B$48,CSV貼付B!$H$5:$H830)=0))&gt;1,"",MAX($O$4:O829)+1)))</f>
        <v/>
      </c>
      <c r="P830" s="0" t="str">
        <f aca="false">IFERROR(INDEX(CSV貼付B!$N$5:$N$1004,MATCH(ROW()-4,$O$5:$O$1004,0)),"")</f>
        <v/>
      </c>
      <c r="Q830" s="0" t="str">
        <f aca="false">IF(ROW()-4&lt;=MAX($M$5:$M$1004),IFERROR(INDEX($N$5:$N$1004,ROW()-4),""),IFERROR(INDEX($P$5:$P$1004,ROW()-4-MAX($M$5:$M$1004)),""))</f>
        <v/>
      </c>
    </row>
    <row r="831" customFormat="false" ht="15" hidden="false" customHeight="false" outlineLevel="0" collapsed="false">
      <c r="M831" s="0" t="str">
        <f aca="false">IF(CSV貼付A!$N831="","",IF(COUNTIF($B$37:$B$48,CSV貼付A!$H831)&gt;0,"",IF(SUMPRODUCT((CSV貼付A!$N$5:$N831=CSV貼付A!$N831)*(COUNTIF($B$37:$B$48,CSV貼付A!$H$5:$H831)=0))&gt;1,"",MAX($M$4:M830)+1)))</f>
        <v/>
      </c>
      <c r="N831" s="0" t="str">
        <f aca="false">IFERROR(INDEX(CSV貼付A!$N$5:$N$1004,MATCH(ROW()-4,$M$5:$M$1004,0)),"")</f>
        <v/>
      </c>
      <c r="O831" s="0" t="str">
        <f aca="false">IF(CSV貼付B!$N831="","",IF(COUNTIF($B$37:$B$48,CSV貼付B!$H831)&gt;0,"",IF(SUMPRODUCT((CSV貼付B!$N$5:$N831=CSV貼付B!$N831)*(COUNTIF($B$37:$B$48,CSV貼付B!$H$5:$H831)=0))&gt;1,"",MAX($O$4:O830)+1)))</f>
        <v/>
      </c>
      <c r="P831" s="0" t="str">
        <f aca="false">IFERROR(INDEX(CSV貼付B!$N$5:$N$1004,MATCH(ROW()-4,$O$5:$O$1004,0)),"")</f>
        <v/>
      </c>
      <c r="Q831" s="0" t="str">
        <f aca="false">IF(ROW()-4&lt;=MAX($M$5:$M$1004),IFERROR(INDEX($N$5:$N$1004,ROW()-4),""),IFERROR(INDEX($P$5:$P$1004,ROW()-4-MAX($M$5:$M$1004)),""))</f>
        <v/>
      </c>
    </row>
    <row r="832" customFormat="false" ht="15" hidden="false" customHeight="false" outlineLevel="0" collapsed="false">
      <c r="M832" s="0" t="str">
        <f aca="false">IF(CSV貼付A!$N832="","",IF(COUNTIF($B$37:$B$48,CSV貼付A!$H832)&gt;0,"",IF(SUMPRODUCT((CSV貼付A!$N$5:$N832=CSV貼付A!$N832)*(COUNTIF($B$37:$B$48,CSV貼付A!$H$5:$H832)=0))&gt;1,"",MAX($M$4:M831)+1)))</f>
        <v/>
      </c>
      <c r="N832" s="0" t="str">
        <f aca="false">IFERROR(INDEX(CSV貼付A!$N$5:$N$1004,MATCH(ROW()-4,$M$5:$M$1004,0)),"")</f>
        <v/>
      </c>
      <c r="O832" s="0" t="str">
        <f aca="false">IF(CSV貼付B!$N832="","",IF(COUNTIF($B$37:$B$48,CSV貼付B!$H832)&gt;0,"",IF(SUMPRODUCT((CSV貼付B!$N$5:$N832=CSV貼付B!$N832)*(COUNTIF($B$37:$B$48,CSV貼付B!$H$5:$H832)=0))&gt;1,"",MAX($O$4:O831)+1)))</f>
        <v/>
      </c>
      <c r="P832" s="0" t="str">
        <f aca="false">IFERROR(INDEX(CSV貼付B!$N$5:$N$1004,MATCH(ROW()-4,$O$5:$O$1004,0)),"")</f>
        <v/>
      </c>
      <c r="Q832" s="0" t="str">
        <f aca="false">IF(ROW()-4&lt;=MAX($M$5:$M$1004),IFERROR(INDEX($N$5:$N$1004,ROW()-4),""),IFERROR(INDEX($P$5:$P$1004,ROW()-4-MAX($M$5:$M$1004)),""))</f>
        <v/>
      </c>
    </row>
    <row r="833" customFormat="false" ht="15" hidden="false" customHeight="false" outlineLevel="0" collapsed="false">
      <c r="M833" s="0" t="str">
        <f aca="false">IF(CSV貼付A!$N833="","",IF(COUNTIF($B$37:$B$48,CSV貼付A!$H833)&gt;0,"",IF(SUMPRODUCT((CSV貼付A!$N$5:$N833=CSV貼付A!$N833)*(COUNTIF($B$37:$B$48,CSV貼付A!$H$5:$H833)=0))&gt;1,"",MAX($M$4:M832)+1)))</f>
        <v/>
      </c>
      <c r="N833" s="0" t="str">
        <f aca="false">IFERROR(INDEX(CSV貼付A!$N$5:$N$1004,MATCH(ROW()-4,$M$5:$M$1004,0)),"")</f>
        <v/>
      </c>
      <c r="O833" s="0" t="str">
        <f aca="false">IF(CSV貼付B!$N833="","",IF(COUNTIF($B$37:$B$48,CSV貼付B!$H833)&gt;0,"",IF(SUMPRODUCT((CSV貼付B!$N$5:$N833=CSV貼付B!$N833)*(COUNTIF($B$37:$B$48,CSV貼付B!$H$5:$H833)=0))&gt;1,"",MAX($O$4:O832)+1)))</f>
        <v/>
      </c>
      <c r="P833" s="0" t="str">
        <f aca="false">IFERROR(INDEX(CSV貼付B!$N$5:$N$1004,MATCH(ROW()-4,$O$5:$O$1004,0)),"")</f>
        <v/>
      </c>
      <c r="Q833" s="0" t="str">
        <f aca="false">IF(ROW()-4&lt;=MAX($M$5:$M$1004),IFERROR(INDEX($N$5:$N$1004,ROW()-4),""),IFERROR(INDEX($P$5:$P$1004,ROW()-4-MAX($M$5:$M$1004)),""))</f>
        <v/>
      </c>
    </row>
    <row r="834" customFormat="false" ht="15" hidden="false" customHeight="false" outlineLevel="0" collapsed="false">
      <c r="M834" s="0" t="str">
        <f aca="false">IF(CSV貼付A!$N834="","",IF(COUNTIF($B$37:$B$48,CSV貼付A!$H834)&gt;0,"",IF(SUMPRODUCT((CSV貼付A!$N$5:$N834=CSV貼付A!$N834)*(COUNTIF($B$37:$B$48,CSV貼付A!$H$5:$H834)=0))&gt;1,"",MAX($M$4:M833)+1)))</f>
        <v/>
      </c>
      <c r="N834" s="0" t="str">
        <f aca="false">IFERROR(INDEX(CSV貼付A!$N$5:$N$1004,MATCH(ROW()-4,$M$5:$M$1004,0)),"")</f>
        <v/>
      </c>
      <c r="O834" s="0" t="str">
        <f aca="false">IF(CSV貼付B!$N834="","",IF(COUNTIF($B$37:$B$48,CSV貼付B!$H834)&gt;0,"",IF(SUMPRODUCT((CSV貼付B!$N$5:$N834=CSV貼付B!$N834)*(COUNTIF($B$37:$B$48,CSV貼付B!$H$5:$H834)=0))&gt;1,"",MAX($O$4:O833)+1)))</f>
        <v/>
      </c>
      <c r="P834" s="0" t="str">
        <f aca="false">IFERROR(INDEX(CSV貼付B!$N$5:$N$1004,MATCH(ROW()-4,$O$5:$O$1004,0)),"")</f>
        <v/>
      </c>
      <c r="Q834" s="0" t="str">
        <f aca="false">IF(ROW()-4&lt;=MAX($M$5:$M$1004),IFERROR(INDEX($N$5:$N$1004,ROW()-4),""),IFERROR(INDEX($P$5:$P$1004,ROW()-4-MAX($M$5:$M$1004)),""))</f>
        <v/>
      </c>
    </row>
    <row r="835" customFormat="false" ht="15" hidden="false" customHeight="false" outlineLevel="0" collapsed="false">
      <c r="M835" s="0" t="str">
        <f aca="false">IF(CSV貼付A!$N835="","",IF(COUNTIF($B$37:$B$48,CSV貼付A!$H835)&gt;0,"",IF(SUMPRODUCT((CSV貼付A!$N$5:$N835=CSV貼付A!$N835)*(COUNTIF($B$37:$B$48,CSV貼付A!$H$5:$H835)=0))&gt;1,"",MAX($M$4:M834)+1)))</f>
        <v/>
      </c>
      <c r="N835" s="0" t="str">
        <f aca="false">IFERROR(INDEX(CSV貼付A!$N$5:$N$1004,MATCH(ROW()-4,$M$5:$M$1004,0)),"")</f>
        <v/>
      </c>
      <c r="O835" s="0" t="str">
        <f aca="false">IF(CSV貼付B!$N835="","",IF(COUNTIF($B$37:$B$48,CSV貼付B!$H835)&gt;0,"",IF(SUMPRODUCT((CSV貼付B!$N$5:$N835=CSV貼付B!$N835)*(COUNTIF($B$37:$B$48,CSV貼付B!$H$5:$H835)=0))&gt;1,"",MAX($O$4:O834)+1)))</f>
        <v/>
      </c>
      <c r="P835" s="0" t="str">
        <f aca="false">IFERROR(INDEX(CSV貼付B!$N$5:$N$1004,MATCH(ROW()-4,$O$5:$O$1004,0)),"")</f>
        <v/>
      </c>
      <c r="Q835" s="0" t="str">
        <f aca="false">IF(ROW()-4&lt;=MAX($M$5:$M$1004),IFERROR(INDEX($N$5:$N$1004,ROW()-4),""),IFERROR(INDEX($P$5:$P$1004,ROW()-4-MAX($M$5:$M$1004)),""))</f>
        <v/>
      </c>
    </row>
    <row r="836" customFormat="false" ht="15" hidden="false" customHeight="false" outlineLevel="0" collapsed="false">
      <c r="M836" s="0" t="str">
        <f aca="false">IF(CSV貼付A!$N836="","",IF(COUNTIF($B$37:$B$48,CSV貼付A!$H836)&gt;0,"",IF(SUMPRODUCT((CSV貼付A!$N$5:$N836=CSV貼付A!$N836)*(COUNTIF($B$37:$B$48,CSV貼付A!$H$5:$H836)=0))&gt;1,"",MAX($M$4:M835)+1)))</f>
        <v/>
      </c>
      <c r="N836" s="0" t="str">
        <f aca="false">IFERROR(INDEX(CSV貼付A!$N$5:$N$1004,MATCH(ROW()-4,$M$5:$M$1004,0)),"")</f>
        <v/>
      </c>
      <c r="O836" s="0" t="str">
        <f aca="false">IF(CSV貼付B!$N836="","",IF(COUNTIF($B$37:$B$48,CSV貼付B!$H836)&gt;0,"",IF(SUMPRODUCT((CSV貼付B!$N$5:$N836=CSV貼付B!$N836)*(COUNTIF($B$37:$B$48,CSV貼付B!$H$5:$H836)=0))&gt;1,"",MAX($O$4:O835)+1)))</f>
        <v/>
      </c>
      <c r="P836" s="0" t="str">
        <f aca="false">IFERROR(INDEX(CSV貼付B!$N$5:$N$1004,MATCH(ROW()-4,$O$5:$O$1004,0)),"")</f>
        <v/>
      </c>
      <c r="Q836" s="0" t="str">
        <f aca="false">IF(ROW()-4&lt;=MAX($M$5:$M$1004),IFERROR(INDEX($N$5:$N$1004,ROW()-4),""),IFERROR(INDEX($P$5:$P$1004,ROW()-4-MAX($M$5:$M$1004)),""))</f>
        <v/>
      </c>
    </row>
    <row r="837" customFormat="false" ht="15" hidden="false" customHeight="false" outlineLevel="0" collapsed="false">
      <c r="M837" s="0" t="str">
        <f aca="false">IF(CSV貼付A!$N837="","",IF(COUNTIF($B$37:$B$48,CSV貼付A!$H837)&gt;0,"",IF(SUMPRODUCT((CSV貼付A!$N$5:$N837=CSV貼付A!$N837)*(COUNTIF($B$37:$B$48,CSV貼付A!$H$5:$H837)=0))&gt;1,"",MAX($M$4:M836)+1)))</f>
        <v/>
      </c>
      <c r="N837" s="0" t="str">
        <f aca="false">IFERROR(INDEX(CSV貼付A!$N$5:$N$1004,MATCH(ROW()-4,$M$5:$M$1004,0)),"")</f>
        <v/>
      </c>
      <c r="O837" s="0" t="str">
        <f aca="false">IF(CSV貼付B!$N837="","",IF(COUNTIF($B$37:$B$48,CSV貼付B!$H837)&gt;0,"",IF(SUMPRODUCT((CSV貼付B!$N$5:$N837=CSV貼付B!$N837)*(COUNTIF($B$37:$B$48,CSV貼付B!$H$5:$H837)=0))&gt;1,"",MAX($O$4:O836)+1)))</f>
        <v/>
      </c>
      <c r="P837" s="0" t="str">
        <f aca="false">IFERROR(INDEX(CSV貼付B!$N$5:$N$1004,MATCH(ROW()-4,$O$5:$O$1004,0)),"")</f>
        <v/>
      </c>
      <c r="Q837" s="0" t="str">
        <f aca="false">IF(ROW()-4&lt;=MAX($M$5:$M$1004),IFERROR(INDEX($N$5:$N$1004,ROW()-4),""),IFERROR(INDEX($P$5:$P$1004,ROW()-4-MAX($M$5:$M$1004)),""))</f>
        <v/>
      </c>
    </row>
    <row r="838" customFormat="false" ht="15" hidden="false" customHeight="false" outlineLevel="0" collapsed="false">
      <c r="M838" s="0" t="str">
        <f aca="false">IF(CSV貼付A!$N838="","",IF(COUNTIF($B$37:$B$48,CSV貼付A!$H838)&gt;0,"",IF(SUMPRODUCT((CSV貼付A!$N$5:$N838=CSV貼付A!$N838)*(COUNTIF($B$37:$B$48,CSV貼付A!$H$5:$H838)=0))&gt;1,"",MAX($M$4:M837)+1)))</f>
        <v/>
      </c>
      <c r="N838" s="0" t="str">
        <f aca="false">IFERROR(INDEX(CSV貼付A!$N$5:$N$1004,MATCH(ROW()-4,$M$5:$M$1004,0)),"")</f>
        <v/>
      </c>
      <c r="O838" s="0" t="str">
        <f aca="false">IF(CSV貼付B!$N838="","",IF(COUNTIF($B$37:$B$48,CSV貼付B!$H838)&gt;0,"",IF(SUMPRODUCT((CSV貼付B!$N$5:$N838=CSV貼付B!$N838)*(COUNTIF($B$37:$B$48,CSV貼付B!$H$5:$H838)=0))&gt;1,"",MAX($O$4:O837)+1)))</f>
        <v/>
      </c>
      <c r="P838" s="0" t="str">
        <f aca="false">IFERROR(INDEX(CSV貼付B!$N$5:$N$1004,MATCH(ROW()-4,$O$5:$O$1004,0)),"")</f>
        <v/>
      </c>
      <c r="Q838" s="0" t="str">
        <f aca="false">IF(ROW()-4&lt;=MAX($M$5:$M$1004),IFERROR(INDEX($N$5:$N$1004,ROW()-4),""),IFERROR(INDEX($P$5:$P$1004,ROW()-4-MAX($M$5:$M$1004)),""))</f>
        <v/>
      </c>
    </row>
    <row r="839" customFormat="false" ht="15" hidden="false" customHeight="false" outlineLevel="0" collapsed="false">
      <c r="M839" s="0" t="str">
        <f aca="false">IF(CSV貼付A!$N839="","",IF(COUNTIF($B$37:$B$48,CSV貼付A!$H839)&gt;0,"",IF(SUMPRODUCT((CSV貼付A!$N$5:$N839=CSV貼付A!$N839)*(COUNTIF($B$37:$B$48,CSV貼付A!$H$5:$H839)=0))&gt;1,"",MAX($M$4:M838)+1)))</f>
        <v/>
      </c>
      <c r="N839" s="0" t="str">
        <f aca="false">IFERROR(INDEX(CSV貼付A!$N$5:$N$1004,MATCH(ROW()-4,$M$5:$M$1004,0)),"")</f>
        <v/>
      </c>
      <c r="O839" s="0" t="str">
        <f aca="false">IF(CSV貼付B!$N839="","",IF(COUNTIF($B$37:$B$48,CSV貼付B!$H839)&gt;0,"",IF(SUMPRODUCT((CSV貼付B!$N$5:$N839=CSV貼付B!$N839)*(COUNTIF($B$37:$B$48,CSV貼付B!$H$5:$H839)=0))&gt;1,"",MAX($O$4:O838)+1)))</f>
        <v/>
      </c>
      <c r="P839" s="0" t="str">
        <f aca="false">IFERROR(INDEX(CSV貼付B!$N$5:$N$1004,MATCH(ROW()-4,$O$5:$O$1004,0)),"")</f>
        <v/>
      </c>
      <c r="Q839" s="0" t="str">
        <f aca="false">IF(ROW()-4&lt;=MAX($M$5:$M$1004),IFERROR(INDEX($N$5:$N$1004,ROW()-4),""),IFERROR(INDEX($P$5:$P$1004,ROW()-4-MAX($M$5:$M$1004)),""))</f>
        <v/>
      </c>
    </row>
    <row r="840" customFormat="false" ht="15" hidden="false" customHeight="false" outlineLevel="0" collapsed="false">
      <c r="M840" s="0" t="str">
        <f aca="false">IF(CSV貼付A!$N840="","",IF(COUNTIF($B$37:$B$48,CSV貼付A!$H840)&gt;0,"",IF(SUMPRODUCT((CSV貼付A!$N$5:$N840=CSV貼付A!$N840)*(COUNTIF($B$37:$B$48,CSV貼付A!$H$5:$H840)=0))&gt;1,"",MAX($M$4:M839)+1)))</f>
        <v/>
      </c>
      <c r="N840" s="0" t="str">
        <f aca="false">IFERROR(INDEX(CSV貼付A!$N$5:$N$1004,MATCH(ROW()-4,$M$5:$M$1004,0)),"")</f>
        <v/>
      </c>
      <c r="O840" s="0" t="str">
        <f aca="false">IF(CSV貼付B!$N840="","",IF(COUNTIF($B$37:$B$48,CSV貼付B!$H840)&gt;0,"",IF(SUMPRODUCT((CSV貼付B!$N$5:$N840=CSV貼付B!$N840)*(COUNTIF($B$37:$B$48,CSV貼付B!$H$5:$H840)=0))&gt;1,"",MAX($O$4:O839)+1)))</f>
        <v/>
      </c>
      <c r="P840" s="0" t="str">
        <f aca="false">IFERROR(INDEX(CSV貼付B!$N$5:$N$1004,MATCH(ROW()-4,$O$5:$O$1004,0)),"")</f>
        <v/>
      </c>
      <c r="Q840" s="0" t="str">
        <f aca="false">IF(ROW()-4&lt;=MAX($M$5:$M$1004),IFERROR(INDEX($N$5:$N$1004,ROW()-4),""),IFERROR(INDEX($P$5:$P$1004,ROW()-4-MAX($M$5:$M$1004)),""))</f>
        <v/>
      </c>
    </row>
    <row r="841" customFormat="false" ht="15" hidden="false" customHeight="false" outlineLevel="0" collapsed="false">
      <c r="M841" s="0" t="str">
        <f aca="false">IF(CSV貼付A!$N841="","",IF(COUNTIF($B$37:$B$48,CSV貼付A!$H841)&gt;0,"",IF(SUMPRODUCT((CSV貼付A!$N$5:$N841=CSV貼付A!$N841)*(COUNTIF($B$37:$B$48,CSV貼付A!$H$5:$H841)=0))&gt;1,"",MAX($M$4:M840)+1)))</f>
        <v/>
      </c>
      <c r="N841" s="0" t="str">
        <f aca="false">IFERROR(INDEX(CSV貼付A!$N$5:$N$1004,MATCH(ROW()-4,$M$5:$M$1004,0)),"")</f>
        <v/>
      </c>
      <c r="O841" s="0" t="str">
        <f aca="false">IF(CSV貼付B!$N841="","",IF(COUNTIF($B$37:$B$48,CSV貼付B!$H841)&gt;0,"",IF(SUMPRODUCT((CSV貼付B!$N$5:$N841=CSV貼付B!$N841)*(COUNTIF($B$37:$B$48,CSV貼付B!$H$5:$H841)=0))&gt;1,"",MAX($O$4:O840)+1)))</f>
        <v/>
      </c>
      <c r="P841" s="0" t="str">
        <f aca="false">IFERROR(INDEX(CSV貼付B!$N$5:$N$1004,MATCH(ROW()-4,$O$5:$O$1004,0)),"")</f>
        <v/>
      </c>
      <c r="Q841" s="0" t="str">
        <f aca="false">IF(ROW()-4&lt;=MAX($M$5:$M$1004),IFERROR(INDEX($N$5:$N$1004,ROW()-4),""),IFERROR(INDEX($P$5:$P$1004,ROW()-4-MAX($M$5:$M$1004)),""))</f>
        <v/>
      </c>
    </row>
    <row r="842" customFormat="false" ht="15" hidden="false" customHeight="false" outlineLevel="0" collapsed="false">
      <c r="M842" s="0" t="str">
        <f aca="false">IF(CSV貼付A!$N842="","",IF(COUNTIF($B$37:$B$48,CSV貼付A!$H842)&gt;0,"",IF(SUMPRODUCT((CSV貼付A!$N$5:$N842=CSV貼付A!$N842)*(COUNTIF($B$37:$B$48,CSV貼付A!$H$5:$H842)=0))&gt;1,"",MAX($M$4:M841)+1)))</f>
        <v/>
      </c>
      <c r="N842" s="0" t="str">
        <f aca="false">IFERROR(INDEX(CSV貼付A!$N$5:$N$1004,MATCH(ROW()-4,$M$5:$M$1004,0)),"")</f>
        <v/>
      </c>
      <c r="O842" s="0" t="str">
        <f aca="false">IF(CSV貼付B!$N842="","",IF(COUNTIF($B$37:$B$48,CSV貼付B!$H842)&gt;0,"",IF(SUMPRODUCT((CSV貼付B!$N$5:$N842=CSV貼付B!$N842)*(COUNTIF($B$37:$B$48,CSV貼付B!$H$5:$H842)=0))&gt;1,"",MAX($O$4:O841)+1)))</f>
        <v/>
      </c>
      <c r="P842" s="0" t="str">
        <f aca="false">IFERROR(INDEX(CSV貼付B!$N$5:$N$1004,MATCH(ROW()-4,$O$5:$O$1004,0)),"")</f>
        <v/>
      </c>
      <c r="Q842" s="0" t="str">
        <f aca="false">IF(ROW()-4&lt;=MAX($M$5:$M$1004),IFERROR(INDEX($N$5:$N$1004,ROW()-4),""),IFERROR(INDEX($P$5:$P$1004,ROW()-4-MAX($M$5:$M$1004)),""))</f>
        <v/>
      </c>
    </row>
    <row r="843" customFormat="false" ht="15" hidden="false" customHeight="false" outlineLevel="0" collapsed="false">
      <c r="M843" s="0" t="str">
        <f aca="false">IF(CSV貼付A!$N843="","",IF(COUNTIF($B$37:$B$48,CSV貼付A!$H843)&gt;0,"",IF(SUMPRODUCT((CSV貼付A!$N$5:$N843=CSV貼付A!$N843)*(COUNTIF($B$37:$B$48,CSV貼付A!$H$5:$H843)=0))&gt;1,"",MAX($M$4:M842)+1)))</f>
        <v/>
      </c>
      <c r="N843" s="0" t="str">
        <f aca="false">IFERROR(INDEX(CSV貼付A!$N$5:$N$1004,MATCH(ROW()-4,$M$5:$M$1004,0)),"")</f>
        <v/>
      </c>
      <c r="O843" s="0" t="str">
        <f aca="false">IF(CSV貼付B!$N843="","",IF(COUNTIF($B$37:$B$48,CSV貼付B!$H843)&gt;0,"",IF(SUMPRODUCT((CSV貼付B!$N$5:$N843=CSV貼付B!$N843)*(COUNTIF($B$37:$B$48,CSV貼付B!$H$5:$H843)=0))&gt;1,"",MAX($O$4:O842)+1)))</f>
        <v/>
      </c>
      <c r="P843" s="0" t="str">
        <f aca="false">IFERROR(INDEX(CSV貼付B!$N$5:$N$1004,MATCH(ROW()-4,$O$5:$O$1004,0)),"")</f>
        <v/>
      </c>
      <c r="Q843" s="0" t="str">
        <f aca="false">IF(ROW()-4&lt;=MAX($M$5:$M$1004),IFERROR(INDEX($N$5:$N$1004,ROW()-4),""),IFERROR(INDEX($P$5:$P$1004,ROW()-4-MAX($M$5:$M$1004)),""))</f>
        <v/>
      </c>
    </row>
    <row r="844" customFormat="false" ht="15" hidden="false" customHeight="false" outlineLevel="0" collapsed="false">
      <c r="M844" s="0" t="str">
        <f aca="false">IF(CSV貼付A!$N844="","",IF(COUNTIF($B$37:$B$48,CSV貼付A!$H844)&gt;0,"",IF(SUMPRODUCT((CSV貼付A!$N$5:$N844=CSV貼付A!$N844)*(COUNTIF($B$37:$B$48,CSV貼付A!$H$5:$H844)=0))&gt;1,"",MAX($M$4:M843)+1)))</f>
        <v/>
      </c>
      <c r="N844" s="0" t="str">
        <f aca="false">IFERROR(INDEX(CSV貼付A!$N$5:$N$1004,MATCH(ROW()-4,$M$5:$M$1004,0)),"")</f>
        <v/>
      </c>
      <c r="O844" s="0" t="str">
        <f aca="false">IF(CSV貼付B!$N844="","",IF(COUNTIF($B$37:$B$48,CSV貼付B!$H844)&gt;0,"",IF(SUMPRODUCT((CSV貼付B!$N$5:$N844=CSV貼付B!$N844)*(COUNTIF($B$37:$B$48,CSV貼付B!$H$5:$H844)=0))&gt;1,"",MAX($O$4:O843)+1)))</f>
        <v/>
      </c>
      <c r="P844" s="0" t="str">
        <f aca="false">IFERROR(INDEX(CSV貼付B!$N$5:$N$1004,MATCH(ROW()-4,$O$5:$O$1004,0)),"")</f>
        <v/>
      </c>
      <c r="Q844" s="0" t="str">
        <f aca="false">IF(ROW()-4&lt;=MAX($M$5:$M$1004),IFERROR(INDEX($N$5:$N$1004,ROW()-4),""),IFERROR(INDEX($P$5:$P$1004,ROW()-4-MAX($M$5:$M$1004)),""))</f>
        <v/>
      </c>
    </row>
    <row r="845" customFormat="false" ht="15" hidden="false" customHeight="false" outlineLevel="0" collapsed="false">
      <c r="M845" s="0" t="str">
        <f aca="false">IF(CSV貼付A!$N845="","",IF(COUNTIF($B$37:$B$48,CSV貼付A!$H845)&gt;0,"",IF(SUMPRODUCT((CSV貼付A!$N$5:$N845=CSV貼付A!$N845)*(COUNTIF($B$37:$B$48,CSV貼付A!$H$5:$H845)=0))&gt;1,"",MAX($M$4:M844)+1)))</f>
        <v/>
      </c>
      <c r="N845" s="0" t="str">
        <f aca="false">IFERROR(INDEX(CSV貼付A!$N$5:$N$1004,MATCH(ROW()-4,$M$5:$M$1004,0)),"")</f>
        <v/>
      </c>
      <c r="O845" s="0" t="str">
        <f aca="false">IF(CSV貼付B!$N845="","",IF(COUNTIF($B$37:$B$48,CSV貼付B!$H845)&gt;0,"",IF(SUMPRODUCT((CSV貼付B!$N$5:$N845=CSV貼付B!$N845)*(COUNTIF($B$37:$B$48,CSV貼付B!$H$5:$H845)=0))&gt;1,"",MAX($O$4:O844)+1)))</f>
        <v/>
      </c>
      <c r="P845" s="0" t="str">
        <f aca="false">IFERROR(INDEX(CSV貼付B!$N$5:$N$1004,MATCH(ROW()-4,$O$5:$O$1004,0)),"")</f>
        <v/>
      </c>
      <c r="Q845" s="0" t="str">
        <f aca="false">IF(ROW()-4&lt;=MAX($M$5:$M$1004),IFERROR(INDEX($N$5:$N$1004,ROW()-4),""),IFERROR(INDEX($P$5:$P$1004,ROW()-4-MAX($M$5:$M$1004)),""))</f>
        <v/>
      </c>
    </row>
    <row r="846" customFormat="false" ht="15" hidden="false" customHeight="false" outlineLevel="0" collapsed="false">
      <c r="M846" s="0" t="str">
        <f aca="false">IF(CSV貼付A!$N846="","",IF(COUNTIF($B$37:$B$48,CSV貼付A!$H846)&gt;0,"",IF(SUMPRODUCT((CSV貼付A!$N$5:$N846=CSV貼付A!$N846)*(COUNTIF($B$37:$B$48,CSV貼付A!$H$5:$H846)=0))&gt;1,"",MAX($M$4:M845)+1)))</f>
        <v/>
      </c>
      <c r="N846" s="0" t="str">
        <f aca="false">IFERROR(INDEX(CSV貼付A!$N$5:$N$1004,MATCH(ROW()-4,$M$5:$M$1004,0)),"")</f>
        <v/>
      </c>
      <c r="O846" s="0" t="str">
        <f aca="false">IF(CSV貼付B!$N846="","",IF(COUNTIF($B$37:$B$48,CSV貼付B!$H846)&gt;0,"",IF(SUMPRODUCT((CSV貼付B!$N$5:$N846=CSV貼付B!$N846)*(COUNTIF($B$37:$B$48,CSV貼付B!$H$5:$H846)=0))&gt;1,"",MAX($O$4:O845)+1)))</f>
        <v/>
      </c>
      <c r="P846" s="0" t="str">
        <f aca="false">IFERROR(INDEX(CSV貼付B!$N$5:$N$1004,MATCH(ROW()-4,$O$5:$O$1004,0)),"")</f>
        <v/>
      </c>
      <c r="Q846" s="0" t="str">
        <f aca="false">IF(ROW()-4&lt;=MAX($M$5:$M$1004),IFERROR(INDEX($N$5:$N$1004,ROW()-4),""),IFERROR(INDEX($P$5:$P$1004,ROW()-4-MAX($M$5:$M$1004)),""))</f>
        <v/>
      </c>
    </row>
    <row r="847" customFormat="false" ht="15" hidden="false" customHeight="false" outlineLevel="0" collapsed="false">
      <c r="M847" s="0" t="str">
        <f aca="false">IF(CSV貼付A!$N847="","",IF(COUNTIF($B$37:$B$48,CSV貼付A!$H847)&gt;0,"",IF(SUMPRODUCT((CSV貼付A!$N$5:$N847=CSV貼付A!$N847)*(COUNTIF($B$37:$B$48,CSV貼付A!$H$5:$H847)=0))&gt;1,"",MAX($M$4:M846)+1)))</f>
        <v/>
      </c>
      <c r="N847" s="0" t="str">
        <f aca="false">IFERROR(INDEX(CSV貼付A!$N$5:$N$1004,MATCH(ROW()-4,$M$5:$M$1004,0)),"")</f>
        <v/>
      </c>
      <c r="O847" s="0" t="str">
        <f aca="false">IF(CSV貼付B!$N847="","",IF(COUNTIF($B$37:$B$48,CSV貼付B!$H847)&gt;0,"",IF(SUMPRODUCT((CSV貼付B!$N$5:$N847=CSV貼付B!$N847)*(COUNTIF($B$37:$B$48,CSV貼付B!$H$5:$H847)=0))&gt;1,"",MAX($O$4:O846)+1)))</f>
        <v/>
      </c>
      <c r="P847" s="0" t="str">
        <f aca="false">IFERROR(INDEX(CSV貼付B!$N$5:$N$1004,MATCH(ROW()-4,$O$5:$O$1004,0)),"")</f>
        <v/>
      </c>
      <c r="Q847" s="0" t="str">
        <f aca="false">IF(ROW()-4&lt;=MAX($M$5:$M$1004),IFERROR(INDEX($N$5:$N$1004,ROW()-4),""),IFERROR(INDEX($P$5:$P$1004,ROW()-4-MAX($M$5:$M$1004)),""))</f>
        <v/>
      </c>
    </row>
    <row r="848" customFormat="false" ht="15" hidden="false" customHeight="false" outlineLevel="0" collapsed="false">
      <c r="M848" s="0" t="str">
        <f aca="false">IF(CSV貼付A!$N848="","",IF(COUNTIF($B$37:$B$48,CSV貼付A!$H848)&gt;0,"",IF(SUMPRODUCT((CSV貼付A!$N$5:$N848=CSV貼付A!$N848)*(COUNTIF($B$37:$B$48,CSV貼付A!$H$5:$H848)=0))&gt;1,"",MAX($M$4:M847)+1)))</f>
        <v/>
      </c>
      <c r="N848" s="0" t="str">
        <f aca="false">IFERROR(INDEX(CSV貼付A!$N$5:$N$1004,MATCH(ROW()-4,$M$5:$M$1004,0)),"")</f>
        <v/>
      </c>
      <c r="O848" s="0" t="str">
        <f aca="false">IF(CSV貼付B!$N848="","",IF(COUNTIF($B$37:$B$48,CSV貼付B!$H848)&gt;0,"",IF(SUMPRODUCT((CSV貼付B!$N$5:$N848=CSV貼付B!$N848)*(COUNTIF($B$37:$B$48,CSV貼付B!$H$5:$H848)=0))&gt;1,"",MAX($O$4:O847)+1)))</f>
        <v/>
      </c>
      <c r="P848" s="0" t="str">
        <f aca="false">IFERROR(INDEX(CSV貼付B!$N$5:$N$1004,MATCH(ROW()-4,$O$5:$O$1004,0)),"")</f>
        <v/>
      </c>
      <c r="Q848" s="0" t="str">
        <f aca="false">IF(ROW()-4&lt;=MAX($M$5:$M$1004),IFERROR(INDEX($N$5:$N$1004,ROW()-4),""),IFERROR(INDEX($P$5:$P$1004,ROW()-4-MAX($M$5:$M$1004)),""))</f>
        <v/>
      </c>
    </row>
    <row r="849" customFormat="false" ht="15" hidden="false" customHeight="false" outlineLevel="0" collapsed="false">
      <c r="M849" s="0" t="str">
        <f aca="false">IF(CSV貼付A!$N849="","",IF(COUNTIF($B$37:$B$48,CSV貼付A!$H849)&gt;0,"",IF(SUMPRODUCT((CSV貼付A!$N$5:$N849=CSV貼付A!$N849)*(COUNTIF($B$37:$B$48,CSV貼付A!$H$5:$H849)=0))&gt;1,"",MAX($M$4:M848)+1)))</f>
        <v/>
      </c>
      <c r="N849" s="0" t="str">
        <f aca="false">IFERROR(INDEX(CSV貼付A!$N$5:$N$1004,MATCH(ROW()-4,$M$5:$M$1004,0)),"")</f>
        <v/>
      </c>
      <c r="O849" s="0" t="str">
        <f aca="false">IF(CSV貼付B!$N849="","",IF(COUNTIF($B$37:$B$48,CSV貼付B!$H849)&gt;0,"",IF(SUMPRODUCT((CSV貼付B!$N$5:$N849=CSV貼付B!$N849)*(COUNTIF($B$37:$B$48,CSV貼付B!$H$5:$H849)=0))&gt;1,"",MAX($O$4:O848)+1)))</f>
        <v/>
      </c>
      <c r="P849" s="0" t="str">
        <f aca="false">IFERROR(INDEX(CSV貼付B!$N$5:$N$1004,MATCH(ROW()-4,$O$5:$O$1004,0)),"")</f>
        <v/>
      </c>
      <c r="Q849" s="0" t="str">
        <f aca="false">IF(ROW()-4&lt;=MAX($M$5:$M$1004),IFERROR(INDEX($N$5:$N$1004,ROW()-4),""),IFERROR(INDEX($P$5:$P$1004,ROW()-4-MAX($M$5:$M$1004)),""))</f>
        <v/>
      </c>
    </row>
    <row r="850" customFormat="false" ht="15" hidden="false" customHeight="false" outlineLevel="0" collapsed="false">
      <c r="M850" s="0" t="str">
        <f aca="false">IF(CSV貼付A!$N850="","",IF(COUNTIF($B$37:$B$48,CSV貼付A!$H850)&gt;0,"",IF(SUMPRODUCT((CSV貼付A!$N$5:$N850=CSV貼付A!$N850)*(COUNTIF($B$37:$B$48,CSV貼付A!$H$5:$H850)=0))&gt;1,"",MAX($M$4:M849)+1)))</f>
        <v/>
      </c>
      <c r="N850" s="0" t="str">
        <f aca="false">IFERROR(INDEX(CSV貼付A!$N$5:$N$1004,MATCH(ROW()-4,$M$5:$M$1004,0)),"")</f>
        <v/>
      </c>
      <c r="O850" s="0" t="str">
        <f aca="false">IF(CSV貼付B!$N850="","",IF(COUNTIF($B$37:$B$48,CSV貼付B!$H850)&gt;0,"",IF(SUMPRODUCT((CSV貼付B!$N$5:$N850=CSV貼付B!$N850)*(COUNTIF($B$37:$B$48,CSV貼付B!$H$5:$H850)=0))&gt;1,"",MAX($O$4:O849)+1)))</f>
        <v/>
      </c>
      <c r="P850" s="0" t="str">
        <f aca="false">IFERROR(INDEX(CSV貼付B!$N$5:$N$1004,MATCH(ROW()-4,$O$5:$O$1004,0)),"")</f>
        <v/>
      </c>
      <c r="Q850" s="0" t="str">
        <f aca="false">IF(ROW()-4&lt;=MAX($M$5:$M$1004),IFERROR(INDEX($N$5:$N$1004,ROW()-4),""),IFERROR(INDEX($P$5:$P$1004,ROW()-4-MAX($M$5:$M$1004)),""))</f>
        <v/>
      </c>
    </row>
    <row r="851" customFormat="false" ht="15" hidden="false" customHeight="false" outlineLevel="0" collapsed="false">
      <c r="M851" s="0" t="str">
        <f aca="false">IF(CSV貼付A!$N851="","",IF(COUNTIF($B$37:$B$48,CSV貼付A!$H851)&gt;0,"",IF(SUMPRODUCT((CSV貼付A!$N$5:$N851=CSV貼付A!$N851)*(COUNTIF($B$37:$B$48,CSV貼付A!$H$5:$H851)=0))&gt;1,"",MAX($M$4:M850)+1)))</f>
        <v/>
      </c>
      <c r="N851" s="0" t="str">
        <f aca="false">IFERROR(INDEX(CSV貼付A!$N$5:$N$1004,MATCH(ROW()-4,$M$5:$M$1004,0)),"")</f>
        <v/>
      </c>
      <c r="O851" s="0" t="str">
        <f aca="false">IF(CSV貼付B!$N851="","",IF(COUNTIF($B$37:$B$48,CSV貼付B!$H851)&gt;0,"",IF(SUMPRODUCT((CSV貼付B!$N$5:$N851=CSV貼付B!$N851)*(COUNTIF($B$37:$B$48,CSV貼付B!$H$5:$H851)=0))&gt;1,"",MAX($O$4:O850)+1)))</f>
        <v/>
      </c>
      <c r="P851" s="0" t="str">
        <f aca="false">IFERROR(INDEX(CSV貼付B!$N$5:$N$1004,MATCH(ROW()-4,$O$5:$O$1004,0)),"")</f>
        <v/>
      </c>
      <c r="Q851" s="0" t="str">
        <f aca="false">IF(ROW()-4&lt;=MAX($M$5:$M$1004),IFERROR(INDEX($N$5:$N$1004,ROW()-4),""),IFERROR(INDEX($P$5:$P$1004,ROW()-4-MAX($M$5:$M$1004)),""))</f>
        <v/>
      </c>
    </row>
    <row r="852" customFormat="false" ht="15" hidden="false" customHeight="false" outlineLevel="0" collapsed="false">
      <c r="M852" s="0" t="str">
        <f aca="false">IF(CSV貼付A!$N852="","",IF(COUNTIF($B$37:$B$48,CSV貼付A!$H852)&gt;0,"",IF(SUMPRODUCT((CSV貼付A!$N$5:$N852=CSV貼付A!$N852)*(COUNTIF($B$37:$B$48,CSV貼付A!$H$5:$H852)=0))&gt;1,"",MAX($M$4:M851)+1)))</f>
        <v/>
      </c>
      <c r="N852" s="0" t="str">
        <f aca="false">IFERROR(INDEX(CSV貼付A!$N$5:$N$1004,MATCH(ROW()-4,$M$5:$M$1004,0)),"")</f>
        <v/>
      </c>
      <c r="O852" s="0" t="str">
        <f aca="false">IF(CSV貼付B!$N852="","",IF(COUNTIF($B$37:$B$48,CSV貼付B!$H852)&gt;0,"",IF(SUMPRODUCT((CSV貼付B!$N$5:$N852=CSV貼付B!$N852)*(COUNTIF($B$37:$B$48,CSV貼付B!$H$5:$H852)=0))&gt;1,"",MAX($O$4:O851)+1)))</f>
        <v/>
      </c>
      <c r="P852" s="0" t="str">
        <f aca="false">IFERROR(INDEX(CSV貼付B!$N$5:$N$1004,MATCH(ROW()-4,$O$5:$O$1004,0)),"")</f>
        <v/>
      </c>
      <c r="Q852" s="0" t="str">
        <f aca="false">IF(ROW()-4&lt;=MAX($M$5:$M$1004),IFERROR(INDEX($N$5:$N$1004,ROW()-4),""),IFERROR(INDEX($P$5:$P$1004,ROW()-4-MAX($M$5:$M$1004)),""))</f>
        <v/>
      </c>
    </row>
    <row r="853" customFormat="false" ht="15" hidden="false" customHeight="false" outlineLevel="0" collapsed="false">
      <c r="M853" s="0" t="str">
        <f aca="false">IF(CSV貼付A!$N853="","",IF(COUNTIF($B$37:$B$48,CSV貼付A!$H853)&gt;0,"",IF(SUMPRODUCT((CSV貼付A!$N$5:$N853=CSV貼付A!$N853)*(COUNTIF($B$37:$B$48,CSV貼付A!$H$5:$H853)=0))&gt;1,"",MAX($M$4:M852)+1)))</f>
        <v/>
      </c>
      <c r="N853" s="0" t="str">
        <f aca="false">IFERROR(INDEX(CSV貼付A!$N$5:$N$1004,MATCH(ROW()-4,$M$5:$M$1004,0)),"")</f>
        <v/>
      </c>
      <c r="O853" s="0" t="str">
        <f aca="false">IF(CSV貼付B!$N853="","",IF(COUNTIF($B$37:$B$48,CSV貼付B!$H853)&gt;0,"",IF(SUMPRODUCT((CSV貼付B!$N$5:$N853=CSV貼付B!$N853)*(COUNTIF($B$37:$B$48,CSV貼付B!$H$5:$H853)=0))&gt;1,"",MAX($O$4:O852)+1)))</f>
        <v/>
      </c>
      <c r="P853" s="0" t="str">
        <f aca="false">IFERROR(INDEX(CSV貼付B!$N$5:$N$1004,MATCH(ROW()-4,$O$5:$O$1004,0)),"")</f>
        <v/>
      </c>
      <c r="Q853" s="0" t="str">
        <f aca="false">IF(ROW()-4&lt;=MAX($M$5:$M$1004),IFERROR(INDEX($N$5:$N$1004,ROW()-4),""),IFERROR(INDEX($P$5:$P$1004,ROW()-4-MAX($M$5:$M$1004)),""))</f>
        <v/>
      </c>
    </row>
    <row r="854" customFormat="false" ht="15" hidden="false" customHeight="false" outlineLevel="0" collapsed="false">
      <c r="M854" s="0" t="str">
        <f aca="false">IF(CSV貼付A!$N854="","",IF(COUNTIF($B$37:$B$48,CSV貼付A!$H854)&gt;0,"",IF(SUMPRODUCT((CSV貼付A!$N$5:$N854=CSV貼付A!$N854)*(COUNTIF($B$37:$B$48,CSV貼付A!$H$5:$H854)=0))&gt;1,"",MAX($M$4:M853)+1)))</f>
        <v/>
      </c>
      <c r="N854" s="0" t="str">
        <f aca="false">IFERROR(INDEX(CSV貼付A!$N$5:$N$1004,MATCH(ROW()-4,$M$5:$M$1004,0)),"")</f>
        <v/>
      </c>
      <c r="O854" s="0" t="str">
        <f aca="false">IF(CSV貼付B!$N854="","",IF(COUNTIF($B$37:$B$48,CSV貼付B!$H854)&gt;0,"",IF(SUMPRODUCT((CSV貼付B!$N$5:$N854=CSV貼付B!$N854)*(COUNTIF($B$37:$B$48,CSV貼付B!$H$5:$H854)=0))&gt;1,"",MAX($O$4:O853)+1)))</f>
        <v/>
      </c>
      <c r="P854" s="0" t="str">
        <f aca="false">IFERROR(INDEX(CSV貼付B!$N$5:$N$1004,MATCH(ROW()-4,$O$5:$O$1004,0)),"")</f>
        <v/>
      </c>
      <c r="Q854" s="0" t="str">
        <f aca="false">IF(ROW()-4&lt;=MAX($M$5:$M$1004),IFERROR(INDEX($N$5:$N$1004,ROW()-4),""),IFERROR(INDEX($P$5:$P$1004,ROW()-4-MAX($M$5:$M$1004)),""))</f>
        <v/>
      </c>
    </row>
    <row r="855" customFormat="false" ht="15" hidden="false" customHeight="false" outlineLevel="0" collapsed="false">
      <c r="M855" s="0" t="str">
        <f aca="false">IF(CSV貼付A!$N855="","",IF(COUNTIF($B$37:$B$48,CSV貼付A!$H855)&gt;0,"",IF(SUMPRODUCT((CSV貼付A!$N$5:$N855=CSV貼付A!$N855)*(COUNTIF($B$37:$B$48,CSV貼付A!$H$5:$H855)=0))&gt;1,"",MAX($M$4:M854)+1)))</f>
        <v/>
      </c>
      <c r="N855" s="0" t="str">
        <f aca="false">IFERROR(INDEX(CSV貼付A!$N$5:$N$1004,MATCH(ROW()-4,$M$5:$M$1004,0)),"")</f>
        <v/>
      </c>
      <c r="O855" s="0" t="str">
        <f aca="false">IF(CSV貼付B!$N855="","",IF(COUNTIF($B$37:$B$48,CSV貼付B!$H855)&gt;0,"",IF(SUMPRODUCT((CSV貼付B!$N$5:$N855=CSV貼付B!$N855)*(COUNTIF($B$37:$B$48,CSV貼付B!$H$5:$H855)=0))&gt;1,"",MAX($O$4:O854)+1)))</f>
        <v/>
      </c>
      <c r="P855" s="0" t="str">
        <f aca="false">IFERROR(INDEX(CSV貼付B!$N$5:$N$1004,MATCH(ROW()-4,$O$5:$O$1004,0)),"")</f>
        <v/>
      </c>
      <c r="Q855" s="0" t="str">
        <f aca="false">IF(ROW()-4&lt;=MAX($M$5:$M$1004),IFERROR(INDEX($N$5:$N$1004,ROW()-4),""),IFERROR(INDEX($P$5:$P$1004,ROW()-4-MAX($M$5:$M$1004)),""))</f>
        <v/>
      </c>
    </row>
    <row r="856" customFormat="false" ht="15" hidden="false" customHeight="false" outlineLevel="0" collapsed="false">
      <c r="M856" s="0" t="str">
        <f aca="false">IF(CSV貼付A!$N856="","",IF(COUNTIF($B$37:$B$48,CSV貼付A!$H856)&gt;0,"",IF(SUMPRODUCT((CSV貼付A!$N$5:$N856=CSV貼付A!$N856)*(COUNTIF($B$37:$B$48,CSV貼付A!$H$5:$H856)=0))&gt;1,"",MAX($M$4:M855)+1)))</f>
        <v/>
      </c>
      <c r="N856" s="0" t="str">
        <f aca="false">IFERROR(INDEX(CSV貼付A!$N$5:$N$1004,MATCH(ROW()-4,$M$5:$M$1004,0)),"")</f>
        <v/>
      </c>
      <c r="O856" s="0" t="str">
        <f aca="false">IF(CSV貼付B!$N856="","",IF(COUNTIF($B$37:$B$48,CSV貼付B!$H856)&gt;0,"",IF(SUMPRODUCT((CSV貼付B!$N$5:$N856=CSV貼付B!$N856)*(COUNTIF($B$37:$B$48,CSV貼付B!$H$5:$H856)=0))&gt;1,"",MAX($O$4:O855)+1)))</f>
        <v/>
      </c>
      <c r="P856" s="0" t="str">
        <f aca="false">IFERROR(INDEX(CSV貼付B!$N$5:$N$1004,MATCH(ROW()-4,$O$5:$O$1004,0)),"")</f>
        <v/>
      </c>
      <c r="Q856" s="0" t="str">
        <f aca="false">IF(ROW()-4&lt;=MAX($M$5:$M$1004),IFERROR(INDEX($N$5:$N$1004,ROW()-4),""),IFERROR(INDEX($P$5:$P$1004,ROW()-4-MAX($M$5:$M$1004)),""))</f>
        <v/>
      </c>
    </row>
    <row r="857" customFormat="false" ht="15" hidden="false" customHeight="false" outlineLevel="0" collapsed="false">
      <c r="M857" s="0" t="str">
        <f aca="false">IF(CSV貼付A!$N857="","",IF(COUNTIF($B$37:$B$48,CSV貼付A!$H857)&gt;0,"",IF(SUMPRODUCT((CSV貼付A!$N$5:$N857=CSV貼付A!$N857)*(COUNTIF($B$37:$B$48,CSV貼付A!$H$5:$H857)=0))&gt;1,"",MAX($M$4:M856)+1)))</f>
        <v/>
      </c>
      <c r="N857" s="0" t="str">
        <f aca="false">IFERROR(INDEX(CSV貼付A!$N$5:$N$1004,MATCH(ROW()-4,$M$5:$M$1004,0)),"")</f>
        <v/>
      </c>
      <c r="O857" s="0" t="str">
        <f aca="false">IF(CSV貼付B!$N857="","",IF(COUNTIF($B$37:$B$48,CSV貼付B!$H857)&gt;0,"",IF(SUMPRODUCT((CSV貼付B!$N$5:$N857=CSV貼付B!$N857)*(COUNTIF($B$37:$B$48,CSV貼付B!$H$5:$H857)=0))&gt;1,"",MAX($O$4:O856)+1)))</f>
        <v/>
      </c>
      <c r="P857" s="0" t="str">
        <f aca="false">IFERROR(INDEX(CSV貼付B!$N$5:$N$1004,MATCH(ROW()-4,$O$5:$O$1004,0)),"")</f>
        <v/>
      </c>
      <c r="Q857" s="0" t="str">
        <f aca="false">IF(ROW()-4&lt;=MAX($M$5:$M$1004),IFERROR(INDEX($N$5:$N$1004,ROW()-4),""),IFERROR(INDEX($P$5:$P$1004,ROW()-4-MAX($M$5:$M$1004)),""))</f>
        <v/>
      </c>
    </row>
    <row r="858" customFormat="false" ht="15" hidden="false" customHeight="false" outlineLevel="0" collapsed="false">
      <c r="M858" s="0" t="str">
        <f aca="false">IF(CSV貼付A!$N858="","",IF(COUNTIF($B$37:$B$48,CSV貼付A!$H858)&gt;0,"",IF(SUMPRODUCT((CSV貼付A!$N$5:$N858=CSV貼付A!$N858)*(COUNTIF($B$37:$B$48,CSV貼付A!$H$5:$H858)=0))&gt;1,"",MAX($M$4:M857)+1)))</f>
        <v/>
      </c>
      <c r="N858" s="0" t="str">
        <f aca="false">IFERROR(INDEX(CSV貼付A!$N$5:$N$1004,MATCH(ROW()-4,$M$5:$M$1004,0)),"")</f>
        <v/>
      </c>
      <c r="O858" s="0" t="str">
        <f aca="false">IF(CSV貼付B!$N858="","",IF(COUNTIF($B$37:$B$48,CSV貼付B!$H858)&gt;0,"",IF(SUMPRODUCT((CSV貼付B!$N$5:$N858=CSV貼付B!$N858)*(COUNTIF($B$37:$B$48,CSV貼付B!$H$5:$H858)=0))&gt;1,"",MAX($O$4:O857)+1)))</f>
        <v/>
      </c>
      <c r="P858" s="0" t="str">
        <f aca="false">IFERROR(INDEX(CSV貼付B!$N$5:$N$1004,MATCH(ROW()-4,$O$5:$O$1004,0)),"")</f>
        <v/>
      </c>
      <c r="Q858" s="0" t="str">
        <f aca="false">IF(ROW()-4&lt;=MAX($M$5:$M$1004),IFERROR(INDEX($N$5:$N$1004,ROW()-4),""),IFERROR(INDEX($P$5:$P$1004,ROW()-4-MAX($M$5:$M$1004)),""))</f>
        <v/>
      </c>
    </row>
    <row r="859" customFormat="false" ht="15" hidden="false" customHeight="false" outlineLevel="0" collapsed="false">
      <c r="M859" s="0" t="str">
        <f aca="false">IF(CSV貼付A!$N859="","",IF(COUNTIF($B$37:$B$48,CSV貼付A!$H859)&gt;0,"",IF(SUMPRODUCT((CSV貼付A!$N$5:$N859=CSV貼付A!$N859)*(COUNTIF($B$37:$B$48,CSV貼付A!$H$5:$H859)=0))&gt;1,"",MAX($M$4:M858)+1)))</f>
        <v/>
      </c>
      <c r="N859" s="0" t="str">
        <f aca="false">IFERROR(INDEX(CSV貼付A!$N$5:$N$1004,MATCH(ROW()-4,$M$5:$M$1004,0)),"")</f>
        <v/>
      </c>
      <c r="O859" s="0" t="str">
        <f aca="false">IF(CSV貼付B!$N859="","",IF(COUNTIF($B$37:$B$48,CSV貼付B!$H859)&gt;0,"",IF(SUMPRODUCT((CSV貼付B!$N$5:$N859=CSV貼付B!$N859)*(COUNTIF($B$37:$B$48,CSV貼付B!$H$5:$H859)=0))&gt;1,"",MAX($O$4:O858)+1)))</f>
        <v/>
      </c>
      <c r="P859" s="0" t="str">
        <f aca="false">IFERROR(INDEX(CSV貼付B!$N$5:$N$1004,MATCH(ROW()-4,$O$5:$O$1004,0)),"")</f>
        <v/>
      </c>
      <c r="Q859" s="0" t="str">
        <f aca="false">IF(ROW()-4&lt;=MAX($M$5:$M$1004),IFERROR(INDEX($N$5:$N$1004,ROW()-4),""),IFERROR(INDEX($P$5:$P$1004,ROW()-4-MAX($M$5:$M$1004)),""))</f>
        <v/>
      </c>
    </row>
    <row r="860" customFormat="false" ht="15" hidden="false" customHeight="false" outlineLevel="0" collapsed="false">
      <c r="M860" s="0" t="str">
        <f aca="false">IF(CSV貼付A!$N860="","",IF(COUNTIF($B$37:$B$48,CSV貼付A!$H860)&gt;0,"",IF(SUMPRODUCT((CSV貼付A!$N$5:$N860=CSV貼付A!$N860)*(COUNTIF($B$37:$B$48,CSV貼付A!$H$5:$H860)=0))&gt;1,"",MAX($M$4:M859)+1)))</f>
        <v/>
      </c>
      <c r="N860" s="0" t="str">
        <f aca="false">IFERROR(INDEX(CSV貼付A!$N$5:$N$1004,MATCH(ROW()-4,$M$5:$M$1004,0)),"")</f>
        <v/>
      </c>
      <c r="O860" s="0" t="str">
        <f aca="false">IF(CSV貼付B!$N860="","",IF(COUNTIF($B$37:$B$48,CSV貼付B!$H860)&gt;0,"",IF(SUMPRODUCT((CSV貼付B!$N$5:$N860=CSV貼付B!$N860)*(COUNTIF($B$37:$B$48,CSV貼付B!$H$5:$H860)=0))&gt;1,"",MAX($O$4:O859)+1)))</f>
        <v/>
      </c>
      <c r="P860" s="0" t="str">
        <f aca="false">IFERROR(INDEX(CSV貼付B!$N$5:$N$1004,MATCH(ROW()-4,$O$5:$O$1004,0)),"")</f>
        <v/>
      </c>
      <c r="Q860" s="0" t="str">
        <f aca="false">IF(ROW()-4&lt;=MAX($M$5:$M$1004),IFERROR(INDEX($N$5:$N$1004,ROW()-4),""),IFERROR(INDEX($P$5:$P$1004,ROW()-4-MAX($M$5:$M$1004)),""))</f>
        <v/>
      </c>
    </row>
    <row r="861" customFormat="false" ht="15" hidden="false" customHeight="false" outlineLevel="0" collapsed="false">
      <c r="M861" s="0" t="str">
        <f aca="false">IF(CSV貼付A!$N861="","",IF(COUNTIF($B$37:$B$48,CSV貼付A!$H861)&gt;0,"",IF(SUMPRODUCT((CSV貼付A!$N$5:$N861=CSV貼付A!$N861)*(COUNTIF($B$37:$B$48,CSV貼付A!$H$5:$H861)=0))&gt;1,"",MAX($M$4:M860)+1)))</f>
        <v/>
      </c>
      <c r="N861" s="0" t="str">
        <f aca="false">IFERROR(INDEX(CSV貼付A!$N$5:$N$1004,MATCH(ROW()-4,$M$5:$M$1004,0)),"")</f>
        <v/>
      </c>
      <c r="O861" s="0" t="str">
        <f aca="false">IF(CSV貼付B!$N861="","",IF(COUNTIF($B$37:$B$48,CSV貼付B!$H861)&gt;0,"",IF(SUMPRODUCT((CSV貼付B!$N$5:$N861=CSV貼付B!$N861)*(COUNTIF($B$37:$B$48,CSV貼付B!$H$5:$H861)=0))&gt;1,"",MAX($O$4:O860)+1)))</f>
        <v/>
      </c>
      <c r="P861" s="0" t="str">
        <f aca="false">IFERROR(INDEX(CSV貼付B!$N$5:$N$1004,MATCH(ROW()-4,$O$5:$O$1004,0)),"")</f>
        <v/>
      </c>
      <c r="Q861" s="0" t="str">
        <f aca="false">IF(ROW()-4&lt;=MAX($M$5:$M$1004),IFERROR(INDEX($N$5:$N$1004,ROW()-4),""),IFERROR(INDEX($P$5:$P$1004,ROW()-4-MAX($M$5:$M$1004)),""))</f>
        <v/>
      </c>
    </row>
    <row r="862" customFormat="false" ht="15" hidden="false" customHeight="false" outlineLevel="0" collapsed="false">
      <c r="M862" s="0" t="str">
        <f aca="false">IF(CSV貼付A!$N862="","",IF(COUNTIF($B$37:$B$48,CSV貼付A!$H862)&gt;0,"",IF(SUMPRODUCT((CSV貼付A!$N$5:$N862=CSV貼付A!$N862)*(COUNTIF($B$37:$B$48,CSV貼付A!$H$5:$H862)=0))&gt;1,"",MAX($M$4:M861)+1)))</f>
        <v/>
      </c>
      <c r="N862" s="0" t="str">
        <f aca="false">IFERROR(INDEX(CSV貼付A!$N$5:$N$1004,MATCH(ROW()-4,$M$5:$M$1004,0)),"")</f>
        <v/>
      </c>
      <c r="O862" s="0" t="str">
        <f aca="false">IF(CSV貼付B!$N862="","",IF(COUNTIF($B$37:$B$48,CSV貼付B!$H862)&gt;0,"",IF(SUMPRODUCT((CSV貼付B!$N$5:$N862=CSV貼付B!$N862)*(COUNTIF($B$37:$B$48,CSV貼付B!$H$5:$H862)=0))&gt;1,"",MAX($O$4:O861)+1)))</f>
        <v/>
      </c>
      <c r="P862" s="0" t="str">
        <f aca="false">IFERROR(INDEX(CSV貼付B!$N$5:$N$1004,MATCH(ROW()-4,$O$5:$O$1004,0)),"")</f>
        <v/>
      </c>
      <c r="Q862" s="0" t="str">
        <f aca="false">IF(ROW()-4&lt;=MAX($M$5:$M$1004),IFERROR(INDEX($N$5:$N$1004,ROW()-4),""),IFERROR(INDEX($P$5:$P$1004,ROW()-4-MAX($M$5:$M$1004)),""))</f>
        <v/>
      </c>
    </row>
    <row r="863" customFormat="false" ht="15" hidden="false" customHeight="false" outlineLevel="0" collapsed="false">
      <c r="M863" s="0" t="str">
        <f aca="false">IF(CSV貼付A!$N863="","",IF(COUNTIF($B$37:$B$48,CSV貼付A!$H863)&gt;0,"",IF(SUMPRODUCT((CSV貼付A!$N$5:$N863=CSV貼付A!$N863)*(COUNTIF($B$37:$B$48,CSV貼付A!$H$5:$H863)=0))&gt;1,"",MAX($M$4:M862)+1)))</f>
        <v/>
      </c>
      <c r="N863" s="0" t="str">
        <f aca="false">IFERROR(INDEX(CSV貼付A!$N$5:$N$1004,MATCH(ROW()-4,$M$5:$M$1004,0)),"")</f>
        <v/>
      </c>
      <c r="O863" s="0" t="str">
        <f aca="false">IF(CSV貼付B!$N863="","",IF(COUNTIF($B$37:$B$48,CSV貼付B!$H863)&gt;0,"",IF(SUMPRODUCT((CSV貼付B!$N$5:$N863=CSV貼付B!$N863)*(COUNTIF($B$37:$B$48,CSV貼付B!$H$5:$H863)=0))&gt;1,"",MAX($O$4:O862)+1)))</f>
        <v/>
      </c>
      <c r="P863" s="0" t="str">
        <f aca="false">IFERROR(INDEX(CSV貼付B!$N$5:$N$1004,MATCH(ROW()-4,$O$5:$O$1004,0)),"")</f>
        <v/>
      </c>
      <c r="Q863" s="0" t="str">
        <f aca="false">IF(ROW()-4&lt;=MAX($M$5:$M$1004),IFERROR(INDEX($N$5:$N$1004,ROW()-4),""),IFERROR(INDEX($P$5:$P$1004,ROW()-4-MAX($M$5:$M$1004)),""))</f>
        <v/>
      </c>
    </row>
    <row r="864" customFormat="false" ht="15" hidden="false" customHeight="false" outlineLevel="0" collapsed="false">
      <c r="M864" s="0" t="str">
        <f aca="false">IF(CSV貼付A!$N864="","",IF(COUNTIF($B$37:$B$48,CSV貼付A!$H864)&gt;0,"",IF(SUMPRODUCT((CSV貼付A!$N$5:$N864=CSV貼付A!$N864)*(COUNTIF($B$37:$B$48,CSV貼付A!$H$5:$H864)=0))&gt;1,"",MAX($M$4:M863)+1)))</f>
        <v/>
      </c>
      <c r="N864" s="0" t="str">
        <f aca="false">IFERROR(INDEX(CSV貼付A!$N$5:$N$1004,MATCH(ROW()-4,$M$5:$M$1004,0)),"")</f>
        <v/>
      </c>
      <c r="O864" s="0" t="str">
        <f aca="false">IF(CSV貼付B!$N864="","",IF(COUNTIF($B$37:$B$48,CSV貼付B!$H864)&gt;0,"",IF(SUMPRODUCT((CSV貼付B!$N$5:$N864=CSV貼付B!$N864)*(COUNTIF($B$37:$B$48,CSV貼付B!$H$5:$H864)=0))&gt;1,"",MAX($O$4:O863)+1)))</f>
        <v/>
      </c>
      <c r="P864" s="0" t="str">
        <f aca="false">IFERROR(INDEX(CSV貼付B!$N$5:$N$1004,MATCH(ROW()-4,$O$5:$O$1004,0)),"")</f>
        <v/>
      </c>
      <c r="Q864" s="0" t="str">
        <f aca="false">IF(ROW()-4&lt;=MAX($M$5:$M$1004),IFERROR(INDEX($N$5:$N$1004,ROW()-4),""),IFERROR(INDEX($P$5:$P$1004,ROW()-4-MAX($M$5:$M$1004)),""))</f>
        <v/>
      </c>
    </row>
    <row r="865" customFormat="false" ht="15" hidden="false" customHeight="false" outlineLevel="0" collapsed="false">
      <c r="M865" s="0" t="str">
        <f aca="false">IF(CSV貼付A!$N865="","",IF(COUNTIF($B$37:$B$48,CSV貼付A!$H865)&gt;0,"",IF(SUMPRODUCT((CSV貼付A!$N$5:$N865=CSV貼付A!$N865)*(COUNTIF($B$37:$B$48,CSV貼付A!$H$5:$H865)=0))&gt;1,"",MAX($M$4:M864)+1)))</f>
        <v/>
      </c>
      <c r="N865" s="0" t="str">
        <f aca="false">IFERROR(INDEX(CSV貼付A!$N$5:$N$1004,MATCH(ROW()-4,$M$5:$M$1004,0)),"")</f>
        <v/>
      </c>
      <c r="O865" s="0" t="str">
        <f aca="false">IF(CSV貼付B!$N865="","",IF(COUNTIF($B$37:$B$48,CSV貼付B!$H865)&gt;0,"",IF(SUMPRODUCT((CSV貼付B!$N$5:$N865=CSV貼付B!$N865)*(COUNTIF($B$37:$B$48,CSV貼付B!$H$5:$H865)=0))&gt;1,"",MAX($O$4:O864)+1)))</f>
        <v/>
      </c>
      <c r="P865" s="0" t="str">
        <f aca="false">IFERROR(INDEX(CSV貼付B!$N$5:$N$1004,MATCH(ROW()-4,$O$5:$O$1004,0)),"")</f>
        <v/>
      </c>
      <c r="Q865" s="0" t="str">
        <f aca="false">IF(ROW()-4&lt;=MAX($M$5:$M$1004),IFERROR(INDEX($N$5:$N$1004,ROW()-4),""),IFERROR(INDEX($P$5:$P$1004,ROW()-4-MAX($M$5:$M$1004)),""))</f>
        <v/>
      </c>
    </row>
    <row r="866" customFormat="false" ht="15" hidden="false" customHeight="false" outlineLevel="0" collapsed="false">
      <c r="M866" s="0" t="str">
        <f aca="false">IF(CSV貼付A!$N866="","",IF(COUNTIF($B$37:$B$48,CSV貼付A!$H866)&gt;0,"",IF(SUMPRODUCT((CSV貼付A!$N$5:$N866=CSV貼付A!$N866)*(COUNTIF($B$37:$B$48,CSV貼付A!$H$5:$H866)=0))&gt;1,"",MAX($M$4:M865)+1)))</f>
        <v/>
      </c>
      <c r="N866" s="0" t="str">
        <f aca="false">IFERROR(INDEX(CSV貼付A!$N$5:$N$1004,MATCH(ROW()-4,$M$5:$M$1004,0)),"")</f>
        <v/>
      </c>
      <c r="O866" s="0" t="str">
        <f aca="false">IF(CSV貼付B!$N866="","",IF(COUNTIF($B$37:$B$48,CSV貼付B!$H866)&gt;0,"",IF(SUMPRODUCT((CSV貼付B!$N$5:$N866=CSV貼付B!$N866)*(COUNTIF($B$37:$B$48,CSV貼付B!$H$5:$H866)=0))&gt;1,"",MAX($O$4:O865)+1)))</f>
        <v/>
      </c>
      <c r="P866" s="0" t="str">
        <f aca="false">IFERROR(INDEX(CSV貼付B!$N$5:$N$1004,MATCH(ROW()-4,$O$5:$O$1004,0)),"")</f>
        <v/>
      </c>
      <c r="Q866" s="0" t="str">
        <f aca="false">IF(ROW()-4&lt;=MAX($M$5:$M$1004),IFERROR(INDEX($N$5:$N$1004,ROW()-4),""),IFERROR(INDEX($P$5:$P$1004,ROW()-4-MAX($M$5:$M$1004)),""))</f>
        <v/>
      </c>
    </row>
    <row r="867" customFormat="false" ht="15" hidden="false" customHeight="false" outlineLevel="0" collapsed="false">
      <c r="M867" s="0" t="str">
        <f aca="false">IF(CSV貼付A!$N867="","",IF(COUNTIF($B$37:$B$48,CSV貼付A!$H867)&gt;0,"",IF(SUMPRODUCT((CSV貼付A!$N$5:$N867=CSV貼付A!$N867)*(COUNTIF($B$37:$B$48,CSV貼付A!$H$5:$H867)=0))&gt;1,"",MAX($M$4:M866)+1)))</f>
        <v/>
      </c>
      <c r="N867" s="0" t="str">
        <f aca="false">IFERROR(INDEX(CSV貼付A!$N$5:$N$1004,MATCH(ROW()-4,$M$5:$M$1004,0)),"")</f>
        <v/>
      </c>
      <c r="O867" s="0" t="str">
        <f aca="false">IF(CSV貼付B!$N867="","",IF(COUNTIF($B$37:$B$48,CSV貼付B!$H867)&gt;0,"",IF(SUMPRODUCT((CSV貼付B!$N$5:$N867=CSV貼付B!$N867)*(COUNTIF($B$37:$B$48,CSV貼付B!$H$5:$H867)=0))&gt;1,"",MAX($O$4:O866)+1)))</f>
        <v/>
      </c>
      <c r="P867" s="0" t="str">
        <f aca="false">IFERROR(INDEX(CSV貼付B!$N$5:$N$1004,MATCH(ROW()-4,$O$5:$O$1004,0)),"")</f>
        <v/>
      </c>
      <c r="Q867" s="0" t="str">
        <f aca="false">IF(ROW()-4&lt;=MAX($M$5:$M$1004),IFERROR(INDEX($N$5:$N$1004,ROW()-4),""),IFERROR(INDEX($P$5:$P$1004,ROW()-4-MAX($M$5:$M$1004)),""))</f>
        <v/>
      </c>
    </row>
    <row r="868" customFormat="false" ht="15" hidden="false" customHeight="false" outlineLevel="0" collapsed="false">
      <c r="M868" s="0" t="str">
        <f aca="false">IF(CSV貼付A!$N868="","",IF(COUNTIF($B$37:$B$48,CSV貼付A!$H868)&gt;0,"",IF(SUMPRODUCT((CSV貼付A!$N$5:$N868=CSV貼付A!$N868)*(COUNTIF($B$37:$B$48,CSV貼付A!$H$5:$H868)=0))&gt;1,"",MAX($M$4:M867)+1)))</f>
        <v/>
      </c>
      <c r="N868" s="0" t="str">
        <f aca="false">IFERROR(INDEX(CSV貼付A!$N$5:$N$1004,MATCH(ROW()-4,$M$5:$M$1004,0)),"")</f>
        <v/>
      </c>
      <c r="O868" s="0" t="str">
        <f aca="false">IF(CSV貼付B!$N868="","",IF(COUNTIF($B$37:$B$48,CSV貼付B!$H868)&gt;0,"",IF(SUMPRODUCT((CSV貼付B!$N$5:$N868=CSV貼付B!$N868)*(COUNTIF($B$37:$B$48,CSV貼付B!$H$5:$H868)=0))&gt;1,"",MAX($O$4:O867)+1)))</f>
        <v/>
      </c>
      <c r="P868" s="0" t="str">
        <f aca="false">IFERROR(INDEX(CSV貼付B!$N$5:$N$1004,MATCH(ROW()-4,$O$5:$O$1004,0)),"")</f>
        <v/>
      </c>
      <c r="Q868" s="0" t="str">
        <f aca="false">IF(ROW()-4&lt;=MAX($M$5:$M$1004),IFERROR(INDEX($N$5:$N$1004,ROW()-4),""),IFERROR(INDEX($P$5:$P$1004,ROW()-4-MAX($M$5:$M$1004)),""))</f>
        <v/>
      </c>
    </row>
    <row r="869" customFormat="false" ht="15" hidden="false" customHeight="false" outlineLevel="0" collapsed="false">
      <c r="M869" s="0" t="str">
        <f aca="false">IF(CSV貼付A!$N869="","",IF(COUNTIF($B$37:$B$48,CSV貼付A!$H869)&gt;0,"",IF(SUMPRODUCT((CSV貼付A!$N$5:$N869=CSV貼付A!$N869)*(COUNTIF($B$37:$B$48,CSV貼付A!$H$5:$H869)=0))&gt;1,"",MAX($M$4:M868)+1)))</f>
        <v/>
      </c>
      <c r="N869" s="0" t="str">
        <f aca="false">IFERROR(INDEX(CSV貼付A!$N$5:$N$1004,MATCH(ROW()-4,$M$5:$M$1004,0)),"")</f>
        <v/>
      </c>
      <c r="O869" s="0" t="str">
        <f aca="false">IF(CSV貼付B!$N869="","",IF(COUNTIF($B$37:$B$48,CSV貼付B!$H869)&gt;0,"",IF(SUMPRODUCT((CSV貼付B!$N$5:$N869=CSV貼付B!$N869)*(COUNTIF($B$37:$B$48,CSV貼付B!$H$5:$H869)=0))&gt;1,"",MAX($O$4:O868)+1)))</f>
        <v/>
      </c>
      <c r="P869" s="0" t="str">
        <f aca="false">IFERROR(INDEX(CSV貼付B!$N$5:$N$1004,MATCH(ROW()-4,$O$5:$O$1004,0)),"")</f>
        <v/>
      </c>
      <c r="Q869" s="0" t="str">
        <f aca="false">IF(ROW()-4&lt;=MAX($M$5:$M$1004),IFERROR(INDEX($N$5:$N$1004,ROW()-4),""),IFERROR(INDEX($P$5:$P$1004,ROW()-4-MAX($M$5:$M$1004)),""))</f>
        <v/>
      </c>
    </row>
    <row r="870" customFormat="false" ht="15" hidden="false" customHeight="false" outlineLevel="0" collapsed="false">
      <c r="M870" s="0" t="str">
        <f aca="false">IF(CSV貼付A!$N870="","",IF(COUNTIF($B$37:$B$48,CSV貼付A!$H870)&gt;0,"",IF(SUMPRODUCT((CSV貼付A!$N$5:$N870=CSV貼付A!$N870)*(COUNTIF($B$37:$B$48,CSV貼付A!$H$5:$H870)=0))&gt;1,"",MAX($M$4:M869)+1)))</f>
        <v/>
      </c>
      <c r="N870" s="0" t="str">
        <f aca="false">IFERROR(INDEX(CSV貼付A!$N$5:$N$1004,MATCH(ROW()-4,$M$5:$M$1004,0)),"")</f>
        <v/>
      </c>
      <c r="O870" s="0" t="str">
        <f aca="false">IF(CSV貼付B!$N870="","",IF(COUNTIF($B$37:$B$48,CSV貼付B!$H870)&gt;0,"",IF(SUMPRODUCT((CSV貼付B!$N$5:$N870=CSV貼付B!$N870)*(COUNTIF($B$37:$B$48,CSV貼付B!$H$5:$H870)=0))&gt;1,"",MAX($O$4:O869)+1)))</f>
        <v/>
      </c>
      <c r="P870" s="0" t="str">
        <f aca="false">IFERROR(INDEX(CSV貼付B!$N$5:$N$1004,MATCH(ROW()-4,$O$5:$O$1004,0)),"")</f>
        <v/>
      </c>
      <c r="Q870" s="0" t="str">
        <f aca="false">IF(ROW()-4&lt;=MAX($M$5:$M$1004),IFERROR(INDEX($N$5:$N$1004,ROW()-4),""),IFERROR(INDEX($P$5:$P$1004,ROW()-4-MAX($M$5:$M$1004)),""))</f>
        <v/>
      </c>
    </row>
    <row r="871" customFormat="false" ht="15" hidden="false" customHeight="false" outlineLevel="0" collapsed="false">
      <c r="M871" s="0" t="str">
        <f aca="false">IF(CSV貼付A!$N871="","",IF(COUNTIF($B$37:$B$48,CSV貼付A!$H871)&gt;0,"",IF(SUMPRODUCT((CSV貼付A!$N$5:$N871=CSV貼付A!$N871)*(COUNTIF($B$37:$B$48,CSV貼付A!$H$5:$H871)=0))&gt;1,"",MAX($M$4:M870)+1)))</f>
        <v/>
      </c>
      <c r="N871" s="0" t="str">
        <f aca="false">IFERROR(INDEX(CSV貼付A!$N$5:$N$1004,MATCH(ROW()-4,$M$5:$M$1004,0)),"")</f>
        <v/>
      </c>
      <c r="O871" s="0" t="str">
        <f aca="false">IF(CSV貼付B!$N871="","",IF(COUNTIF($B$37:$B$48,CSV貼付B!$H871)&gt;0,"",IF(SUMPRODUCT((CSV貼付B!$N$5:$N871=CSV貼付B!$N871)*(COUNTIF($B$37:$B$48,CSV貼付B!$H$5:$H871)=0))&gt;1,"",MAX($O$4:O870)+1)))</f>
        <v/>
      </c>
      <c r="P871" s="0" t="str">
        <f aca="false">IFERROR(INDEX(CSV貼付B!$N$5:$N$1004,MATCH(ROW()-4,$O$5:$O$1004,0)),"")</f>
        <v/>
      </c>
      <c r="Q871" s="0" t="str">
        <f aca="false">IF(ROW()-4&lt;=MAX($M$5:$M$1004),IFERROR(INDEX($N$5:$N$1004,ROW()-4),""),IFERROR(INDEX($P$5:$P$1004,ROW()-4-MAX($M$5:$M$1004)),""))</f>
        <v/>
      </c>
    </row>
    <row r="872" customFormat="false" ht="15" hidden="false" customHeight="false" outlineLevel="0" collapsed="false">
      <c r="M872" s="0" t="str">
        <f aca="false">IF(CSV貼付A!$N872="","",IF(COUNTIF($B$37:$B$48,CSV貼付A!$H872)&gt;0,"",IF(SUMPRODUCT((CSV貼付A!$N$5:$N872=CSV貼付A!$N872)*(COUNTIF($B$37:$B$48,CSV貼付A!$H$5:$H872)=0))&gt;1,"",MAX($M$4:M871)+1)))</f>
        <v/>
      </c>
      <c r="N872" s="0" t="str">
        <f aca="false">IFERROR(INDEX(CSV貼付A!$N$5:$N$1004,MATCH(ROW()-4,$M$5:$M$1004,0)),"")</f>
        <v/>
      </c>
      <c r="O872" s="0" t="str">
        <f aca="false">IF(CSV貼付B!$N872="","",IF(COUNTIF($B$37:$B$48,CSV貼付B!$H872)&gt;0,"",IF(SUMPRODUCT((CSV貼付B!$N$5:$N872=CSV貼付B!$N872)*(COUNTIF($B$37:$B$48,CSV貼付B!$H$5:$H872)=0))&gt;1,"",MAX($O$4:O871)+1)))</f>
        <v/>
      </c>
      <c r="P872" s="0" t="str">
        <f aca="false">IFERROR(INDEX(CSV貼付B!$N$5:$N$1004,MATCH(ROW()-4,$O$5:$O$1004,0)),"")</f>
        <v/>
      </c>
      <c r="Q872" s="0" t="str">
        <f aca="false">IF(ROW()-4&lt;=MAX($M$5:$M$1004),IFERROR(INDEX($N$5:$N$1004,ROW()-4),""),IFERROR(INDEX($P$5:$P$1004,ROW()-4-MAX($M$5:$M$1004)),""))</f>
        <v/>
      </c>
    </row>
    <row r="873" customFormat="false" ht="15" hidden="false" customHeight="false" outlineLevel="0" collapsed="false">
      <c r="M873" s="0" t="str">
        <f aca="false">IF(CSV貼付A!$N873="","",IF(COUNTIF($B$37:$B$48,CSV貼付A!$H873)&gt;0,"",IF(SUMPRODUCT((CSV貼付A!$N$5:$N873=CSV貼付A!$N873)*(COUNTIF($B$37:$B$48,CSV貼付A!$H$5:$H873)=0))&gt;1,"",MAX($M$4:M872)+1)))</f>
        <v/>
      </c>
      <c r="N873" s="0" t="str">
        <f aca="false">IFERROR(INDEX(CSV貼付A!$N$5:$N$1004,MATCH(ROW()-4,$M$5:$M$1004,0)),"")</f>
        <v/>
      </c>
      <c r="O873" s="0" t="str">
        <f aca="false">IF(CSV貼付B!$N873="","",IF(COUNTIF($B$37:$B$48,CSV貼付B!$H873)&gt;0,"",IF(SUMPRODUCT((CSV貼付B!$N$5:$N873=CSV貼付B!$N873)*(COUNTIF($B$37:$B$48,CSV貼付B!$H$5:$H873)=0))&gt;1,"",MAX($O$4:O872)+1)))</f>
        <v/>
      </c>
      <c r="P873" s="0" t="str">
        <f aca="false">IFERROR(INDEX(CSV貼付B!$N$5:$N$1004,MATCH(ROW()-4,$O$5:$O$1004,0)),"")</f>
        <v/>
      </c>
      <c r="Q873" s="0" t="str">
        <f aca="false">IF(ROW()-4&lt;=MAX($M$5:$M$1004),IFERROR(INDEX($N$5:$N$1004,ROW()-4),""),IFERROR(INDEX($P$5:$P$1004,ROW()-4-MAX($M$5:$M$1004)),""))</f>
        <v/>
      </c>
    </row>
    <row r="874" customFormat="false" ht="15" hidden="false" customHeight="false" outlineLevel="0" collapsed="false">
      <c r="M874" s="0" t="str">
        <f aca="false">IF(CSV貼付A!$N874="","",IF(COUNTIF($B$37:$B$48,CSV貼付A!$H874)&gt;0,"",IF(SUMPRODUCT((CSV貼付A!$N$5:$N874=CSV貼付A!$N874)*(COUNTIF($B$37:$B$48,CSV貼付A!$H$5:$H874)=0))&gt;1,"",MAX($M$4:M873)+1)))</f>
        <v/>
      </c>
      <c r="N874" s="0" t="str">
        <f aca="false">IFERROR(INDEX(CSV貼付A!$N$5:$N$1004,MATCH(ROW()-4,$M$5:$M$1004,0)),"")</f>
        <v/>
      </c>
      <c r="O874" s="0" t="str">
        <f aca="false">IF(CSV貼付B!$N874="","",IF(COUNTIF($B$37:$B$48,CSV貼付B!$H874)&gt;0,"",IF(SUMPRODUCT((CSV貼付B!$N$5:$N874=CSV貼付B!$N874)*(COUNTIF($B$37:$B$48,CSV貼付B!$H$5:$H874)=0))&gt;1,"",MAX($O$4:O873)+1)))</f>
        <v/>
      </c>
      <c r="P874" s="0" t="str">
        <f aca="false">IFERROR(INDEX(CSV貼付B!$N$5:$N$1004,MATCH(ROW()-4,$O$5:$O$1004,0)),"")</f>
        <v/>
      </c>
      <c r="Q874" s="0" t="str">
        <f aca="false">IF(ROW()-4&lt;=MAX($M$5:$M$1004),IFERROR(INDEX($N$5:$N$1004,ROW()-4),""),IFERROR(INDEX($P$5:$P$1004,ROW()-4-MAX($M$5:$M$1004)),""))</f>
        <v/>
      </c>
    </row>
    <row r="875" customFormat="false" ht="15" hidden="false" customHeight="false" outlineLevel="0" collapsed="false">
      <c r="M875" s="0" t="str">
        <f aca="false">IF(CSV貼付A!$N875="","",IF(COUNTIF($B$37:$B$48,CSV貼付A!$H875)&gt;0,"",IF(SUMPRODUCT((CSV貼付A!$N$5:$N875=CSV貼付A!$N875)*(COUNTIF($B$37:$B$48,CSV貼付A!$H$5:$H875)=0))&gt;1,"",MAX($M$4:M874)+1)))</f>
        <v/>
      </c>
      <c r="N875" s="0" t="str">
        <f aca="false">IFERROR(INDEX(CSV貼付A!$N$5:$N$1004,MATCH(ROW()-4,$M$5:$M$1004,0)),"")</f>
        <v/>
      </c>
      <c r="O875" s="0" t="str">
        <f aca="false">IF(CSV貼付B!$N875="","",IF(COUNTIF($B$37:$B$48,CSV貼付B!$H875)&gt;0,"",IF(SUMPRODUCT((CSV貼付B!$N$5:$N875=CSV貼付B!$N875)*(COUNTIF($B$37:$B$48,CSV貼付B!$H$5:$H875)=0))&gt;1,"",MAX($O$4:O874)+1)))</f>
        <v/>
      </c>
      <c r="P875" s="0" t="str">
        <f aca="false">IFERROR(INDEX(CSV貼付B!$N$5:$N$1004,MATCH(ROW()-4,$O$5:$O$1004,0)),"")</f>
        <v/>
      </c>
      <c r="Q875" s="0" t="str">
        <f aca="false">IF(ROW()-4&lt;=MAX($M$5:$M$1004),IFERROR(INDEX($N$5:$N$1004,ROW()-4),""),IFERROR(INDEX($P$5:$P$1004,ROW()-4-MAX($M$5:$M$1004)),""))</f>
        <v/>
      </c>
    </row>
    <row r="876" customFormat="false" ht="15" hidden="false" customHeight="false" outlineLevel="0" collapsed="false">
      <c r="M876" s="0" t="str">
        <f aca="false">IF(CSV貼付A!$N876="","",IF(COUNTIF($B$37:$B$48,CSV貼付A!$H876)&gt;0,"",IF(SUMPRODUCT((CSV貼付A!$N$5:$N876=CSV貼付A!$N876)*(COUNTIF($B$37:$B$48,CSV貼付A!$H$5:$H876)=0))&gt;1,"",MAX($M$4:M875)+1)))</f>
        <v/>
      </c>
      <c r="N876" s="0" t="str">
        <f aca="false">IFERROR(INDEX(CSV貼付A!$N$5:$N$1004,MATCH(ROW()-4,$M$5:$M$1004,0)),"")</f>
        <v/>
      </c>
      <c r="O876" s="0" t="str">
        <f aca="false">IF(CSV貼付B!$N876="","",IF(COUNTIF($B$37:$B$48,CSV貼付B!$H876)&gt;0,"",IF(SUMPRODUCT((CSV貼付B!$N$5:$N876=CSV貼付B!$N876)*(COUNTIF($B$37:$B$48,CSV貼付B!$H$5:$H876)=0))&gt;1,"",MAX($O$4:O875)+1)))</f>
        <v/>
      </c>
      <c r="P876" s="0" t="str">
        <f aca="false">IFERROR(INDEX(CSV貼付B!$N$5:$N$1004,MATCH(ROW()-4,$O$5:$O$1004,0)),"")</f>
        <v/>
      </c>
      <c r="Q876" s="0" t="str">
        <f aca="false">IF(ROW()-4&lt;=MAX($M$5:$M$1004),IFERROR(INDEX($N$5:$N$1004,ROW()-4),""),IFERROR(INDEX($P$5:$P$1004,ROW()-4-MAX($M$5:$M$1004)),""))</f>
        <v/>
      </c>
    </row>
    <row r="877" customFormat="false" ht="15" hidden="false" customHeight="false" outlineLevel="0" collapsed="false">
      <c r="M877" s="0" t="str">
        <f aca="false">IF(CSV貼付A!$N877="","",IF(COUNTIF($B$37:$B$48,CSV貼付A!$H877)&gt;0,"",IF(SUMPRODUCT((CSV貼付A!$N$5:$N877=CSV貼付A!$N877)*(COUNTIF($B$37:$B$48,CSV貼付A!$H$5:$H877)=0))&gt;1,"",MAX($M$4:M876)+1)))</f>
        <v/>
      </c>
      <c r="N877" s="0" t="str">
        <f aca="false">IFERROR(INDEX(CSV貼付A!$N$5:$N$1004,MATCH(ROW()-4,$M$5:$M$1004,0)),"")</f>
        <v/>
      </c>
      <c r="O877" s="0" t="str">
        <f aca="false">IF(CSV貼付B!$N877="","",IF(COUNTIF($B$37:$B$48,CSV貼付B!$H877)&gt;0,"",IF(SUMPRODUCT((CSV貼付B!$N$5:$N877=CSV貼付B!$N877)*(COUNTIF($B$37:$B$48,CSV貼付B!$H$5:$H877)=0))&gt;1,"",MAX($O$4:O876)+1)))</f>
        <v/>
      </c>
      <c r="P877" s="0" t="str">
        <f aca="false">IFERROR(INDEX(CSV貼付B!$N$5:$N$1004,MATCH(ROW()-4,$O$5:$O$1004,0)),"")</f>
        <v/>
      </c>
      <c r="Q877" s="0" t="str">
        <f aca="false">IF(ROW()-4&lt;=MAX($M$5:$M$1004),IFERROR(INDEX($N$5:$N$1004,ROW()-4),""),IFERROR(INDEX($P$5:$P$1004,ROW()-4-MAX($M$5:$M$1004)),""))</f>
        <v/>
      </c>
    </row>
    <row r="878" customFormat="false" ht="15" hidden="false" customHeight="false" outlineLevel="0" collapsed="false">
      <c r="M878" s="0" t="str">
        <f aca="false">IF(CSV貼付A!$N878="","",IF(COUNTIF($B$37:$B$48,CSV貼付A!$H878)&gt;0,"",IF(SUMPRODUCT((CSV貼付A!$N$5:$N878=CSV貼付A!$N878)*(COUNTIF($B$37:$B$48,CSV貼付A!$H$5:$H878)=0))&gt;1,"",MAX($M$4:M877)+1)))</f>
        <v/>
      </c>
      <c r="N878" s="0" t="str">
        <f aca="false">IFERROR(INDEX(CSV貼付A!$N$5:$N$1004,MATCH(ROW()-4,$M$5:$M$1004,0)),"")</f>
        <v/>
      </c>
      <c r="O878" s="0" t="str">
        <f aca="false">IF(CSV貼付B!$N878="","",IF(COUNTIF($B$37:$B$48,CSV貼付B!$H878)&gt;0,"",IF(SUMPRODUCT((CSV貼付B!$N$5:$N878=CSV貼付B!$N878)*(COUNTIF($B$37:$B$48,CSV貼付B!$H$5:$H878)=0))&gt;1,"",MAX($O$4:O877)+1)))</f>
        <v/>
      </c>
      <c r="P878" s="0" t="str">
        <f aca="false">IFERROR(INDEX(CSV貼付B!$N$5:$N$1004,MATCH(ROW()-4,$O$5:$O$1004,0)),"")</f>
        <v/>
      </c>
      <c r="Q878" s="0" t="str">
        <f aca="false">IF(ROW()-4&lt;=MAX($M$5:$M$1004),IFERROR(INDEX($N$5:$N$1004,ROW()-4),""),IFERROR(INDEX($P$5:$P$1004,ROW()-4-MAX($M$5:$M$1004)),""))</f>
        <v/>
      </c>
    </row>
    <row r="879" customFormat="false" ht="15" hidden="false" customHeight="false" outlineLevel="0" collapsed="false">
      <c r="M879" s="0" t="str">
        <f aca="false">IF(CSV貼付A!$N879="","",IF(COUNTIF($B$37:$B$48,CSV貼付A!$H879)&gt;0,"",IF(SUMPRODUCT((CSV貼付A!$N$5:$N879=CSV貼付A!$N879)*(COUNTIF($B$37:$B$48,CSV貼付A!$H$5:$H879)=0))&gt;1,"",MAX($M$4:M878)+1)))</f>
        <v/>
      </c>
      <c r="N879" s="0" t="str">
        <f aca="false">IFERROR(INDEX(CSV貼付A!$N$5:$N$1004,MATCH(ROW()-4,$M$5:$M$1004,0)),"")</f>
        <v/>
      </c>
      <c r="O879" s="0" t="str">
        <f aca="false">IF(CSV貼付B!$N879="","",IF(COUNTIF($B$37:$B$48,CSV貼付B!$H879)&gt;0,"",IF(SUMPRODUCT((CSV貼付B!$N$5:$N879=CSV貼付B!$N879)*(COUNTIF($B$37:$B$48,CSV貼付B!$H$5:$H879)=0))&gt;1,"",MAX($O$4:O878)+1)))</f>
        <v/>
      </c>
      <c r="P879" s="0" t="str">
        <f aca="false">IFERROR(INDEX(CSV貼付B!$N$5:$N$1004,MATCH(ROW()-4,$O$5:$O$1004,0)),"")</f>
        <v/>
      </c>
      <c r="Q879" s="0" t="str">
        <f aca="false">IF(ROW()-4&lt;=MAX($M$5:$M$1004),IFERROR(INDEX($N$5:$N$1004,ROW()-4),""),IFERROR(INDEX($P$5:$P$1004,ROW()-4-MAX($M$5:$M$1004)),""))</f>
        <v/>
      </c>
    </row>
    <row r="880" customFormat="false" ht="15" hidden="false" customHeight="false" outlineLevel="0" collapsed="false">
      <c r="M880" s="0" t="str">
        <f aca="false">IF(CSV貼付A!$N880="","",IF(COUNTIF($B$37:$B$48,CSV貼付A!$H880)&gt;0,"",IF(SUMPRODUCT((CSV貼付A!$N$5:$N880=CSV貼付A!$N880)*(COUNTIF($B$37:$B$48,CSV貼付A!$H$5:$H880)=0))&gt;1,"",MAX($M$4:M879)+1)))</f>
        <v/>
      </c>
      <c r="N880" s="0" t="str">
        <f aca="false">IFERROR(INDEX(CSV貼付A!$N$5:$N$1004,MATCH(ROW()-4,$M$5:$M$1004,0)),"")</f>
        <v/>
      </c>
      <c r="O880" s="0" t="str">
        <f aca="false">IF(CSV貼付B!$N880="","",IF(COUNTIF($B$37:$B$48,CSV貼付B!$H880)&gt;0,"",IF(SUMPRODUCT((CSV貼付B!$N$5:$N880=CSV貼付B!$N880)*(COUNTIF($B$37:$B$48,CSV貼付B!$H$5:$H880)=0))&gt;1,"",MAX($O$4:O879)+1)))</f>
        <v/>
      </c>
      <c r="P880" s="0" t="str">
        <f aca="false">IFERROR(INDEX(CSV貼付B!$N$5:$N$1004,MATCH(ROW()-4,$O$5:$O$1004,0)),"")</f>
        <v/>
      </c>
      <c r="Q880" s="0" t="str">
        <f aca="false">IF(ROW()-4&lt;=MAX($M$5:$M$1004),IFERROR(INDEX($N$5:$N$1004,ROW()-4),""),IFERROR(INDEX($P$5:$P$1004,ROW()-4-MAX($M$5:$M$1004)),""))</f>
        <v/>
      </c>
    </row>
    <row r="881" customFormat="false" ht="15" hidden="false" customHeight="false" outlineLevel="0" collapsed="false">
      <c r="M881" s="0" t="str">
        <f aca="false">IF(CSV貼付A!$N881="","",IF(COUNTIF($B$37:$B$48,CSV貼付A!$H881)&gt;0,"",IF(SUMPRODUCT((CSV貼付A!$N$5:$N881=CSV貼付A!$N881)*(COUNTIF($B$37:$B$48,CSV貼付A!$H$5:$H881)=0))&gt;1,"",MAX($M$4:M880)+1)))</f>
        <v/>
      </c>
      <c r="N881" s="0" t="str">
        <f aca="false">IFERROR(INDEX(CSV貼付A!$N$5:$N$1004,MATCH(ROW()-4,$M$5:$M$1004,0)),"")</f>
        <v/>
      </c>
      <c r="O881" s="0" t="str">
        <f aca="false">IF(CSV貼付B!$N881="","",IF(COUNTIF($B$37:$B$48,CSV貼付B!$H881)&gt;0,"",IF(SUMPRODUCT((CSV貼付B!$N$5:$N881=CSV貼付B!$N881)*(COUNTIF($B$37:$B$48,CSV貼付B!$H$5:$H881)=0))&gt;1,"",MAX($O$4:O880)+1)))</f>
        <v/>
      </c>
      <c r="P881" s="0" t="str">
        <f aca="false">IFERROR(INDEX(CSV貼付B!$N$5:$N$1004,MATCH(ROW()-4,$O$5:$O$1004,0)),"")</f>
        <v/>
      </c>
      <c r="Q881" s="0" t="str">
        <f aca="false">IF(ROW()-4&lt;=MAX($M$5:$M$1004),IFERROR(INDEX($N$5:$N$1004,ROW()-4),""),IFERROR(INDEX($P$5:$P$1004,ROW()-4-MAX($M$5:$M$1004)),""))</f>
        <v/>
      </c>
    </row>
    <row r="882" customFormat="false" ht="15" hidden="false" customHeight="false" outlineLevel="0" collapsed="false">
      <c r="M882" s="0" t="str">
        <f aca="false">IF(CSV貼付A!$N882="","",IF(COUNTIF($B$37:$B$48,CSV貼付A!$H882)&gt;0,"",IF(SUMPRODUCT((CSV貼付A!$N$5:$N882=CSV貼付A!$N882)*(COUNTIF($B$37:$B$48,CSV貼付A!$H$5:$H882)=0))&gt;1,"",MAX($M$4:M881)+1)))</f>
        <v/>
      </c>
      <c r="N882" s="0" t="str">
        <f aca="false">IFERROR(INDEX(CSV貼付A!$N$5:$N$1004,MATCH(ROW()-4,$M$5:$M$1004,0)),"")</f>
        <v/>
      </c>
      <c r="O882" s="0" t="str">
        <f aca="false">IF(CSV貼付B!$N882="","",IF(COUNTIF($B$37:$B$48,CSV貼付B!$H882)&gt;0,"",IF(SUMPRODUCT((CSV貼付B!$N$5:$N882=CSV貼付B!$N882)*(COUNTIF($B$37:$B$48,CSV貼付B!$H$5:$H882)=0))&gt;1,"",MAX($O$4:O881)+1)))</f>
        <v/>
      </c>
      <c r="P882" s="0" t="str">
        <f aca="false">IFERROR(INDEX(CSV貼付B!$N$5:$N$1004,MATCH(ROW()-4,$O$5:$O$1004,0)),"")</f>
        <v/>
      </c>
      <c r="Q882" s="0" t="str">
        <f aca="false">IF(ROW()-4&lt;=MAX($M$5:$M$1004),IFERROR(INDEX($N$5:$N$1004,ROW()-4),""),IFERROR(INDEX($P$5:$P$1004,ROW()-4-MAX($M$5:$M$1004)),""))</f>
        <v/>
      </c>
    </row>
    <row r="883" customFormat="false" ht="15" hidden="false" customHeight="false" outlineLevel="0" collapsed="false">
      <c r="M883" s="0" t="str">
        <f aca="false">IF(CSV貼付A!$N883="","",IF(COUNTIF($B$37:$B$48,CSV貼付A!$H883)&gt;0,"",IF(SUMPRODUCT((CSV貼付A!$N$5:$N883=CSV貼付A!$N883)*(COUNTIF($B$37:$B$48,CSV貼付A!$H$5:$H883)=0))&gt;1,"",MAX($M$4:M882)+1)))</f>
        <v/>
      </c>
      <c r="N883" s="0" t="str">
        <f aca="false">IFERROR(INDEX(CSV貼付A!$N$5:$N$1004,MATCH(ROW()-4,$M$5:$M$1004,0)),"")</f>
        <v/>
      </c>
      <c r="O883" s="0" t="str">
        <f aca="false">IF(CSV貼付B!$N883="","",IF(COUNTIF($B$37:$B$48,CSV貼付B!$H883)&gt;0,"",IF(SUMPRODUCT((CSV貼付B!$N$5:$N883=CSV貼付B!$N883)*(COUNTIF($B$37:$B$48,CSV貼付B!$H$5:$H883)=0))&gt;1,"",MAX($O$4:O882)+1)))</f>
        <v/>
      </c>
      <c r="P883" s="0" t="str">
        <f aca="false">IFERROR(INDEX(CSV貼付B!$N$5:$N$1004,MATCH(ROW()-4,$O$5:$O$1004,0)),"")</f>
        <v/>
      </c>
      <c r="Q883" s="0" t="str">
        <f aca="false">IF(ROW()-4&lt;=MAX($M$5:$M$1004),IFERROR(INDEX($N$5:$N$1004,ROW()-4),""),IFERROR(INDEX($P$5:$P$1004,ROW()-4-MAX($M$5:$M$1004)),""))</f>
        <v/>
      </c>
    </row>
    <row r="884" customFormat="false" ht="15" hidden="false" customHeight="false" outlineLevel="0" collapsed="false">
      <c r="M884" s="0" t="str">
        <f aca="false">IF(CSV貼付A!$N884="","",IF(COUNTIF($B$37:$B$48,CSV貼付A!$H884)&gt;0,"",IF(SUMPRODUCT((CSV貼付A!$N$5:$N884=CSV貼付A!$N884)*(COUNTIF($B$37:$B$48,CSV貼付A!$H$5:$H884)=0))&gt;1,"",MAX($M$4:M883)+1)))</f>
        <v/>
      </c>
      <c r="N884" s="0" t="str">
        <f aca="false">IFERROR(INDEX(CSV貼付A!$N$5:$N$1004,MATCH(ROW()-4,$M$5:$M$1004,0)),"")</f>
        <v/>
      </c>
      <c r="O884" s="0" t="str">
        <f aca="false">IF(CSV貼付B!$N884="","",IF(COUNTIF($B$37:$B$48,CSV貼付B!$H884)&gt;0,"",IF(SUMPRODUCT((CSV貼付B!$N$5:$N884=CSV貼付B!$N884)*(COUNTIF($B$37:$B$48,CSV貼付B!$H$5:$H884)=0))&gt;1,"",MAX($O$4:O883)+1)))</f>
        <v/>
      </c>
      <c r="P884" s="0" t="str">
        <f aca="false">IFERROR(INDEX(CSV貼付B!$N$5:$N$1004,MATCH(ROW()-4,$O$5:$O$1004,0)),"")</f>
        <v/>
      </c>
      <c r="Q884" s="0" t="str">
        <f aca="false">IF(ROW()-4&lt;=MAX($M$5:$M$1004),IFERROR(INDEX($N$5:$N$1004,ROW()-4),""),IFERROR(INDEX($P$5:$P$1004,ROW()-4-MAX($M$5:$M$1004)),""))</f>
        <v/>
      </c>
    </row>
    <row r="885" customFormat="false" ht="15" hidden="false" customHeight="false" outlineLevel="0" collapsed="false">
      <c r="M885" s="0" t="str">
        <f aca="false">IF(CSV貼付A!$N885="","",IF(COUNTIF($B$37:$B$48,CSV貼付A!$H885)&gt;0,"",IF(SUMPRODUCT((CSV貼付A!$N$5:$N885=CSV貼付A!$N885)*(COUNTIF($B$37:$B$48,CSV貼付A!$H$5:$H885)=0))&gt;1,"",MAX($M$4:M884)+1)))</f>
        <v/>
      </c>
      <c r="N885" s="0" t="str">
        <f aca="false">IFERROR(INDEX(CSV貼付A!$N$5:$N$1004,MATCH(ROW()-4,$M$5:$M$1004,0)),"")</f>
        <v/>
      </c>
      <c r="O885" s="0" t="str">
        <f aca="false">IF(CSV貼付B!$N885="","",IF(COUNTIF($B$37:$B$48,CSV貼付B!$H885)&gt;0,"",IF(SUMPRODUCT((CSV貼付B!$N$5:$N885=CSV貼付B!$N885)*(COUNTIF($B$37:$B$48,CSV貼付B!$H$5:$H885)=0))&gt;1,"",MAX($O$4:O884)+1)))</f>
        <v/>
      </c>
      <c r="P885" s="0" t="str">
        <f aca="false">IFERROR(INDEX(CSV貼付B!$N$5:$N$1004,MATCH(ROW()-4,$O$5:$O$1004,0)),"")</f>
        <v/>
      </c>
      <c r="Q885" s="0" t="str">
        <f aca="false">IF(ROW()-4&lt;=MAX($M$5:$M$1004),IFERROR(INDEX($N$5:$N$1004,ROW()-4),""),IFERROR(INDEX($P$5:$P$1004,ROW()-4-MAX($M$5:$M$1004)),""))</f>
        <v/>
      </c>
    </row>
    <row r="886" customFormat="false" ht="15" hidden="false" customHeight="false" outlineLevel="0" collapsed="false">
      <c r="M886" s="0" t="str">
        <f aca="false">IF(CSV貼付A!$N886="","",IF(COUNTIF($B$37:$B$48,CSV貼付A!$H886)&gt;0,"",IF(SUMPRODUCT((CSV貼付A!$N$5:$N886=CSV貼付A!$N886)*(COUNTIF($B$37:$B$48,CSV貼付A!$H$5:$H886)=0))&gt;1,"",MAX($M$4:M885)+1)))</f>
        <v/>
      </c>
      <c r="N886" s="0" t="str">
        <f aca="false">IFERROR(INDEX(CSV貼付A!$N$5:$N$1004,MATCH(ROW()-4,$M$5:$M$1004,0)),"")</f>
        <v/>
      </c>
      <c r="O886" s="0" t="str">
        <f aca="false">IF(CSV貼付B!$N886="","",IF(COUNTIF($B$37:$B$48,CSV貼付B!$H886)&gt;0,"",IF(SUMPRODUCT((CSV貼付B!$N$5:$N886=CSV貼付B!$N886)*(COUNTIF($B$37:$B$48,CSV貼付B!$H$5:$H886)=0))&gt;1,"",MAX($O$4:O885)+1)))</f>
        <v/>
      </c>
      <c r="P886" s="0" t="str">
        <f aca="false">IFERROR(INDEX(CSV貼付B!$N$5:$N$1004,MATCH(ROW()-4,$O$5:$O$1004,0)),"")</f>
        <v/>
      </c>
      <c r="Q886" s="0" t="str">
        <f aca="false">IF(ROW()-4&lt;=MAX($M$5:$M$1004),IFERROR(INDEX($N$5:$N$1004,ROW()-4),""),IFERROR(INDEX($P$5:$P$1004,ROW()-4-MAX($M$5:$M$1004)),""))</f>
        <v/>
      </c>
    </row>
    <row r="887" customFormat="false" ht="15" hidden="false" customHeight="false" outlineLevel="0" collapsed="false">
      <c r="M887" s="0" t="str">
        <f aca="false">IF(CSV貼付A!$N887="","",IF(COUNTIF($B$37:$B$48,CSV貼付A!$H887)&gt;0,"",IF(SUMPRODUCT((CSV貼付A!$N$5:$N887=CSV貼付A!$N887)*(COUNTIF($B$37:$B$48,CSV貼付A!$H$5:$H887)=0))&gt;1,"",MAX($M$4:M886)+1)))</f>
        <v/>
      </c>
      <c r="N887" s="0" t="str">
        <f aca="false">IFERROR(INDEX(CSV貼付A!$N$5:$N$1004,MATCH(ROW()-4,$M$5:$M$1004,0)),"")</f>
        <v/>
      </c>
      <c r="O887" s="0" t="str">
        <f aca="false">IF(CSV貼付B!$N887="","",IF(COUNTIF($B$37:$B$48,CSV貼付B!$H887)&gt;0,"",IF(SUMPRODUCT((CSV貼付B!$N$5:$N887=CSV貼付B!$N887)*(COUNTIF($B$37:$B$48,CSV貼付B!$H$5:$H887)=0))&gt;1,"",MAX($O$4:O886)+1)))</f>
        <v/>
      </c>
      <c r="P887" s="0" t="str">
        <f aca="false">IFERROR(INDEX(CSV貼付B!$N$5:$N$1004,MATCH(ROW()-4,$O$5:$O$1004,0)),"")</f>
        <v/>
      </c>
      <c r="Q887" s="0" t="str">
        <f aca="false">IF(ROW()-4&lt;=MAX($M$5:$M$1004),IFERROR(INDEX($N$5:$N$1004,ROW()-4),""),IFERROR(INDEX($P$5:$P$1004,ROW()-4-MAX($M$5:$M$1004)),""))</f>
        <v/>
      </c>
    </row>
    <row r="888" customFormat="false" ht="15" hidden="false" customHeight="false" outlineLevel="0" collapsed="false">
      <c r="M888" s="0" t="str">
        <f aca="false">IF(CSV貼付A!$N888="","",IF(COUNTIF($B$37:$B$48,CSV貼付A!$H888)&gt;0,"",IF(SUMPRODUCT((CSV貼付A!$N$5:$N888=CSV貼付A!$N888)*(COUNTIF($B$37:$B$48,CSV貼付A!$H$5:$H888)=0))&gt;1,"",MAX($M$4:M887)+1)))</f>
        <v/>
      </c>
      <c r="N888" s="0" t="str">
        <f aca="false">IFERROR(INDEX(CSV貼付A!$N$5:$N$1004,MATCH(ROW()-4,$M$5:$M$1004,0)),"")</f>
        <v/>
      </c>
      <c r="O888" s="0" t="str">
        <f aca="false">IF(CSV貼付B!$N888="","",IF(COUNTIF($B$37:$B$48,CSV貼付B!$H888)&gt;0,"",IF(SUMPRODUCT((CSV貼付B!$N$5:$N888=CSV貼付B!$N888)*(COUNTIF($B$37:$B$48,CSV貼付B!$H$5:$H888)=0))&gt;1,"",MAX($O$4:O887)+1)))</f>
        <v/>
      </c>
      <c r="P888" s="0" t="str">
        <f aca="false">IFERROR(INDEX(CSV貼付B!$N$5:$N$1004,MATCH(ROW()-4,$O$5:$O$1004,0)),"")</f>
        <v/>
      </c>
      <c r="Q888" s="0" t="str">
        <f aca="false">IF(ROW()-4&lt;=MAX($M$5:$M$1004),IFERROR(INDEX($N$5:$N$1004,ROW()-4),""),IFERROR(INDEX($P$5:$P$1004,ROW()-4-MAX($M$5:$M$1004)),""))</f>
        <v/>
      </c>
    </row>
    <row r="889" customFormat="false" ht="15" hidden="false" customHeight="false" outlineLevel="0" collapsed="false">
      <c r="M889" s="0" t="str">
        <f aca="false">IF(CSV貼付A!$N889="","",IF(COUNTIF($B$37:$B$48,CSV貼付A!$H889)&gt;0,"",IF(SUMPRODUCT((CSV貼付A!$N$5:$N889=CSV貼付A!$N889)*(COUNTIF($B$37:$B$48,CSV貼付A!$H$5:$H889)=0))&gt;1,"",MAX($M$4:M888)+1)))</f>
        <v/>
      </c>
      <c r="N889" s="0" t="str">
        <f aca="false">IFERROR(INDEX(CSV貼付A!$N$5:$N$1004,MATCH(ROW()-4,$M$5:$M$1004,0)),"")</f>
        <v/>
      </c>
      <c r="O889" s="0" t="str">
        <f aca="false">IF(CSV貼付B!$N889="","",IF(COUNTIF($B$37:$B$48,CSV貼付B!$H889)&gt;0,"",IF(SUMPRODUCT((CSV貼付B!$N$5:$N889=CSV貼付B!$N889)*(COUNTIF($B$37:$B$48,CSV貼付B!$H$5:$H889)=0))&gt;1,"",MAX($O$4:O888)+1)))</f>
        <v/>
      </c>
      <c r="P889" s="0" t="str">
        <f aca="false">IFERROR(INDEX(CSV貼付B!$N$5:$N$1004,MATCH(ROW()-4,$O$5:$O$1004,0)),"")</f>
        <v/>
      </c>
      <c r="Q889" s="0" t="str">
        <f aca="false">IF(ROW()-4&lt;=MAX($M$5:$M$1004),IFERROR(INDEX($N$5:$N$1004,ROW()-4),""),IFERROR(INDEX($P$5:$P$1004,ROW()-4-MAX($M$5:$M$1004)),""))</f>
        <v/>
      </c>
    </row>
    <row r="890" customFormat="false" ht="15" hidden="false" customHeight="false" outlineLevel="0" collapsed="false">
      <c r="M890" s="0" t="str">
        <f aca="false">IF(CSV貼付A!$N890="","",IF(COUNTIF($B$37:$B$48,CSV貼付A!$H890)&gt;0,"",IF(SUMPRODUCT((CSV貼付A!$N$5:$N890=CSV貼付A!$N890)*(COUNTIF($B$37:$B$48,CSV貼付A!$H$5:$H890)=0))&gt;1,"",MAX($M$4:M889)+1)))</f>
        <v/>
      </c>
      <c r="N890" s="0" t="str">
        <f aca="false">IFERROR(INDEX(CSV貼付A!$N$5:$N$1004,MATCH(ROW()-4,$M$5:$M$1004,0)),"")</f>
        <v/>
      </c>
      <c r="O890" s="0" t="str">
        <f aca="false">IF(CSV貼付B!$N890="","",IF(COUNTIF($B$37:$B$48,CSV貼付B!$H890)&gt;0,"",IF(SUMPRODUCT((CSV貼付B!$N$5:$N890=CSV貼付B!$N890)*(COUNTIF($B$37:$B$48,CSV貼付B!$H$5:$H890)=0))&gt;1,"",MAX($O$4:O889)+1)))</f>
        <v/>
      </c>
      <c r="P890" s="0" t="str">
        <f aca="false">IFERROR(INDEX(CSV貼付B!$N$5:$N$1004,MATCH(ROW()-4,$O$5:$O$1004,0)),"")</f>
        <v/>
      </c>
      <c r="Q890" s="0" t="str">
        <f aca="false">IF(ROW()-4&lt;=MAX($M$5:$M$1004),IFERROR(INDEX($N$5:$N$1004,ROW()-4),""),IFERROR(INDEX($P$5:$P$1004,ROW()-4-MAX($M$5:$M$1004)),""))</f>
        <v/>
      </c>
    </row>
    <row r="891" customFormat="false" ht="15" hidden="false" customHeight="false" outlineLevel="0" collapsed="false">
      <c r="M891" s="0" t="str">
        <f aca="false">IF(CSV貼付A!$N891="","",IF(COUNTIF($B$37:$B$48,CSV貼付A!$H891)&gt;0,"",IF(SUMPRODUCT((CSV貼付A!$N$5:$N891=CSV貼付A!$N891)*(COUNTIF($B$37:$B$48,CSV貼付A!$H$5:$H891)=0))&gt;1,"",MAX($M$4:M890)+1)))</f>
        <v/>
      </c>
      <c r="N891" s="0" t="str">
        <f aca="false">IFERROR(INDEX(CSV貼付A!$N$5:$N$1004,MATCH(ROW()-4,$M$5:$M$1004,0)),"")</f>
        <v/>
      </c>
      <c r="O891" s="0" t="str">
        <f aca="false">IF(CSV貼付B!$N891="","",IF(COUNTIF($B$37:$B$48,CSV貼付B!$H891)&gt;0,"",IF(SUMPRODUCT((CSV貼付B!$N$5:$N891=CSV貼付B!$N891)*(COUNTIF($B$37:$B$48,CSV貼付B!$H$5:$H891)=0))&gt;1,"",MAX($O$4:O890)+1)))</f>
        <v/>
      </c>
      <c r="P891" s="0" t="str">
        <f aca="false">IFERROR(INDEX(CSV貼付B!$N$5:$N$1004,MATCH(ROW()-4,$O$5:$O$1004,0)),"")</f>
        <v/>
      </c>
      <c r="Q891" s="0" t="str">
        <f aca="false">IF(ROW()-4&lt;=MAX($M$5:$M$1004),IFERROR(INDEX($N$5:$N$1004,ROW()-4),""),IFERROR(INDEX($P$5:$P$1004,ROW()-4-MAX($M$5:$M$1004)),""))</f>
        <v/>
      </c>
    </row>
    <row r="892" customFormat="false" ht="15" hidden="false" customHeight="false" outlineLevel="0" collapsed="false">
      <c r="M892" s="0" t="str">
        <f aca="false">IF(CSV貼付A!$N892="","",IF(COUNTIF($B$37:$B$48,CSV貼付A!$H892)&gt;0,"",IF(SUMPRODUCT((CSV貼付A!$N$5:$N892=CSV貼付A!$N892)*(COUNTIF($B$37:$B$48,CSV貼付A!$H$5:$H892)=0))&gt;1,"",MAX($M$4:M891)+1)))</f>
        <v/>
      </c>
      <c r="N892" s="0" t="str">
        <f aca="false">IFERROR(INDEX(CSV貼付A!$N$5:$N$1004,MATCH(ROW()-4,$M$5:$M$1004,0)),"")</f>
        <v/>
      </c>
      <c r="O892" s="0" t="str">
        <f aca="false">IF(CSV貼付B!$N892="","",IF(COUNTIF($B$37:$B$48,CSV貼付B!$H892)&gt;0,"",IF(SUMPRODUCT((CSV貼付B!$N$5:$N892=CSV貼付B!$N892)*(COUNTIF($B$37:$B$48,CSV貼付B!$H$5:$H892)=0))&gt;1,"",MAX($O$4:O891)+1)))</f>
        <v/>
      </c>
      <c r="P892" s="0" t="str">
        <f aca="false">IFERROR(INDEX(CSV貼付B!$N$5:$N$1004,MATCH(ROW()-4,$O$5:$O$1004,0)),"")</f>
        <v/>
      </c>
      <c r="Q892" s="0" t="str">
        <f aca="false">IF(ROW()-4&lt;=MAX($M$5:$M$1004),IFERROR(INDEX($N$5:$N$1004,ROW()-4),""),IFERROR(INDEX($P$5:$P$1004,ROW()-4-MAX($M$5:$M$1004)),""))</f>
        <v/>
      </c>
    </row>
    <row r="893" customFormat="false" ht="15" hidden="false" customHeight="false" outlineLevel="0" collapsed="false">
      <c r="M893" s="0" t="str">
        <f aca="false">IF(CSV貼付A!$N893="","",IF(COUNTIF($B$37:$B$48,CSV貼付A!$H893)&gt;0,"",IF(SUMPRODUCT((CSV貼付A!$N$5:$N893=CSV貼付A!$N893)*(COUNTIF($B$37:$B$48,CSV貼付A!$H$5:$H893)=0))&gt;1,"",MAX($M$4:M892)+1)))</f>
        <v/>
      </c>
      <c r="N893" s="0" t="str">
        <f aca="false">IFERROR(INDEX(CSV貼付A!$N$5:$N$1004,MATCH(ROW()-4,$M$5:$M$1004,0)),"")</f>
        <v/>
      </c>
      <c r="O893" s="0" t="str">
        <f aca="false">IF(CSV貼付B!$N893="","",IF(COUNTIF($B$37:$B$48,CSV貼付B!$H893)&gt;0,"",IF(SUMPRODUCT((CSV貼付B!$N$5:$N893=CSV貼付B!$N893)*(COUNTIF($B$37:$B$48,CSV貼付B!$H$5:$H893)=0))&gt;1,"",MAX($O$4:O892)+1)))</f>
        <v/>
      </c>
      <c r="P893" s="0" t="str">
        <f aca="false">IFERROR(INDEX(CSV貼付B!$N$5:$N$1004,MATCH(ROW()-4,$O$5:$O$1004,0)),"")</f>
        <v/>
      </c>
      <c r="Q893" s="0" t="str">
        <f aca="false">IF(ROW()-4&lt;=MAX($M$5:$M$1004),IFERROR(INDEX($N$5:$N$1004,ROW()-4),""),IFERROR(INDEX($P$5:$P$1004,ROW()-4-MAX($M$5:$M$1004)),""))</f>
        <v/>
      </c>
    </row>
    <row r="894" customFormat="false" ht="15" hidden="false" customHeight="false" outlineLevel="0" collapsed="false">
      <c r="M894" s="0" t="str">
        <f aca="false">IF(CSV貼付A!$N894="","",IF(COUNTIF($B$37:$B$48,CSV貼付A!$H894)&gt;0,"",IF(SUMPRODUCT((CSV貼付A!$N$5:$N894=CSV貼付A!$N894)*(COUNTIF($B$37:$B$48,CSV貼付A!$H$5:$H894)=0))&gt;1,"",MAX($M$4:M893)+1)))</f>
        <v/>
      </c>
      <c r="N894" s="0" t="str">
        <f aca="false">IFERROR(INDEX(CSV貼付A!$N$5:$N$1004,MATCH(ROW()-4,$M$5:$M$1004,0)),"")</f>
        <v/>
      </c>
      <c r="O894" s="0" t="str">
        <f aca="false">IF(CSV貼付B!$N894="","",IF(COUNTIF($B$37:$B$48,CSV貼付B!$H894)&gt;0,"",IF(SUMPRODUCT((CSV貼付B!$N$5:$N894=CSV貼付B!$N894)*(COUNTIF($B$37:$B$48,CSV貼付B!$H$5:$H894)=0))&gt;1,"",MAX($O$4:O893)+1)))</f>
        <v/>
      </c>
      <c r="P894" s="0" t="str">
        <f aca="false">IFERROR(INDEX(CSV貼付B!$N$5:$N$1004,MATCH(ROW()-4,$O$5:$O$1004,0)),"")</f>
        <v/>
      </c>
      <c r="Q894" s="0" t="str">
        <f aca="false">IF(ROW()-4&lt;=MAX($M$5:$M$1004),IFERROR(INDEX($N$5:$N$1004,ROW()-4),""),IFERROR(INDEX($P$5:$P$1004,ROW()-4-MAX($M$5:$M$1004)),""))</f>
        <v/>
      </c>
    </row>
    <row r="895" customFormat="false" ht="15" hidden="false" customHeight="false" outlineLevel="0" collapsed="false">
      <c r="M895" s="0" t="str">
        <f aca="false">IF(CSV貼付A!$N895="","",IF(COUNTIF($B$37:$B$48,CSV貼付A!$H895)&gt;0,"",IF(SUMPRODUCT((CSV貼付A!$N$5:$N895=CSV貼付A!$N895)*(COUNTIF($B$37:$B$48,CSV貼付A!$H$5:$H895)=0))&gt;1,"",MAX($M$4:M894)+1)))</f>
        <v/>
      </c>
      <c r="N895" s="0" t="str">
        <f aca="false">IFERROR(INDEX(CSV貼付A!$N$5:$N$1004,MATCH(ROW()-4,$M$5:$M$1004,0)),"")</f>
        <v/>
      </c>
      <c r="O895" s="0" t="str">
        <f aca="false">IF(CSV貼付B!$N895="","",IF(COUNTIF($B$37:$B$48,CSV貼付B!$H895)&gt;0,"",IF(SUMPRODUCT((CSV貼付B!$N$5:$N895=CSV貼付B!$N895)*(COUNTIF($B$37:$B$48,CSV貼付B!$H$5:$H895)=0))&gt;1,"",MAX($O$4:O894)+1)))</f>
        <v/>
      </c>
      <c r="P895" s="0" t="str">
        <f aca="false">IFERROR(INDEX(CSV貼付B!$N$5:$N$1004,MATCH(ROW()-4,$O$5:$O$1004,0)),"")</f>
        <v/>
      </c>
      <c r="Q895" s="0" t="str">
        <f aca="false">IF(ROW()-4&lt;=MAX($M$5:$M$1004),IFERROR(INDEX($N$5:$N$1004,ROW()-4),""),IFERROR(INDEX($P$5:$P$1004,ROW()-4-MAX($M$5:$M$1004)),""))</f>
        <v/>
      </c>
    </row>
    <row r="896" customFormat="false" ht="15" hidden="false" customHeight="false" outlineLevel="0" collapsed="false">
      <c r="M896" s="0" t="str">
        <f aca="false">IF(CSV貼付A!$N896="","",IF(COUNTIF($B$37:$B$48,CSV貼付A!$H896)&gt;0,"",IF(SUMPRODUCT((CSV貼付A!$N$5:$N896=CSV貼付A!$N896)*(COUNTIF($B$37:$B$48,CSV貼付A!$H$5:$H896)=0))&gt;1,"",MAX($M$4:M895)+1)))</f>
        <v/>
      </c>
      <c r="N896" s="0" t="str">
        <f aca="false">IFERROR(INDEX(CSV貼付A!$N$5:$N$1004,MATCH(ROW()-4,$M$5:$M$1004,0)),"")</f>
        <v/>
      </c>
      <c r="O896" s="0" t="str">
        <f aca="false">IF(CSV貼付B!$N896="","",IF(COUNTIF($B$37:$B$48,CSV貼付B!$H896)&gt;0,"",IF(SUMPRODUCT((CSV貼付B!$N$5:$N896=CSV貼付B!$N896)*(COUNTIF($B$37:$B$48,CSV貼付B!$H$5:$H896)=0))&gt;1,"",MAX($O$4:O895)+1)))</f>
        <v/>
      </c>
      <c r="P896" s="0" t="str">
        <f aca="false">IFERROR(INDEX(CSV貼付B!$N$5:$N$1004,MATCH(ROW()-4,$O$5:$O$1004,0)),"")</f>
        <v/>
      </c>
      <c r="Q896" s="0" t="str">
        <f aca="false">IF(ROW()-4&lt;=MAX($M$5:$M$1004),IFERROR(INDEX($N$5:$N$1004,ROW()-4),""),IFERROR(INDEX($P$5:$P$1004,ROW()-4-MAX($M$5:$M$1004)),""))</f>
        <v/>
      </c>
    </row>
    <row r="897" customFormat="false" ht="15" hidden="false" customHeight="false" outlineLevel="0" collapsed="false">
      <c r="M897" s="0" t="str">
        <f aca="false">IF(CSV貼付A!$N897="","",IF(COUNTIF($B$37:$B$48,CSV貼付A!$H897)&gt;0,"",IF(SUMPRODUCT((CSV貼付A!$N$5:$N897=CSV貼付A!$N897)*(COUNTIF($B$37:$B$48,CSV貼付A!$H$5:$H897)=0))&gt;1,"",MAX($M$4:M896)+1)))</f>
        <v/>
      </c>
      <c r="N897" s="0" t="str">
        <f aca="false">IFERROR(INDEX(CSV貼付A!$N$5:$N$1004,MATCH(ROW()-4,$M$5:$M$1004,0)),"")</f>
        <v/>
      </c>
      <c r="O897" s="0" t="str">
        <f aca="false">IF(CSV貼付B!$N897="","",IF(COUNTIF($B$37:$B$48,CSV貼付B!$H897)&gt;0,"",IF(SUMPRODUCT((CSV貼付B!$N$5:$N897=CSV貼付B!$N897)*(COUNTIF($B$37:$B$48,CSV貼付B!$H$5:$H897)=0))&gt;1,"",MAX($O$4:O896)+1)))</f>
        <v/>
      </c>
      <c r="P897" s="0" t="str">
        <f aca="false">IFERROR(INDEX(CSV貼付B!$N$5:$N$1004,MATCH(ROW()-4,$O$5:$O$1004,0)),"")</f>
        <v/>
      </c>
      <c r="Q897" s="0" t="str">
        <f aca="false">IF(ROW()-4&lt;=MAX($M$5:$M$1004),IFERROR(INDEX($N$5:$N$1004,ROW()-4),""),IFERROR(INDEX($P$5:$P$1004,ROW()-4-MAX($M$5:$M$1004)),""))</f>
        <v/>
      </c>
    </row>
    <row r="898" customFormat="false" ht="15" hidden="false" customHeight="false" outlineLevel="0" collapsed="false">
      <c r="M898" s="0" t="str">
        <f aca="false">IF(CSV貼付A!$N898="","",IF(COUNTIF($B$37:$B$48,CSV貼付A!$H898)&gt;0,"",IF(SUMPRODUCT((CSV貼付A!$N$5:$N898=CSV貼付A!$N898)*(COUNTIF($B$37:$B$48,CSV貼付A!$H$5:$H898)=0))&gt;1,"",MAX($M$4:M897)+1)))</f>
        <v/>
      </c>
      <c r="N898" s="0" t="str">
        <f aca="false">IFERROR(INDEX(CSV貼付A!$N$5:$N$1004,MATCH(ROW()-4,$M$5:$M$1004,0)),"")</f>
        <v/>
      </c>
      <c r="O898" s="0" t="str">
        <f aca="false">IF(CSV貼付B!$N898="","",IF(COUNTIF($B$37:$B$48,CSV貼付B!$H898)&gt;0,"",IF(SUMPRODUCT((CSV貼付B!$N$5:$N898=CSV貼付B!$N898)*(COUNTIF($B$37:$B$48,CSV貼付B!$H$5:$H898)=0))&gt;1,"",MAX($O$4:O897)+1)))</f>
        <v/>
      </c>
      <c r="P898" s="0" t="str">
        <f aca="false">IFERROR(INDEX(CSV貼付B!$N$5:$N$1004,MATCH(ROW()-4,$O$5:$O$1004,0)),"")</f>
        <v/>
      </c>
      <c r="Q898" s="0" t="str">
        <f aca="false">IF(ROW()-4&lt;=MAX($M$5:$M$1004),IFERROR(INDEX($N$5:$N$1004,ROW()-4),""),IFERROR(INDEX($P$5:$P$1004,ROW()-4-MAX($M$5:$M$1004)),""))</f>
        <v/>
      </c>
    </row>
    <row r="899" customFormat="false" ht="15" hidden="false" customHeight="false" outlineLevel="0" collapsed="false">
      <c r="M899" s="0" t="str">
        <f aca="false">IF(CSV貼付A!$N899="","",IF(COUNTIF($B$37:$B$48,CSV貼付A!$H899)&gt;0,"",IF(SUMPRODUCT((CSV貼付A!$N$5:$N899=CSV貼付A!$N899)*(COUNTIF($B$37:$B$48,CSV貼付A!$H$5:$H899)=0))&gt;1,"",MAX($M$4:M898)+1)))</f>
        <v/>
      </c>
      <c r="N899" s="0" t="str">
        <f aca="false">IFERROR(INDEX(CSV貼付A!$N$5:$N$1004,MATCH(ROW()-4,$M$5:$M$1004,0)),"")</f>
        <v/>
      </c>
      <c r="O899" s="0" t="str">
        <f aca="false">IF(CSV貼付B!$N899="","",IF(COUNTIF($B$37:$B$48,CSV貼付B!$H899)&gt;0,"",IF(SUMPRODUCT((CSV貼付B!$N$5:$N899=CSV貼付B!$N899)*(COUNTIF($B$37:$B$48,CSV貼付B!$H$5:$H899)=0))&gt;1,"",MAX($O$4:O898)+1)))</f>
        <v/>
      </c>
      <c r="P899" s="0" t="str">
        <f aca="false">IFERROR(INDEX(CSV貼付B!$N$5:$N$1004,MATCH(ROW()-4,$O$5:$O$1004,0)),"")</f>
        <v/>
      </c>
      <c r="Q899" s="0" t="str">
        <f aca="false">IF(ROW()-4&lt;=MAX($M$5:$M$1004),IFERROR(INDEX($N$5:$N$1004,ROW()-4),""),IFERROR(INDEX($P$5:$P$1004,ROW()-4-MAX($M$5:$M$1004)),""))</f>
        <v/>
      </c>
    </row>
    <row r="900" customFormat="false" ht="15" hidden="false" customHeight="false" outlineLevel="0" collapsed="false">
      <c r="M900" s="0" t="str">
        <f aca="false">IF(CSV貼付A!$N900="","",IF(COUNTIF($B$37:$B$48,CSV貼付A!$H900)&gt;0,"",IF(SUMPRODUCT((CSV貼付A!$N$5:$N900=CSV貼付A!$N900)*(COUNTIF($B$37:$B$48,CSV貼付A!$H$5:$H900)=0))&gt;1,"",MAX($M$4:M899)+1)))</f>
        <v/>
      </c>
      <c r="N900" s="0" t="str">
        <f aca="false">IFERROR(INDEX(CSV貼付A!$N$5:$N$1004,MATCH(ROW()-4,$M$5:$M$1004,0)),"")</f>
        <v/>
      </c>
      <c r="O900" s="0" t="str">
        <f aca="false">IF(CSV貼付B!$N900="","",IF(COUNTIF($B$37:$B$48,CSV貼付B!$H900)&gt;0,"",IF(SUMPRODUCT((CSV貼付B!$N$5:$N900=CSV貼付B!$N900)*(COUNTIF($B$37:$B$48,CSV貼付B!$H$5:$H900)=0))&gt;1,"",MAX($O$4:O899)+1)))</f>
        <v/>
      </c>
      <c r="P900" s="0" t="str">
        <f aca="false">IFERROR(INDEX(CSV貼付B!$N$5:$N$1004,MATCH(ROW()-4,$O$5:$O$1004,0)),"")</f>
        <v/>
      </c>
      <c r="Q900" s="0" t="str">
        <f aca="false">IF(ROW()-4&lt;=MAX($M$5:$M$1004),IFERROR(INDEX($N$5:$N$1004,ROW()-4),""),IFERROR(INDEX($P$5:$P$1004,ROW()-4-MAX($M$5:$M$1004)),""))</f>
        <v/>
      </c>
    </row>
    <row r="901" customFormat="false" ht="15" hidden="false" customHeight="false" outlineLevel="0" collapsed="false">
      <c r="M901" s="0" t="str">
        <f aca="false">IF(CSV貼付A!$N901="","",IF(COUNTIF($B$37:$B$48,CSV貼付A!$H901)&gt;0,"",IF(SUMPRODUCT((CSV貼付A!$N$5:$N901=CSV貼付A!$N901)*(COUNTIF($B$37:$B$48,CSV貼付A!$H$5:$H901)=0))&gt;1,"",MAX($M$4:M900)+1)))</f>
        <v/>
      </c>
      <c r="N901" s="0" t="str">
        <f aca="false">IFERROR(INDEX(CSV貼付A!$N$5:$N$1004,MATCH(ROW()-4,$M$5:$M$1004,0)),"")</f>
        <v/>
      </c>
      <c r="O901" s="0" t="str">
        <f aca="false">IF(CSV貼付B!$N901="","",IF(COUNTIF($B$37:$B$48,CSV貼付B!$H901)&gt;0,"",IF(SUMPRODUCT((CSV貼付B!$N$5:$N901=CSV貼付B!$N901)*(COUNTIF($B$37:$B$48,CSV貼付B!$H$5:$H901)=0))&gt;1,"",MAX($O$4:O900)+1)))</f>
        <v/>
      </c>
      <c r="P901" s="0" t="str">
        <f aca="false">IFERROR(INDEX(CSV貼付B!$N$5:$N$1004,MATCH(ROW()-4,$O$5:$O$1004,0)),"")</f>
        <v/>
      </c>
      <c r="Q901" s="0" t="str">
        <f aca="false">IF(ROW()-4&lt;=MAX($M$5:$M$1004),IFERROR(INDEX($N$5:$N$1004,ROW()-4),""),IFERROR(INDEX($P$5:$P$1004,ROW()-4-MAX($M$5:$M$1004)),""))</f>
        <v/>
      </c>
    </row>
    <row r="902" customFormat="false" ht="15" hidden="false" customHeight="false" outlineLevel="0" collapsed="false">
      <c r="M902" s="0" t="str">
        <f aca="false">IF(CSV貼付A!$N902="","",IF(COUNTIF($B$37:$B$48,CSV貼付A!$H902)&gt;0,"",IF(SUMPRODUCT((CSV貼付A!$N$5:$N902=CSV貼付A!$N902)*(COUNTIF($B$37:$B$48,CSV貼付A!$H$5:$H902)=0))&gt;1,"",MAX($M$4:M901)+1)))</f>
        <v/>
      </c>
      <c r="N902" s="0" t="str">
        <f aca="false">IFERROR(INDEX(CSV貼付A!$N$5:$N$1004,MATCH(ROW()-4,$M$5:$M$1004,0)),"")</f>
        <v/>
      </c>
      <c r="O902" s="0" t="str">
        <f aca="false">IF(CSV貼付B!$N902="","",IF(COUNTIF($B$37:$B$48,CSV貼付B!$H902)&gt;0,"",IF(SUMPRODUCT((CSV貼付B!$N$5:$N902=CSV貼付B!$N902)*(COUNTIF($B$37:$B$48,CSV貼付B!$H$5:$H902)=0))&gt;1,"",MAX($O$4:O901)+1)))</f>
        <v/>
      </c>
      <c r="P902" s="0" t="str">
        <f aca="false">IFERROR(INDEX(CSV貼付B!$N$5:$N$1004,MATCH(ROW()-4,$O$5:$O$1004,0)),"")</f>
        <v/>
      </c>
      <c r="Q902" s="0" t="str">
        <f aca="false">IF(ROW()-4&lt;=MAX($M$5:$M$1004),IFERROR(INDEX($N$5:$N$1004,ROW()-4),""),IFERROR(INDEX($P$5:$P$1004,ROW()-4-MAX($M$5:$M$1004)),""))</f>
        <v/>
      </c>
    </row>
    <row r="903" customFormat="false" ht="15" hidden="false" customHeight="false" outlineLevel="0" collapsed="false">
      <c r="M903" s="0" t="str">
        <f aca="false">IF(CSV貼付A!$N903="","",IF(COUNTIF($B$37:$B$48,CSV貼付A!$H903)&gt;0,"",IF(SUMPRODUCT((CSV貼付A!$N$5:$N903=CSV貼付A!$N903)*(COUNTIF($B$37:$B$48,CSV貼付A!$H$5:$H903)=0))&gt;1,"",MAX($M$4:M902)+1)))</f>
        <v/>
      </c>
      <c r="N903" s="0" t="str">
        <f aca="false">IFERROR(INDEX(CSV貼付A!$N$5:$N$1004,MATCH(ROW()-4,$M$5:$M$1004,0)),"")</f>
        <v/>
      </c>
      <c r="O903" s="0" t="str">
        <f aca="false">IF(CSV貼付B!$N903="","",IF(COUNTIF($B$37:$B$48,CSV貼付B!$H903)&gt;0,"",IF(SUMPRODUCT((CSV貼付B!$N$5:$N903=CSV貼付B!$N903)*(COUNTIF($B$37:$B$48,CSV貼付B!$H$5:$H903)=0))&gt;1,"",MAX($O$4:O902)+1)))</f>
        <v/>
      </c>
      <c r="P903" s="0" t="str">
        <f aca="false">IFERROR(INDEX(CSV貼付B!$N$5:$N$1004,MATCH(ROW()-4,$O$5:$O$1004,0)),"")</f>
        <v/>
      </c>
      <c r="Q903" s="0" t="str">
        <f aca="false">IF(ROW()-4&lt;=MAX($M$5:$M$1004),IFERROR(INDEX($N$5:$N$1004,ROW()-4),""),IFERROR(INDEX($P$5:$P$1004,ROW()-4-MAX($M$5:$M$1004)),""))</f>
        <v/>
      </c>
    </row>
    <row r="904" customFormat="false" ht="15" hidden="false" customHeight="false" outlineLevel="0" collapsed="false">
      <c r="M904" s="0" t="str">
        <f aca="false">IF(CSV貼付A!$N904="","",IF(COUNTIF($B$37:$B$48,CSV貼付A!$H904)&gt;0,"",IF(SUMPRODUCT((CSV貼付A!$N$5:$N904=CSV貼付A!$N904)*(COUNTIF($B$37:$B$48,CSV貼付A!$H$5:$H904)=0))&gt;1,"",MAX($M$4:M903)+1)))</f>
        <v/>
      </c>
      <c r="N904" s="0" t="str">
        <f aca="false">IFERROR(INDEX(CSV貼付A!$N$5:$N$1004,MATCH(ROW()-4,$M$5:$M$1004,0)),"")</f>
        <v/>
      </c>
      <c r="O904" s="0" t="str">
        <f aca="false">IF(CSV貼付B!$N904="","",IF(COUNTIF($B$37:$B$48,CSV貼付B!$H904)&gt;0,"",IF(SUMPRODUCT((CSV貼付B!$N$5:$N904=CSV貼付B!$N904)*(COUNTIF($B$37:$B$48,CSV貼付B!$H$5:$H904)=0))&gt;1,"",MAX($O$4:O903)+1)))</f>
        <v/>
      </c>
      <c r="P904" s="0" t="str">
        <f aca="false">IFERROR(INDEX(CSV貼付B!$N$5:$N$1004,MATCH(ROW()-4,$O$5:$O$1004,0)),"")</f>
        <v/>
      </c>
      <c r="Q904" s="0" t="str">
        <f aca="false">IF(ROW()-4&lt;=MAX($M$5:$M$1004),IFERROR(INDEX($N$5:$N$1004,ROW()-4),""),IFERROR(INDEX($P$5:$P$1004,ROW()-4-MAX($M$5:$M$1004)),""))</f>
        <v/>
      </c>
    </row>
    <row r="905" customFormat="false" ht="15" hidden="false" customHeight="false" outlineLevel="0" collapsed="false">
      <c r="M905" s="0" t="str">
        <f aca="false">IF(CSV貼付A!$N905="","",IF(COUNTIF($B$37:$B$48,CSV貼付A!$H905)&gt;0,"",IF(SUMPRODUCT((CSV貼付A!$N$5:$N905=CSV貼付A!$N905)*(COUNTIF($B$37:$B$48,CSV貼付A!$H$5:$H905)=0))&gt;1,"",MAX($M$4:M904)+1)))</f>
        <v/>
      </c>
      <c r="N905" s="0" t="str">
        <f aca="false">IFERROR(INDEX(CSV貼付A!$N$5:$N$1004,MATCH(ROW()-4,$M$5:$M$1004,0)),"")</f>
        <v/>
      </c>
      <c r="O905" s="0" t="str">
        <f aca="false">IF(CSV貼付B!$N905="","",IF(COUNTIF($B$37:$B$48,CSV貼付B!$H905)&gt;0,"",IF(SUMPRODUCT((CSV貼付B!$N$5:$N905=CSV貼付B!$N905)*(COUNTIF($B$37:$B$48,CSV貼付B!$H$5:$H905)=0))&gt;1,"",MAX($O$4:O904)+1)))</f>
        <v/>
      </c>
      <c r="P905" s="0" t="str">
        <f aca="false">IFERROR(INDEX(CSV貼付B!$N$5:$N$1004,MATCH(ROW()-4,$O$5:$O$1004,0)),"")</f>
        <v/>
      </c>
      <c r="Q905" s="0" t="str">
        <f aca="false">IF(ROW()-4&lt;=MAX($M$5:$M$1004),IFERROR(INDEX($N$5:$N$1004,ROW()-4),""),IFERROR(INDEX($P$5:$P$1004,ROW()-4-MAX($M$5:$M$1004)),""))</f>
        <v/>
      </c>
    </row>
    <row r="906" customFormat="false" ht="15" hidden="false" customHeight="false" outlineLevel="0" collapsed="false">
      <c r="M906" s="0" t="str">
        <f aca="false">IF(CSV貼付A!$N906="","",IF(COUNTIF($B$37:$B$48,CSV貼付A!$H906)&gt;0,"",IF(SUMPRODUCT((CSV貼付A!$N$5:$N906=CSV貼付A!$N906)*(COUNTIF($B$37:$B$48,CSV貼付A!$H$5:$H906)=0))&gt;1,"",MAX($M$4:M905)+1)))</f>
        <v/>
      </c>
      <c r="N906" s="0" t="str">
        <f aca="false">IFERROR(INDEX(CSV貼付A!$N$5:$N$1004,MATCH(ROW()-4,$M$5:$M$1004,0)),"")</f>
        <v/>
      </c>
      <c r="O906" s="0" t="str">
        <f aca="false">IF(CSV貼付B!$N906="","",IF(COUNTIF($B$37:$B$48,CSV貼付B!$H906)&gt;0,"",IF(SUMPRODUCT((CSV貼付B!$N$5:$N906=CSV貼付B!$N906)*(COUNTIF($B$37:$B$48,CSV貼付B!$H$5:$H906)=0))&gt;1,"",MAX($O$4:O905)+1)))</f>
        <v/>
      </c>
      <c r="P906" s="0" t="str">
        <f aca="false">IFERROR(INDEX(CSV貼付B!$N$5:$N$1004,MATCH(ROW()-4,$O$5:$O$1004,0)),"")</f>
        <v/>
      </c>
      <c r="Q906" s="0" t="str">
        <f aca="false">IF(ROW()-4&lt;=MAX($M$5:$M$1004),IFERROR(INDEX($N$5:$N$1004,ROW()-4),""),IFERROR(INDEX($P$5:$P$1004,ROW()-4-MAX($M$5:$M$1004)),""))</f>
        <v/>
      </c>
    </row>
    <row r="907" customFormat="false" ht="15" hidden="false" customHeight="false" outlineLevel="0" collapsed="false">
      <c r="M907" s="0" t="str">
        <f aca="false">IF(CSV貼付A!$N907="","",IF(COUNTIF($B$37:$B$48,CSV貼付A!$H907)&gt;0,"",IF(SUMPRODUCT((CSV貼付A!$N$5:$N907=CSV貼付A!$N907)*(COUNTIF($B$37:$B$48,CSV貼付A!$H$5:$H907)=0))&gt;1,"",MAX($M$4:M906)+1)))</f>
        <v/>
      </c>
      <c r="N907" s="0" t="str">
        <f aca="false">IFERROR(INDEX(CSV貼付A!$N$5:$N$1004,MATCH(ROW()-4,$M$5:$M$1004,0)),"")</f>
        <v/>
      </c>
      <c r="O907" s="0" t="str">
        <f aca="false">IF(CSV貼付B!$N907="","",IF(COUNTIF($B$37:$B$48,CSV貼付B!$H907)&gt;0,"",IF(SUMPRODUCT((CSV貼付B!$N$5:$N907=CSV貼付B!$N907)*(COUNTIF($B$37:$B$48,CSV貼付B!$H$5:$H907)=0))&gt;1,"",MAX($O$4:O906)+1)))</f>
        <v/>
      </c>
      <c r="P907" s="0" t="str">
        <f aca="false">IFERROR(INDEX(CSV貼付B!$N$5:$N$1004,MATCH(ROW()-4,$O$5:$O$1004,0)),"")</f>
        <v/>
      </c>
      <c r="Q907" s="0" t="str">
        <f aca="false">IF(ROW()-4&lt;=MAX($M$5:$M$1004),IFERROR(INDEX($N$5:$N$1004,ROW()-4),""),IFERROR(INDEX($P$5:$P$1004,ROW()-4-MAX($M$5:$M$1004)),""))</f>
        <v/>
      </c>
    </row>
    <row r="908" customFormat="false" ht="15" hidden="false" customHeight="false" outlineLevel="0" collapsed="false">
      <c r="M908" s="0" t="str">
        <f aca="false">IF(CSV貼付A!$N908="","",IF(COUNTIF($B$37:$B$48,CSV貼付A!$H908)&gt;0,"",IF(SUMPRODUCT((CSV貼付A!$N$5:$N908=CSV貼付A!$N908)*(COUNTIF($B$37:$B$48,CSV貼付A!$H$5:$H908)=0))&gt;1,"",MAX($M$4:M907)+1)))</f>
        <v/>
      </c>
      <c r="N908" s="0" t="str">
        <f aca="false">IFERROR(INDEX(CSV貼付A!$N$5:$N$1004,MATCH(ROW()-4,$M$5:$M$1004,0)),"")</f>
        <v/>
      </c>
      <c r="O908" s="0" t="str">
        <f aca="false">IF(CSV貼付B!$N908="","",IF(COUNTIF($B$37:$B$48,CSV貼付B!$H908)&gt;0,"",IF(SUMPRODUCT((CSV貼付B!$N$5:$N908=CSV貼付B!$N908)*(COUNTIF($B$37:$B$48,CSV貼付B!$H$5:$H908)=0))&gt;1,"",MAX($O$4:O907)+1)))</f>
        <v/>
      </c>
      <c r="P908" s="0" t="str">
        <f aca="false">IFERROR(INDEX(CSV貼付B!$N$5:$N$1004,MATCH(ROW()-4,$O$5:$O$1004,0)),"")</f>
        <v/>
      </c>
      <c r="Q908" s="0" t="str">
        <f aca="false">IF(ROW()-4&lt;=MAX($M$5:$M$1004),IFERROR(INDEX($N$5:$N$1004,ROW()-4),""),IFERROR(INDEX($P$5:$P$1004,ROW()-4-MAX($M$5:$M$1004)),""))</f>
        <v/>
      </c>
    </row>
    <row r="909" customFormat="false" ht="15" hidden="false" customHeight="false" outlineLevel="0" collapsed="false">
      <c r="M909" s="0" t="str">
        <f aca="false">IF(CSV貼付A!$N909="","",IF(COUNTIF($B$37:$B$48,CSV貼付A!$H909)&gt;0,"",IF(SUMPRODUCT((CSV貼付A!$N$5:$N909=CSV貼付A!$N909)*(COUNTIF($B$37:$B$48,CSV貼付A!$H$5:$H909)=0))&gt;1,"",MAX($M$4:M908)+1)))</f>
        <v/>
      </c>
      <c r="N909" s="0" t="str">
        <f aca="false">IFERROR(INDEX(CSV貼付A!$N$5:$N$1004,MATCH(ROW()-4,$M$5:$M$1004,0)),"")</f>
        <v/>
      </c>
      <c r="O909" s="0" t="str">
        <f aca="false">IF(CSV貼付B!$N909="","",IF(COUNTIF($B$37:$B$48,CSV貼付B!$H909)&gt;0,"",IF(SUMPRODUCT((CSV貼付B!$N$5:$N909=CSV貼付B!$N909)*(COUNTIF($B$37:$B$48,CSV貼付B!$H$5:$H909)=0))&gt;1,"",MAX($O$4:O908)+1)))</f>
        <v/>
      </c>
      <c r="P909" s="0" t="str">
        <f aca="false">IFERROR(INDEX(CSV貼付B!$N$5:$N$1004,MATCH(ROW()-4,$O$5:$O$1004,0)),"")</f>
        <v/>
      </c>
      <c r="Q909" s="0" t="str">
        <f aca="false">IF(ROW()-4&lt;=MAX($M$5:$M$1004),IFERROR(INDEX($N$5:$N$1004,ROW()-4),""),IFERROR(INDEX($P$5:$P$1004,ROW()-4-MAX($M$5:$M$1004)),""))</f>
        <v/>
      </c>
    </row>
    <row r="910" customFormat="false" ht="15" hidden="false" customHeight="false" outlineLevel="0" collapsed="false">
      <c r="M910" s="0" t="str">
        <f aca="false">IF(CSV貼付A!$N910="","",IF(COUNTIF($B$37:$B$48,CSV貼付A!$H910)&gt;0,"",IF(SUMPRODUCT((CSV貼付A!$N$5:$N910=CSV貼付A!$N910)*(COUNTIF($B$37:$B$48,CSV貼付A!$H$5:$H910)=0))&gt;1,"",MAX($M$4:M909)+1)))</f>
        <v/>
      </c>
      <c r="N910" s="0" t="str">
        <f aca="false">IFERROR(INDEX(CSV貼付A!$N$5:$N$1004,MATCH(ROW()-4,$M$5:$M$1004,0)),"")</f>
        <v/>
      </c>
      <c r="O910" s="0" t="str">
        <f aca="false">IF(CSV貼付B!$N910="","",IF(COUNTIF($B$37:$B$48,CSV貼付B!$H910)&gt;0,"",IF(SUMPRODUCT((CSV貼付B!$N$5:$N910=CSV貼付B!$N910)*(COUNTIF($B$37:$B$48,CSV貼付B!$H$5:$H910)=0))&gt;1,"",MAX($O$4:O909)+1)))</f>
        <v/>
      </c>
      <c r="P910" s="0" t="str">
        <f aca="false">IFERROR(INDEX(CSV貼付B!$N$5:$N$1004,MATCH(ROW()-4,$O$5:$O$1004,0)),"")</f>
        <v/>
      </c>
      <c r="Q910" s="0" t="str">
        <f aca="false">IF(ROW()-4&lt;=MAX($M$5:$M$1004),IFERROR(INDEX($N$5:$N$1004,ROW()-4),""),IFERROR(INDEX($P$5:$P$1004,ROW()-4-MAX($M$5:$M$1004)),""))</f>
        <v/>
      </c>
    </row>
    <row r="911" customFormat="false" ht="15" hidden="false" customHeight="false" outlineLevel="0" collapsed="false">
      <c r="M911" s="0" t="str">
        <f aca="false">IF(CSV貼付A!$N911="","",IF(COUNTIF($B$37:$B$48,CSV貼付A!$H911)&gt;0,"",IF(SUMPRODUCT((CSV貼付A!$N$5:$N911=CSV貼付A!$N911)*(COUNTIF($B$37:$B$48,CSV貼付A!$H$5:$H911)=0))&gt;1,"",MAX($M$4:M910)+1)))</f>
        <v/>
      </c>
      <c r="N911" s="0" t="str">
        <f aca="false">IFERROR(INDEX(CSV貼付A!$N$5:$N$1004,MATCH(ROW()-4,$M$5:$M$1004,0)),"")</f>
        <v/>
      </c>
      <c r="O911" s="0" t="str">
        <f aca="false">IF(CSV貼付B!$N911="","",IF(COUNTIF($B$37:$B$48,CSV貼付B!$H911)&gt;0,"",IF(SUMPRODUCT((CSV貼付B!$N$5:$N911=CSV貼付B!$N911)*(COUNTIF($B$37:$B$48,CSV貼付B!$H$5:$H911)=0))&gt;1,"",MAX($O$4:O910)+1)))</f>
        <v/>
      </c>
      <c r="P911" s="0" t="str">
        <f aca="false">IFERROR(INDEX(CSV貼付B!$N$5:$N$1004,MATCH(ROW()-4,$O$5:$O$1004,0)),"")</f>
        <v/>
      </c>
      <c r="Q911" s="0" t="str">
        <f aca="false">IF(ROW()-4&lt;=MAX($M$5:$M$1004),IFERROR(INDEX($N$5:$N$1004,ROW()-4),""),IFERROR(INDEX($P$5:$P$1004,ROW()-4-MAX($M$5:$M$1004)),""))</f>
        <v/>
      </c>
    </row>
    <row r="912" customFormat="false" ht="15" hidden="false" customHeight="false" outlineLevel="0" collapsed="false">
      <c r="M912" s="0" t="str">
        <f aca="false">IF(CSV貼付A!$N912="","",IF(COUNTIF($B$37:$B$48,CSV貼付A!$H912)&gt;0,"",IF(SUMPRODUCT((CSV貼付A!$N$5:$N912=CSV貼付A!$N912)*(COUNTIF($B$37:$B$48,CSV貼付A!$H$5:$H912)=0))&gt;1,"",MAX($M$4:M911)+1)))</f>
        <v/>
      </c>
      <c r="N912" s="0" t="str">
        <f aca="false">IFERROR(INDEX(CSV貼付A!$N$5:$N$1004,MATCH(ROW()-4,$M$5:$M$1004,0)),"")</f>
        <v/>
      </c>
      <c r="O912" s="0" t="str">
        <f aca="false">IF(CSV貼付B!$N912="","",IF(COUNTIF($B$37:$B$48,CSV貼付B!$H912)&gt;0,"",IF(SUMPRODUCT((CSV貼付B!$N$5:$N912=CSV貼付B!$N912)*(COUNTIF($B$37:$B$48,CSV貼付B!$H$5:$H912)=0))&gt;1,"",MAX($O$4:O911)+1)))</f>
        <v/>
      </c>
      <c r="P912" s="0" t="str">
        <f aca="false">IFERROR(INDEX(CSV貼付B!$N$5:$N$1004,MATCH(ROW()-4,$O$5:$O$1004,0)),"")</f>
        <v/>
      </c>
      <c r="Q912" s="0" t="str">
        <f aca="false">IF(ROW()-4&lt;=MAX($M$5:$M$1004),IFERROR(INDEX($N$5:$N$1004,ROW()-4),""),IFERROR(INDEX($P$5:$P$1004,ROW()-4-MAX($M$5:$M$1004)),""))</f>
        <v/>
      </c>
    </row>
    <row r="913" customFormat="false" ht="15" hidden="false" customHeight="false" outlineLevel="0" collapsed="false">
      <c r="M913" s="0" t="str">
        <f aca="false">IF(CSV貼付A!$N913="","",IF(COUNTIF($B$37:$B$48,CSV貼付A!$H913)&gt;0,"",IF(SUMPRODUCT((CSV貼付A!$N$5:$N913=CSV貼付A!$N913)*(COUNTIF($B$37:$B$48,CSV貼付A!$H$5:$H913)=0))&gt;1,"",MAX($M$4:M912)+1)))</f>
        <v/>
      </c>
      <c r="N913" s="0" t="str">
        <f aca="false">IFERROR(INDEX(CSV貼付A!$N$5:$N$1004,MATCH(ROW()-4,$M$5:$M$1004,0)),"")</f>
        <v/>
      </c>
      <c r="O913" s="0" t="str">
        <f aca="false">IF(CSV貼付B!$N913="","",IF(COUNTIF($B$37:$B$48,CSV貼付B!$H913)&gt;0,"",IF(SUMPRODUCT((CSV貼付B!$N$5:$N913=CSV貼付B!$N913)*(COUNTIF($B$37:$B$48,CSV貼付B!$H$5:$H913)=0))&gt;1,"",MAX($O$4:O912)+1)))</f>
        <v/>
      </c>
      <c r="P913" s="0" t="str">
        <f aca="false">IFERROR(INDEX(CSV貼付B!$N$5:$N$1004,MATCH(ROW()-4,$O$5:$O$1004,0)),"")</f>
        <v/>
      </c>
      <c r="Q913" s="0" t="str">
        <f aca="false">IF(ROW()-4&lt;=MAX($M$5:$M$1004),IFERROR(INDEX($N$5:$N$1004,ROW()-4),""),IFERROR(INDEX($P$5:$P$1004,ROW()-4-MAX($M$5:$M$1004)),""))</f>
        <v/>
      </c>
    </row>
    <row r="914" customFormat="false" ht="15" hidden="false" customHeight="false" outlineLevel="0" collapsed="false">
      <c r="M914" s="0" t="str">
        <f aca="false">IF(CSV貼付A!$N914="","",IF(COUNTIF($B$37:$B$48,CSV貼付A!$H914)&gt;0,"",IF(SUMPRODUCT((CSV貼付A!$N$5:$N914=CSV貼付A!$N914)*(COUNTIF($B$37:$B$48,CSV貼付A!$H$5:$H914)=0))&gt;1,"",MAX($M$4:M913)+1)))</f>
        <v/>
      </c>
      <c r="N914" s="0" t="str">
        <f aca="false">IFERROR(INDEX(CSV貼付A!$N$5:$N$1004,MATCH(ROW()-4,$M$5:$M$1004,0)),"")</f>
        <v/>
      </c>
      <c r="O914" s="0" t="str">
        <f aca="false">IF(CSV貼付B!$N914="","",IF(COUNTIF($B$37:$B$48,CSV貼付B!$H914)&gt;0,"",IF(SUMPRODUCT((CSV貼付B!$N$5:$N914=CSV貼付B!$N914)*(COUNTIF($B$37:$B$48,CSV貼付B!$H$5:$H914)=0))&gt;1,"",MAX($O$4:O913)+1)))</f>
        <v/>
      </c>
      <c r="P914" s="0" t="str">
        <f aca="false">IFERROR(INDEX(CSV貼付B!$N$5:$N$1004,MATCH(ROW()-4,$O$5:$O$1004,0)),"")</f>
        <v/>
      </c>
      <c r="Q914" s="0" t="str">
        <f aca="false">IF(ROW()-4&lt;=MAX($M$5:$M$1004),IFERROR(INDEX($N$5:$N$1004,ROW()-4),""),IFERROR(INDEX($P$5:$P$1004,ROW()-4-MAX($M$5:$M$1004)),""))</f>
        <v/>
      </c>
    </row>
    <row r="915" customFormat="false" ht="15" hidden="false" customHeight="false" outlineLevel="0" collapsed="false">
      <c r="M915" s="0" t="str">
        <f aca="false">IF(CSV貼付A!$N915="","",IF(COUNTIF($B$37:$B$48,CSV貼付A!$H915)&gt;0,"",IF(SUMPRODUCT((CSV貼付A!$N$5:$N915=CSV貼付A!$N915)*(COUNTIF($B$37:$B$48,CSV貼付A!$H$5:$H915)=0))&gt;1,"",MAX($M$4:M914)+1)))</f>
        <v/>
      </c>
      <c r="N915" s="0" t="str">
        <f aca="false">IFERROR(INDEX(CSV貼付A!$N$5:$N$1004,MATCH(ROW()-4,$M$5:$M$1004,0)),"")</f>
        <v/>
      </c>
      <c r="O915" s="0" t="str">
        <f aca="false">IF(CSV貼付B!$N915="","",IF(COUNTIF($B$37:$B$48,CSV貼付B!$H915)&gt;0,"",IF(SUMPRODUCT((CSV貼付B!$N$5:$N915=CSV貼付B!$N915)*(COUNTIF($B$37:$B$48,CSV貼付B!$H$5:$H915)=0))&gt;1,"",MAX($O$4:O914)+1)))</f>
        <v/>
      </c>
      <c r="P915" s="0" t="str">
        <f aca="false">IFERROR(INDEX(CSV貼付B!$N$5:$N$1004,MATCH(ROW()-4,$O$5:$O$1004,0)),"")</f>
        <v/>
      </c>
      <c r="Q915" s="0" t="str">
        <f aca="false">IF(ROW()-4&lt;=MAX($M$5:$M$1004),IFERROR(INDEX($N$5:$N$1004,ROW()-4),""),IFERROR(INDEX($P$5:$P$1004,ROW()-4-MAX($M$5:$M$1004)),""))</f>
        <v/>
      </c>
    </row>
    <row r="916" customFormat="false" ht="15" hidden="false" customHeight="false" outlineLevel="0" collapsed="false">
      <c r="M916" s="0" t="str">
        <f aca="false">IF(CSV貼付A!$N916="","",IF(COUNTIF($B$37:$B$48,CSV貼付A!$H916)&gt;0,"",IF(SUMPRODUCT((CSV貼付A!$N$5:$N916=CSV貼付A!$N916)*(COUNTIF($B$37:$B$48,CSV貼付A!$H$5:$H916)=0))&gt;1,"",MAX($M$4:M915)+1)))</f>
        <v/>
      </c>
      <c r="N916" s="0" t="str">
        <f aca="false">IFERROR(INDEX(CSV貼付A!$N$5:$N$1004,MATCH(ROW()-4,$M$5:$M$1004,0)),"")</f>
        <v/>
      </c>
      <c r="O916" s="0" t="str">
        <f aca="false">IF(CSV貼付B!$N916="","",IF(COUNTIF($B$37:$B$48,CSV貼付B!$H916)&gt;0,"",IF(SUMPRODUCT((CSV貼付B!$N$5:$N916=CSV貼付B!$N916)*(COUNTIF($B$37:$B$48,CSV貼付B!$H$5:$H916)=0))&gt;1,"",MAX($O$4:O915)+1)))</f>
        <v/>
      </c>
      <c r="P916" s="0" t="str">
        <f aca="false">IFERROR(INDEX(CSV貼付B!$N$5:$N$1004,MATCH(ROW()-4,$O$5:$O$1004,0)),"")</f>
        <v/>
      </c>
      <c r="Q916" s="0" t="str">
        <f aca="false">IF(ROW()-4&lt;=MAX($M$5:$M$1004),IFERROR(INDEX($N$5:$N$1004,ROW()-4),""),IFERROR(INDEX($P$5:$P$1004,ROW()-4-MAX($M$5:$M$1004)),""))</f>
        <v/>
      </c>
    </row>
    <row r="917" customFormat="false" ht="15" hidden="false" customHeight="false" outlineLevel="0" collapsed="false">
      <c r="M917" s="0" t="str">
        <f aca="false">IF(CSV貼付A!$N917="","",IF(COUNTIF($B$37:$B$48,CSV貼付A!$H917)&gt;0,"",IF(SUMPRODUCT((CSV貼付A!$N$5:$N917=CSV貼付A!$N917)*(COUNTIF($B$37:$B$48,CSV貼付A!$H$5:$H917)=0))&gt;1,"",MAX($M$4:M916)+1)))</f>
        <v/>
      </c>
      <c r="N917" s="0" t="str">
        <f aca="false">IFERROR(INDEX(CSV貼付A!$N$5:$N$1004,MATCH(ROW()-4,$M$5:$M$1004,0)),"")</f>
        <v/>
      </c>
      <c r="O917" s="0" t="str">
        <f aca="false">IF(CSV貼付B!$N917="","",IF(COUNTIF($B$37:$B$48,CSV貼付B!$H917)&gt;0,"",IF(SUMPRODUCT((CSV貼付B!$N$5:$N917=CSV貼付B!$N917)*(COUNTIF($B$37:$B$48,CSV貼付B!$H$5:$H917)=0))&gt;1,"",MAX($O$4:O916)+1)))</f>
        <v/>
      </c>
      <c r="P917" s="0" t="str">
        <f aca="false">IFERROR(INDEX(CSV貼付B!$N$5:$N$1004,MATCH(ROW()-4,$O$5:$O$1004,0)),"")</f>
        <v/>
      </c>
      <c r="Q917" s="0" t="str">
        <f aca="false">IF(ROW()-4&lt;=MAX($M$5:$M$1004),IFERROR(INDEX($N$5:$N$1004,ROW()-4),""),IFERROR(INDEX($P$5:$P$1004,ROW()-4-MAX($M$5:$M$1004)),""))</f>
        <v/>
      </c>
    </row>
    <row r="918" customFormat="false" ht="15" hidden="false" customHeight="false" outlineLevel="0" collapsed="false">
      <c r="M918" s="0" t="str">
        <f aca="false">IF(CSV貼付A!$N918="","",IF(COUNTIF($B$37:$B$48,CSV貼付A!$H918)&gt;0,"",IF(SUMPRODUCT((CSV貼付A!$N$5:$N918=CSV貼付A!$N918)*(COUNTIF($B$37:$B$48,CSV貼付A!$H$5:$H918)=0))&gt;1,"",MAX($M$4:M917)+1)))</f>
        <v/>
      </c>
      <c r="N918" s="0" t="str">
        <f aca="false">IFERROR(INDEX(CSV貼付A!$N$5:$N$1004,MATCH(ROW()-4,$M$5:$M$1004,0)),"")</f>
        <v/>
      </c>
      <c r="O918" s="0" t="str">
        <f aca="false">IF(CSV貼付B!$N918="","",IF(COUNTIF($B$37:$B$48,CSV貼付B!$H918)&gt;0,"",IF(SUMPRODUCT((CSV貼付B!$N$5:$N918=CSV貼付B!$N918)*(COUNTIF($B$37:$B$48,CSV貼付B!$H$5:$H918)=0))&gt;1,"",MAX($O$4:O917)+1)))</f>
        <v/>
      </c>
      <c r="P918" s="0" t="str">
        <f aca="false">IFERROR(INDEX(CSV貼付B!$N$5:$N$1004,MATCH(ROW()-4,$O$5:$O$1004,0)),"")</f>
        <v/>
      </c>
      <c r="Q918" s="0" t="str">
        <f aca="false">IF(ROW()-4&lt;=MAX($M$5:$M$1004),IFERROR(INDEX($N$5:$N$1004,ROW()-4),""),IFERROR(INDEX($P$5:$P$1004,ROW()-4-MAX($M$5:$M$1004)),""))</f>
        <v/>
      </c>
    </row>
    <row r="919" customFormat="false" ht="15" hidden="false" customHeight="false" outlineLevel="0" collapsed="false">
      <c r="M919" s="0" t="str">
        <f aca="false">IF(CSV貼付A!$N919="","",IF(COUNTIF($B$37:$B$48,CSV貼付A!$H919)&gt;0,"",IF(SUMPRODUCT((CSV貼付A!$N$5:$N919=CSV貼付A!$N919)*(COUNTIF($B$37:$B$48,CSV貼付A!$H$5:$H919)=0))&gt;1,"",MAX($M$4:M918)+1)))</f>
        <v/>
      </c>
      <c r="N919" s="0" t="str">
        <f aca="false">IFERROR(INDEX(CSV貼付A!$N$5:$N$1004,MATCH(ROW()-4,$M$5:$M$1004,0)),"")</f>
        <v/>
      </c>
      <c r="O919" s="0" t="str">
        <f aca="false">IF(CSV貼付B!$N919="","",IF(COUNTIF($B$37:$B$48,CSV貼付B!$H919)&gt;0,"",IF(SUMPRODUCT((CSV貼付B!$N$5:$N919=CSV貼付B!$N919)*(COUNTIF($B$37:$B$48,CSV貼付B!$H$5:$H919)=0))&gt;1,"",MAX($O$4:O918)+1)))</f>
        <v/>
      </c>
      <c r="P919" s="0" t="str">
        <f aca="false">IFERROR(INDEX(CSV貼付B!$N$5:$N$1004,MATCH(ROW()-4,$O$5:$O$1004,0)),"")</f>
        <v/>
      </c>
      <c r="Q919" s="0" t="str">
        <f aca="false">IF(ROW()-4&lt;=MAX($M$5:$M$1004),IFERROR(INDEX($N$5:$N$1004,ROW()-4),""),IFERROR(INDEX($P$5:$P$1004,ROW()-4-MAX($M$5:$M$1004)),""))</f>
        <v/>
      </c>
    </row>
    <row r="920" customFormat="false" ht="15" hidden="false" customHeight="false" outlineLevel="0" collapsed="false">
      <c r="M920" s="0" t="str">
        <f aca="false">IF(CSV貼付A!$N920="","",IF(COUNTIF($B$37:$B$48,CSV貼付A!$H920)&gt;0,"",IF(SUMPRODUCT((CSV貼付A!$N$5:$N920=CSV貼付A!$N920)*(COUNTIF($B$37:$B$48,CSV貼付A!$H$5:$H920)=0))&gt;1,"",MAX($M$4:M919)+1)))</f>
        <v/>
      </c>
      <c r="N920" s="0" t="str">
        <f aca="false">IFERROR(INDEX(CSV貼付A!$N$5:$N$1004,MATCH(ROW()-4,$M$5:$M$1004,0)),"")</f>
        <v/>
      </c>
      <c r="O920" s="0" t="str">
        <f aca="false">IF(CSV貼付B!$N920="","",IF(COUNTIF($B$37:$B$48,CSV貼付B!$H920)&gt;0,"",IF(SUMPRODUCT((CSV貼付B!$N$5:$N920=CSV貼付B!$N920)*(COUNTIF($B$37:$B$48,CSV貼付B!$H$5:$H920)=0))&gt;1,"",MAX($O$4:O919)+1)))</f>
        <v/>
      </c>
      <c r="P920" s="0" t="str">
        <f aca="false">IFERROR(INDEX(CSV貼付B!$N$5:$N$1004,MATCH(ROW()-4,$O$5:$O$1004,0)),"")</f>
        <v/>
      </c>
      <c r="Q920" s="0" t="str">
        <f aca="false">IF(ROW()-4&lt;=MAX($M$5:$M$1004),IFERROR(INDEX($N$5:$N$1004,ROW()-4),""),IFERROR(INDEX($P$5:$P$1004,ROW()-4-MAX($M$5:$M$1004)),""))</f>
        <v/>
      </c>
    </row>
    <row r="921" customFormat="false" ht="15" hidden="false" customHeight="false" outlineLevel="0" collapsed="false">
      <c r="M921" s="0" t="str">
        <f aca="false">IF(CSV貼付A!$N921="","",IF(COUNTIF($B$37:$B$48,CSV貼付A!$H921)&gt;0,"",IF(SUMPRODUCT((CSV貼付A!$N$5:$N921=CSV貼付A!$N921)*(COUNTIF($B$37:$B$48,CSV貼付A!$H$5:$H921)=0))&gt;1,"",MAX($M$4:M920)+1)))</f>
        <v/>
      </c>
      <c r="N921" s="0" t="str">
        <f aca="false">IFERROR(INDEX(CSV貼付A!$N$5:$N$1004,MATCH(ROW()-4,$M$5:$M$1004,0)),"")</f>
        <v/>
      </c>
      <c r="O921" s="0" t="str">
        <f aca="false">IF(CSV貼付B!$N921="","",IF(COUNTIF($B$37:$B$48,CSV貼付B!$H921)&gt;0,"",IF(SUMPRODUCT((CSV貼付B!$N$5:$N921=CSV貼付B!$N921)*(COUNTIF($B$37:$B$48,CSV貼付B!$H$5:$H921)=0))&gt;1,"",MAX($O$4:O920)+1)))</f>
        <v/>
      </c>
      <c r="P921" s="0" t="str">
        <f aca="false">IFERROR(INDEX(CSV貼付B!$N$5:$N$1004,MATCH(ROW()-4,$O$5:$O$1004,0)),"")</f>
        <v/>
      </c>
      <c r="Q921" s="0" t="str">
        <f aca="false">IF(ROW()-4&lt;=MAX($M$5:$M$1004),IFERROR(INDEX($N$5:$N$1004,ROW()-4),""),IFERROR(INDEX($P$5:$P$1004,ROW()-4-MAX($M$5:$M$1004)),""))</f>
        <v/>
      </c>
    </row>
    <row r="922" customFormat="false" ht="15" hidden="false" customHeight="false" outlineLevel="0" collapsed="false">
      <c r="M922" s="0" t="str">
        <f aca="false">IF(CSV貼付A!$N922="","",IF(COUNTIF($B$37:$B$48,CSV貼付A!$H922)&gt;0,"",IF(SUMPRODUCT((CSV貼付A!$N$5:$N922=CSV貼付A!$N922)*(COUNTIF($B$37:$B$48,CSV貼付A!$H$5:$H922)=0))&gt;1,"",MAX($M$4:M921)+1)))</f>
        <v/>
      </c>
      <c r="N922" s="0" t="str">
        <f aca="false">IFERROR(INDEX(CSV貼付A!$N$5:$N$1004,MATCH(ROW()-4,$M$5:$M$1004,0)),"")</f>
        <v/>
      </c>
      <c r="O922" s="0" t="str">
        <f aca="false">IF(CSV貼付B!$N922="","",IF(COUNTIF($B$37:$B$48,CSV貼付B!$H922)&gt;0,"",IF(SUMPRODUCT((CSV貼付B!$N$5:$N922=CSV貼付B!$N922)*(COUNTIF($B$37:$B$48,CSV貼付B!$H$5:$H922)=0))&gt;1,"",MAX($O$4:O921)+1)))</f>
        <v/>
      </c>
      <c r="P922" s="0" t="str">
        <f aca="false">IFERROR(INDEX(CSV貼付B!$N$5:$N$1004,MATCH(ROW()-4,$O$5:$O$1004,0)),"")</f>
        <v/>
      </c>
      <c r="Q922" s="0" t="str">
        <f aca="false">IF(ROW()-4&lt;=MAX($M$5:$M$1004),IFERROR(INDEX($N$5:$N$1004,ROW()-4),""),IFERROR(INDEX($P$5:$P$1004,ROW()-4-MAX($M$5:$M$1004)),""))</f>
        <v/>
      </c>
    </row>
    <row r="923" customFormat="false" ht="15" hidden="false" customHeight="false" outlineLevel="0" collapsed="false">
      <c r="M923" s="0" t="str">
        <f aca="false">IF(CSV貼付A!$N923="","",IF(COUNTIF($B$37:$B$48,CSV貼付A!$H923)&gt;0,"",IF(SUMPRODUCT((CSV貼付A!$N$5:$N923=CSV貼付A!$N923)*(COUNTIF($B$37:$B$48,CSV貼付A!$H$5:$H923)=0))&gt;1,"",MAX($M$4:M922)+1)))</f>
        <v/>
      </c>
      <c r="N923" s="0" t="str">
        <f aca="false">IFERROR(INDEX(CSV貼付A!$N$5:$N$1004,MATCH(ROW()-4,$M$5:$M$1004,0)),"")</f>
        <v/>
      </c>
      <c r="O923" s="0" t="str">
        <f aca="false">IF(CSV貼付B!$N923="","",IF(COUNTIF($B$37:$B$48,CSV貼付B!$H923)&gt;0,"",IF(SUMPRODUCT((CSV貼付B!$N$5:$N923=CSV貼付B!$N923)*(COUNTIF($B$37:$B$48,CSV貼付B!$H$5:$H923)=0))&gt;1,"",MAX($O$4:O922)+1)))</f>
        <v/>
      </c>
      <c r="P923" s="0" t="str">
        <f aca="false">IFERROR(INDEX(CSV貼付B!$N$5:$N$1004,MATCH(ROW()-4,$O$5:$O$1004,0)),"")</f>
        <v/>
      </c>
      <c r="Q923" s="0" t="str">
        <f aca="false">IF(ROW()-4&lt;=MAX($M$5:$M$1004),IFERROR(INDEX($N$5:$N$1004,ROW()-4),""),IFERROR(INDEX($P$5:$P$1004,ROW()-4-MAX($M$5:$M$1004)),""))</f>
        <v/>
      </c>
    </row>
    <row r="924" customFormat="false" ht="15" hidden="false" customHeight="false" outlineLevel="0" collapsed="false">
      <c r="M924" s="0" t="str">
        <f aca="false">IF(CSV貼付A!$N924="","",IF(COUNTIF($B$37:$B$48,CSV貼付A!$H924)&gt;0,"",IF(SUMPRODUCT((CSV貼付A!$N$5:$N924=CSV貼付A!$N924)*(COUNTIF($B$37:$B$48,CSV貼付A!$H$5:$H924)=0))&gt;1,"",MAX($M$4:M923)+1)))</f>
        <v/>
      </c>
      <c r="N924" s="0" t="str">
        <f aca="false">IFERROR(INDEX(CSV貼付A!$N$5:$N$1004,MATCH(ROW()-4,$M$5:$M$1004,0)),"")</f>
        <v/>
      </c>
      <c r="O924" s="0" t="str">
        <f aca="false">IF(CSV貼付B!$N924="","",IF(COUNTIF($B$37:$B$48,CSV貼付B!$H924)&gt;0,"",IF(SUMPRODUCT((CSV貼付B!$N$5:$N924=CSV貼付B!$N924)*(COUNTIF($B$37:$B$48,CSV貼付B!$H$5:$H924)=0))&gt;1,"",MAX($O$4:O923)+1)))</f>
        <v/>
      </c>
      <c r="P924" s="0" t="str">
        <f aca="false">IFERROR(INDEX(CSV貼付B!$N$5:$N$1004,MATCH(ROW()-4,$O$5:$O$1004,0)),"")</f>
        <v/>
      </c>
      <c r="Q924" s="0" t="str">
        <f aca="false">IF(ROW()-4&lt;=MAX($M$5:$M$1004),IFERROR(INDEX($N$5:$N$1004,ROW()-4),""),IFERROR(INDEX($P$5:$P$1004,ROW()-4-MAX($M$5:$M$1004)),""))</f>
        <v/>
      </c>
    </row>
    <row r="925" customFormat="false" ht="15" hidden="false" customHeight="false" outlineLevel="0" collapsed="false">
      <c r="M925" s="0" t="str">
        <f aca="false">IF(CSV貼付A!$N925="","",IF(COUNTIF($B$37:$B$48,CSV貼付A!$H925)&gt;0,"",IF(SUMPRODUCT((CSV貼付A!$N$5:$N925=CSV貼付A!$N925)*(COUNTIF($B$37:$B$48,CSV貼付A!$H$5:$H925)=0))&gt;1,"",MAX($M$4:M924)+1)))</f>
        <v/>
      </c>
      <c r="N925" s="0" t="str">
        <f aca="false">IFERROR(INDEX(CSV貼付A!$N$5:$N$1004,MATCH(ROW()-4,$M$5:$M$1004,0)),"")</f>
        <v/>
      </c>
      <c r="O925" s="0" t="str">
        <f aca="false">IF(CSV貼付B!$N925="","",IF(COUNTIF($B$37:$B$48,CSV貼付B!$H925)&gt;0,"",IF(SUMPRODUCT((CSV貼付B!$N$5:$N925=CSV貼付B!$N925)*(COUNTIF($B$37:$B$48,CSV貼付B!$H$5:$H925)=0))&gt;1,"",MAX($O$4:O924)+1)))</f>
        <v/>
      </c>
      <c r="P925" s="0" t="str">
        <f aca="false">IFERROR(INDEX(CSV貼付B!$N$5:$N$1004,MATCH(ROW()-4,$O$5:$O$1004,0)),"")</f>
        <v/>
      </c>
      <c r="Q925" s="0" t="str">
        <f aca="false">IF(ROW()-4&lt;=MAX($M$5:$M$1004),IFERROR(INDEX($N$5:$N$1004,ROW()-4),""),IFERROR(INDEX($P$5:$P$1004,ROW()-4-MAX($M$5:$M$1004)),""))</f>
        <v/>
      </c>
    </row>
    <row r="926" customFormat="false" ht="15" hidden="false" customHeight="false" outlineLevel="0" collapsed="false">
      <c r="M926" s="0" t="str">
        <f aca="false">IF(CSV貼付A!$N926="","",IF(COUNTIF($B$37:$B$48,CSV貼付A!$H926)&gt;0,"",IF(SUMPRODUCT((CSV貼付A!$N$5:$N926=CSV貼付A!$N926)*(COUNTIF($B$37:$B$48,CSV貼付A!$H$5:$H926)=0))&gt;1,"",MAX($M$4:M925)+1)))</f>
        <v/>
      </c>
      <c r="N926" s="0" t="str">
        <f aca="false">IFERROR(INDEX(CSV貼付A!$N$5:$N$1004,MATCH(ROW()-4,$M$5:$M$1004,0)),"")</f>
        <v/>
      </c>
      <c r="O926" s="0" t="str">
        <f aca="false">IF(CSV貼付B!$N926="","",IF(COUNTIF($B$37:$B$48,CSV貼付B!$H926)&gt;0,"",IF(SUMPRODUCT((CSV貼付B!$N$5:$N926=CSV貼付B!$N926)*(COUNTIF($B$37:$B$48,CSV貼付B!$H$5:$H926)=0))&gt;1,"",MAX($O$4:O925)+1)))</f>
        <v/>
      </c>
      <c r="P926" s="0" t="str">
        <f aca="false">IFERROR(INDEX(CSV貼付B!$N$5:$N$1004,MATCH(ROW()-4,$O$5:$O$1004,0)),"")</f>
        <v/>
      </c>
      <c r="Q926" s="0" t="str">
        <f aca="false">IF(ROW()-4&lt;=MAX($M$5:$M$1004),IFERROR(INDEX($N$5:$N$1004,ROW()-4),""),IFERROR(INDEX($P$5:$P$1004,ROW()-4-MAX($M$5:$M$1004)),""))</f>
        <v/>
      </c>
    </row>
    <row r="927" customFormat="false" ht="15" hidden="false" customHeight="false" outlineLevel="0" collapsed="false">
      <c r="M927" s="0" t="str">
        <f aca="false">IF(CSV貼付A!$N927="","",IF(COUNTIF($B$37:$B$48,CSV貼付A!$H927)&gt;0,"",IF(SUMPRODUCT((CSV貼付A!$N$5:$N927=CSV貼付A!$N927)*(COUNTIF($B$37:$B$48,CSV貼付A!$H$5:$H927)=0))&gt;1,"",MAX($M$4:M926)+1)))</f>
        <v/>
      </c>
      <c r="N927" s="0" t="str">
        <f aca="false">IFERROR(INDEX(CSV貼付A!$N$5:$N$1004,MATCH(ROW()-4,$M$5:$M$1004,0)),"")</f>
        <v/>
      </c>
      <c r="O927" s="0" t="str">
        <f aca="false">IF(CSV貼付B!$N927="","",IF(COUNTIF($B$37:$B$48,CSV貼付B!$H927)&gt;0,"",IF(SUMPRODUCT((CSV貼付B!$N$5:$N927=CSV貼付B!$N927)*(COUNTIF($B$37:$B$48,CSV貼付B!$H$5:$H927)=0))&gt;1,"",MAX($O$4:O926)+1)))</f>
        <v/>
      </c>
      <c r="P927" s="0" t="str">
        <f aca="false">IFERROR(INDEX(CSV貼付B!$N$5:$N$1004,MATCH(ROW()-4,$O$5:$O$1004,0)),"")</f>
        <v/>
      </c>
      <c r="Q927" s="0" t="str">
        <f aca="false">IF(ROW()-4&lt;=MAX($M$5:$M$1004),IFERROR(INDEX($N$5:$N$1004,ROW()-4),""),IFERROR(INDEX($P$5:$P$1004,ROW()-4-MAX($M$5:$M$1004)),""))</f>
        <v/>
      </c>
    </row>
    <row r="928" customFormat="false" ht="15" hidden="false" customHeight="false" outlineLevel="0" collapsed="false">
      <c r="M928" s="0" t="str">
        <f aca="false">IF(CSV貼付A!$N928="","",IF(COUNTIF($B$37:$B$48,CSV貼付A!$H928)&gt;0,"",IF(SUMPRODUCT((CSV貼付A!$N$5:$N928=CSV貼付A!$N928)*(COUNTIF($B$37:$B$48,CSV貼付A!$H$5:$H928)=0))&gt;1,"",MAX($M$4:M927)+1)))</f>
        <v/>
      </c>
      <c r="N928" s="0" t="str">
        <f aca="false">IFERROR(INDEX(CSV貼付A!$N$5:$N$1004,MATCH(ROW()-4,$M$5:$M$1004,0)),"")</f>
        <v/>
      </c>
      <c r="O928" s="0" t="str">
        <f aca="false">IF(CSV貼付B!$N928="","",IF(COUNTIF($B$37:$B$48,CSV貼付B!$H928)&gt;0,"",IF(SUMPRODUCT((CSV貼付B!$N$5:$N928=CSV貼付B!$N928)*(COUNTIF($B$37:$B$48,CSV貼付B!$H$5:$H928)=0))&gt;1,"",MAX($O$4:O927)+1)))</f>
        <v/>
      </c>
      <c r="P928" s="0" t="str">
        <f aca="false">IFERROR(INDEX(CSV貼付B!$N$5:$N$1004,MATCH(ROW()-4,$O$5:$O$1004,0)),"")</f>
        <v/>
      </c>
      <c r="Q928" s="0" t="str">
        <f aca="false">IF(ROW()-4&lt;=MAX($M$5:$M$1004),IFERROR(INDEX($N$5:$N$1004,ROW()-4),""),IFERROR(INDEX($P$5:$P$1004,ROW()-4-MAX($M$5:$M$1004)),""))</f>
        <v/>
      </c>
    </row>
    <row r="929" customFormat="false" ht="15" hidden="false" customHeight="false" outlineLevel="0" collapsed="false">
      <c r="M929" s="0" t="str">
        <f aca="false">IF(CSV貼付A!$N929="","",IF(COUNTIF($B$37:$B$48,CSV貼付A!$H929)&gt;0,"",IF(SUMPRODUCT((CSV貼付A!$N$5:$N929=CSV貼付A!$N929)*(COUNTIF($B$37:$B$48,CSV貼付A!$H$5:$H929)=0))&gt;1,"",MAX($M$4:M928)+1)))</f>
        <v/>
      </c>
      <c r="N929" s="0" t="str">
        <f aca="false">IFERROR(INDEX(CSV貼付A!$N$5:$N$1004,MATCH(ROW()-4,$M$5:$M$1004,0)),"")</f>
        <v/>
      </c>
      <c r="O929" s="0" t="str">
        <f aca="false">IF(CSV貼付B!$N929="","",IF(COUNTIF($B$37:$B$48,CSV貼付B!$H929)&gt;0,"",IF(SUMPRODUCT((CSV貼付B!$N$5:$N929=CSV貼付B!$N929)*(COUNTIF($B$37:$B$48,CSV貼付B!$H$5:$H929)=0))&gt;1,"",MAX($O$4:O928)+1)))</f>
        <v/>
      </c>
      <c r="P929" s="0" t="str">
        <f aca="false">IFERROR(INDEX(CSV貼付B!$N$5:$N$1004,MATCH(ROW()-4,$O$5:$O$1004,0)),"")</f>
        <v/>
      </c>
      <c r="Q929" s="0" t="str">
        <f aca="false">IF(ROW()-4&lt;=MAX($M$5:$M$1004),IFERROR(INDEX($N$5:$N$1004,ROW()-4),""),IFERROR(INDEX($P$5:$P$1004,ROW()-4-MAX($M$5:$M$1004)),""))</f>
        <v/>
      </c>
    </row>
    <row r="930" customFormat="false" ht="15" hidden="false" customHeight="false" outlineLevel="0" collapsed="false">
      <c r="M930" s="0" t="str">
        <f aca="false">IF(CSV貼付A!$N930="","",IF(COUNTIF($B$37:$B$48,CSV貼付A!$H930)&gt;0,"",IF(SUMPRODUCT((CSV貼付A!$N$5:$N930=CSV貼付A!$N930)*(COUNTIF($B$37:$B$48,CSV貼付A!$H$5:$H930)=0))&gt;1,"",MAX($M$4:M929)+1)))</f>
        <v/>
      </c>
      <c r="N930" s="0" t="str">
        <f aca="false">IFERROR(INDEX(CSV貼付A!$N$5:$N$1004,MATCH(ROW()-4,$M$5:$M$1004,0)),"")</f>
        <v/>
      </c>
      <c r="O930" s="0" t="str">
        <f aca="false">IF(CSV貼付B!$N930="","",IF(COUNTIF($B$37:$B$48,CSV貼付B!$H930)&gt;0,"",IF(SUMPRODUCT((CSV貼付B!$N$5:$N930=CSV貼付B!$N930)*(COUNTIF($B$37:$B$48,CSV貼付B!$H$5:$H930)=0))&gt;1,"",MAX($O$4:O929)+1)))</f>
        <v/>
      </c>
      <c r="P930" s="0" t="str">
        <f aca="false">IFERROR(INDEX(CSV貼付B!$N$5:$N$1004,MATCH(ROW()-4,$O$5:$O$1004,0)),"")</f>
        <v/>
      </c>
      <c r="Q930" s="0" t="str">
        <f aca="false">IF(ROW()-4&lt;=MAX($M$5:$M$1004),IFERROR(INDEX($N$5:$N$1004,ROW()-4),""),IFERROR(INDEX($P$5:$P$1004,ROW()-4-MAX($M$5:$M$1004)),""))</f>
        <v/>
      </c>
    </row>
    <row r="931" customFormat="false" ht="15" hidden="false" customHeight="false" outlineLevel="0" collapsed="false">
      <c r="M931" s="0" t="str">
        <f aca="false">IF(CSV貼付A!$N931="","",IF(COUNTIF($B$37:$B$48,CSV貼付A!$H931)&gt;0,"",IF(SUMPRODUCT((CSV貼付A!$N$5:$N931=CSV貼付A!$N931)*(COUNTIF($B$37:$B$48,CSV貼付A!$H$5:$H931)=0))&gt;1,"",MAX($M$4:M930)+1)))</f>
        <v/>
      </c>
      <c r="N931" s="0" t="str">
        <f aca="false">IFERROR(INDEX(CSV貼付A!$N$5:$N$1004,MATCH(ROW()-4,$M$5:$M$1004,0)),"")</f>
        <v/>
      </c>
      <c r="O931" s="0" t="str">
        <f aca="false">IF(CSV貼付B!$N931="","",IF(COUNTIF($B$37:$B$48,CSV貼付B!$H931)&gt;0,"",IF(SUMPRODUCT((CSV貼付B!$N$5:$N931=CSV貼付B!$N931)*(COUNTIF($B$37:$B$48,CSV貼付B!$H$5:$H931)=0))&gt;1,"",MAX($O$4:O930)+1)))</f>
        <v/>
      </c>
      <c r="P931" s="0" t="str">
        <f aca="false">IFERROR(INDEX(CSV貼付B!$N$5:$N$1004,MATCH(ROW()-4,$O$5:$O$1004,0)),"")</f>
        <v/>
      </c>
      <c r="Q931" s="0" t="str">
        <f aca="false">IF(ROW()-4&lt;=MAX($M$5:$M$1004),IFERROR(INDEX($N$5:$N$1004,ROW()-4),""),IFERROR(INDEX($P$5:$P$1004,ROW()-4-MAX($M$5:$M$1004)),""))</f>
        <v/>
      </c>
    </row>
    <row r="932" customFormat="false" ht="15" hidden="false" customHeight="false" outlineLevel="0" collapsed="false">
      <c r="M932" s="0" t="str">
        <f aca="false">IF(CSV貼付A!$N932="","",IF(COUNTIF($B$37:$B$48,CSV貼付A!$H932)&gt;0,"",IF(SUMPRODUCT((CSV貼付A!$N$5:$N932=CSV貼付A!$N932)*(COUNTIF($B$37:$B$48,CSV貼付A!$H$5:$H932)=0))&gt;1,"",MAX($M$4:M931)+1)))</f>
        <v/>
      </c>
      <c r="N932" s="0" t="str">
        <f aca="false">IFERROR(INDEX(CSV貼付A!$N$5:$N$1004,MATCH(ROW()-4,$M$5:$M$1004,0)),"")</f>
        <v/>
      </c>
      <c r="O932" s="0" t="str">
        <f aca="false">IF(CSV貼付B!$N932="","",IF(COUNTIF($B$37:$B$48,CSV貼付B!$H932)&gt;0,"",IF(SUMPRODUCT((CSV貼付B!$N$5:$N932=CSV貼付B!$N932)*(COUNTIF($B$37:$B$48,CSV貼付B!$H$5:$H932)=0))&gt;1,"",MAX($O$4:O931)+1)))</f>
        <v/>
      </c>
      <c r="P932" s="0" t="str">
        <f aca="false">IFERROR(INDEX(CSV貼付B!$N$5:$N$1004,MATCH(ROW()-4,$O$5:$O$1004,0)),"")</f>
        <v/>
      </c>
      <c r="Q932" s="0" t="str">
        <f aca="false">IF(ROW()-4&lt;=MAX($M$5:$M$1004),IFERROR(INDEX($N$5:$N$1004,ROW()-4),""),IFERROR(INDEX($P$5:$P$1004,ROW()-4-MAX($M$5:$M$1004)),""))</f>
        <v/>
      </c>
    </row>
    <row r="933" customFormat="false" ht="15" hidden="false" customHeight="false" outlineLevel="0" collapsed="false">
      <c r="M933" s="0" t="str">
        <f aca="false">IF(CSV貼付A!$N933="","",IF(COUNTIF($B$37:$B$48,CSV貼付A!$H933)&gt;0,"",IF(SUMPRODUCT((CSV貼付A!$N$5:$N933=CSV貼付A!$N933)*(COUNTIF($B$37:$B$48,CSV貼付A!$H$5:$H933)=0))&gt;1,"",MAX($M$4:M932)+1)))</f>
        <v/>
      </c>
      <c r="N933" s="0" t="str">
        <f aca="false">IFERROR(INDEX(CSV貼付A!$N$5:$N$1004,MATCH(ROW()-4,$M$5:$M$1004,0)),"")</f>
        <v/>
      </c>
      <c r="O933" s="0" t="str">
        <f aca="false">IF(CSV貼付B!$N933="","",IF(COUNTIF($B$37:$B$48,CSV貼付B!$H933)&gt;0,"",IF(SUMPRODUCT((CSV貼付B!$N$5:$N933=CSV貼付B!$N933)*(COUNTIF($B$37:$B$48,CSV貼付B!$H$5:$H933)=0))&gt;1,"",MAX($O$4:O932)+1)))</f>
        <v/>
      </c>
      <c r="P933" s="0" t="str">
        <f aca="false">IFERROR(INDEX(CSV貼付B!$N$5:$N$1004,MATCH(ROW()-4,$O$5:$O$1004,0)),"")</f>
        <v/>
      </c>
      <c r="Q933" s="0" t="str">
        <f aca="false">IF(ROW()-4&lt;=MAX($M$5:$M$1004),IFERROR(INDEX($N$5:$N$1004,ROW()-4),""),IFERROR(INDEX($P$5:$P$1004,ROW()-4-MAX($M$5:$M$1004)),""))</f>
        <v/>
      </c>
    </row>
    <row r="934" customFormat="false" ht="15" hidden="false" customHeight="false" outlineLevel="0" collapsed="false">
      <c r="M934" s="0" t="str">
        <f aca="false">IF(CSV貼付A!$N934="","",IF(COUNTIF($B$37:$B$48,CSV貼付A!$H934)&gt;0,"",IF(SUMPRODUCT((CSV貼付A!$N$5:$N934=CSV貼付A!$N934)*(COUNTIF($B$37:$B$48,CSV貼付A!$H$5:$H934)=0))&gt;1,"",MAX($M$4:M933)+1)))</f>
        <v/>
      </c>
      <c r="N934" s="0" t="str">
        <f aca="false">IFERROR(INDEX(CSV貼付A!$N$5:$N$1004,MATCH(ROW()-4,$M$5:$M$1004,0)),"")</f>
        <v/>
      </c>
      <c r="O934" s="0" t="str">
        <f aca="false">IF(CSV貼付B!$N934="","",IF(COUNTIF($B$37:$B$48,CSV貼付B!$H934)&gt;0,"",IF(SUMPRODUCT((CSV貼付B!$N$5:$N934=CSV貼付B!$N934)*(COUNTIF($B$37:$B$48,CSV貼付B!$H$5:$H934)=0))&gt;1,"",MAX($O$4:O933)+1)))</f>
        <v/>
      </c>
      <c r="P934" s="0" t="str">
        <f aca="false">IFERROR(INDEX(CSV貼付B!$N$5:$N$1004,MATCH(ROW()-4,$O$5:$O$1004,0)),"")</f>
        <v/>
      </c>
      <c r="Q934" s="0" t="str">
        <f aca="false">IF(ROW()-4&lt;=MAX($M$5:$M$1004),IFERROR(INDEX($N$5:$N$1004,ROW()-4),""),IFERROR(INDEX($P$5:$P$1004,ROW()-4-MAX($M$5:$M$1004)),""))</f>
        <v/>
      </c>
    </row>
    <row r="935" customFormat="false" ht="15" hidden="false" customHeight="false" outlineLevel="0" collapsed="false">
      <c r="M935" s="0" t="str">
        <f aca="false">IF(CSV貼付A!$N935="","",IF(COUNTIF($B$37:$B$48,CSV貼付A!$H935)&gt;0,"",IF(SUMPRODUCT((CSV貼付A!$N$5:$N935=CSV貼付A!$N935)*(COUNTIF($B$37:$B$48,CSV貼付A!$H$5:$H935)=0))&gt;1,"",MAX($M$4:M934)+1)))</f>
        <v/>
      </c>
      <c r="N935" s="0" t="str">
        <f aca="false">IFERROR(INDEX(CSV貼付A!$N$5:$N$1004,MATCH(ROW()-4,$M$5:$M$1004,0)),"")</f>
        <v/>
      </c>
      <c r="O935" s="0" t="str">
        <f aca="false">IF(CSV貼付B!$N935="","",IF(COUNTIF($B$37:$B$48,CSV貼付B!$H935)&gt;0,"",IF(SUMPRODUCT((CSV貼付B!$N$5:$N935=CSV貼付B!$N935)*(COUNTIF($B$37:$B$48,CSV貼付B!$H$5:$H935)=0))&gt;1,"",MAX($O$4:O934)+1)))</f>
        <v/>
      </c>
      <c r="P935" s="0" t="str">
        <f aca="false">IFERROR(INDEX(CSV貼付B!$N$5:$N$1004,MATCH(ROW()-4,$O$5:$O$1004,0)),"")</f>
        <v/>
      </c>
      <c r="Q935" s="0" t="str">
        <f aca="false">IF(ROW()-4&lt;=MAX($M$5:$M$1004),IFERROR(INDEX($N$5:$N$1004,ROW()-4),""),IFERROR(INDEX($P$5:$P$1004,ROW()-4-MAX($M$5:$M$1004)),""))</f>
        <v/>
      </c>
    </row>
    <row r="936" customFormat="false" ht="15" hidden="false" customHeight="false" outlineLevel="0" collapsed="false">
      <c r="M936" s="0" t="str">
        <f aca="false">IF(CSV貼付A!$N936="","",IF(COUNTIF($B$37:$B$48,CSV貼付A!$H936)&gt;0,"",IF(SUMPRODUCT((CSV貼付A!$N$5:$N936=CSV貼付A!$N936)*(COUNTIF($B$37:$B$48,CSV貼付A!$H$5:$H936)=0))&gt;1,"",MAX($M$4:M935)+1)))</f>
        <v/>
      </c>
      <c r="N936" s="0" t="str">
        <f aca="false">IFERROR(INDEX(CSV貼付A!$N$5:$N$1004,MATCH(ROW()-4,$M$5:$M$1004,0)),"")</f>
        <v/>
      </c>
      <c r="O936" s="0" t="str">
        <f aca="false">IF(CSV貼付B!$N936="","",IF(COUNTIF($B$37:$B$48,CSV貼付B!$H936)&gt;0,"",IF(SUMPRODUCT((CSV貼付B!$N$5:$N936=CSV貼付B!$N936)*(COUNTIF($B$37:$B$48,CSV貼付B!$H$5:$H936)=0))&gt;1,"",MAX($O$4:O935)+1)))</f>
        <v/>
      </c>
      <c r="P936" s="0" t="str">
        <f aca="false">IFERROR(INDEX(CSV貼付B!$N$5:$N$1004,MATCH(ROW()-4,$O$5:$O$1004,0)),"")</f>
        <v/>
      </c>
      <c r="Q936" s="0" t="str">
        <f aca="false">IF(ROW()-4&lt;=MAX($M$5:$M$1004),IFERROR(INDEX($N$5:$N$1004,ROW()-4),""),IFERROR(INDEX($P$5:$P$1004,ROW()-4-MAX($M$5:$M$1004)),""))</f>
        <v/>
      </c>
    </row>
    <row r="937" customFormat="false" ht="15" hidden="false" customHeight="false" outlineLevel="0" collapsed="false">
      <c r="M937" s="0" t="str">
        <f aca="false">IF(CSV貼付A!$N937="","",IF(COUNTIF($B$37:$B$48,CSV貼付A!$H937)&gt;0,"",IF(SUMPRODUCT((CSV貼付A!$N$5:$N937=CSV貼付A!$N937)*(COUNTIF($B$37:$B$48,CSV貼付A!$H$5:$H937)=0))&gt;1,"",MAX($M$4:M936)+1)))</f>
        <v/>
      </c>
      <c r="N937" s="0" t="str">
        <f aca="false">IFERROR(INDEX(CSV貼付A!$N$5:$N$1004,MATCH(ROW()-4,$M$5:$M$1004,0)),"")</f>
        <v/>
      </c>
      <c r="O937" s="0" t="str">
        <f aca="false">IF(CSV貼付B!$N937="","",IF(COUNTIF($B$37:$B$48,CSV貼付B!$H937)&gt;0,"",IF(SUMPRODUCT((CSV貼付B!$N$5:$N937=CSV貼付B!$N937)*(COUNTIF($B$37:$B$48,CSV貼付B!$H$5:$H937)=0))&gt;1,"",MAX($O$4:O936)+1)))</f>
        <v/>
      </c>
      <c r="P937" s="0" t="str">
        <f aca="false">IFERROR(INDEX(CSV貼付B!$N$5:$N$1004,MATCH(ROW()-4,$O$5:$O$1004,0)),"")</f>
        <v/>
      </c>
      <c r="Q937" s="0" t="str">
        <f aca="false">IF(ROW()-4&lt;=MAX($M$5:$M$1004),IFERROR(INDEX($N$5:$N$1004,ROW()-4),""),IFERROR(INDEX($P$5:$P$1004,ROW()-4-MAX($M$5:$M$1004)),""))</f>
        <v/>
      </c>
    </row>
    <row r="938" customFormat="false" ht="15" hidden="false" customHeight="false" outlineLevel="0" collapsed="false">
      <c r="M938" s="0" t="str">
        <f aca="false">IF(CSV貼付A!$N938="","",IF(COUNTIF($B$37:$B$48,CSV貼付A!$H938)&gt;0,"",IF(SUMPRODUCT((CSV貼付A!$N$5:$N938=CSV貼付A!$N938)*(COUNTIF($B$37:$B$48,CSV貼付A!$H$5:$H938)=0))&gt;1,"",MAX($M$4:M937)+1)))</f>
        <v/>
      </c>
      <c r="N938" s="0" t="str">
        <f aca="false">IFERROR(INDEX(CSV貼付A!$N$5:$N$1004,MATCH(ROW()-4,$M$5:$M$1004,0)),"")</f>
        <v/>
      </c>
      <c r="O938" s="0" t="str">
        <f aca="false">IF(CSV貼付B!$N938="","",IF(COUNTIF($B$37:$B$48,CSV貼付B!$H938)&gt;0,"",IF(SUMPRODUCT((CSV貼付B!$N$5:$N938=CSV貼付B!$N938)*(COUNTIF($B$37:$B$48,CSV貼付B!$H$5:$H938)=0))&gt;1,"",MAX($O$4:O937)+1)))</f>
        <v/>
      </c>
      <c r="P938" s="0" t="str">
        <f aca="false">IFERROR(INDEX(CSV貼付B!$N$5:$N$1004,MATCH(ROW()-4,$O$5:$O$1004,0)),"")</f>
        <v/>
      </c>
      <c r="Q938" s="0" t="str">
        <f aca="false">IF(ROW()-4&lt;=MAX($M$5:$M$1004),IFERROR(INDEX($N$5:$N$1004,ROW()-4),""),IFERROR(INDEX($P$5:$P$1004,ROW()-4-MAX($M$5:$M$1004)),""))</f>
        <v/>
      </c>
    </row>
    <row r="939" customFormat="false" ht="15" hidden="false" customHeight="false" outlineLevel="0" collapsed="false">
      <c r="M939" s="0" t="str">
        <f aca="false">IF(CSV貼付A!$N939="","",IF(COUNTIF($B$37:$B$48,CSV貼付A!$H939)&gt;0,"",IF(SUMPRODUCT((CSV貼付A!$N$5:$N939=CSV貼付A!$N939)*(COUNTIF($B$37:$B$48,CSV貼付A!$H$5:$H939)=0))&gt;1,"",MAX($M$4:M938)+1)))</f>
        <v/>
      </c>
      <c r="N939" s="0" t="str">
        <f aca="false">IFERROR(INDEX(CSV貼付A!$N$5:$N$1004,MATCH(ROW()-4,$M$5:$M$1004,0)),"")</f>
        <v/>
      </c>
      <c r="O939" s="0" t="str">
        <f aca="false">IF(CSV貼付B!$N939="","",IF(COUNTIF($B$37:$B$48,CSV貼付B!$H939)&gt;0,"",IF(SUMPRODUCT((CSV貼付B!$N$5:$N939=CSV貼付B!$N939)*(COUNTIF($B$37:$B$48,CSV貼付B!$H$5:$H939)=0))&gt;1,"",MAX($O$4:O938)+1)))</f>
        <v/>
      </c>
      <c r="P939" s="0" t="str">
        <f aca="false">IFERROR(INDEX(CSV貼付B!$N$5:$N$1004,MATCH(ROW()-4,$O$5:$O$1004,0)),"")</f>
        <v/>
      </c>
      <c r="Q939" s="0" t="str">
        <f aca="false">IF(ROW()-4&lt;=MAX($M$5:$M$1004),IFERROR(INDEX($N$5:$N$1004,ROW()-4),""),IFERROR(INDEX($P$5:$P$1004,ROW()-4-MAX($M$5:$M$1004)),""))</f>
        <v/>
      </c>
    </row>
    <row r="940" customFormat="false" ht="15" hidden="false" customHeight="false" outlineLevel="0" collapsed="false">
      <c r="M940" s="0" t="str">
        <f aca="false">IF(CSV貼付A!$N940="","",IF(COUNTIF($B$37:$B$48,CSV貼付A!$H940)&gt;0,"",IF(SUMPRODUCT((CSV貼付A!$N$5:$N940=CSV貼付A!$N940)*(COUNTIF($B$37:$B$48,CSV貼付A!$H$5:$H940)=0))&gt;1,"",MAX($M$4:M939)+1)))</f>
        <v/>
      </c>
      <c r="N940" s="0" t="str">
        <f aca="false">IFERROR(INDEX(CSV貼付A!$N$5:$N$1004,MATCH(ROW()-4,$M$5:$M$1004,0)),"")</f>
        <v/>
      </c>
      <c r="O940" s="0" t="str">
        <f aca="false">IF(CSV貼付B!$N940="","",IF(COUNTIF($B$37:$B$48,CSV貼付B!$H940)&gt;0,"",IF(SUMPRODUCT((CSV貼付B!$N$5:$N940=CSV貼付B!$N940)*(COUNTIF($B$37:$B$48,CSV貼付B!$H$5:$H940)=0))&gt;1,"",MAX($O$4:O939)+1)))</f>
        <v/>
      </c>
      <c r="P940" s="0" t="str">
        <f aca="false">IFERROR(INDEX(CSV貼付B!$N$5:$N$1004,MATCH(ROW()-4,$O$5:$O$1004,0)),"")</f>
        <v/>
      </c>
      <c r="Q940" s="0" t="str">
        <f aca="false">IF(ROW()-4&lt;=MAX($M$5:$M$1004),IFERROR(INDEX($N$5:$N$1004,ROW()-4),""),IFERROR(INDEX($P$5:$P$1004,ROW()-4-MAX($M$5:$M$1004)),""))</f>
        <v/>
      </c>
    </row>
    <row r="941" customFormat="false" ht="15" hidden="false" customHeight="false" outlineLevel="0" collapsed="false">
      <c r="M941" s="0" t="str">
        <f aca="false">IF(CSV貼付A!$N941="","",IF(COUNTIF($B$37:$B$48,CSV貼付A!$H941)&gt;0,"",IF(SUMPRODUCT((CSV貼付A!$N$5:$N941=CSV貼付A!$N941)*(COUNTIF($B$37:$B$48,CSV貼付A!$H$5:$H941)=0))&gt;1,"",MAX($M$4:M940)+1)))</f>
        <v/>
      </c>
      <c r="N941" s="0" t="str">
        <f aca="false">IFERROR(INDEX(CSV貼付A!$N$5:$N$1004,MATCH(ROW()-4,$M$5:$M$1004,0)),"")</f>
        <v/>
      </c>
      <c r="O941" s="0" t="str">
        <f aca="false">IF(CSV貼付B!$N941="","",IF(COUNTIF($B$37:$B$48,CSV貼付B!$H941)&gt;0,"",IF(SUMPRODUCT((CSV貼付B!$N$5:$N941=CSV貼付B!$N941)*(COUNTIF($B$37:$B$48,CSV貼付B!$H$5:$H941)=0))&gt;1,"",MAX($O$4:O940)+1)))</f>
        <v/>
      </c>
      <c r="P941" s="0" t="str">
        <f aca="false">IFERROR(INDEX(CSV貼付B!$N$5:$N$1004,MATCH(ROW()-4,$O$5:$O$1004,0)),"")</f>
        <v/>
      </c>
      <c r="Q941" s="0" t="str">
        <f aca="false">IF(ROW()-4&lt;=MAX($M$5:$M$1004),IFERROR(INDEX($N$5:$N$1004,ROW()-4),""),IFERROR(INDEX($P$5:$P$1004,ROW()-4-MAX($M$5:$M$1004)),""))</f>
        <v/>
      </c>
    </row>
    <row r="942" customFormat="false" ht="15" hidden="false" customHeight="false" outlineLevel="0" collapsed="false">
      <c r="M942" s="0" t="str">
        <f aca="false">IF(CSV貼付A!$N942="","",IF(COUNTIF($B$37:$B$48,CSV貼付A!$H942)&gt;0,"",IF(SUMPRODUCT((CSV貼付A!$N$5:$N942=CSV貼付A!$N942)*(COUNTIF($B$37:$B$48,CSV貼付A!$H$5:$H942)=0))&gt;1,"",MAX($M$4:M941)+1)))</f>
        <v/>
      </c>
      <c r="N942" s="0" t="str">
        <f aca="false">IFERROR(INDEX(CSV貼付A!$N$5:$N$1004,MATCH(ROW()-4,$M$5:$M$1004,0)),"")</f>
        <v/>
      </c>
      <c r="O942" s="0" t="str">
        <f aca="false">IF(CSV貼付B!$N942="","",IF(COUNTIF($B$37:$B$48,CSV貼付B!$H942)&gt;0,"",IF(SUMPRODUCT((CSV貼付B!$N$5:$N942=CSV貼付B!$N942)*(COUNTIF($B$37:$B$48,CSV貼付B!$H$5:$H942)=0))&gt;1,"",MAX($O$4:O941)+1)))</f>
        <v/>
      </c>
      <c r="P942" s="0" t="str">
        <f aca="false">IFERROR(INDEX(CSV貼付B!$N$5:$N$1004,MATCH(ROW()-4,$O$5:$O$1004,0)),"")</f>
        <v/>
      </c>
      <c r="Q942" s="0" t="str">
        <f aca="false">IF(ROW()-4&lt;=MAX($M$5:$M$1004),IFERROR(INDEX($N$5:$N$1004,ROW()-4),""),IFERROR(INDEX($P$5:$P$1004,ROW()-4-MAX($M$5:$M$1004)),""))</f>
        <v/>
      </c>
    </row>
    <row r="943" customFormat="false" ht="15" hidden="false" customHeight="false" outlineLevel="0" collapsed="false">
      <c r="M943" s="0" t="str">
        <f aca="false">IF(CSV貼付A!$N943="","",IF(COUNTIF($B$37:$B$48,CSV貼付A!$H943)&gt;0,"",IF(SUMPRODUCT((CSV貼付A!$N$5:$N943=CSV貼付A!$N943)*(COUNTIF($B$37:$B$48,CSV貼付A!$H$5:$H943)=0))&gt;1,"",MAX($M$4:M942)+1)))</f>
        <v/>
      </c>
      <c r="N943" s="0" t="str">
        <f aca="false">IFERROR(INDEX(CSV貼付A!$N$5:$N$1004,MATCH(ROW()-4,$M$5:$M$1004,0)),"")</f>
        <v/>
      </c>
      <c r="O943" s="0" t="str">
        <f aca="false">IF(CSV貼付B!$N943="","",IF(COUNTIF($B$37:$B$48,CSV貼付B!$H943)&gt;0,"",IF(SUMPRODUCT((CSV貼付B!$N$5:$N943=CSV貼付B!$N943)*(COUNTIF($B$37:$B$48,CSV貼付B!$H$5:$H943)=0))&gt;1,"",MAX($O$4:O942)+1)))</f>
        <v/>
      </c>
      <c r="P943" s="0" t="str">
        <f aca="false">IFERROR(INDEX(CSV貼付B!$N$5:$N$1004,MATCH(ROW()-4,$O$5:$O$1004,0)),"")</f>
        <v/>
      </c>
      <c r="Q943" s="0" t="str">
        <f aca="false">IF(ROW()-4&lt;=MAX($M$5:$M$1004),IFERROR(INDEX($N$5:$N$1004,ROW()-4),""),IFERROR(INDEX($P$5:$P$1004,ROW()-4-MAX($M$5:$M$1004)),""))</f>
        <v/>
      </c>
    </row>
    <row r="944" customFormat="false" ht="15" hidden="false" customHeight="false" outlineLevel="0" collapsed="false">
      <c r="M944" s="0" t="str">
        <f aca="false">IF(CSV貼付A!$N944="","",IF(COUNTIF($B$37:$B$48,CSV貼付A!$H944)&gt;0,"",IF(SUMPRODUCT((CSV貼付A!$N$5:$N944=CSV貼付A!$N944)*(COUNTIF($B$37:$B$48,CSV貼付A!$H$5:$H944)=0))&gt;1,"",MAX($M$4:M943)+1)))</f>
        <v/>
      </c>
      <c r="N944" s="0" t="str">
        <f aca="false">IFERROR(INDEX(CSV貼付A!$N$5:$N$1004,MATCH(ROW()-4,$M$5:$M$1004,0)),"")</f>
        <v/>
      </c>
      <c r="O944" s="0" t="str">
        <f aca="false">IF(CSV貼付B!$N944="","",IF(COUNTIF($B$37:$B$48,CSV貼付B!$H944)&gt;0,"",IF(SUMPRODUCT((CSV貼付B!$N$5:$N944=CSV貼付B!$N944)*(COUNTIF($B$37:$B$48,CSV貼付B!$H$5:$H944)=0))&gt;1,"",MAX($O$4:O943)+1)))</f>
        <v/>
      </c>
      <c r="P944" s="0" t="str">
        <f aca="false">IFERROR(INDEX(CSV貼付B!$N$5:$N$1004,MATCH(ROW()-4,$O$5:$O$1004,0)),"")</f>
        <v/>
      </c>
      <c r="Q944" s="0" t="str">
        <f aca="false">IF(ROW()-4&lt;=MAX($M$5:$M$1004),IFERROR(INDEX($N$5:$N$1004,ROW()-4),""),IFERROR(INDEX($P$5:$P$1004,ROW()-4-MAX($M$5:$M$1004)),""))</f>
        <v/>
      </c>
    </row>
    <row r="945" customFormat="false" ht="15" hidden="false" customHeight="false" outlineLevel="0" collapsed="false">
      <c r="M945" s="0" t="str">
        <f aca="false">IF(CSV貼付A!$N945="","",IF(COUNTIF($B$37:$B$48,CSV貼付A!$H945)&gt;0,"",IF(SUMPRODUCT((CSV貼付A!$N$5:$N945=CSV貼付A!$N945)*(COUNTIF($B$37:$B$48,CSV貼付A!$H$5:$H945)=0))&gt;1,"",MAX($M$4:M944)+1)))</f>
        <v/>
      </c>
      <c r="N945" s="0" t="str">
        <f aca="false">IFERROR(INDEX(CSV貼付A!$N$5:$N$1004,MATCH(ROW()-4,$M$5:$M$1004,0)),"")</f>
        <v/>
      </c>
      <c r="O945" s="0" t="str">
        <f aca="false">IF(CSV貼付B!$N945="","",IF(COUNTIF($B$37:$B$48,CSV貼付B!$H945)&gt;0,"",IF(SUMPRODUCT((CSV貼付B!$N$5:$N945=CSV貼付B!$N945)*(COUNTIF($B$37:$B$48,CSV貼付B!$H$5:$H945)=0))&gt;1,"",MAX($O$4:O944)+1)))</f>
        <v/>
      </c>
      <c r="P945" s="0" t="str">
        <f aca="false">IFERROR(INDEX(CSV貼付B!$N$5:$N$1004,MATCH(ROW()-4,$O$5:$O$1004,0)),"")</f>
        <v/>
      </c>
      <c r="Q945" s="0" t="str">
        <f aca="false">IF(ROW()-4&lt;=MAX($M$5:$M$1004),IFERROR(INDEX($N$5:$N$1004,ROW()-4),""),IFERROR(INDEX($P$5:$P$1004,ROW()-4-MAX($M$5:$M$1004)),""))</f>
        <v/>
      </c>
    </row>
    <row r="946" customFormat="false" ht="15" hidden="false" customHeight="false" outlineLevel="0" collapsed="false">
      <c r="M946" s="0" t="str">
        <f aca="false">IF(CSV貼付A!$N946="","",IF(COUNTIF($B$37:$B$48,CSV貼付A!$H946)&gt;0,"",IF(SUMPRODUCT((CSV貼付A!$N$5:$N946=CSV貼付A!$N946)*(COUNTIF($B$37:$B$48,CSV貼付A!$H$5:$H946)=0))&gt;1,"",MAX($M$4:M945)+1)))</f>
        <v/>
      </c>
      <c r="N946" s="0" t="str">
        <f aca="false">IFERROR(INDEX(CSV貼付A!$N$5:$N$1004,MATCH(ROW()-4,$M$5:$M$1004,0)),"")</f>
        <v/>
      </c>
      <c r="O946" s="0" t="str">
        <f aca="false">IF(CSV貼付B!$N946="","",IF(COUNTIF($B$37:$B$48,CSV貼付B!$H946)&gt;0,"",IF(SUMPRODUCT((CSV貼付B!$N$5:$N946=CSV貼付B!$N946)*(COUNTIF($B$37:$B$48,CSV貼付B!$H$5:$H946)=0))&gt;1,"",MAX($O$4:O945)+1)))</f>
        <v/>
      </c>
      <c r="P946" s="0" t="str">
        <f aca="false">IFERROR(INDEX(CSV貼付B!$N$5:$N$1004,MATCH(ROW()-4,$O$5:$O$1004,0)),"")</f>
        <v/>
      </c>
      <c r="Q946" s="0" t="str">
        <f aca="false">IF(ROW()-4&lt;=MAX($M$5:$M$1004),IFERROR(INDEX($N$5:$N$1004,ROW()-4),""),IFERROR(INDEX($P$5:$P$1004,ROW()-4-MAX($M$5:$M$1004)),""))</f>
        <v/>
      </c>
    </row>
    <row r="947" customFormat="false" ht="15" hidden="false" customHeight="false" outlineLevel="0" collapsed="false">
      <c r="M947" s="0" t="str">
        <f aca="false">IF(CSV貼付A!$N947="","",IF(COUNTIF($B$37:$B$48,CSV貼付A!$H947)&gt;0,"",IF(SUMPRODUCT((CSV貼付A!$N$5:$N947=CSV貼付A!$N947)*(COUNTIF($B$37:$B$48,CSV貼付A!$H$5:$H947)=0))&gt;1,"",MAX($M$4:M946)+1)))</f>
        <v/>
      </c>
      <c r="N947" s="0" t="str">
        <f aca="false">IFERROR(INDEX(CSV貼付A!$N$5:$N$1004,MATCH(ROW()-4,$M$5:$M$1004,0)),"")</f>
        <v/>
      </c>
      <c r="O947" s="0" t="str">
        <f aca="false">IF(CSV貼付B!$N947="","",IF(COUNTIF($B$37:$B$48,CSV貼付B!$H947)&gt;0,"",IF(SUMPRODUCT((CSV貼付B!$N$5:$N947=CSV貼付B!$N947)*(COUNTIF($B$37:$B$48,CSV貼付B!$H$5:$H947)=0))&gt;1,"",MAX($O$4:O946)+1)))</f>
        <v/>
      </c>
      <c r="P947" s="0" t="str">
        <f aca="false">IFERROR(INDEX(CSV貼付B!$N$5:$N$1004,MATCH(ROW()-4,$O$5:$O$1004,0)),"")</f>
        <v/>
      </c>
      <c r="Q947" s="0" t="str">
        <f aca="false">IF(ROW()-4&lt;=MAX($M$5:$M$1004),IFERROR(INDEX($N$5:$N$1004,ROW()-4),""),IFERROR(INDEX($P$5:$P$1004,ROW()-4-MAX($M$5:$M$1004)),""))</f>
        <v/>
      </c>
    </row>
    <row r="948" customFormat="false" ht="15" hidden="false" customHeight="false" outlineLevel="0" collapsed="false">
      <c r="M948" s="0" t="str">
        <f aca="false">IF(CSV貼付A!$N948="","",IF(COUNTIF($B$37:$B$48,CSV貼付A!$H948)&gt;0,"",IF(SUMPRODUCT((CSV貼付A!$N$5:$N948=CSV貼付A!$N948)*(COUNTIF($B$37:$B$48,CSV貼付A!$H$5:$H948)=0))&gt;1,"",MAX($M$4:M947)+1)))</f>
        <v/>
      </c>
      <c r="N948" s="0" t="str">
        <f aca="false">IFERROR(INDEX(CSV貼付A!$N$5:$N$1004,MATCH(ROW()-4,$M$5:$M$1004,0)),"")</f>
        <v/>
      </c>
      <c r="O948" s="0" t="str">
        <f aca="false">IF(CSV貼付B!$N948="","",IF(COUNTIF($B$37:$B$48,CSV貼付B!$H948)&gt;0,"",IF(SUMPRODUCT((CSV貼付B!$N$5:$N948=CSV貼付B!$N948)*(COUNTIF($B$37:$B$48,CSV貼付B!$H$5:$H948)=0))&gt;1,"",MAX($O$4:O947)+1)))</f>
        <v/>
      </c>
      <c r="P948" s="0" t="str">
        <f aca="false">IFERROR(INDEX(CSV貼付B!$N$5:$N$1004,MATCH(ROW()-4,$O$5:$O$1004,0)),"")</f>
        <v/>
      </c>
      <c r="Q948" s="0" t="str">
        <f aca="false">IF(ROW()-4&lt;=MAX($M$5:$M$1004),IFERROR(INDEX($N$5:$N$1004,ROW()-4),""),IFERROR(INDEX($P$5:$P$1004,ROW()-4-MAX($M$5:$M$1004)),""))</f>
        <v/>
      </c>
    </row>
    <row r="949" customFormat="false" ht="15" hidden="false" customHeight="false" outlineLevel="0" collapsed="false">
      <c r="M949" s="0" t="str">
        <f aca="false">IF(CSV貼付A!$N949="","",IF(COUNTIF($B$37:$B$48,CSV貼付A!$H949)&gt;0,"",IF(SUMPRODUCT((CSV貼付A!$N$5:$N949=CSV貼付A!$N949)*(COUNTIF($B$37:$B$48,CSV貼付A!$H$5:$H949)=0))&gt;1,"",MAX($M$4:M948)+1)))</f>
        <v/>
      </c>
      <c r="N949" s="0" t="str">
        <f aca="false">IFERROR(INDEX(CSV貼付A!$N$5:$N$1004,MATCH(ROW()-4,$M$5:$M$1004,0)),"")</f>
        <v/>
      </c>
      <c r="O949" s="0" t="str">
        <f aca="false">IF(CSV貼付B!$N949="","",IF(COUNTIF($B$37:$B$48,CSV貼付B!$H949)&gt;0,"",IF(SUMPRODUCT((CSV貼付B!$N$5:$N949=CSV貼付B!$N949)*(COUNTIF($B$37:$B$48,CSV貼付B!$H$5:$H949)=0))&gt;1,"",MAX($O$4:O948)+1)))</f>
        <v/>
      </c>
      <c r="P949" s="0" t="str">
        <f aca="false">IFERROR(INDEX(CSV貼付B!$N$5:$N$1004,MATCH(ROW()-4,$O$5:$O$1004,0)),"")</f>
        <v/>
      </c>
      <c r="Q949" s="0" t="str">
        <f aca="false">IF(ROW()-4&lt;=MAX($M$5:$M$1004),IFERROR(INDEX($N$5:$N$1004,ROW()-4),""),IFERROR(INDEX($P$5:$P$1004,ROW()-4-MAX($M$5:$M$1004)),""))</f>
        <v/>
      </c>
    </row>
    <row r="950" customFormat="false" ht="15" hidden="false" customHeight="false" outlineLevel="0" collapsed="false">
      <c r="M950" s="0" t="str">
        <f aca="false">IF(CSV貼付A!$N950="","",IF(COUNTIF($B$37:$B$48,CSV貼付A!$H950)&gt;0,"",IF(SUMPRODUCT((CSV貼付A!$N$5:$N950=CSV貼付A!$N950)*(COUNTIF($B$37:$B$48,CSV貼付A!$H$5:$H950)=0))&gt;1,"",MAX($M$4:M949)+1)))</f>
        <v/>
      </c>
      <c r="N950" s="0" t="str">
        <f aca="false">IFERROR(INDEX(CSV貼付A!$N$5:$N$1004,MATCH(ROW()-4,$M$5:$M$1004,0)),"")</f>
        <v/>
      </c>
      <c r="O950" s="0" t="str">
        <f aca="false">IF(CSV貼付B!$N950="","",IF(COUNTIF($B$37:$B$48,CSV貼付B!$H950)&gt;0,"",IF(SUMPRODUCT((CSV貼付B!$N$5:$N950=CSV貼付B!$N950)*(COUNTIF($B$37:$B$48,CSV貼付B!$H$5:$H950)=0))&gt;1,"",MAX($O$4:O949)+1)))</f>
        <v/>
      </c>
      <c r="P950" s="0" t="str">
        <f aca="false">IFERROR(INDEX(CSV貼付B!$N$5:$N$1004,MATCH(ROW()-4,$O$5:$O$1004,0)),"")</f>
        <v/>
      </c>
      <c r="Q950" s="0" t="str">
        <f aca="false">IF(ROW()-4&lt;=MAX($M$5:$M$1004),IFERROR(INDEX($N$5:$N$1004,ROW()-4),""),IFERROR(INDEX($P$5:$P$1004,ROW()-4-MAX($M$5:$M$1004)),""))</f>
        <v/>
      </c>
    </row>
    <row r="951" customFormat="false" ht="15" hidden="false" customHeight="false" outlineLevel="0" collapsed="false">
      <c r="M951" s="0" t="str">
        <f aca="false">IF(CSV貼付A!$N951="","",IF(COUNTIF($B$37:$B$48,CSV貼付A!$H951)&gt;0,"",IF(SUMPRODUCT((CSV貼付A!$N$5:$N951=CSV貼付A!$N951)*(COUNTIF($B$37:$B$48,CSV貼付A!$H$5:$H951)=0))&gt;1,"",MAX($M$4:M950)+1)))</f>
        <v/>
      </c>
      <c r="N951" s="0" t="str">
        <f aca="false">IFERROR(INDEX(CSV貼付A!$N$5:$N$1004,MATCH(ROW()-4,$M$5:$M$1004,0)),"")</f>
        <v/>
      </c>
      <c r="O951" s="0" t="str">
        <f aca="false">IF(CSV貼付B!$N951="","",IF(COUNTIF($B$37:$B$48,CSV貼付B!$H951)&gt;0,"",IF(SUMPRODUCT((CSV貼付B!$N$5:$N951=CSV貼付B!$N951)*(COUNTIF($B$37:$B$48,CSV貼付B!$H$5:$H951)=0))&gt;1,"",MAX($O$4:O950)+1)))</f>
        <v/>
      </c>
      <c r="P951" s="0" t="str">
        <f aca="false">IFERROR(INDEX(CSV貼付B!$N$5:$N$1004,MATCH(ROW()-4,$O$5:$O$1004,0)),"")</f>
        <v/>
      </c>
      <c r="Q951" s="0" t="str">
        <f aca="false">IF(ROW()-4&lt;=MAX($M$5:$M$1004),IFERROR(INDEX($N$5:$N$1004,ROW()-4),""),IFERROR(INDEX($P$5:$P$1004,ROW()-4-MAX($M$5:$M$1004)),""))</f>
        <v/>
      </c>
    </row>
    <row r="952" customFormat="false" ht="15" hidden="false" customHeight="false" outlineLevel="0" collapsed="false">
      <c r="M952" s="0" t="str">
        <f aca="false">IF(CSV貼付A!$N952="","",IF(COUNTIF($B$37:$B$48,CSV貼付A!$H952)&gt;0,"",IF(SUMPRODUCT((CSV貼付A!$N$5:$N952=CSV貼付A!$N952)*(COUNTIF($B$37:$B$48,CSV貼付A!$H$5:$H952)=0))&gt;1,"",MAX($M$4:M951)+1)))</f>
        <v/>
      </c>
      <c r="N952" s="0" t="str">
        <f aca="false">IFERROR(INDEX(CSV貼付A!$N$5:$N$1004,MATCH(ROW()-4,$M$5:$M$1004,0)),"")</f>
        <v/>
      </c>
      <c r="O952" s="0" t="str">
        <f aca="false">IF(CSV貼付B!$N952="","",IF(COUNTIF($B$37:$B$48,CSV貼付B!$H952)&gt;0,"",IF(SUMPRODUCT((CSV貼付B!$N$5:$N952=CSV貼付B!$N952)*(COUNTIF($B$37:$B$48,CSV貼付B!$H$5:$H952)=0))&gt;1,"",MAX($O$4:O951)+1)))</f>
        <v/>
      </c>
      <c r="P952" s="0" t="str">
        <f aca="false">IFERROR(INDEX(CSV貼付B!$N$5:$N$1004,MATCH(ROW()-4,$O$5:$O$1004,0)),"")</f>
        <v/>
      </c>
      <c r="Q952" s="0" t="str">
        <f aca="false">IF(ROW()-4&lt;=MAX($M$5:$M$1004),IFERROR(INDEX($N$5:$N$1004,ROW()-4),""),IFERROR(INDEX($P$5:$P$1004,ROW()-4-MAX($M$5:$M$1004)),""))</f>
        <v/>
      </c>
    </row>
    <row r="953" customFormat="false" ht="15" hidden="false" customHeight="false" outlineLevel="0" collapsed="false">
      <c r="M953" s="0" t="str">
        <f aca="false">IF(CSV貼付A!$N953="","",IF(COUNTIF($B$37:$B$48,CSV貼付A!$H953)&gt;0,"",IF(SUMPRODUCT((CSV貼付A!$N$5:$N953=CSV貼付A!$N953)*(COUNTIF($B$37:$B$48,CSV貼付A!$H$5:$H953)=0))&gt;1,"",MAX($M$4:M952)+1)))</f>
        <v/>
      </c>
      <c r="N953" s="0" t="str">
        <f aca="false">IFERROR(INDEX(CSV貼付A!$N$5:$N$1004,MATCH(ROW()-4,$M$5:$M$1004,0)),"")</f>
        <v/>
      </c>
      <c r="O953" s="0" t="str">
        <f aca="false">IF(CSV貼付B!$N953="","",IF(COUNTIF($B$37:$B$48,CSV貼付B!$H953)&gt;0,"",IF(SUMPRODUCT((CSV貼付B!$N$5:$N953=CSV貼付B!$N953)*(COUNTIF($B$37:$B$48,CSV貼付B!$H$5:$H953)=0))&gt;1,"",MAX($O$4:O952)+1)))</f>
        <v/>
      </c>
      <c r="P953" s="0" t="str">
        <f aca="false">IFERROR(INDEX(CSV貼付B!$N$5:$N$1004,MATCH(ROW()-4,$O$5:$O$1004,0)),"")</f>
        <v/>
      </c>
      <c r="Q953" s="0" t="str">
        <f aca="false">IF(ROW()-4&lt;=MAX($M$5:$M$1004),IFERROR(INDEX($N$5:$N$1004,ROW()-4),""),IFERROR(INDEX($P$5:$P$1004,ROW()-4-MAX($M$5:$M$1004)),""))</f>
        <v/>
      </c>
    </row>
    <row r="954" customFormat="false" ht="15" hidden="false" customHeight="false" outlineLevel="0" collapsed="false">
      <c r="M954" s="0" t="str">
        <f aca="false">IF(CSV貼付A!$N954="","",IF(COUNTIF($B$37:$B$48,CSV貼付A!$H954)&gt;0,"",IF(SUMPRODUCT((CSV貼付A!$N$5:$N954=CSV貼付A!$N954)*(COUNTIF($B$37:$B$48,CSV貼付A!$H$5:$H954)=0))&gt;1,"",MAX($M$4:M953)+1)))</f>
        <v/>
      </c>
      <c r="N954" s="0" t="str">
        <f aca="false">IFERROR(INDEX(CSV貼付A!$N$5:$N$1004,MATCH(ROW()-4,$M$5:$M$1004,0)),"")</f>
        <v/>
      </c>
      <c r="O954" s="0" t="str">
        <f aca="false">IF(CSV貼付B!$N954="","",IF(COUNTIF($B$37:$B$48,CSV貼付B!$H954)&gt;0,"",IF(SUMPRODUCT((CSV貼付B!$N$5:$N954=CSV貼付B!$N954)*(COUNTIF($B$37:$B$48,CSV貼付B!$H$5:$H954)=0))&gt;1,"",MAX($O$4:O953)+1)))</f>
        <v/>
      </c>
      <c r="P954" s="0" t="str">
        <f aca="false">IFERROR(INDEX(CSV貼付B!$N$5:$N$1004,MATCH(ROW()-4,$O$5:$O$1004,0)),"")</f>
        <v/>
      </c>
      <c r="Q954" s="0" t="str">
        <f aca="false">IF(ROW()-4&lt;=MAX($M$5:$M$1004),IFERROR(INDEX($N$5:$N$1004,ROW()-4),""),IFERROR(INDEX($P$5:$P$1004,ROW()-4-MAX($M$5:$M$1004)),""))</f>
        <v/>
      </c>
    </row>
    <row r="955" customFormat="false" ht="15" hidden="false" customHeight="false" outlineLevel="0" collapsed="false">
      <c r="M955" s="0" t="str">
        <f aca="false">IF(CSV貼付A!$N955="","",IF(COUNTIF($B$37:$B$48,CSV貼付A!$H955)&gt;0,"",IF(SUMPRODUCT((CSV貼付A!$N$5:$N955=CSV貼付A!$N955)*(COUNTIF($B$37:$B$48,CSV貼付A!$H$5:$H955)=0))&gt;1,"",MAX($M$4:M954)+1)))</f>
        <v/>
      </c>
      <c r="N955" s="0" t="str">
        <f aca="false">IFERROR(INDEX(CSV貼付A!$N$5:$N$1004,MATCH(ROW()-4,$M$5:$M$1004,0)),"")</f>
        <v/>
      </c>
      <c r="O955" s="0" t="str">
        <f aca="false">IF(CSV貼付B!$N955="","",IF(COUNTIF($B$37:$B$48,CSV貼付B!$H955)&gt;0,"",IF(SUMPRODUCT((CSV貼付B!$N$5:$N955=CSV貼付B!$N955)*(COUNTIF($B$37:$B$48,CSV貼付B!$H$5:$H955)=0))&gt;1,"",MAX($O$4:O954)+1)))</f>
        <v/>
      </c>
      <c r="P955" s="0" t="str">
        <f aca="false">IFERROR(INDEX(CSV貼付B!$N$5:$N$1004,MATCH(ROW()-4,$O$5:$O$1004,0)),"")</f>
        <v/>
      </c>
      <c r="Q955" s="0" t="str">
        <f aca="false">IF(ROW()-4&lt;=MAX($M$5:$M$1004),IFERROR(INDEX($N$5:$N$1004,ROW()-4),""),IFERROR(INDEX($P$5:$P$1004,ROW()-4-MAX($M$5:$M$1004)),""))</f>
        <v/>
      </c>
    </row>
    <row r="956" customFormat="false" ht="15" hidden="false" customHeight="false" outlineLevel="0" collapsed="false">
      <c r="M956" s="0" t="str">
        <f aca="false">IF(CSV貼付A!$N956="","",IF(COUNTIF($B$37:$B$48,CSV貼付A!$H956)&gt;0,"",IF(SUMPRODUCT((CSV貼付A!$N$5:$N956=CSV貼付A!$N956)*(COUNTIF($B$37:$B$48,CSV貼付A!$H$5:$H956)=0))&gt;1,"",MAX($M$4:M955)+1)))</f>
        <v/>
      </c>
      <c r="N956" s="0" t="str">
        <f aca="false">IFERROR(INDEX(CSV貼付A!$N$5:$N$1004,MATCH(ROW()-4,$M$5:$M$1004,0)),"")</f>
        <v/>
      </c>
      <c r="O956" s="0" t="str">
        <f aca="false">IF(CSV貼付B!$N956="","",IF(COUNTIF($B$37:$B$48,CSV貼付B!$H956)&gt;0,"",IF(SUMPRODUCT((CSV貼付B!$N$5:$N956=CSV貼付B!$N956)*(COUNTIF($B$37:$B$48,CSV貼付B!$H$5:$H956)=0))&gt;1,"",MAX($O$4:O955)+1)))</f>
        <v/>
      </c>
      <c r="P956" s="0" t="str">
        <f aca="false">IFERROR(INDEX(CSV貼付B!$N$5:$N$1004,MATCH(ROW()-4,$O$5:$O$1004,0)),"")</f>
        <v/>
      </c>
      <c r="Q956" s="0" t="str">
        <f aca="false">IF(ROW()-4&lt;=MAX($M$5:$M$1004),IFERROR(INDEX($N$5:$N$1004,ROW()-4),""),IFERROR(INDEX($P$5:$P$1004,ROW()-4-MAX($M$5:$M$1004)),""))</f>
        <v/>
      </c>
    </row>
    <row r="957" customFormat="false" ht="15" hidden="false" customHeight="false" outlineLevel="0" collapsed="false">
      <c r="M957" s="0" t="str">
        <f aca="false">IF(CSV貼付A!$N957="","",IF(COUNTIF($B$37:$B$48,CSV貼付A!$H957)&gt;0,"",IF(SUMPRODUCT((CSV貼付A!$N$5:$N957=CSV貼付A!$N957)*(COUNTIF($B$37:$B$48,CSV貼付A!$H$5:$H957)=0))&gt;1,"",MAX($M$4:M956)+1)))</f>
        <v/>
      </c>
      <c r="N957" s="0" t="str">
        <f aca="false">IFERROR(INDEX(CSV貼付A!$N$5:$N$1004,MATCH(ROW()-4,$M$5:$M$1004,0)),"")</f>
        <v/>
      </c>
      <c r="O957" s="0" t="str">
        <f aca="false">IF(CSV貼付B!$N957="","",IF(COUNTIF($B$37:$B$48,CSV貼付B!$H957)&gt;0,"",IF(SUMPRODUCT((CSV貼付B!$N$5:$N957=CSV貼付B!$N957)*(COUNTIF($B$37:$B$48,CSV貼付B!$H$5:$H957)=0))&gt;1,"",MAX($O$4:O956)+1)))</f>
        <v/>
      </c>
      <c r="P957" s="0" t="str">
        <f aca="false">IFERROR(INDEX(CSV貼付B!$N$5:$N$1004,MATCH(ROW()-4,$O$5:$O$1004,0)),"")</f>
        <v/>
      </c>
      <c r="Q957" s="0" t="str">
        <f aca="false">IF(ROW()-4&lt;=MAX($M$5:$M$1004),IFERROR(INDEX($N$5:$N$1004,ROW()-4),""),IFERROR(INDEX($P$5:$P$1004,ROW()-4-MAX($M$5:$M$1004)),""))</f>
        <v/>
      </c>
    </row>
    <row r="958" customFormat="false" ht="15" hidden="false" customHeight="false" outlineLevel="0" collapsed="false">
      <c r="M958" s="0" t="str">
        <f aca="false">IF(CSV貼付A!$N958="","",IF(COUNTIF($B$37:$B$48,CSV貼付A!$H958)&gt;0,"",IF(SUMPRODUCT((CSV貼付A!$N$5:$N958=CSV貼付A!$N958)*(COUNTIF($B$37:$B$48,CSV貼付A!$H$5:$H958)=0))&gt;1,"",MAX($M$4:M957)+1)))</f>
        <v/>
      </c>
      <c r="N958" s="0" t="str">
        <f aca="false">IFERROR(INDEX(CSV貼付A!$N$5:$N$1004,MATCH(ROW()-4,$M$5:$M$1004,0)),"")</f>
        <v/>
      </c>
      <c r="O958" s="0" t="str">
        <f aca="false">IF(CSV貼付B!$N958="","",IF(COUNTIF($B$37:$B$48,CSV貼付B!$H958)&gt;0,"",IF(SUMPRODUCT((CSV貼付B!$N$5:$N958=CSV貼付B!$N958)*(COUNTIF($B$37:$B$48,CSV貼付B!$H$5:$H958)=0))&gt;1,"",MAX($O$4:O957)+1)))</f>
        <v/>
      </c>
      <c r="P958" s="0" t="str">
        <f aca="false">IFERROR(INDEX(CSV貼付B!$N$5:$N$1004,MATCH(ROW()-4,$O$5:$O$1004,0)),"")</f>
        <v/>
      </c>
      <c r="Q958" s="0" t="str">
        <f aca="false">IF(ROW()-4&lt;=MAX($M$5:$M$1004),IFERROR(INDEX($N$5:$N$1004,ROW()-4),""),IFERROR(INDEX($P$5:$P$1004,ROW()-4-MAX($M$5:$M$1004)),""))</f>
        <v/>
      </c>
    </row>
    <row r="959" customFormat="false" ht="15" hidden="false" customHeight="false" outlineLevel="0" collapsed="false">
      <c r="M959" s="0" t="str">
        <f aca="false">IF(CSV貼付A!$N959="","",IF(COUNTIF($B$37:$B$48,CSV貼付A!$H959)&gt;0,"",IF(SUMPRODUCT((CSV貼付A!$N$5:$N959=CSV貼付A!$N959)*(COUNTIF($B$37:$B$48,CSV貼付A!$H$5:$H959)=0))&gt;1,"",MAX($M$4:M958)+1)))</f>
        <v/>
      </c>
      <c r="N959" s="0" t="str">
        <f aca="false">IFERROR(INDEX(CSV貼付A!$N$5:$N$1004,MATCH(ROW()-4,$M$5:$M$1004,0)),"")</f>
        <v/>
      </c>
      <c r="O959" s="0" t="str">
        <f aca="false">IF(CSV貼付B!$N959="","",IF(COUNTIF($B$37:$B$48,CSV貼付B!$H959)&gt;0,"",IF(SUMPRODUCT((CSV貼付B!$N$5:$N959=CSV貼付B!$N959)*(COUNTIF($B$37:$B$48,CSV貼付B!$H$5:$H959)=0))&gt;1,"",MAX($O$4:O958)+1)))</f>
        <v/>
      </c>
      <c r="P959" s="0" t="str">
        <f aca="false">IFERROR(INDEX(CSV貼付B!$N$5:$N$1004,MATCH(ROW()-4,$O$5:$O$1004,0)),"")</f>
        <v/>
      </c>
      <c r="Q959" s="0" t="str">
        <f aca="false">IF(ROW()-4&lt;=MAX($M$5:$M$1004),IFERROR(INDEX($N$5:$N$1004,ROW()-4),""),IFERROR(INDEX($P$5:$P$1004,ROW()-4-MAX($M$5:$M$1004)),""))</f>
        <v/>
      </c>
    </row>
    <row r="960" customFormat="false" ht="15" hidden="false" customHeight="false" outlineLevel="0" collapsed="false">
      <c r="M960" s="0" t="str">
        <f aca="false">IF(CSV貼付A!$N960="","",IF(COUNTIF($B$37:$B$48,CSV貼付A!$H960)&gt;0,"",IF(SUMPRODUCT((CSV貼付A!$N$5:$N960=CSV貼付A!$N960)*(COUNTIF($B$37:$B$48,CSV貼付A!$H$5:$H960)=0))&gt;1,"",MAX($M$4:M959)+1)))</f>
        <v/>
      </c>
      <c r="N960" s="0" t="str">
        <f aca="false">IFERROR(INDEX(CSV貼付A!$N$5:$N$1004,MATCH(ROW()-4,$M$5:$M$1004,0)),"")</f>
        <v/>
      </c>
      <c r="O960" s="0" t="str">
        <f aca="false">IF(CSV貼付B!$N960="","",IF(COUNTIF($B$37:$B$48,CSV貼付B!$H960)&gt;0,"",IF(SUMPRODUCT((CSV貼付B!$N$5:$N960=CSV貼付B!$N960)*(COUNTIF($B$37:$B$48,CSV貼付B!$H$5:$H960)=0))&gt;1,"",MAX($O$4:O959)+1)))</f>
        <v/>
      </c>
      <c r="P960" s="0" t="str">
        <f aca="false">IFERROR(INDEX(CSV貼付B!$N$5:$N$1004,MATCH(ROW()-4,$O$5:$O$1004,0)),"")</f>
        <v/>
      </c>
      <c r="Q960" s="0" t="str">
        <f aca="false">IF(ROW()-4&lt;=MAX($M$5:$M$1004),IFERROR(INDEX($N$5:$N$1004,ROW()-4),""),IFERROR(INDEX($P$5:$P$1004,ROW()-4-MAX($M$5:$M$1004)),""))</f>
        <v/>
      </c>
    </row>
    <row r="961" customFormat="false" ht="15" hidden="false" customHeight="false" outlineLevel="0" collapsed="false">
      <c r="M961" s="0" t="str">
        <f aca="false">IF(CSV貼付A!$N961="","",IF(COUNTIF($B$37:$B$48,CSV貼付A!$H961)&gt;0,"",IF(SUMPRODUCT((CSV貼付A!$N$5:$N961=CSV貼付A!$N961)*(COUNTIF($B$37:$B$48,CSV貼付A!$H$5:$H961)=0))&gt;1,"",MAX($M$4:M960)+1)))</f>
        <v/>
      </c>
      <c r="N961" s="0" t="str">
        <f aca="false">IFERROR(INDEX(CSV貼付A!$N$5:$N$1004,MATCH(ROW()-4,$M$5:$M$1004,0)),"")</f>
        <v/>
      </c>
      <c r="O961" s="0" t="str">
        <f aca="false">IF(CSV貼付B!$N961="","",IF(COUNTIF($B$37:$B$48,CSV貼付B!$H961)&gt;0,"",IF(SUMPRODUCT((CSV貼付B!$N$5:$N961=CSV貼付B!$N961)*(COUNTIF($B$37:$B$48,CSV貼付B!$H$5:$H961)=0))&gt;1,"",MAX($O$4:O960)+1)))</f>
        <v/>
      </c>
      <c r="P961" s="0" t="str">
        <f aca="false">IFERROR(INDEX(CSV貼付B!$N$5:$N$1004,MATCH(ROW()-4,$O$5:$O$1004,0)),"")</f>
        <v/>
      </c>
      <c r="Q961" s="0" t="str">
        <f aca="false">IF(ROW()-4&lt;=MAX($M$5:$M$1004),IFERROR(INDEX($N$5:$N$1004,ROW()-4),""),IFERROR(INDEX($P$5:$P$1004,ROW()-4-MAX($M$5:$M$1004)),""))</f>
        <v/>
      </c>
    </row>
    <row r="962" customFormat="false" ht="15" hidden="false" customHeight="false" outlineLevel="0" collapsed="false">
      <c r="M962" s="0" t="str">
        <f aca="false">IF(CSV貼付A!$N962="","",IF(COUNTIF($B$37:$B$48,CSV貼付A!$H962)&gt;0,"",IF(SUMPRODUCT((CSV貼付A!$N$5:$N962=CSV貼付A!$N962)*(COUNTIF($B$37:$B$48,CSV貼付A!$H$5:$H962)=0))&gt;1,"",MAX($M$4:M961)+1)))</f>
        <v/>
      </c>
      <c r="N962" s="0" t="str">
        <f aca="false">IFERROR(INDEX(CSV貼付A!$N$5:$N$1004,MATCH(ROW()-4,$M$5:$M$1004,0)),"")</f>
        <v/>
      </c>
      <c r="O962" s="0" t="str">
        <f aca="false">IF(CSV貼付B!$N962="","",IF(COUNTIF($B$37:$B$48,CSV貼付B!$H962)&gt;0,"",IF(SUMPRODUCT((CSV貼付B!$N$5:$N962=CSV貼付B!$N962)*(COUNTIF($B$37:$B$48,CSV貼付B!$H$5:$H962)=0))&gt;1,"",MAX($O$4:O961)+1)))</f>
        <v/>
      </c>
      <c r="P962" s="0" t="str">
        <f aca="false">IFERROR(INDEX(CSV貼付B!$N$5:$N$1004,MATCH(ROW()-4,$O$5:$O$1004,0)),"")</f>
        <v/>
      </c>
      <c r="Q962" s="0" t="str">
        <f aca="false">IF(ROW()-4&lt;=MAX($M$5:$M$1004),IFERROR(INDEX($N$5:$N$1004,ROW()-4),""),IFERROR(INDEX($P$5:$P$1004,ROW()-4-MAX($M$5:$M$1004)),""))</f>
        <v/>
      </c>
    </row>
    <row r="963" customFormat="false" ht="15" hidden="false" customHeight="false" outlineLevel="0" collapsed="false">
      <c r="M963" s="0" t="str">
        <f aca="false">IF(CSV貼付A!$N963="","",IF(COUNTIF($B$37:$B$48,CSV貼付A!$H963)&gt;0,"",IF(SUMPRODUCT((CSV貼付A!$N$5:$N963=CSV貼付A!$N963)*(COUNTIF($B$37:$B$48,CSV貼付A!$H$5:$H963)=0))&gt;1,"",MAX($M$4:M962)+1)))</f>
        <v/>
      </c>
      <c r="N963" s="0" t="str">
        <f aca="false">IFERROR(INDEX(CSV貼付A!$N$5:$N$1004,MATCH(ROW()-4,$M$5:$M$1004,0)),"")</f>
        <v/>
      </c>
      <c r="O963" s="0" t="str">
        <f aca="false">IF(CSV貼付B!$N963="","",IF(COUNTIF($B$37:$B$48,CSV貼付B!$H963)&gt;0,"",IF(SUMPRODUCT((CSV貼付B!$N$5:$N963=CSV貼付B!$N963)*(COUNTIF($B$37:$B$48,CSV貼付B!$H$5:$H963)=0))&gt;1,"",MAX($O$4:O962)+1)))</f>
        <v/>
      </c>
      <c r="P963" s="0" t="str">
        <f aca="false">IFERROR(INDEX(CSV貼付B!$N$5:$N$1004,MATCH(ROW()-4,$O$5:$O$1004,0)),"")</f>
        <v/>
      </c>
      <c r="Q963" s="0" t="str">
        <f aca="false">IF(ROW()-4&lt;=MAX($M$5:$M$1004),IFERROR(INDEX($N$5:$N$1004,ROW()-4),""),IFERROR(INDEX($P$5:$P$1004,ROW()-4-MAX($M$5:$M$1004)),""))</f>
        <v/>
      </c>
    </row>
    <row r="964" customFormat="false" ht="15" hidden="false" customHeight="false" outlineLevel="0" collapsed="false">
      <c r="M964" s="0" t="str">
        <f aca="false">IF(CSV貼付A!$N964="","",IF(COUNTIF($B$37:$B$48,CSV貼付A!$H964)&gt;0,"",IF(SUMPRODUCT((CSV貼付A!$N$5:$N964=CSV貼付A!$N964)*(COUNTIF($B$37:$B$48,CSV貼付A!$H$5:$H964)=0))&gt;1,"",MAX($M$4:M963)+1)))</f>
        <v/>
      </c>
      <c r="N964" s="0" t="str">
        <f aca="false">IFERROR(INDEX(CSV貼付A!$N$5:$N$1004,MATCH(ROW()-4,$M$5:$M$1004,0)),"")</f>
        <v/>
      </c>
      <c r="O964" s="0" t="str">
        <f aca="false">IF(CSV貼付B!$N964="","",IF(COUNTIF($B$37:$B$48,CSV貼付B!$H964)&gt;0,"",IF(SUMPRODUCT((CSV貼付B!$N$5:$N964=CSV貼付B!$N964)*(COUNTIF($B$37:$B$48,CSV貼付B!$H$5:$H964)=0))&gt;1,"",MAX($O$4:O963)+1)))</f>
        <v/>
      </c>
      <c r="P964" s="0" t="str">
        <f aca="false">IFERROR(INDEX(CSV貼付B!$N$5:$N$1004,MATCH(ROW()-4,$O$5:$O$1004,0)),"")</f>
        <v/>
      </c>
      <c r="Q964" s="0" t="str">
        <f aca="false">IF(ROW()-4&lt;=MAX($M$5:$M$1004),IFERROR(INDEX($N$5:$N$1004,ROW()-4),""),IFERROR(INDEX($P$5:$P$1004,ROW()-4-MAX($M$5:$M$1004)),""))</f>
        <v/>
      </c>
    </row>
    <row r="965" customFormat="false" ht="15" hidden="false" customHeight="false" outlineLevel="0" collapsed="false">
      <c r="M965" s="0" t="str">
        <f aca="false">IF(CSV貼付A!$N965="","",IF(COUNTIF($B$37:$B$48,CSV貼付A!$H965)&gt;0,"",IF(SUMPRODUCT((CSV貼付A!$N$5:$N965=CSV貼付A!$N965)*(COUNTIF($B$37:$B$48,CSV貼付A!$H$5:$H965)=0))&gt;1,"",MAX($M$4:M964)+1)))</f>
        <v/>
      </c>
      <c r="N965" s="0" t="str">
        <f aca="false">IFERROR(INDEX(CSV貼付A!$N$5:$N$1004,MATCH(ROW()-4,$M$5:$M$1004,0)),"")</f>
        <v/>
      </c>
      <c r="O965" s="0" t="str">
        <f aca="false">IF(CSV貼付B!$N965="","",IF(COUNTIF($B$37:$B$48,CSV貼付B!$H965)&gt;0,"",IF(SUMPRODUCT((CSV貼付B!$N$5:$N965=CSV貼付B!$N965)*(COUNTIF($B$37:$B$48,CSV貼付B!$H$5:$H965)=0))&gt;1,"",MAX($O$4:O964)+1)))</f>
        <v/>
      </c>
      <c r="P965" s="0" t="str">
        <f aca="false">IFERROR(INDEX(CSV貼付B!$N$5:$N$1004,MATCH(ROW()-4,$O$5:$O$1004,0)),"")</f>
        <v/>
      </c>
      <c r="Q965" s="0" t="str">
        <f aca="false">IF(ROW()-4&lt;=MAX($M$5:$M$1004),IFERROR(INDEX($N$5:$N$1004,ROW()-4),""),IFERROR(INDEX($P$5:$P$1004,ROW()-4-MAX($M$5:$M$1004)),""))</f>
        <v/>
      </c>
    </row>
    <row r="966" customFormat="false" ht="15" hidden="false" customHeight="false" outlineLevel="0" collapsed="false">
      <c r="M966" s="0" t="str">
        <f aca="false">IF(CSV貼付A!$N966="","",IF(COUNTIF($B$37:$B$48,CSV貼付A!$H966)&gt;0,"",IF(SUMPRODUCT((CSV貼付A!$N$5:$N966=CSV貼付A!$N966)*(COUNTIF($B$37:$B$48,CSV貼付A!$H$5:$H966)=0))&gt;1,"",MAX($M$4:M965)+1)))</f>
        <v/>
      </c>
      <c r="N966" s="0" t="str">
        <f aca="false">IFERROR(INDEX(CSV貼付A!$N$5:$N$1004,MATCH(ROW()-4,$M$5:$M$1004,0)),"")</f>
        <v/>
      </c>
      <c r="O966" s="0" t="str">
        <f aca="false">IF(CSV貼付B!$N966="","",IF(COUNTIF($B$37:$B$48,CSV貼付B!$H966)&gt;0,"",IF(SUMPRODUCT((CSV貼付B!$N$5:$N966=CSV貼付B!$N966)*(COUNTIF($B$37:$B$48,CSV貼付B!$H$5:$H966)=0))&gt;1,"",MAX($O$4:O965)+1)))</f>
        <v/>
      </c>
      <c r="P966" s="0" t="str">
        <f aca="false">IFERROR(INDEX(CSV貼付B!$N$5:$N$1004,MATCH(ROW()-4,$O$5:$O$1004,0)),"")</f>
        <v/>
      </c>
      <c r="Q966" s="0" t="str">
        <f aca="false">IF(ROW()-4&lt;=MAX($M$5:$M$1004),IFERROR(INDEX($N$5:$N$1004,ROW()-4),""),IFERROR(INDEX($P$5:$P$1004,ROW()-4-MAX($M$5:$M$1004)),""))</f>
        <v/>
      </c>
    </row>
    <row r="967" customFormat="false" ht="15" hidden="false" customHeight="false" outlineLevel="0" collapsed="false">
      <c r="M967" s="0" t="str">
        <f aca="false">IF(CSV貼付A!$N967="","",IF(COUNTIF($B$37:$B$48,CSV貼付A!$H967)&gt;0,"",IF(SUMPRODUCT((CSV貼付A!$N$5:$N967=CSV貼付A!$N967)*(COUNTIF($B$37:$B$48,CSV貼付A!$H$5:$H967)=0))&gt;1,"",MAX($M$4:M966)+1)))</f>
        <v/>
      </c>
      <c r="N967" s="0" t="str">
        <f aca="false">IFERROR(INDEX(CSV貼付A!$N$5:$N$1004,MATCH(ROW()-4,$M$5:$M$1004,0)),"")</f>
        <v/>
      </c>
      <c r="O967" s="0" t="str">
        <f aca="false">IF(CSV貼付B!$N967="","",IF(COUNTIF($B$37:$B$48,CSV貼付B!$H967)&gt;0,"",IF(SUMPRODUCT((CSV貼付B!$N$5:$N967=CSV貼付B!$N967)*(COUNTIF($B$37:$B$48,CSV貼付B!$H$5:$H967)=0))&gt;1,"",MAX($O$4:O966)+1)))</f>
        <v/>
      </c>
      <c r="P967" s="0" t="str">
        <f aca="false">IFERROR(INDEX(CSV貼付B!$N$5:$N$1004,MATCH(ROW()-4,$O$5:$O$1004,0)),"")</f>
        <v/>
      </c>
      <c r="Q967" s="0" t="str">
        <f aca="false">IF(ROW()-4&lt;=MAX($M$5:$M$1004),IFERROR(INDEX($N$5:$N$1004,ROW()-4),""),IFERROR(INDEX($P$5:$P$1004,ROW()-4-MAX($M$5:$M$1004)),""))</f>
        <v/>
      </c>
    </row>
    <row r="968" customFormat="false" ht="15" hidden="false" customHeight="false" outlineLevel="0" collapsed="false">
      <c r="M968" s="0" t="str">
        <f aca="false">IF(CSV貼付A!$N968="","",IF(COUNTIF($B$37:$B$48,CSV貼付A!$H968)&gt;0,"",IF(SUMPRODUCT((CSV貼付A!$N$5:$N968=CSV貼付A!$N968)*(COUNTIF($B$37:$B$48,CSV貼付A!$H$5:$H968)=0))&gt;1,"",MAX($M$4:M967)+1)))</f>
        <v/>
      </c>
      <c r="N968" s="0" t="str">
        <f aca="false">IFERROR(INDEX(CSV貼付A!$N$5:$N$1004,MATCH(ROW()-4,$M$5:$M$1004,0)),"")</f>
        <v/>
      </c>
      <c r="O968" s="0" t="str">
        <f aca="false">IF(CSV貼付B!$N968="","",IF(COUNTIF($B$37:$B$48,CSV貼付B!$H968)&gt;0,"",IF(SUMPRODUCT((CSV貼付B!$N$5:$N968=CSV貼付B!$N968)*(COUNTIF($B$37:$B$48,CSV貼付B!$H$5:$H968)=0))&gt;1,"",MAX($O$4:O967)+1)))</f>
        <v/>
      </c>
      <c r="P968" s="0" t="str">
        <f aca="false">IFERROR(INDEX(CSV貼付B!$N$5:$N$1004,MATCH(ROW()-4,$O$5:$O$1004,0)),"")</f>
        <v/>
      </c>
      <c r="Q968" s="0" t="str">
        <f aca="false">IF(ROW()-4&lt;=MAX($M$5:$M$1004),IFERROR(INDEX($N$5:$N$1004,ROW()-4),""),IFERROR(INDEX($P$5:$P$1004,ROW()-4-MAX($M$5:$M$1004)),""))</f>
        <v/>
      </c>
    </row>
    <row r="969" customFormat="false" ht="15" hidden="false" customHeight="false" outlineLevel="0" collapsed="false">
      <c r="M969" s="0" t="str">
        <f aca="false">IF(CSV貼付A!$N969="","",IF(COUNTIF($B$37:$B$48,CSV貼付A!$H969)&gt;0,"",IF(SUMPRODUCT((CSV貼付A!$N$5:$N969=CSV貼付A!$N969)*(COUNTIF($B$37:$B$48,CSV貼付A!$H$5:$H969)=0))&gt;1,"",MAX($M$4:M968)+1)))</f>
        <v/>
      </c>
      <c r="N969" s="0" t="str">
        <f aca="false">IFERROR(INDEX(CSV貼付A!$N$5:$N$1004,MATCH(ROW()-4,$M$5:$M$1004,0)),"")</f>
        <v/>
      </c>
      <c r="O969" s="0" t="str">
        <f aca="false">IF(CSV貼付B!$N969="","",IF(COUNTIF($B$37:$B$48,CSV貼付B!$H969)&gt;0,"",IF(SUMPRODUCT((CSV貼付B!$N$5:$N969=CSV貼付B!$N969)*(COUNTIF($B$37:$B$48,CSV貼付B!$H$5:$H969)=0))&gt;1,"",MAX($O$4:O968)+1)))</f>
        <v/>
      </c>
      <c r="P969" s="0" t="str">
        <f aca="false">IFERROR(INDEX(CSV貼付B!$N$5:$N$1004,MATCH(ROW()-4,$O$5:$O$1004,0)),"")</f>
        <v/>
      </c>
      <c r="Q969" s="0" t="str">
        <f aca="false">IF(ROW()-4&lt;=MAX($M$5:$M$1004),IFERROR(INDEX($N$5:$N$1004,ROW()-4),""),IFERROR(INDEX($P$5:$P$1004,ROW()-4-MAX($M$5:$M$1004)),""))</f>
        <v/>
      </c>
    </row>
    <row r="970" customFormat="false" ht="15" hidden="false" customHeight="false" outlineLevel="0" collapsed="false">
      <c r="M970" s="0" t="str">
        <f aca="false">IF(CSV貼付A!$N970="","",IF(COUNTIF($B$37:$B$48,CSV貼付A!$H970)&gt;0,"",IF(SUMPRODUCT((CSV貼付A!$N$5:$N970=CSV貼付A!$N970)*(COUNTIF($B$37:$B$48,CSV貼付A!$H$5:$H970)=0))&gt;1,"",MAX($M$4:M969)+1)))</f>
        <v/>
      </c>
      <c r="N970" s="0" t="str">
        <f aca="false">IFERROR(INDEX(CSV貼付A!$N$5:$N$1004,MATCH(ROW()-4,$M$5:$M$1004,0)),"")</f>
        <v/>
      </c>
      <c r="O970" s="0" t="str">
        <f aca="false">IF(CSV貼付B!$N970="","",IF(COUNTIF($B$37:$B$48,CSV貼付B!$H970)&gt;0,"",IF(SUMPRODUCT((CSV貼付B!$N$5:$N970=CSV貼付B!$N970)*(COUNTIF($B$37:$B$48,CSV貼付B!$H$5:$H970)=0))&gt;1,"",MAX($O$4:O969)+1)))</f>
        <v/>
      </c>
      <c r="P970" s="0" t="str">
        <f aca="false">IFERROR(INDEX(CSV貼付B!$N$5:$N$1004,MATCH(ROW()-4,$O$5:$O$1004,0)),"")</f>
        <v/>
      </c>
      <c r="Q970" s="0" t="str">
        <f aca="false">IF(ROW()-4&lt;=MAX($M$5:$M$1004),IFERROR(INDEX($N$5:$N$1004,ROW()-4),""),IFERROR(INDEX($P$5:$P$1004,ROW()-4-MAX($M$5:$M$1004)),""))</f>
        <v/>
      </c>
    </row>
    <row r="971" customFormat="false" ht="15" hidden="false" customHeight="false" outlineLevel="0" collapsed="false">
      <c r="M971" s="0" t="str">
        <f aca="false">IF(CSV貼付A!$N971="","",IF(COUNTIF($B$37:$B$48,CSV貼付A!$H971)&gt;0,"",IF(SUMPRODUCT((CSV貼付A!$N$5:$N971=CSV貼付A!$N971)*(COUNTIF($B$37:$B$48,CSV貼付A!$H$5:$H971)=0))&gt;1,"",MAX($M$4:M970)+1)))</f>
        <v/>
      </c>
      <c r="N971" s="0" t="str">
        <f aca="false">IFERROR(INDEX(CSV貼付A!$N$5:$N$1004,MATCH(ROW()-4,$M$5:$M$1004,0)),"")</f>
        <v/>
      </c>
      <c r="O971" s="0" t="str">
        <f aca="false">IF(CSV貼付B!$N971="","",IF(COUNTIF($B$37:$B$48,CSV貼付B!$H971)&gt;0,"",IF(SUMPRODUCT((CSV貼付B!$N$5:$N971=CSV貼付B!$N971)*(COUNTIF($B$37:$B$48,CSV貼付B!$H$5:$H971)=0))&gt;1,"",MAX($O$4:O970)+1)))</f>
        <v/>
      </c>
      <c r="P971" s="0" t="str">
        <f aca="false">IFERROR(INDEX(CSV貼付B!$N$5:$N$1004,MATCH(ROW()-4,$O$5:$O$1004,0)),"")</f>
        <v/>
      </c>
      <c r="Q971" s="0" t="str">
        <f aca="false">IF(ROW()-4&lt;=MAX($M$5:$M$1004),IFERROR(INDEX($N$5:$N$1004,ROW()-4),""),IFERROR(INDEX($P$5:$P$1004,ROW()-4-MAX($M$5:$M$1004)),""))</f>
        <v/>
      </c>
    </row>
    <row r="972" customFormat="false" ht="15" hidden="false" customHeight="false" outlineLevel="0" collapsed="false">
      <c r="M972" s="0" t="str">
        <f aca="false">IF(CSV貼付A!$N972="","",IF(COUNTIF($B$37:$B$48,CSV貼付A!$H972)&gt;0,"",IF(SUMPRODUCT((CSV貼付A!$N$5:$N972=CSV貼付A!$N972)*(COUNTIF($B$37:$B$48,CSV貼付A!$H$5:$H972)=0))&gt;1,"",MAX($M$4:M971)+1)))</f>
        <v/>
      </c>
      <c r="N972" s="0" t="str">
        <f aca="false">IFERROR(INDEX(CSV貼付A!$N$5:$N$1004,MATCH(ROW()-4,$M$5:$M$1004,0)),"")</f>
        <v/>
      </c>
      <c r="O972" s="0" t="str">
        <f aca="false">IF(CSV貼付B!$N972="","",IF(COUNTIF($B$37:$B$48,CSV貼付B!$H972)&gt;0,"",IF(SUMPRODUCT((CSV貼付B!$N$5:$N972=CSV貼付B!$N972)*(COUNTIF($B$37:$B$48,CSV貼付B!$H$5:$H972)=0))&gt;1,"",MAX($O$4:O971)+1)))</f>
        <v/>
      </c>
      <c r="P972" s="0" t="str">
        <f aca="false">IFERROR(INDEX(CSV貼付B!$N$5:$N$1004,MATCH(ROW()-4,$O$5:$O$1004,0)),"")</f>
        <v/>
      </c>
      <c r="Q972" s="0" t="str">
        <f aca="false">IF(ROW()-4&lt;=MAX($M$5:$M$1004),IFERROR(INDEX($N$5:$N$1004,ROW()-4),""),IFERROR(INDEX($P$5:$P$1004,ROW()-4-MAX($M$5:$M$1004)),""))</f>
        <v/>
      </c>
    </row>
    <row r="973" customFormat="false" ht="15" hidden="false" customHeight="false" outlineLevel="0" collapsed="false">
      <c r="M973" s="0" t="str">
        <f aca="false">IF(CSV貼付A!$N973="","",IF(COUNTIF($B$37:$B$48,CSV貼付A!$H973)&gt;0,"",IF(SUMPRODUCT((CSV貼付A!$N$5:$N973=CSV貼付A!$N973)*(COUNTIF($B$37:$B$48,CSV貼付A!$H$5:$H973)=0))&gt;1,"",MAX($M$4:M972)+1)))</f>
        <v/>
      </c>
      <c r="N973" s="0" t="str">
        <f aca="false">IFERROR(INDEX(CSV貼付A!$N$5:$N$1004,MATCH(ROW()-4,$M$5:$M$1004,0)),"")</f>
        <v/>
      </c>
      <c r="O973" s="0" t="str">
        <f aca="false">IF(CSV貼付B!$N973="","",IF(COUNTIF($B$37:$B$48,CSV貼付B!$H973)&gt;0,"",IF(SUMPRODUCT((CSV貼付B!$N$5:$N973=CSV貼付B!$N973)*(COUNTIF($B$37:$B$48,CSV貼付B!$H$5:$H973)=0))&gt;1,"",MAX($O$4:O972)+1)))</f>
        <v/>
      </c>
      <c r="P973" s="0" t="str">
        <f aca="false">IFERROR(INDEX(CSV貼付B!$N$5:$N$1004,MATCH(ROW()-4,$O$5:$O$1004,0)),"")</f>
        <v/>
      </c>
      <c r="Q973" s="0" t="str">
        <f aca="false">IF(ROW()-4&lt;=MAX($M$5:$M$1004),IFERROR(INDEX($N$5:$N$1004,ROW()-4),""),IFERROR(INDEX($P$5:$P$1004,ROW()-4-MAX($M$5:$M$1004)),""))</f>
        <v/>
      </c>
    </row>
    <row r="974" customFormat="false" ht="15" hidden="false" customHeight="false" outlineLevel="0" collapsed="false">
      <c r="M974" s="0" t="str">
        <f aca="false">IF(CSV貼付A!$N974="","",IF(COUNTIF($B$37:$B$48,CSV貼付A!$H974)&gt;0,"",IF(SUMPRODUCT((CSV貼付A!$N$5:$N974=CSV貼付A!$N974)*(COUNTIF($B$37:$B$48,CSV貼付A!$H$5:$H974)=0))&gt;1,"",MAX($M$4:M973)+1)))</f>
        <v/>
      </c>
      <c r="N974" s="0" t="str">
        <f aca="false">IFERROR(INDEX(CSV貼付A!$N$5:$N$1004,MATCH(ROW()-4,$M$5:$M$1004,0)),"")</f>
        <v/>
      </c>
      <c r="O974" s="0" t="str">
        <f aca="false">IF(CSV貼付B!$N974="","",IF(COUNTIF($B$37:$B$48,CSV貼付B!$H974)&gt;0,"",IF(SUMPRODUCT((CSV貼付B!$N$5:$N974=CSV貼付B!$N974)*(COUNTIF($B$37:$B$48,CSV貼付B!$H$5:$H974)=0))&gt;1,"",MAX($O$4:O973)+1)))</f>
        <v/>
      </c>
      <c r="P974" s="0" t="str">
        <f aca="false">IFERROR(INDEX(CSV貼付B!$N$5:$N$1004,MATCH(ROW()-4,$O$5:$O$1004,0)),"")</f>
        <v/>
      </c>
      <c r="Q974" s="0" t="str">
        <f aca="false">IF(ROW()-4&lt;=MAX($M$5:$M$1004),IFERROR(INDEX($N$5:$N$1004,ROW()-4),""),IFERROR(INDEX($P$5:$P$1004,ROW()-4-MAX($M$5:$M$1004)),""))</f>
        <v/>
      </c>
    </row>
    <row r="975" customFormat="false" ht="15" hidden="false" customHeight="false" outlineLevel="0" collapsed="false">
      <c r="M975" s="0" t="str">
        <f aca="false">IF(CSV貼付A!$N975="","",IF(COUNTIF($B$37:$B$48,CSV貼付A!$H975)&gt;0,"",IF(SUMPRODUCT((CSV貼付A!$N$5:$N975=CSV貼付A!$N975)*(COUNTIF($B$37:$B$48,CSV貼付A!$H$5:$H975)=0))&gt;1,"",MAX($M$4:M974)+1)))</f>
        <v/>
      </c>
      <c r="N975" s="0" t="str">
        <f aca="false">IFERROR(INDEX(CSV貼付A!$N$5:$N$1004,MATCH(ROW()-4,$M$5:$M$1004,0)),"")</f>
        <v/>
      </c>
      <c r="O975" s="0" t="str">
        <f aca="false">IF(CSV貼付B!$N975="","",IF(COUNTIF($B$37:$B$48,CSV貼付B!$H975)&gt;0,"",IF(SUMPRODUCT((CSV貼付B!$N$5:$N975=CSV貼付B!$N975)*(COUNTIF($B$37:$B$48,CSV貼付B!$H$5:$H975)=0))&gt;1,"",MAX($O$4:O974)+1)))</f>
        <v/>
      </c>
      <c r="P975" s="0" t="str">
        <f aca="false">IFERROR(INDEX(CSV貼付B!$N$5:$N$1004,MATCH(ROW()-4,$O$5:$O$1004,0)),"")</f>
        <v/>
      </c>
      <c r="Q975" s="0" t="str">
        <f aca="false">IF(ROW()-4&lt;=MAX($M$5:$M$1004),IFERROR(INDEX($N$5:$N$1004,ROW()-4),""),IFERROR(INDEX($P$5:$P$1004,ROW()-4-MAX($M$5:$M$1004)),""))</f>
        <v/>
      </c>
    </row>
    <row r="976" customFormat="false" ht="15" hidden="false" customHeight="false" outlineLevel="0" collapsed="false">
      <c r="M976" s="0" t="str">
        <f aca="false">IF(CSV貼付A!$N976="","",IF(COUNTIF($B$37:$B$48,CSV貼付A!$H976)&gt;0,"",IF(SUMPRODUCT((CSV貼付A!$N$5:$N976=CSV貼付A!$N976)*(COUNTIF($B$37:$B$48,CSV貼付A!$H$5:$H976)=0))&gt;1,"",MAX($M$4:M975)+1)))</f>
        <v/>
      </c>
      <c r="N976" s="0" t="str">
        <f aca="false">IFERROR(INDEX(CSV貼付A!$N$5:$N$1004,MATCH(ROW()-4,$M$5:$M$1004,0)),"")</f>
        <v/>
      </c>
      <c r="O976" s="0" t="str">
        <f aca="false">IF(CSV貼付B!$N976="","",IF(COUNTIF($B$37:$B$48,CSV貼付B!$H976)&gt;0,"",IF(SUMPRODUCT((CSV貼付B!$N$5:$N976=CSV貼付B!$N976)*(COUNTIF($B$37:$B$48,CSV貼付B!$H$5:$H976)=0))&gt;1,"",MAX($O$4:O975)+1)))</f>
        <v/>
      </c>
      <c r="P976" s="0" t="str">
        <f aca="false">IFERROR(INDEX(CSV貼付B!$N$5:$N$1004,MATCH(ROW()-4,$O$5:$O$1004,0)),"")</f>
        <v/>
      </c>
      <c r="Q976" s="0" t="str">
        <f aca="false">IF(ROW()-4&lt;=MAX($M$5:$M$1004),IFERROR(INDEX($N$5:$N$1004,ROW()-4),""),IFERROR(INDEX($P$5:$P$1004,ROW()-4-MAX($M$5:$M$1004)),""))</f>
        <v/>
      </c>
    </row>
    <row r="977" customFormat="false" ht="15" hidden="false" customHeight="false" outlineLevel="0" collapsed="false">
      <c r="M977" s="0" t="str">
        <f aca="false">IF(CSV貼付A!$N977="","",IF(COUNTIF($B$37:$B$48,CSV貼付A!$H977)&gt;0,"",IF(SUMPRODUCT((CSV貼付A!$N$5:$N977=CSV貼付A!$N977)*(COUNTIF($B$37:$B$48,CSV貼付A!$H$5:$H977)=0))&gt;1,"",MAX($M$4:M976)+1)))</f>
        <v/>
      </c>
      <c r="N977" s="0" t="str">
        <f aca="false">IFERROR(INDEX(CSV貼付A!$N$5:$N$1004,MATCH(ROW()-4,$M$5:$M$1004,0)),"")</f>
        <v/>
      </c>
      <c r="O977" s="0" t="str">
        <f aca="false">IF(CSV貼付B!$N977="","",IF(COUNTIF($B$37:$B$48,CSV貼付B!$H977)&gt;0,"",IF(SUMPRODUCT((CSV貼付B!$N$5:$N977=CSV貼付B!$N977)*(COUNTIF($B$37:$B$48,CSV貼付B!$H$5:$H977)=0))&gt;1,"",MAX($O$4:O976)+1)))</f>
        <v/>
      </c>
      <c r="P977" s="0" t="str">
        <f aca="false">IFERROR(INDEX(CSV貼付B!$N$5:$N$1004,MATCH(ROW()-4,$O$5:$O$1004,0)),"")</f>
        <v/>
      </c>
      <c r="Q977" s="0" t="str">
        <f aca="false">IF(ROW()-4&lt;=MAX($M$5:$M$1004),IFERROR(INDEX($N$5:$N$1004,ROW()-4),""),IFERROR(INDEX($P$5:$P$1004,ROW()-4-MAX($M$5:$M$1004)),""))</f>
        <v/>
      </c>
    </row>
    <row r="978" customFormat="false" ht="15" hidden="false" customHeight="false" outlineLevel="0" collapsed="false">
      <c r="M978" s="0" t="str">
        <f aca="false">IF(CSV貼付A!$N978="","",IF(COUNTIF($B$37:$B$48,CSV貼付A!$H978)&gt;0,"",IF(SUMPRODUCT((CSV貼付A!$N$5:$N978=CSV貼付A!$N978)*(COUNTIF($B$37:$B$48,CSV貼付A!$H$5:$H978)=0))&gt;1,"",MAX($M$4:M977)+1)))</f>
        <v/>
      </c>
      <c r="N978" s="0" t="str">
        <f aca="false">IFERROR(INDEX(CSV貼付A!$N$5:$N$1004,MATCH(ROW()-4,$M$5:$M$1004,0)),"")</f>
        <v/>
      </c>
      <c r="O978" s="0" t="str">
        <f aca="false">IF(CSV貼付B!$N978="","",IF(COUNTIF($B$37:$B$48,CSV貼付B!$H978)&gt;0,"",IF(SUMPRODUCT((CSV貼付B!$N$5:$N978=CSV貼付B!$N978)*(COUNTIF($B$37:$B$48,CSV貼付B!$H$5:$H978)=0))&gt;1,"",MAX($O$4:O977)+1)))</f>
        <v/>
      </c>
      <c r="P978" s="0" t="str">
        <f aca="false">IFERROR(INDEX(CSV貼付B!$N$5:$N$1004,MATCH(ROW()-4,$O$5:$O$1004,0)),"")</f>
        <v/>
      </c>
      <c r="Q978" s="0" t="str">
        <f aca="false">IF(ROW()-4&lt;=MAX($M$5:$M$1004),IFERROR(INDEX($N$5:$N$1004,ROW()-4),""),IFERROR(INDEX($P$5:$P$1004,ROW()-4-MAX($M$5:$M$1004)),""))</f>
        <v/>
      </c>
    </row>
    <row r="979" customFormat="false" ht="15" hidden="false" customHeight="false" outlineLevel="0" collapsed="false">
      <c r="M979" s="0" t="str">
        <f aca="false">IF(CSV貼付A!$N979="","",IF(COUNTIF($B$37:$B$48,CSV貼付A!$H979)&gt;0,"",IF(SUMPRODUCT((CSV貼付A!$N$5:$N979=CSV貼付A!$N979)*(COUNTIF($B$37:$B$48,CSV貼付A!$H$5:$H979)=0))&gt;1,"",MAX($M$4:M978)+1)))</f>
        <v/>
      </c>
      <c r="N979" s="0" t="str">
        <f aca="false">IFERROR(INDEX(CSV貼付A!$N$5:$N$1004,MATCH(ROW()-4,$M$5:$M$1004,0)),"")</f>
        <v/>
      </c>
      <c r="O979" s="0" t="str">
        <f aca="false">IF(CSV貼付B!$N979="","",IF(COUNTIF($B$37:$B$48,CSV貼付B!$H979)&gt;0,"",IF(SUMPRODUCT((CSV貼付B!$N$5:$N979=CSV貼付B!$N979)*(COUNTIF($B$37:$B$48,CSV貼付B!$H$5:$H979)=0))&gt;1,"",MAX($O$4:O978)+1)))</f>
        <v/>
      </c>
      <c r="P979" s="0" t="str">
        <f aca="false">IFERROR(INDEX(CSV貼付B!$N$5:$N$1004,MATCH(ROW()-4,$O$5:$O$1004,0)),"")</f>
        <v/>
      </c>
      <c r="Q979" s="0" t="str">
        <f aca="false">IF(ROW()-4&lt;=MAX($M$5:$M$1004),IFERROR(INDEX($N$5:$N$1004,ROW()-4),""),IFERROR(INDEX($P$5:$P$1004,ROW()-4-MAX($M$5:$M$1004)),""))</f>
        <v/>
      </c>
    </row>
    <row r="980" customFormat="false" ht="15" hidden="false" customHeight="false" outlineLevel="0" collapsed="false">
      <c r="M980" s="0" t="str">
        <f aca="false">IF(CSV貼付A!$N980="","",IF(COUNTIF($B$37:$B$48,CSV貼付A!$H980)&gt;0,"",IF(SUMPRODUCT((CSV貼付A!$N$5:$N980=CSV貼付A!$N980)*(COUNTIF($B$37:$B$48,CSV貼付A!$H$5:$H980)=0))&gt;1,"",MAX($M$4:M979)+1)))</f>
        <v/>
      </c>
      <c r="N980" s="0" t="str">
        <f aca="false">IFERROR(INDEX(CSV貼付A!$N$5:$N$1004,MATCH(ROW()-4,$M$5:$M$1004,0)),"")</f>
        <v/>
      </c>
      <c r="O980" s="0" t="str">
        <f aca="false">IF(CSV貼付B!$N980="","",IF(COUNTIF($B$37:$B$48,CSV貼付B!$H980)&gt;0,"",IF(SUMPRODUCT((CSV貼付B!$N$5:$N980=CSV貼付B!$N980)*(COUNTIF($B$37:$B$48,CSV貼付B!$H$5:$H980)=0))&gt;1,"",MAX($O$4:O979)+1)))</f>
        <v/>
      </c>
      <c r="P980" s="0" t="str">
        <f aca="false">IFERROR(INDEX(CSV貼付B!$N$5:$N$1004,MATCH(ROW()-4,$O$5:$O$1004,0)),"")</f>
        <v/>
      </c>
      <c r="Q980" s="0" t="str">
        <f aca="false">IF(ROW()-4&lt;=MAX($M$5:$M$1004),IFERROR(INDEX($N$5:$N$1004,ROW()-4),""),IFERROR(INDEX($P$5:$P$1004,ROW()-4-MAX($M$5:$M$1004)),""))</f>
        <v/>
      </c>
    </row>
    <row r="981" customFormat="false" ht="15" hidden="false" customHeight="false" outlineLevel="0" collapsed="false">
      <c r="M981" s="0" t="str">
        <f aca="false">IF(CSV貼付A!$N981="","",IF(COUNTIF($B$37:$B$48,CSV貼付A!$H981)&gt;0,"",IF(SUMPRODUCT((CSV貼付A!$N$5:$N981=CSV貼付A!$N981)*(COUNTIF($B$37:$B$48,CSV貼付A!$H$5:$H981)=0))&gt;1,"",MAX($M$4:M980)+1)))</f>
        <v/>
      </c>
      <c r="N981" s="0" t="str">
        <f aca="false">IFERROR(INDEX(CSV貼付A!$N$5:$N$1004,MATCH(ROW()-4,$M$5:$M$1004,0)),"")</f>
        <v/>
      </c>
      <c r="O981" s="0" t="str">
        <f aca="false">IF(CSV貼付B!$N981="","",IF(COUNTIF($B$37:$B$48,CSV貼付B!$H981)&gt;0,"",IF(SUMPRODUCT((CSV貼付B!$N$5:$N981=CSV貼付B!$N981)*(COUNTIF($B$37:$B$48,CSV貼付B!$H$5:$H981)=0))&gt;1,"",MAX($O$4:O980)+1)))</f>
        <v/>
      </c>
      <c r="P981" s="0" t="str">
        <f aca="false">IFERROR(INDEX(CSV貼付B!$N$5:$N$1004,MATCH(ROW()-4,$O$5:$O$1004,0)),"")</f>
        <v/>
      </c>
      <c r="Q981" s="0" t="str">
        <f aca="false">IF(ROW()-4&lt;=MAX($M$5:$M$1004),IFERROR(INDEX($N$5:$N$1004,ROW()-4),""),IFERROR(INDEX($P$5:$P$1004,ROW()-4-MAX($M$5:$M$1004)),""))</f>
        <v/>
      </c>
    </row>
    <row r="982" customFormat="false" ht="15" hidden="false" customHeight="false" outlineLevel="0" collapsed="false">
      <c r="M982" s="0" t="str">
        <f aca="false">IF(CSV貼付A!$N982="","",IF(COUNTIF($B$37:$B$48,CSV貼付A!$H982)&gt;0,"",IF(SUMPRODUCT((CSV貼付A!$N$5:$N982=CSV貼付A!$N982)*(COUNTIF($B$37:$B$48,CSV貼付A!$H$5:$H982)=0))&gt;1,"",MAX($M$4:M981)+1)))</f>
        <v/>
      </c>
      <c r="N982" s="0" t="str">
        <f aca="false">IFERROR(INDEX(CSV貼付A!$N$5:$N$1004,MATCH(ROW()-4,$M$5:$M$1004,0)),"")</f>
        <v/>
      </c>
      <c r="O982" s="0" t="str">
        <f aca="false">IF(CSV貼付B!$N982="","",IF(COUNTIF($B$37:$B$48,CSV貼付B!$H982)&gt;0,"",IF(SUMPRODUCT((CSV貼付B!$N$5:$N982=CSV貼付B!$N982)*(COUNTIF($B$37:$B$48,CSV貼付B!$H$5:$H982)=0))&gt;1,"",MAX($O$4:O981)+1)))</f>
        <v/>
      </c>
      <c r="P982" s="0" t="str">
        <f aca="false">IFERROR(INDEX(CSV貼付B!$N$5:$N$1004,MATCH(ROW()-4,$O$5:$O$1004,0)),"")</f>
        <v/>
      </c>
      <c r="Q982" s="0" t="str">
        <f aca="false">IF(ROW()-4&lt;=MAX($M$5:$M$1004),IFERROR(INDEX($N$5:$N$1004,ROW()-4),""),IFERROR(INDEX($P$5:$P$1004,ROW()-4-MAX($M$5:$M$1004)),""))</f>
        <v/>
      </c>
    </row>
    <row r="983" customFormat="false" ht="15" hidden="false" customHeight="false" outlineLevel="0" collapsed="false">
      <c r="M983" s="0" t="str">
        <f aca="false">IF(CSV貼付A!$N983="","",IF(COUNTIF($B$37:$B$48,CSV貼付A!$H983)&gt;0,"",IF(SUMPRODUCT((CSV貼付A!$N$5:$N983=CSV貼付A!$N983)*(COUNTIF($B$37:$B$48,CSV貼付A!$H$5:$H983)=0))&gt;1,"",MAX($M$4:M982)+1)))</f>
        <v/>
      </c>
      <c r="N983" s="0" t="str">
        <f aca="false">IFERROR(INDEX(CSV貼付A!$N$5:$N$1004,MATCH(ROW()-4,$M$5:$M$1004,0)),"")</f>
        <v/>
      </c>
      <c r="O983" s="0" t="str">
        <f aca="false">IF(CSV貼付B!$N983="","",IF(COUNTIF($B$37:$B$48,CSV貼付B!$H983)&gt;0,"",IF(SUMPRODUCT((CSV貼付B!$N$5:$N983=CSV貼付B!$N983)*(COUNTIF($B$37:$B$48,CSV貼付B!$H$5:$H983)=0))&gt;1,"",MAX($O$4:O982)+1)))</f>
        <v/>
      </c>
      <c r="P983" s="0" t="str">
        <f aca="false">IFERROR(INDEX(CSV貼付B!$N$5:$N$1004,MATCH(ROW()-4,$O$5:$O$1004,0)),"")</f>
        <v/>
      </c>
      <c r="Q983" s="0" t="str">
        <f aca="false">IF(ROW()-4&lt;=MAX($M$5:$M$1004),IFERROR(INDEX($N$5:$N$1004,ROW()-4),""),IFERROR(INDEX($P$5:$P$1004,ROW()-4-MAX($M$5:$M$1004)),""))</f>
        <v/>
      </c>
    </row>
    <row r="984" customFormat="false" ht="15" hidden="false" customHeight="false" outlineLevel="0" collapsed="false">
      <c r="M984" s="0" t="str">
        <f aca="false">IF(CSV貼付A!$N984="","",IF(COUNTIF($B$37:$B$48,CSV貼付A!$H984)&gt;0,"",IF(SUMPRODUCT((CSV貼付A!$N$5:$N984=CSV貼付A!$N984)*(COUNTIF($B$37:$B$48,CSV貼付A!$H$5:$H984)=0))&gt;1,"",MAX($M$4:M983)+1)))</f>
        <v/>
      </c>
      <c r="N984" s="0" t="str">
        <f aca="false">IFERROR(INDEX(CSV貼付A!$N$5:$N$1004,MATCH(ROW()-4,$M$5:$M$1004,0)),"")</f>
        <v/>
      </c>
      <c r="O984" s="0" t="str">
        <f aca="false">IF(CSV貼付B!$N984="","",IF(COUNTIF($B$37:$B$48,CSV貼付B!$H984)&gt;0,"",IF(SUMPRODUCT((CSV貼付B!$N$5:$N984=CSV貼付B!$N984)*(COUNTIF($B$37:$B$48,CSV貼付B!$H$5:$H984)=0))&gt;1,"",MAX($O$4:O983)+1)))</f>
        <v/>
      </c>
      <c r="P984" s="0" t="str">
        <f aca="false">IFERROR(INDEX(CSV貼付B!$N$5:$N$1004,MATCH(ROW()-4,$O$5:$O$1004,0)),"")</f>
        <v/>
      </c>
      <c r="Q984" s="0" t="str">
        <f aca="false">IF(ROW()-4&lt;=MAX($M$5:$M$1004),IFERROR(INDEX($N$5:$N$1004,ROW()-4),""),IFERROR(INDEX($P$5:$P$1004,ROW()-4-MAX($M$5:$M$1004)),""))</f>
        <v/>
      </c>
    </row>
    <row r="985" customFormat="false" ht="15" hidden="false" customHeight="false" outlineLevel="0" collapsed="false">
      <c r="M985" s="0" t="str">
        <f aca="false">IF(CSV貼付A!$N985="","",IF(COUNTIF($B$37:$B$48,CSV貼付A!$H985)&gt;0,"",IF(SUMPRODUCT((CSV貼付A!$N$5:$N985=CSV貼付A!$N985)*(COUNTIF($B$37:$B$48,CSV貼付A!$H$5:$H985)=0))&gt;1,"",MAX($M$4:M984)+1)))</f>
        <v/>
      </c>
      <c r="N985" s="0" t="str">
        <f aca="false">IFERROR(INDEX(CSV貼付A!$N$5:$N$1004,MATCH(ROW()-4,$M$5:$M$1004,0)),"")</f>
        <v/>
      </c>
      <c r="O985" s="0" t="str">
        <f aca="false">IF(CSV貼付B!$N985="","",IF(COUNTIF($B$37:$B$48,CSV貼付B!$H985)&gt;0,"",IF(SUMPRODUCT((CSV貼付B!$N$5:$N985=CSV貼付B!$N985)*(COUNTIF($B$37:$B$48,CSV貼付B!$H$5:$H985)=0))&gt;1,"",MAX($O$4:O984)+1)))</f>
        <v/>
      </c>
      <c r="P985" s="0" t="str">
        <f aca="false">IFERROR(INDEX(CSV貼付B!$N$5:$N$1004,MATCH(ROW()-4,$O$5:$O$1004,0)),"")</f>
        <v/>
      </c>
      <c r="Q985" s="0" t="str">
        <f aca="false">IF(ROW()-4&lt;=MAX($M$5:$M$1004),IFERROR(INDEX($N$5:$N$1004,ROW()-4),""),IFERROR(INDEX($P$5:$P$1004,ROW()-4-MAX($M$5:$M$1004)),""))</f>
        <v/>
      </c>
    </row>
    <row r="986" customFormat="false" ht="15" hidden="false" customHeight="false" outlineLevel="0" collapsed="false">
      <c r="M986" s="0" t="str">
        <f aca="false">IF(CSV貼付A!$N986="","",IF(COUNTIF($B$37:$B$48,CSV貼付A!$H986)&gt;0,"",IF(SUMPRODUCT((CSV貼付A!$N$5:$N986=CSV貼付A!$N986)*(COUNTIF($B$37:$B$48,CSV貼付A!$H$5:$H986)=0))&gt;1,"",MAX($M$4:M985)+1)))</f>
        <v/>
      </c>
      <c r="N986" s="0" t="str">
        <f aca="false">IFERROR(INDEX(CSV貼付A!$N$5:$N$1004,MATCH(ROW()-4,$M$5:$M$1004,0)),"")</f>
        <v/>
      </c>
      <c r="O986" s="0" t="str">
        <f aca="false">IF(CSV貼付B!$N986="","",IF(COUNTIF($B$37:$B$48,CSV貼付B!$H986)&gt;0,"",IF(SUMPRODUCT((CSV貼付B!$N$5:$N986=CSV貼付B!$N986)*(COUNTIF($B$37:$B$48,CSV貼付B!$H$5:$H986)=0))&gt;1,"",MAX($O$4:O985)+1)))</f>
        <v/>
      </c>
      <c r="P986" s="0" t="str">
        <f aca="false">IFERROR(INDEX(CSV貼付B!$N$5:$N$1004,MATCH(ROW()-4,$O$5:$O$1004,0)),"")</f>
        <v/>
      </c>
      <c r="Q986" s="0" t="str">
        <f aca="false">IF(ROW()-4&lt;=MAX($M$5:$M$1004),IFERROR(INDEX($N$5:$N$1004,ROW()-4),""),IFERROR(INDEX($P$5:$P$1004,ROW()-4-MAX($M$5:$M$1004)),""))</f>
        <v/>
      </c>
    </row>
    <row r="987" customFormat="false" ht="15" hidden="false" customHeight="false" outlineLevel="0" collapsed="false">
      <c r="M987" s="0" t="str">
        <f aca="false">IF(CSV貼付A!$N987="","",IF(COUNTIF($B$37:$B$48,CSV貼付A!$H987)&gt;0,"",IF(SUMPRODUCT((CSV貼付A!$N$5:$N987=CSV貼付A!$N987)*(COUNTIF($B$37:$B$48,CSV貼付A!$H$5:$H987)=0))&gt;1,"",MAX($M$4:M986)+1)))</f>
        <v/>
      </c>
      <c r="N987" s="0" t="str">
        <f aca="false">IFERROR(INDEX(CSV貼付A!$N$5:$N$1004,MATCH(ROW()-4,$M$5:$M$1004,0)),"")</f>
        <v/>
      </c>
      <c r="O987" s="0" t="str">
        <f aca="false">IF(CSV貼付B!$N987="","",IF(COUNTIF($B$37:$B$48,CSV貼付B!$H987)&gt;0,"",IF(SUMPRODUCT((CSV貼付B!$N$5:$N987=CSV貼付B!$N987)*(COUNTIF($B$37:$B$48,CSV貼付B!$H$5:$H987)=0))&gt;1,"",MAX($O$4:O986)+1)))</f>
        <v/>
      </c>
      <c r="P987" s="0" t="str">
        <f aca="false">IFERROR(INDEX(CSV貼付B!$N$5:$N$1004,MATCH(ROW()-4,$O$5:$O$1004,0)),"")</f>
        <v/>
      </c>
      <c r="Q987" s="0" t="str">
        <f aca="false">IF(ROW()-4&lt;=MAX($M$5:$M$1004),IFERROR(INDEX($N$5:$N$1004,ROW()-4),""),IFERROR(INDEX($P$5:$P$1004,ROW()-4-MAX($M$5:$M$1004)),""))</f>
        <v/>
      </c>
    </row>
    <row r="988" customFormat="false" ht="15" hidden="false" customHeight="false" outlineLevel="0" collapsed="false">
      <c r="M988" s="0" t="str">
        <f aca="false">IF(CSV貼付A!$N988="","",IF(COUNTIF($B$37:$B$48,CSV貼付A!$H988)&gt;0,"",IF(SUMPRODUCT((CSV貼付A!$N$5:$N988=CSV貼付A!$N988)*(COUNTIF($B$37:$B$48,CSV貼付A!$H$5:$H988)=0))&gt;1,"",MAX($M$4:M987)+1)))</f>
        <v/>
      </c>
      <c r="N988" s="0" t="str">
        <f aca="false">IFERROR(INDEX(CSV貼付A!$N$5:$N$1004,MATCH(ROW()-4,$M$5:$M$1004,0)),"")</f>
        <v/>
      </c>
      <c r="O988" s="0" t="str">
        <f aca="false">IF(CSV貼付B!$N988="","",IF(COUNTIF($B$37:$B$48,CSV貼付B!$H988)&gt;0,"",IF(SUMPRODUCT((CSV貼付B!$N$5:$N988=CSV貼付B!$N988)*(COUNTIF($B$37:$B$48,CSV貼付B!$H$5:$H988)=0))&gt;1,"",MAX($O$4:O987)+1)))</f>
        <v/>
      </c>
      <c r="P988" s="0" t="str">
        <f aca="false">IFERROR(INDEX(CSV貼付B!$N$5:$N$1004,MATCH(ROW()-4,$O$5:$O$1004,0)),"")</f>
        <v/>
      </c>
      <c r="Q988" s="0" t="str">
        <f aca="false">IF(ROW()-4&lt;=MAX($M$5:$M$1004),IFERROR(INDEX($N$5:$N$1004,ROW()-4),""),IFERROR(INDEX($P$5:$P$1004,ROW()-4-MAX($M$5:$M$1004)),""))</f>
        <v/>
      </c>
    </row>
    <row r="989" customFormat="false" ht="15" hidden="false" customHeight="false" outlineLevel="0" collapsed="false">
      <c r="M989" s="0" t="str">
        <f aca="false">IF(CSV貼付A!$N989="","",IF(COUNTIF($B$37:$B$48,CSV貼付A!$H989)&gt;0,"",IF(SUMPRODUCT((CSV貼付A!$N$5:$N989=CSV貼付A!$N989)*(COUNTIF($B$37:$B$48,CSV貼付A!$H$5:$H989)=0))&gt;1,"",MAX($M$4:M988)+1)))</f>
        <v/>
      </c>
      <c r="N989" s="0" t="str">
        <f aca="false">IFERROR(INDEX(CSV貼付A!$N$5:$N$1004,MATCH(ROW()-4,$M$5:$M$1004,0)),"")</f>
        <v/>
      </c>
      <c r="O989" s="0" t="str">
        <f aca="false">IF(CSV貼付B!$N989="","",IF(COUNTIF($B$37:$B$48,CSV貼付B!$H989)&gt;0,"",IF(SUMPRODUCT((CSV貼付B!$N$5:$N989=CSV貼付B!$N989)*(COUNTIF($B$37:$B$48,CSV貼付B!$H$5:$H989)=0))&gt;1,"",MAX($O$4:O988)+1)))</f>
        <v/>
      </c>
      <c r="P989" s="0" t="str">
        <f aca="false">IFERROR(INDEX(CSV貼付B!$N$5:$N$1004,MATCH(ROW()-4,$O$5:$O$1004,0)),"")</f>
        <v/>
      </c>
      <c r="Q989" s="0" t="str">
        <f aca="false">IF(ROW()-4&lt;=MAX($M$5:$M$1004),IFERROR(INDEX($N$5:$N$1004,ROW()-4),""),IFERROR(INDEX($P$5:$P$1004,ROW()-4-MAX($M$5:$M$1004)),""))</f>
        <v/>
      </c>
    </row>
    <row r="990" customFormat="false" ht="15" hidden="false" customHeight="false" outlineLevel="0" collapsed="false">
      <c r="M990" s="0" t="str">
        <f aca="false">IF(CSV貼付A!$N990="","",IF(COUNTIF($B$37:$B$48,CSV貼付A!$H990)&gt;0,"",IF(SUMPRODUCT((CSV貼付A!$N$5:$N990=CSV貼付A!$N990)*(COUNTIF($B$37:$B$48,CSV貼付A!$H$5:$H990)=0))&gt;1,"",MAX($M$4:M989)+1)))</f>
        <v/>
      </c>
      <c r="N990" s="0" t="str">
        <f aca="false">IFERROR(INDEX(CSV貼付A!$N$5:$N$1004,MATCH(ROW()-4,$M$5:$M$1004,0)),"")</f>
        <v/>
      </c>
      <c r="O990" s="0" t="str">
        <f aca="false">IF(CSV貼付B!$N990="","",IF(COUNTIF($B$37:$B$48,CSV貼付B!$H990)&gt;0,"",IF(SUMPRODUCT((CSV貼付B!$N$5:$N990=CSV貼付B!$N990)*(COUNTIF($B$37:$B$48,CSV貼付B!$H$5:$H990)=0))&gt;1,"",MAX($O$4:O989)+1)))</f>
        <v/>
      </c>
      <c r="P990" s="0" t="str">
        <f aca="false">IFERROR(INDEX(CSV貼付B!$N$5:$N$1004,MATCH(ROW()-4,$O$5:$O$1004,0)),"")</f>
        <v/>
      </c>
      <c r="Q990" s="0" t="str">
        <f aca="false">IF(ROW()-4&lt;=MAX($M$5:$M$1004),IFERROR(INDEX($N$5:$N$1004,ROW()-4),""),IFERROR(INDEX($P$5:$P$1004,ROW()-4-MAX($M$5:$M$1004)),""))</f>
        <v/>
      </c>
    </row>
    <row r="991" customFormat="false" ht="15" hidden="false" customHeight="false" outlineLevel="0" collapsed="false">
      <c r="M991" s="0" t="str">
        <f aca="false">IF(CSV貼付A!$N991="","",IF(COUNTIF($B$37:$B$48,CSV貼付A!$H991)&gt;0,"",IF(SUMPRODUCT((CSV貼付A!$N$5:$N991=CSV貼付A!$N991)*(COUNTIF($B$37:$B$48,CSV貼付A!$H$5:$H991)=0))&gt;1,"",MAX($M$4:M990)+1)))</f>
        <v/>
      </c>
      <c r="N991" s="0" t="str">
        <f aca="false">IFERROR(INDEX(CSV貼付A!$N$5:$N$1004,MATCH(ROW()-4,$M$5:$M$1004,0)),"")</f>
        <v/>
      </c>
      <c r="O991" s="0" t="str">
        <f aca="false">IF(CSV貼付B!$N991="","",IF(COUNTIF($B$37:$B$48,CSV貼付B!$H991)&gt;0,"",IF(SUMPRODUCT((CSV貼付B!$N$5:$N991=CSV貼付B!$N991)*(COUNTIF($B$37:$B$48,CSV貼付B!$H$5:$H991)=0))&gt;1,"",MAX($O$4:O990)+1)))</f>
        <v/>
      </c>
      <c r="P991" s="0" t="str">
        <f aca="false">IFERROR(INDEX(CSV貼付B!$N$5:$N$1004,MATCH(ROW()-4,$O$5:$O$1004,0)),"")</f>
        <v/>
      </c>
      <c r="Q991" s="0" t="str">
        <f aca="false">IF(ROW()-4&lt;=MAX($M$5:$M$1004),IFERROR(INDEX($N$5:$N$1004,ROW()-4),""),IFERROR(INDEX($P$5:$P$1004,ROW()-4-MAX($M$5:$M$1004)),""))</f>
        <v/>
      </c>
    </row>
    <row r="992" customFormat="false" ht="15" hidden="false" customHeight="false" outlineLevel="0" collapsed="false">
      <c r="M992" s="0" t="str">
        <f aca="false">IF(CSV貼付A!$N992="","",IF(COUNTIF($B$37:$B$48,CSV貼付A!$H992)&gt;0,"",IF(SUMPRODUCT((CSV貼付A!$N$5:$N992=CSV貼付A!$N992)*(COUNTIF($B$37:$B$48,CSV貼付A!$H$5:$H992)=0))&gt;1,"",MAX($M$4:M991)+1)))</f>
        <v/>
      </c>
      <c r="N992" s="0" t="str">
        <f aca="false">IFERROR(INDEX(CSV貼付A!$N$5:$N$1004,MATCH(ROW()-4,$M$5:$M$1004,0)),"")</f>
        <v/>
      </c>
      <c r="O992" s="0" t="str">
        <f aca="false">IF(CSV貼付B!$N992="","",IF(COUNTIF($B$37:$B$48,CSV貼付B!$H992)&gt;0,"",IF(SUMPRODUCT((CSV貼付B!$N$5:$N992=CSV貼付B!$N992)*(COUNTIF($B$37:$B$48,CSV貼付B!$H$5:$H992)=0))&gt;1,"",MAX($O$4:O991)+1)))</f>
        <v/>
      </c>
      <c r="P992" s="0" t="str">
        <f aca="false">IFERROR(INDEX(CSV貼付B!$N$5:$N$1004,MATCH(ROW()-4,$O$5:$O$1004,0)),"")</f>
        <v/>
      </c>
      <c r="Q992" s="0" t="str">
        <f aca="false">IF(ROW()-4&lt;=MAX($M$5:$M$1004),IFERROR(INDEX($N$5:$N$1004,ROW()-4),""),IFERROR(INDEX($P$5:$P$1004,ROW()-4-MAX($M$5:$M$1004)),""))</f>
        <v/>
      </c>
    </row>
    <row r="993" customFormat="false" ht="15" hidden="false" customHeight="false" outlineLevel="0" collapsed="false">
      <c r="M993" s="0" t="str">
        <f aca="false">IF(CSV貼付A!$N993="","",IF(COUNTIF($B$37:$B$48,CSV貼付A!$H993)&gt;0,"",IF(SUMPRODUCT((CSV貼付A!$N$5:$N993=CSV貼付A!$N993)*(COUNTIF($B$37:$B$48,CSV貼付A!$H$5:$H993)=0))&gt;1,"",MAX($M$4:M992)+1)))</f>
        <v/>
      </c>
      <c r="N993" s="0" t="str">
        <f aca="false">IFERROR(INDEX(CSV貼付A!$N$5:$N$1004,MATCH(ROW()-4,$M$5:$M$1004,0)),"")</f>
        <v/>
      </c>
      <c r="O993" s="0" t="str">
        <f aca="false">IF(CSV貼付B!$N993="","",IF(COUNTIF($B$37:$B$48,CSV貼付B!$H993)&gt;0,"",IF(SUMPRODUCT((CSV貼付B!$N$5:$N993=CSV貼付B!$N993)*(COUNTIF($B$37:$B$48,CSV貼付B!$H$5:$H993)=0))&gt;1,"",MAX($O$4:O992)+1)))</f>
        <v/>
      </c>
      <c r="P993" s="0" t="str">
        <f aca="false">IFERROR(INDEX(CSV貼付B!$N$5:$N$1004,MATCH(ROW()-4,$O$5:$O$1004,0)),"")</f>
        <v/>
      </c>
      <c r="Q993" s="0" t="str">
        <f aca="false">IF(ROW()-4&lt;=MAX($M$5:$M$1004),IFERROR(INDEX($N$5:$N$1004,ROW()-4),""),IFERROR(INDEX($P$5:$P$1004,ROW()-4-MAX($M$5:$M$1004)),""))</f>
        <v/>
      </c>
    </row>
    <row r="994" customFormat="false" ht="15" hidden="false" customHeight="false" outlineLevel="0" collapsed="false">
      <c r="M994" s="0" t="str">
        <f aca="false">IF(CSV貼付A!$N994="","",IF(COUNTIF($B$37:$B$48,CSV貼付A!$H994)&gt;0,"",IF(SUMPRODUCT((CSV貼付A!$N$5:$N994=CSV貼付A!$N994)*(COUNTIF($B$37:$B$48,CSV貼付A!$H$5:$H994)=0))&gt;1,"",MAX($M$4:M993)+1)))</f>
        <v/>
      </c>
      <c r="N994" s="0" t="str">
        <f aca="false">IFERROR(INDEX(CSV貼付A!$N$5:$N$1004,MATCH(ROW()-4,$M$5:$M$1004,0)),"")</f>
        <v/>
      </c>
      <c r="O994" s="0" t="str">
        <f aca="false">IF(CSV貼付B!$N994="","",IF(COUNTIF($B$37:$B$48,CSV貼付B!$H994)&gt;0,"",IF(SUMPRODUCT((CSV貼付B!$N$5:$N994=CSV貼付B!$N994)*(COUNTIF($B$37:$B$48,CSV貼付B!$H$5:$H994)=0))&gt;1,"",MAX($O$4:O993)+1)))</f>
        <v/>
      </c>
      <c r="P994" s="0" t="str">
        <f aca="false">IFERROR(INDEX(CSV貼付B!$N$5:$N$1004,MATCH(ROW()-4,$O$5:$O$1004,0)),"")</f>
        <v/>
      </c>
      <c r="Q994" s="0" t="str">
        <f aca="false">IF(ROW()-4&lt;=MAX($M$5:$M$1004),IFERROR(INDEX($N$5:$N$1004,ROW()-4),""),IFERROR(INDEX($P$5:$P$1004,ROW()-4-MAX($M$5:$M$1004)),""))</f>
        <v/>
      </c>
    </row>
    <row r="995" customFormat="false" ht="15" hidden="false" customHeight="false" outlineLevel="0" collapsed="false">
      <c r="M995" s="0" t="str">
        <f aca="false">IF(CSV貼付A!$N995="","",IF(COUNTIF($B$37:$B$48,CSV貼付A!$H995)&gt;0,"",IF(SUMPRODUCT((CSV貼付A!$N$5:$N995=CSV貼付A!$N995)*(COUNTIF($B$37:$B$48,CSV貼付A!$H$5:$H995)=0))&gt;1,"",MAX($M$4:M994)+1)))</f>
        <v/>
      </c>
      <c r="N995" s="0" t="str">
        <f aca="false">IFERROR(INDEX(CSV貼付A!$N$5:$N$1004,MATCH(ROW()-4,$M$5:$M$1004,0)),"")</f>
        <v/>
      </c>
      <c r="O995" s="0" t="str">
        <f aca="false">IF(CSV貼付B!$N995="","",IF(COUNTIF($B$37:$B$48,CSV貼付B!$H995)&gt;0,"",IF(SUMPRODUCT((CSV貼付B!$N$5:$N995=CSV貼付B!$N995)*(COUNTIF($B$37:$B$48,CSV貼付B!$H$5:$H995)=0))&gt;1,"",MAX($O$4:O994)+1)))</f>
        <v/>
      </c>
      <c r="P995" s="0" t="str">
        <f aca="false">IFERROR(INDEX(CSV貼付B!$N$5:$N$1004,MATCH(ROW()-4,$O$5:$O$1004,0)),"")</f>
        <v/>
      </c>
      <c r="Q995" s="0" t="str">
        <f aca="false">IF(ROW()-4&lt;=MAX($M$5:$M$1004),IFERROR(INDEX($N$5:$N$1004,ROW()-4),""),IFERROR(INDEX($P$5:$P$1004,ROW()-4-MAX($M$5:$M$1004)),""))</f>
        <v/>
      </c>
    </row>
    <row r="996" customFormat="false" ht="15" hidden="false" customHeight="false" outlineLevel="0" collapsed="false">
      <c r="M996" s="0" t="str">
        <f aca="false">IF(CSV貼付A!$N996="","",IF(COUNTIF($B$37:$B$48,CSV貼付A!$H996)&gt;0,"",IF(SUMPRODUCT((CSV貼付A!$N$5:$N996=CSV貼付A!$N996)*(COUNTIF($B$37:$B$48,CSV貼付A!$H$5:$H996)=0))&gt;1,"",MAX($M$4:M995)+1)))</f>
        <v/>
      </c>
      <c r="N996" s="0" t="str">
        <f aca="false">IFERROR(INDEX(CSV貼付A!$N$5:$N$1004,MATCH(ROW()-4,$M$5:$M$1004,0)),"")</f>
        <v/>
      </c>
      <c r="O996" s="0" t="str">
        <f aca="false">IF(CSV貼付B!$N996="","",IF(COUNTIF($B$37:$B$48,CSV貼付B!$H996)&gt;0,"",IF(SUMPRODUCT((CSV貼付B!$N$5:$N996=CSV貼付B!$N996)*(COUNTIF($B$37:$B$48,CSV貼付B!$H$5:$H996)=0))&gt;1,"",MAX($O$4:O995)+1)))</f>
        <v/>
      </c>
      <c r="P996" s="0" t="str">
        <f aca="false">IFERROR(INDEX(CSV貼付B!$N$5:$N$1004,MATCH(ROW()-4,$O$5:$O$1004,0)),"")</f>
        <v/>
      </c>
      <c r="Q996" s="0" t="str">
        <f aca="false">IF(ROW()-4&lt;=MAX($M$5:$M$1004),IFERROR(INDEX($N$5:$N$1004,ROW()-4),""),IFERROR(INDEX($P$5:$P$1004,ROW()-4-MAX($M$5:$M$1004)),""))</f>
        <v/>
      </c>
    </row>
    <row r="997" customFormat="false" ht="15" hidden="false" customHeight="false" outlineLevel="0" collapsed="false">
      <c r="M997" s="0" t="str">
        <f aca="false">IF(CSV貼付A!$N997="","",IF(COUNTIF($B$37:$B$48,CSV貼付A!$H997)&gt;0,"",IF(SUMPRODUCT((CSV貼付A!$N$5:$N997=CSV貼付A!$N997)*(COUNTIF($B$37:$B$48,CSV貼付A!$H$5:$H997)=0))&gt;1,"",MAX($M$4:M996)+1)))</f>
        <v/>
      </c>
      <c r="N997" s="0" t="str">
        <f aca="false">IFERROR(INDEX(CSV貼付A!$N$5:$N$1004,MATCH(ROW()-4,$M$5:$M$1004,0)),"")</f>
        <v/>
      </c>
      <c r="O997" s="0" t="str">
        <f aca="false">IF(CSV貼付B!$N997="","",IF(COUNTIF($B$37:$B$48,CSV貼付B!$H997)&gt;0,"",IF(SUMPRODUCT((CSV貼付B!$N$5:$N997=CSV貼付B!$N997)*(COUNTIF($B$37:$B$48,CSV貼付B!$H$5:$H997)=0))&gt;1,"",MAX($O$4:O996)+1)))</f>
        <v/>
      </c>
      <c r="P997" s="0" t="str">
        <f aca="false">IFERROR(INDEX(CSV貼付B!$N$5:$N$1004,MATCH(ROW()-4,$O$5:$O$1004,0)),"")</f>
        <v/>
      </c>
      <c r="Q997" s="0" t="str">
        <f aca="false">IF(ROW()-4&lt;=MAX($M$5:$M$1004),IFERROR(INDEX($N$5:$N$1004,ROW()-4),""),IFERROR(INDEX($P$5:$P$1004,ROW()-4-MAX($M$5:$M$1004)),""))</f>
        <v/>
      </c>
    </row>
    <row r="998" customFormat="false" ht="15" hidden="false" customHeight="false" outlineLevel="0" collapsed="false">
      <c r="M998" s="0" t="str">
        <f aca="false">IF(CSV貼付A!$N998="","",IF(COUNTIF($B$37:$B$48,CSV貼付A!$H998)&gt;0,"",IF(SUMPRODUCT((CSV貼付A!$N$5:$N998=CSV貼付A!$N998)*(COUNTIF($B$37:$B$48,CSV貼付A!$H$5:$H998)=0))&gt;1,"",MAX($M$4:M997)+1)))</f>
        <v/>
      </c>
      <c r="N998" s="0" t="str">
        <f aca="false">IFERROR(INDEX(CSV貼付A!$N$5:$N$1004,MATCH(ROW()-4,$M$5:$M$1004,0)),"")</f>
        <v/>
      </c>
      <c r="O998" s="0" t="str">
        <f aca="false">IF(CSV貼付B!$N998="","",IF(COUNTIF($B$37:$B$48,CSV貼付B!$H998)&gt;0,"",IF(SUMPRODUCT((CSV貼付B!$N$5:$N998=CSV貼付B!$N998)*(COUNTIF($B$37:$B$48,CSV貼付B!$H$5:$H998)=0))&gt;1,"",MAX($O$4:O997)+1)))</f>
        <v/>
      </c>
      <c r="P998" s="0" t="str">
        <f aca="false">IFERROR(INDEX(CSV貼付B!$N$5:$N$1004,MATCH(ROW()-4,$O$5:$O$1004,0)),"")</f>
        <v/>
      </c>
      <c r="Q998" s="0" t="str">
        <f aca="false">IF(ROW()-4&lt;=MAX($M$5:$M$1004),IFERROR(INDEX($N$5:$N$1004,ROW()-4),""),IFERROR(INDEX($P$5:$P$1004,ROW()-4-MAX($M$5:$M$1004)),""))</f>
        <v/>
      </c>
    </row>
    <row r="999" customFormat="false" ht="15" hidden="false" customHeight="false" outlineLevel="0" collapsed="false">
      <c r="M999" s="0" t="str">
        <f aca="false">IF(CSV貼付A!$N999="","",IF(COUNTIF($B$37:$B$48,CSV貼付A!$H999)&gt;0,"",IF(SUMPRODUCT((CSV貼付A!$N$5:$N999=CSV貼付A!$N999)*(COUNTIF($B$37:$B$48,CSV貼付A!$H$5:$H999)=0))&gt;1,"",MAX($M$4:M998)+1)))</f>
        <v/>
      </c>
      <c r="N999" s="0" t="str">
        <f aca="false">IFERROR(INDEX(CSV貼付A!$N$5:$N$1004,MATCH(ROW()-4,$M$5:$M$1004,0)),"")</f>
        <v/>
      </c>
      <c r="O999" s="0" t="str">
        <f aca="false">IF(CSV貼付B!$N999="","",IF(COUNTIF($B$37:$B$48,CSV貼付B!$H999)&gt;0,"",IF(SUMPRODUCT((CSV貼付B!$N$5:$N999=CSV貼付B!$N999)*(COUNTIF($B$37:$B$48,CSV貼付B!$H$5:$H999)=0))&gt;1,"",MAX($O$4:O998)+1)))</f>
        <v/>
      </c>
      <c r="P999" s="0" t="str">
        <f aca="false">IFERROR(INDEX(CSV貼付B!$N$5:$N$1004,MATCH(ROW()-4,$O$5:$O$1004,0)),"")</f>
        <v/>
      </c>
      <c r="Q999" s="0" t="str">
        <f aca="false">IF(ROW()-4&lt;=MAX($M$5:$M$1004),IFERROR(INDEX($N$5:$N$1004,ROW()-4),""),IFERROR(INDEX($P$5:$P$1004,ROW()-4-MAX($M$5:$M$1004)),""))</f>
        <v/>
      </c>
    </row>
    <row r="1000" customFormat="false" ht="15" hidden="false" customHeight="false" outlineLevel="0" collapsed="false">
      <c r="M1000" s="0" t="str">
        <f aca="false">IF(CSV貼付A!$N1000="","",IF(COUNTIF($B$37:$B$48,CSV貼付A!$H1000)&gt;0,"",IF(SUMPRODUCT((CSV貼付A!$N$5:$N1000=CSV貼付A!$N1000)*(COUNTIF($B$37:$B$48,CSV貼付A!$H$5:$H1000)=0))&gt;1,"",MAX($M$4:M999)+1)))</f>
        <v/>
      </c>
      <c r="N1000" s="0" t="str">
        <f aca="false">IFERROR(INDEX(CSV貼付A!$N$5:$N$1004,MATCH(ROW()-4,$M$5:$M$1004,0)),"")</f>
        <v/>
      </c>
      <c r="O1000" s="0" t="str">
        <f aca="false">IF(CSV貼付B!$N1000="","",IF(COUNTIF($B$37:$B$48,CSV貼付B!$H1000)&gt;0,"",IF(SUMPRODUCT((CSV貼付B!$N$5:$N1000=CSV貼付B!$N1000)*(COUNTIF($B$37:$B$48,CSV貼付B!$H$5:$H1000)=0))&gt;1,"",MAX($O$4:O999)+1)))</f>
        <v/>
      </c>
      <c r="P1000" s="0" t="str">
        <f aca="false">IFERROR(INDEX(CSV貼付B!$N$5:$N$1004,MATCH(ROW()-4,$O$5:$O$1004,0)),"")</f>
        <v/>
      </c>
      <c r="Q1000" s="0" t="str">
        <f aca="false">IF(ROW()-4&lt;=MAX($M$5:$M$1004),IFERROR(INDEX($N$5:$N$1004,ROW()-4),""),IFERROR(INDEX($P$5:$P$1004,ROW()-4-MAX($M$5:$M$1004)),""))</f>
        <v/>
      </c>
    </row>
    <row r="1001" customFormat="false" ht="15" hidden="false" customHeight="false" outlineLevel="0" collapsed="false">
      <c r="M1001" s="0" t="str">
        <f aca="false">IF(CSV貼付A!$N1001="","",IF(COUNTIF($B$37:$B$48,CSV貼付A!$H1001)&gt;0,"",IF(SUMPRODUCT((CSV貼付A!$N$5:$N1001=CSV貼付A!$N1001)*(COUNTIF($B$37:$B$48,CSV貼付A!$H$5:$H1001)=0))&gt;1,"",MAX($M$4:M1000)+1)))</f>
        <v/>
      </c>
      <c r="N1001" s="0" t="str">
        <f aca="false">IFERROR(INDEX(CSV貼付A!$N$5:$N$1004,MATCH(ROW()-4,$M$5:$M$1004,0)),"")</f>
        <v/>
      </c>
      <c r="O1001" s="0" t="str">
        <f aca="false">IF(CSV貼付B!$N1001="","",IF(COUNTIF($B$37:$B$48,CSV貼付B!$H1001)&gt;0,"",IF(SUMPRODUCT((CSV貼付B!$N$5:$N1001=CSV貼付B!$N1001)*(COUNTIF($B$37:$B$48,CSV貼付B!$H$5:$H1001)=0))&gt;1,"",MAX($O$4:O1000)+1)))</f>
        <v/>
      </c>
      <c r="P1001" s="0" t="str">
        <f aca="false">IFERROR(INDEX(CSV貼付B!$N$5:$N$1004,MATCH(ROW()-4,$O$5:$O$1004,0)),"")</f>
        <v/>
      </c>
      <c r="Q1001" s="0" t="str">
        <f aca="false">IF(ROW()-4&lt;=MAX($M$5:$M$1004),IFERROR(INDEX($N$5:$N$1004,ROW()-4),""),IFERROR(INDEX($P$5:$P$1004,ROW()-4-MAX($M$5:$M$1004)),""))</f>
        <v/>
      </c>
    </row>
    <row r="1002" customFormat="false" ht="15" hidden="false" customHeight="false" outlineLevel="0" collapsed="false">
      <c r="M1002" s="0" t="str">
        <f aca="false">IF(CSV貼付A!$N1002="","",IF(COUNTIF($B$37:$B$48,CSV貼付A!$H1002)&gt;0,"",IF(SUMPRODUCT((CSV貼付A!$N$5:$N1002=CSV貼付A!$N1002)*(COUNTIF($B$37:$B$48,CSV貼付A!$H$5:$H1002)=0))&gt;1,"",MAX($M$4:M1001)+1)))</f>
        <v/>
      </c>
      <c r="N1002" s="0" t="str">
        <f aca="false">IFERROR(INDEX(CSV貼付A!$N$5:$N$1004,MATCH(ROW()-4,$M$5:$M$1004,0)),"")</f>
        <v/>
      </c>
      <c r="O1002" s="0" t="str">
        <f aca="false">IF(CSV貼付B!$N1002="","",IF(COUNTIF($B$37:$B$48,CSV貼付B!$H1002)&gt;0,"",IF(SUMPRODUCT((CSV貼付B!$N$5:$N1002=CSV貼付B!$N1002)*(COUNTIF($B$37:$B$48,CSV貼付B!$H$5:$H1002)=0))&gt;1,"",MAX($O$4:O1001)+1)))</f>
        <v/>
      </c>
      <c r="P1002" s="0" t="str">
        <f aca="false">IFERROR(INDEX(CSV貼付B!$N$5:$N$1004,MATCH(ROW()-4,$O$5:$O$1004,0)),"")</f>
        <v/>
      </c>
      <c r="Q1002" s="0" t="str">
        <f aca="false">IF(ROW()-4&lt;=MAX($M$5:$M$1004),IFERROR(INDEX($N$5:$N$1004,ROW()-4),""),IFERROR(INDEX($P$5:$P$1004,ROW()-4-MAX($M$5:$M$1004)),""))</f>
        <v/>
      </c>
    </row>
    <row r="1003" customFormat="false" ht="15" hidden="false" customHeight="false" outlineLevel="0" collapsed="false">
      <c r="M1003" s="0" t="str">
        <f aca="false">IF(CSV貼付A!$N1003="","",IF(COUNTIF($B$37:$B$48,CSV貼付A!$H1003)&gt;0,"",IF(SUMPRODUCT((CSV貼付A!$N$5:$N1003=CSV貼付A!$N1003)*(COUNTIF($B$37:$B$48,CSV貼付A!$H$5:$H1003)=0))&gt;1,"",MAX($M$4:M1002)+1)))</f>
        <v/>
      </c>
      <c r="N1003" s="0" t="str">
        <f aca="false">IFERROR(INDEX(CSV貼付A!$N$5:$N$1004,MATCH(ROW()-4,$M$5:$M$1004,0)),"")</f>
        <v/>
      </c>
      <c r="O1003" s="0" t="str">
        <f aca="false">IF(CSV貼付B!$N1003="","",IF(COUNTIF($B$37:$B$48,CSV貼付B!$H1003)&gt;0,"",IF(SUMPRODUCT((CSV貼付B!$N$5:$N1003=CSV貼付B!$N1003)*(COUNTIF($B$37:$B$48,CSV貼付B!$H$5:$H1003)=0))&gt;1,"",MAX($O$4:O1002)+1)))</f>
        <v/>
      </c>
      <c r="P1003" s="0" t="str">
        <f aca="false">IFERROR(INDEX(CSV貼付B!$N$5:$N$1004,MATCH(ROW()-4,$O$5:$O$1004,0)),"")</f>
        <v/>
      </c>
      <c r="Q1003" s="0" t="str">
        <f aca="false">IF(ROW()-4&lt;=MAX($M$5:$M$1004),IFERROR(INDEX($N$5:$N$1004,ROW()-4),""),IFERROR(INDEX($P$5:$P$1004,ROW()-4-MAX($M$5:$M$1004)),""))</f>
        <v/>
      </c>
    </row>
    <row r="1004" customFormat="false" ht="15" hidden="false" customHeight="false" outlineLevel="0" collapsed="false">
      <c r="M1004" s="0" t="str">
        <f aca="false">IF(CSV貼付A!$N1004="","",IF(COUNTIF($B$37:$B$48,CSV貼付A!$H1004)&gt;0,"",IF(SUMPRODUCT((CSV貼付A!$N$5:$N1004=CSV貼付A!$N1004)*(COUNTIF($B$37:$B$48,CSV貼付A!$H$5:$H1004)=0))&gt;1,"",MAX($M$4:M1003)+1)))</f>
        <v/>
      </c>
      <c r="N1004" s="0" t="str">
        <f aca="false">IFERROR(INDEX(CSV貼付A!$N$5:$N$1004,MATCH(ROW()-4,$M$5:$M$1004,0)),"")</f>
        <v/>
      </c>
      <c r="O1004" s="0" t="str">
        <f aca="false">IF(CSV貼付B!$N1004="","",IF(COUNTIF($B$37:$B$48,CSV貼付B!$H1004)&gt;0,"",IF(SUMPRODUCT((CSV貼付B!$N$5:$N1004=CSV貼付B!$N1004)*(COUNTIF($B$37:$B$48,CSV貼付B!$H$5:$H1004)=0))&gt;1,"",MAX($O$4:O1003)+1)))</f>
        <v/>
      </c>
      <c r="P1004" s="0" t="str">
        <f aca="false">IFERROR(INDEX(CSV貼付B!$N$5:$N$1004,MATCH(ROW()-4,$O$5:$O$1004,0)),"")</f>
        <v/>
      </c>
      <c r="Q1004" s="0" t="str">
        <f aca="false">IF(ROW()-4&lt;=MAX($M$5:$M$1004),IFERROR(INDEX($N$5:$N$1004,ROW()-4),""),IFERROR(INDEX($P$5:$P$1004,ROW()-4-MAX($M$5:$M$1004)),""))</f>
        <v/>
      </c>
    </row>
    <row r="1005" customFormat="false" ht="15" hidden="false" customHeight="false" outlineLevel="0" collapsed="false">
      <c r="Q1005" s="0" t="str">
        <f aca="false">IF(ROW()-4&lt;=MAX($M$5:$M$1004),IFERROR(INDEX($N$5:$N$1004,ROW()-4),""),IFERROR(INDEX($P$5:$P$1004,ROW()-4-MAX($M$5:$M$1004)),""))</f>
        <v/>
      </c>
    </row>
    <row r="1006" customFormat="false" ht="15" hidden="false" customHeight="false" outlineLevel="0" collapsed="false">
      <c r="Q1006" s="0" t="str">
        <f aca="false">IF(ROW()-4&lt;=MAX($M$5:$M$1004),IFERROR(INDEX($N$5:$N$1004,ROW()-4),""),IFERROR(INDEX($P$5:$P$1004,ROW()-4-MAX($M$5:$M$1004)),""))</f>
        <v/>
      </c>
    </row>
    <row r="1007" customFormat="false" ht="15" hidden="false" customHeight="false" outlineLevel="0" collapsed="false">
      <c r="Q1007" s="0" t="str">
        <f aca="false">IF(ROW()-4&lt;=MAX($M$5:$M$1004),IFERROR(INDEX($N$5:$N$1004,ROW()-4),""),IFERROR(INDEX($P$5:$P$1004,ROW()-4-MAX($M$5:$M$1004)),""))</f>
        <v/>
      </c>
    </row>
    <row r="1008" customFormat="false" ht="15" hidden="false" customHeight="false" outlineLevel="0" collapsed="false">
      <c r="Q1008" s="0" t="str">
        <f aca="false">IF(ROW()-4&lt;=MAX($M$5:$M$1004),IFERROR(INDEX($N$5:$N$1004,ROW()-4),""),IFERROR(INDEX($P$5:$P$1004,ROW()-4-MAX($M$5:$M$1004)),""))</f>
        <v/>
      </c>
    </row>
    <row r="1009" customFormat="false" ht="15" hidden="false" customHeight="false" outlineLevel="0" collapsed="false">
      <c r="Q1009" s="0" t="str">
        <f aca="false">IF(ROW()-4&lt;=MAX($M$5:$M$1004),IFERROR(INDEX($N$5:$N$1004,ROW()-4),""),IFERROR(INDEX($P$5:$P$1004,ROW()-4-MAX($M$5:$M$1004)),""))</f>
        <v/>
      </c>
    </row>
    <row r="1010" customFormat="false" ht="15" hidden="false" customHeight="false" outlineLevel="0" collapsed="false">
      <c r="Q1010" s="0" t="str">
        <f aca="false">IF(ROW()-4&lt;=MAX($M$5:$M$1004),IFERROR(INDEX($N$5:$N$1004,ROW()-4),""),IFERROR(INDEX($P$5:$P$1004,ROW()-4-MAX($M$5:$M$1004)),""))</f>
        <v/>
      </c>
    </row>
    <row r="1011" customFormat="false" ht="15" hidden="false" customHeight="false" outlineLevel="0" collapsed="false">
      <c r="Q1011" s="0" t="str">
        <f aca="false">IF(ROW()-4&lt;=MAX($M$5:$M$1004),IFERROR(INDEX($N$5:$N$1004,ROW()-4),""),IFERROR(INDEX($P$5:$P$1004,ROW()-4-MAX($M$5:$M$1004)),""))</f>
        <v/>
      </c>
    </row>
    <row r="1012" customFormat="false" ht="15" hidden="false" customHeight="false" outlineLevel="0" collapsed="false">
      <c r="Q1012" s="0" t="str">
        <f aca="false">IF(ROW()-4&lt;=MAX($M$5:$M$1004),IFERROR(INDEX($N$5:$N$1004,ROW()-4),""),IFERROR(INDEX($P$5:$P$1004,ROW()-4-MAX($M$5:$M$1004)),""))</f>
        <v/>
      </c>
    </row>
    <row r="1013" customFormat="false" ht="15" hidden="false" customHeight="false" outlineLevel="0" collapsed="false">
      <c r="Q1013" s="0" t="str">
        <f aca="false">IF(ROW()-4&lt;=MAX($M$5:$M$1004),IFERROR(INDEX($N$5:$N$1004,ROW()-4),""),IFERROR(INDEX($P$5:$P$1004,ROW()-4-MAX($M$5:$M$1004)),""))</f>
        <v/>
      </c>
    </row>
    <row r="1014" customFormat="false" ht="15" hidden="false" customHeight="false" outlineLevel="0" collapsed="false">
      <c r="Q1014" s="0" t="str">
        <f aca="false">IF(ROW()-4&lt;=MAX($M$5:$M$1004),IFERROR(INDEX($N$5:$N$1004,ROW()-4),""),IFERROR(INDEX($P$5:$P$1004,ROW()-4-MAX($M$5:$M$1004)),""))</f>
        <v/>
      </c>
    </row>
    <row r="1015" customFormat="false" ht="15" hidden="false" customHeight="false" outlineLevel="0" collapsed="false">
      <c r="Q1015" s="0" t="str">
        <f aca="false">IF(ROW()-4&lt;=MAX($M$5:$M$1004),IFERROR(INDEX($N$5:$N$1004,ROW()-4),""),IFERROR(INDEX($P$5:$P$1004,ROW()-4-MAX($M$5:$M$1004)),""))</f>
        <v/>
      </c>
    </row>
    <row r="1016" customFormat="false" ht="15" hidden="false" customHeight="false" outlineLevel="0" collapsed="false">
      <c r="Q1016" s="0" t="str">
        <f aca="false">IF(ROW()-4&lt;=MAX($M$5:$M$1004),IFERROR(INDEX($N$5:$N$1004,ROW()-4),""),IFERROR(INDEX($P$5:$P$1004,ROW()-4-MAX($M$5:$M$1004)),""))</f>
        <v/>
      </c>
    </row>
    <row r="1017" customFormat="false" ht="15" hidden="false" customHeight="false" outlineLevel="0" collapsed="false">
      <c r="Q1017" s="0" t="str">
        <f aca="false">IF(ROW()-4&lt;=MAX($M$5:$M$1004),IFERROR(INDEX($N$5:$N$1004,ROW()-4),""),IFERROR(INDEX($P$5:$P$1004,ROW()-4-MAX($M$5:$M$1004)),""))</f>
        <v/>
      </c>
    </row>
    <row r="1018" customFormat="false" ht="15" hidden="false" customHeight="false" outlineLevel="0" collapsed="false">
      <c r="Q1018" s="0" t="str">
        <f aca="false">IF(ROW()-4&lt;=MAX($M$5:$M$1004),IFERROR(INDEX($N$5:$N$1004,ROW()-4),""),IFERROR(INDEX($P$5:$P$1004,ROW()-4-MAX($M$5:$M$1004)),""))</f>
        <v/>
      </c>
    </row>
    <row r="1019" customFormat="false" ht="15" hidden="false" customHeight="false" outlineLevel="0" collapsed="false">
      <c r="Q1019" s="0" t="str">
        <f aca="false">IF(ROW()-4&lt;=MAX($M$5:$M$1004),IFERROR(INDEX($N$5:$N$1004,ROW()-4),""),IFERROR(INDEX($P$5:$P$1004,ROW()-4-MAX($M$5:$M$1004)),""))</f>
        <v/>
      </c>
    </row>
    <row r="1020" customFormat="false" ht="15" hidden="false" customHeight="false" outlineLevel="0" collapsed="false">
      <c r="Q1020" s="0" t="str">
        <f aca="false">IF(ROW()-4&lt;=MAX($M$5:$M$1004),IFERROR(INDEX($N$5:$N$1004,ROW()-4),""),IFERROR(INDEX($P$5:$P$1004,ROW()-4-MAX($M$5:$M$1004)),""))</f>
        <v/>
      </c>
    </row>
    <row r="1021" customFormat="false" ht="15" hidden="false" customHeight="false" outlineLevel="0" collapsed="false">
      <c r="Q1021" s="0" t="str">
        <f aca="false">IF(ROW()-4&lt;=MAX($M$5:$M$1004),IFERROR(INDEX($N$5:$N$1004,ROW()-4),""),IFERROR(INDEX($P$5:$P$1004,ROW()-4-MAX($M$5:$M$1004)),""))</f>
        <v/>
      </c>
    </row>
    <row r="1022" customFormat="false" ht="15" hidden="false" customHeight="false" outlineLevel="0" collapsed="false">
      <c r="Q1022" s="0" t="str">
        <f aca="false">IF(ROW()-4&lt;=MAX($M$5:$M$1004),IFERROR(INDEX($N$5:$N$1004,ROW()-4),""),IFERROR(INDEX($P$5:$P$1004,ROW()-4-MAX($M$5:$M$1004)),""))</f>
        <v/>
      </c>
    </row>
    <row r="1023" customFormat="false" ht="15" hidden="false" customHeight="false" outlineLevel="0" collapsed="false">
      <c r="Q1023" s="0" t="str">
        <f aca="false">IF(ROW()-4&lt;=MAX($M$5:$M$1004),IFERROR(INDEX($N$5:$N$1004,ROW()-4),""),IFERROR(INDEX($P$5:$P$1004,ROW()-4-MAX($M$5:$M$1004)),""))</f>
        <v/>
      </c>
    </row>
    <row r="1024" customFormat="false" ht="15" hidden="false" customHeight="false" outlineLevel="0" collapsed="false">
      <c r="Q1024" s="0" t="str">
        <f aca="false">IF(ROW()-4&lt;=MAX($M$5:$M$1004),IFERROR(INDEX($N$5:$N$1004,ROW()-4),""),IFERROR(INDEX($P$5:$P$1004,ROW()-4-MAX($M$5:$M$1004)),""))</f>
        <v/>
      </c>
    </row>
    <row r="1025" customFormat="false" ht="15" hidden="false" customHeight="false" outlineLevel="0" collapsed="false">
      <c r="Q1025" s="0" t="str">
        <f aca="false">IF(ROW()-4&lt;=MAX($M$5:$M$1004),IFERROR(INDEX($N$5:$N$1004,ROW()-4),""),IFERROR(INDEX($P$5:$P$1004,ROW()-4-MAX($M$5:$M$1004)),""))</f>
        <v/>
      </c>
    </row>
    <row r="1026" customFormat="false" ht="15" hidden="false" customHeight="false" outlineLevel="0" collapsed="false">
      <c r="Q1026" s="0" t="str">
        <f aca="false">IF(ROW()-4&lt;=MAX($M$5:$M$1004),IFERROR(INDEX($N$5:$N$1004,ROW()-4),""),IFERROR(INDEX($P$5:$P$1004,ROW()-4-MAX($M$5:$M$1004)),""))</f>
        <v/>
      </c>
    </row>
    <row r="1027" customFormat="false" ht="15" hidden="false" customHeight="false" outlineLevel="0" collapsed="false">
      <c r="Q1027" s="0" t="str">
        <f aca="false">IF(ROW()-4&lt;=MAX($M$5:$M$1004),IFERROR(INDEX($N$5:$N$1004,ROW()-4),""),IFERROR(INDEX($P$5:$P$1004,ROW()-4-MAX($M$5:$M$1004)),""))</f>
        <v/>
      </c>
    </row>
    <row r="1028" customFormat="false" ht="15" hidden="false" customHeight="false" outlineLevel="0" collapsed="false">
      <c r="Q1028" s="0" t="str">
        <f aca="false">IF(ROW()-4&lt;=MAX($M$5:$M$1004),IFERROR(INDEX($N$5:$N$1004,ROW()-4),""),IFERROR(INDEX($P$5:$P$1004,ROW()-4-MAX($M$5:$M$1004)),""))</f>
        <v/>
      </c>
    </row>
    <row r="1029" customFormat="false" ht="15" hidden="false" customHeight="false" outlineLevel="0" collapsed="false">
      <c r="Q1029" s="0" t="str">
        <f aca="false">IF(ROW()-4&lt;=MAX($M$5:$M$1004),IFERROR(INDEX($N$5:$N$1004,ROW()-4),""),IFERROR(INDEX($P$5:$P$1004,ROW()-4-MAX($M$5:$M$1004)),""))</f>
        <v/>
      </c>
    </row>
    <row r="1030" customFormat="false" ht="15" hidden="false" customHeight="false" outlineLevel="0" collapsed="false">
      <c r="Q1030" s="0" t="str">
        <f aca="false">IF(ROW()-4&lt;=MAX($M$5:$M$1004),IFERROR(INDEX($N$5:$N$1004,ROW()-4),""),IFERROR(INDEX($P$5:$P$1004,ROW()-4-MAX($M$5:$M$1004)),""))</f>
        <v/>
      </c>
    </row>
    <row r="1031" customFormat="false" ht="15" hidden="false" customHeight="false" outlineLevel="0" collapsed="false">
      <c r="Q1031" s="0" t="str">
        <f aca="false">IF(ROW()-4&lt;=MAX($M$5:$M$1004),IFERROR(INDEX($N$5:$N$1004,ROW()-4),""),IFERROR(INDEX($P$5:$P$1004,ROW()-4-MAX($M$5:$M$1004)),""))</f>
        <v/>
      </c>
    </row>
    <row r="1032" customFormat="false" ht="15" hidden="false" customHeight="false" outlineLevel="0" collapsed="false">
      <c r="Q1032" s="0" t="str">
        <f aca="false">IF(ROW()-4&lt;=MAX($M$5:$M$1004),IFERROR(INDEX($N$5:$N$1004,ROW()-4),""),IFERROR(INDEX($P$5:$P$1004,ROW()-4-MAX($M$5:$M$1004)),""))</f>
        <v/>
      </c>
    </row>
    <row r="1033" customFormat="false" ht="15" hidden="false" customHeight="false" outlineLevel="0" collapsed="false">
      <c r="Q1033" s="0" t="str">
        <f aca="false">IF(ROW()-4&lt;=MAX($M$5:$M$1004),IFERROR(INDEX($N$5:$N$1004,ROW()-4),""),IFERROR(INDEX($P$5:$P$1004,ROW()-4-MAX($M$5:$M$1004)),""))</f>
        <v/>
      </c>
    </row>
    <row r="1034" customFormat="false" ht="15" hidden="false" customHeight="false" outlineLevel="0" collapsed="false">
      <c r="Q1034" s="0" t="str">
        <f aca="false">IF(ROW()-4&lt;=MAX($M$5:$M$1004),IFERROR(INDEX($N$5:$N$1004,ROW()-4),""),IFERROR(INDEX($P$5:$P$1004,ROW()-4-MAX($M$5:$M$1004)),""))</f>
        <v/>
      </c>
    </row>
    <row r="1035" customFormat="false" ht="15" hidden="false" customHeight="false" outlineLevel="0" collapsed="false">
      <c r="Q1035" s="0" t="str">
        <f aca="false">IF(ROW()-4&lt;=MAX($M$5:$M$1004),IFERROR(INDEX($N$5:$N$1004,ROW()-4),""),IFERROR(INDEX($P$5:$P$1004,ROW()-4-MAX($M$5:$M$1004)),""))</f>
        <v/>
      </c>
    </row>
    <row r="1036" customFormat="false" ht="15" hidden="false" customHeight="false" outlineLevel="0" collapsed="false">
      <c r="Q1036" s="0" t="str">
        <f aca="false">IF(ROW()-4&lt;=MAX($M$5:$M$1004),IFERROR(INDEX($N$5:$N$1004,ROW()-4),""),IFERROR(INDEX($P$5:$P$1004,ROW()-4-MAX($M$5:$M$1004)),""))</f>
        <v/>
      </c>
    </row>
    <row r="1037" customFormat="false" ht="15" hidden="false" customHeight="false" outlineLevel="0" collapsed="false">
      <c r="Q1037" s="0" t="str">
        <f aca="false">IF(ROW()-4&lt;=MAX($M$5:$M$1004),IFERROR(INDEX($N$5:$N$1004,ROW()-4),""),IFERROR(INDEX($P$5:$P$1004,ROW()-4-MAX($M$5:$M$1004)),""))</f>
        <v/>
      </c>
    </row>
    <row r="1038" customFormat="false" ht="15" hidden="false" customHeight="false" outlineLevel="0" collapsed="false">
      <c r="Q1038" s="0" t="str">
        <f aca="false">IF(ROW()-4&lt;=MAX($M$5:$M$1004),IFERROR(INDEX($N$5:$N$1004,ROW()-4),""),IFERROR(INDEX($P$5:$P$1004,ROW()-4-MAX($M$5:$M$1004)),""))</f>
        <v/>
      </c>
    </row>
    <row r="1039" customFormat="false" ht="15" hidden="false" customHeight="false" outlineLevel="0" collapsed="false">
      <c r="Q1039" s="0" t="str">
        <f aca="false">IF(ROW()-4&lt;=MAX($M$5:$M$1004),IFERROR(INDEX($N$5:$N$1004,ROW()-4),""),IFERROR(INDEX($P$5:$P$1004,ROW()-4-MAX($M$5:$M$1004)),""))</f>
        <v/>
      </c>
    </row>
    <row r="1040" customFormat="false" ht="15" hidden="false" customHeight="false" outlineLevel="0" collapsed="false">
      <c r="Q1040" s="0" t="str">
        <f aca="false">IF(ROW()-4&lt;=MAX($M$5:$M$1004),IFERROR(INDEX($N$5:$N$1004,ROW()-4),""),IFERROR(INDEX($P$5:$P$1004,ROW()-4-MAX($M$5:$M$1004)),""))</f>
        <v/>
      </c>
    </row>
    <row r="1041" customFormat="false" ht="15" hidden="false" customHeight="false" outlineLevel="0" collapsed="false">
      <c r="Q1041" s="0" t="str">
        <f aca="false">IF(ROW()-4&lt;=MAX($M$5:$M$1004),IFERROR(INDEX($N$5:$N$1004,ROW()-4),""),IFERROR(INDEX($P$5:$P$1004,ROW()-4-MAX($M$5:$M$1004)),""))</f>
        <v/>
      </c>
    </row>
    <row r="1042" customFormat="false" ht="15" hidden="false" customHeight="false" outlineLevel="0" collapsed="false">
      <c r="Q1042" s="0" t="str">
        <f aca="false">IF(ROW()-4&lt;=MAX($M$5:$M$1004),IFERROR(INDEX($N$5:$N$1004,ROW()-4),""),IFERROR(INDEX($P$5:$P$1004,ROW()-4-MAX($M$5:$M$1004)),""))</f>
        <v/>
      </c>
    </row>
    <row r="1043" customFormat="false" ht="15" hidden="false" customHeight="false" outlineLevel="0" collapsed="false">
      <c r="Q1043" s="0" t="str">
        <f aca="false">IF(ROW()-4&lt;=MAX($M$5:$M$1004),IFERROR(INDEX($N$5:$N$1004,ROW()-4),""),IFERROR(INDEX($P$5:$P$1004,ROW()-4-MAX($M$5:$M$1004)),""))</f>
        <v/>
      </c>
    </row>
    <row r="1044" customFormat="false" ht="15" hidden="false" customHeight="false" outlineLevel="0" collapsed="false">
      <c r="Q1044" s="0" t="str">
        <f aca="false">IF(ROW()-4&lt;=MAX($M$5:$M$1004),IFERROR(INDEX($N$5:$N$1004,ROW()-4),""),IFERROR(INDEX($P$5:$P$1004,ROW()-4-MAX($M$5:$M$1004)),""))</f>
        <v/>
      </c>
    </row>
    <row r="1045" customFormat="false" ht="15" hidden="false" customHeight="false" outlineLevel="0" collapsed="false">
      <c r="Q1045" s="0" t="str">
        <f aca="false">IF(ROW()-4&lt;=MAX($M$5:$M$1004),IFERROR(INDEX($N$5:$N$1004,ROW()-4),""),IFERROR(INDEX($P$5:$P$1004,ROW()-4-MAX($M$5:$M$1004)),""))</f>
        <v/>
      </c>
    </row>
    <row r="1046" customFormat="false" ht="15" hidden="false" customHeight="false" outlineLevel="0" collapsed="false">
      <c r="Q1046" s="0" t="str">
        <f aca="false">IF(ROW()-4&lt;=MAX($M$5:$M$1004),IFERROR(INDEX($N$5:$N$1004,ROW()-4),""),IFERROR(INDEX($P$5:$P$1004,ROW()-4-MAX($M$5:$M$1004)),""))</f>
        <v/>
      </c>
    </row>
    <row r="1047" customFormat="false" ht="15" hidden="false" customHeight="false" outlineLevel="0" collapsed="false">
      <c r="Q1047" s="0" t="str">
        <f aca="false">IF(ROW()-4&lt;=MAX($M$5:$M$1004),IFERROR(INDEX($N$5:$N$1004,ROW()-4),""),IFERROR(INDEX($P$5:$P$1004,ROW()-4-MAX($M$5:$M$1004)),""))</f>
        <v/>
      </c>
    </row>
    <row r="1048" customFormat="false" ht="15" hidden="false" customHeight="false" outlineLevel="0" collapsed="false">
      <c r="Q1048" s="0" t="str">
        <f aca="false">IF(ROW()-4&lt;=MAX($M$5:$M$1004),IFERROR(INDEX($N$5:$N$1004,ROW()-4),""),IFERROR(INDEX($P$5:$P$1004,ROW()-4-MAX($M$5:$M$1004)),""))</f>
        <v/>
      </c>
    </row>
  </sheetData>
  <mergeCells count="8">
    <mergeCell ref="A1:K1"/>
    <mergeCell ref="C2:D2"/>
    <mergeCell ref="F2:K2"/>
    <mergeCell ref="G4:K4"/>
    <mergeCell ref="B11:K11"/>
    <mergeCell ref="A34:K34"/>
    <mergeCell ref="B36:E36"/>
    <mergeCell ref="D37:K40"/>
  </mergeCells>
  <conditionalFormatting sqref="C4:E5">
    <cfRule type="expression" priority="2" aboveAverage="0" equalAverage="0" bottom="0" percent="0" rank="0" text="" dxfId="1">
      <formula>WEEKDAY(C$4)=1</formula>
    </cfRule>
    <cfRule type="expression" priority="3" aboveAverage="0" equalAverage="0" bottom="0" percent="0" rank="0" text="" dxfId="2">
      <formula>WEEKDAY(C$4)=7</formula>
    </cfRule>
  </conditionalFormatting>
  <conditionalFormatting sqref="C8:I9">
    <cfRule type="expression" priority="4" aboveAverage="0" equalAverage="0" bottom="0" percent="0" rank="0" text="" dxfId="1">
      <formula>WEEKDAY(C$8)=1</formula>
    </cfRule>
    <cfRule type="expression" priority="5" aboveAverage="0" equalAverage="0" bottom="0" percent="0" rank="0" text="" dxfId="2">
      <formula>WEEKDAY(C$8)=7</formula>
    </cfRule>
  </conditionalFormatting>
  <conditionalFormatting sqref="B14:B33">
    <cfRule type="expression" priority="6" aboveAverage="0" equalAverage="0" bottom="0" percent="0" rank="0" text="" dxfId="3">
      <formula>AND($B14&lt;&gt;"",COUNTIF($B$14:$B$33,$B14)&gt;1)</formula>
    </cfRule>
  </conditionalFormatting>
  <conditionalFormatting sqref="C37:C48">
    <cfRule type="expression" priority="7" aboveAverage="0" equalAverage="0" bottom="0" percent="0" rank="0" text="" dxfId="4">
      <formula>C37="✔"</formula>
    </cfRule>
    <cfRule type="expression" priority="8" aboveAverage="0" equalAverage="0" bottom="0" percent="0" rank="0" text="" dxfId="5">
      <formula>ISNUMBER(SEARCH("⚠",C37))</formula>
    </cfRule>
  </conditionalFormatting>
  <dataValidations count="2">
    <dataValidation allowBlank="false" error="動員数は 0〜999,999 の整数で入力してください（文字や記号は不可）" errorStyle="stop" errorTitle="動員数" operator="between" showDropDown="false" showErrorMessage="true" showInputMessage="false" sqref="C6:E6 C10:I10" type="whole">
      <formula1>0</formula1>
      <formula2>999999</formula2>
    </dataValidation>
    <dataValidation allowBlank="true" errorStyle="stop" operator="between" showDropDown="false" showErrorMessage="false" showInputMessage="false" sqref="B14:B33" type="list">
      <formula1>商品リスト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9A13B"/>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115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3" t="s">
        <v>116</v>
      </c>
      <c r="B2" s="73"/>
      <c r="C2" s="73"/>
      <c r="D2" s="73"/>
      <c r="E2" s="73"/>
      <c r="F2" s="73"/>
      <c r="G2" s="73"/>
      <c r="H2" s="73"/>
      <c r="I2" s="73"/>
      <c r="J2" s="73"/>
    </row>
    <row r="3" customFormat="false" ht="18" hidden="false" customHeight="true" outlineLevel="0" collapsed="false">
      <c r="A3" s="25" t="str">
        <f aca="false">"貼付行数: "&amp;COUNTA($N$5:$N$1004)&amp;"行"&amp;IF($N$5="","","｜対象期間: "&amp;IF(OR(IFERROR(IF(AND(IF(VALUE($D$5)&lt;19000101,INT(VALUE($D$5)),DATEVALUE(TEXT(VALUE($D$5),"0000-00-00")))&gt;=36526,IF(VALUE($D$5)&lt;19000101,INT(VALUE($D$5)),DATEVALUE(TEXT(VALUE($D$5),"0000-00-00")))&lt;=73415),IF(VALUE($D$5)&lt;19000101,INT(VALUE($D$5)),DATEVALUE(TEXT(VALUE($D$5),"0000-00-00"))),-1),-1)=-1,IFERROR(IF(AND(IF(VALUE($E$5)&lt;19000101,INT(VALUE($E$5)),DATEVALUE(TEXT(VALUE($E$5),"0000-00-00")))&gt;=36526,IF(VALUE($E$5)&lt;19000101,INT(VALUE($E$5)),DATEVALUE(TEXT(VALUE($E$5),"0000-00-00")))&lt;=73415),IF(VALUE($E$5)&lt;19000101,INT(VALUE($E$5)),DATEVALUE(TEXT(VALUE($E$5),"0000-00-00"))),-1),-1)=-1),"—",TEXT(IFERROR(IF(AND(IF(VALUE($D$5)&lt;19000101,INT(VALUE($D$5)),DATEVALUE(TEXT(VALUE($D$5),"0000-00-00")))&gt;=36526,IF(VALUE($D$5)&lt;19000101,INT(VALUE($D$5)),DATEVALUE(TEXT(VALUE($D$5),"0000-00-00")))&lt;=73415),IF(VALUE($D$5)&lt;19000101,INT(VALUE($D$5)),DATEVALUE(TEXT(VALUE($D$5),"0000-00-00"))),-1),-1),"m/d")&amp;"〜"&amp;TEXT(IFERROR(IF(AND(IF(VALUE($E$5)&lt;19000101,INT(VALUE($E$5)),DATEVALUE(TEXT(VALUE($E$5),"0000-00-00")))&gt;=36526,IF(VALUE($E$5)&lt;19000101,INT(VALUE($E$5)),DATEVALUE(TEXT(VALUE($E$5),"0000-00-00")))&lt;=73415),IF(VALUE($E$5)&lt;19000101,INT(VALUE($E$5)),DATEVALUE(TEXT(VALUE($E$5),"0000-00-00"))),-1),-1),"m/d")))</f>
        <v>貼付行数: 0行</v>
      </c>
      <c r="B3" s="25"/>
      <c r="C3" s="25"/>
      <c r="D3" s="25"/>
      <c r="E3" s="25"/>
      <c r="F3" s="25"/>
      <c r="G3" s="25"/>
      <c r="H3" s="25"/>
      <c r="I3" s="25"/>
      <c r="J3" s="25"/>
    </row>
    <row r="4" customFormat="false" ht="19.5" hidden="false" customHeight="true" outlineLevel="0" collapsed="false">
      <c r="A4" s="74" t="s">
        <v>117</v>
      </c>
      <c r="B4" s="74" t="s">
        <v>118</v>
      </c>
      <c r="C4" s="74" t="s">
        <v>119</v>
      </c>
      <c r="D4" s="74" t="s">
        <v>120</v>
      </c>
      <c r="E4" s="74" t="s">
        <v>121</v>
      </c>
      <c r="F4" s="74" t="s">
        <v>122</v>
      </c>
      <c r="G4" s="74" t="s">
        <v>123</v>
      </c>
      <c r="H4" s="74" t="s">
        <v>124</v>
      </c>
      <c r="I4" s="74" t="s">
        <v>125</v>
      </c>
      <c r="J4" s="74" t="s">
        <v>126</v>
      </c>
      <c r="K4" s="74" t="s">
        <v>127</v>
      </c>
      <c r="L4" s="74" t="s">
        <v>128</v>
      </c>
      <c r="M4" s="74" t="s">
        <v>129</v>
      </c>
      <c r="N4" s="74" t="s">
        <v>51</v>
      </c>
      <c r="O4" s="74" t="s">
        <v>130</v>
      </c>
      <c r="P4" s="74" t="s">
        <v>131</v>
      </c>
      <c r="Q4" s="74" t="s">
        <v>132</v>
      </c>
      <c r="R4" s="74" t="s">
        <v>133</v>
      </c>
      <c r="S4" s="74" t="s">
        <v>134</v>
      </c>
      <c r="T4" s="74" t="s">
        <v>135</v>
      </c>
      <c r="U4" s="74" t="s">
        <v>136</v>
      </c>
      <c r="V4" s="74" t="s">
        <v>137</v>
      </c>
      <c r="W4" s="74" t="s">
        <v>138</v>
      </c>
      <c r="X4" s="74" t="s">
        <v>139</v>
      </c>
      <c r="Y4" s="74" t="s">
        <v>140</v>
      </c>
      <c r="Z4" s="74" t="s">
        <v>141</v>
      </c>
      <c r="AA4" s="74" t="s">
        <v>142</v>
      </c>
      <c r="AB4" s="74" t="s">
        <v>143</v>
      </c>
      <c r="AC4" s="74" t="s">
        <v>144</v>
      </c>
      <c r="AD4" s="74" t="s">
        <v>145</v>
      </c>
      <c r="AE4" s="74" t="s">
        <v>146</v>
      </c>
      <c r="AF4" s="74" t="s">
        <v>147</v>
      </c>
      <c r="AG4" s="74" t="s">
        <v>148</v>
      </c>
      <c r="AH4" s="74" t="s">
        <v>149</v>
      </c>
    </row>
    <row r="5" customFormat="false" ht="15" hidden="false" customHeight="false" outlineLevel="0" collapsed="false">
      <c r="A5" s="75"/>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row>
    <row r="6" customFormat="false" ht="15" hidden="false" customHeight="false" outlineLevel="0" collapsed="false">
      <c r="A6" s="75"/>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row>
    <row r="7" customFormat="false" ht="15" hidden="false" customHeight="false" outlineLevel="0" collapsed="false">
      <c r="A7" s="75"/>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row>
    <row r="8" customFormat="false" ht="15" hidden="false" customHeight="false" outlineLevel="0" collapsed="false">
      <c r="A8" s="75"/>
      <c r="B8" s="75"/>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row>
    <row r="9" customFormat="false" ht="15" hidden="false" customHeight="false" outlineLevel="0" collapsed="false">
      <c r="A9" s="75"/>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row>
    <row r="10" customFormat="false" ht="15" hidden="false" customHeight="false" outlineLevel="0" collapsed="false">
      <c r="A10" s="75"/>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row>
    <row r="11" customFormat="false" ht="15" hidden="false" customHeight="false" outlineLevel="0" collapsed="false">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row>
    <row r="12" customFormat="false" ht="15" hidden="false" customHeight="false" outlineLevel="0" collapsed="false">
      <c r="A12" s="75"/>
      <c r="B12" s="75"/>
      <c r="C12" s="75"/>
      <c r="D12" s="75"/>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row>
    <row r="13" customFormat="false" ht="15" hidden="false" customHeight="false" outlineLevel="0" collapsed="false">
      <c r="A13" s="75"/>
      <c r="B13" s="75"/>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row>
    <row r="14" customFormat="false" ht="15" hidden="false" customHeight="false" outlineLevel="0" collapsed="false">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c r="AA14" s="75"/>
      <c r="AB14" s="75"/>
      <c r="AC14" s="75"/>
      <c r="AD14" s="75"/>
      <c r="AE14" s="75"/>
      <c r="AF14" s="75"/>
      <c r="AG14" s="75"/>
      <c r="AH14" s="75"/>
    </row>
    <row r="15" customFormat="false" ht="15" hidden="false" customHeight="false" outlineLevel="0" collapsed="false">
      <c r="A15" s="75"/>
      <c r="B15" s="75"/>
      <c r="C15" s="75"/>
      <c r="D15" s="7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row>
    <row r="16" customFormat="false" ht="15" hidden="false" customHeight="false" outlineLevel="0" collapsed="false">
      <c r="A16" s="75"/>
      <c r="B16" s="75"/>
      <c r="C16" s="75"/>
      <c r="D16" s="75"/>
      <c r="E16" s="75"/>
      <c r="F16" s="75"/>
      <c r="G16" s="75"/>
      <c r="H16" s="75"/>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row>
    <row r="17" customFormat="false" ht="15" hidden="false" customHeight="false" outlineLevel="0" collapsed="false">
      <c r="A17" s="75"/>
      <c r="B17" s="75"/>
      <c r="C17" s="75"/>
      <c r="D17" s="75"/>
      <c r="E17" s="75"/>
      <c r="F17" s="75"/>
      <c r="G17" s="75"/>
      <c r="H17" s="75"/>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5"/>
      <c r="AH17" s="75"/>
    </row>
    <row r="18" customFormat="false" ht="15" hidden="false" customHeight="false" outlineLevel="0" collapsed="false">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row>
    <row r="19" customFormat="false" ht="15" hidden="false" customHeight="false" outlineLevel="0" collapsed="false">
      <c r="A19" s="75"/>
      <c r="B19" s="75"/>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row>
    <row r="20" customFormat="false" ht="15" hidden="false" customHeight="false" outlineLevel="0" collapsed="false">
      <c r="A20" s="75"/>
      <c r="B20" s="75"/>
      <c r="C20" s="75"/>
      <c r="D20" s="75"/>
      <c r="E20" s="75"/>
      <c r="F20" s="75"/>
      <c r="G20" s="75"/>
      <c r="H20" s="75"/>
      <c r="I20" s="75"/>
      <c r="J20" s="75"/>
      <c r="K20" s="75"/>
      <c r="L20" s="75"/>
      <c r="M20" s="75"/>
      <c r="N20" s="75"/>
      <c r="O20" s="75"/>
      <c r="P20" s="75"/>
      <c r="Q20" s="75"/>
      <c r="R20" s="75"/>
      <c r="S20" s="75"/>
      <c r="T20" s="75"/>
      <c r="U20" s="75"/>
      <c r="V20" s="75"/>
      <c r="W20" s="75"/>
      <c r="X20" s="75"/>
      <c r="Y20" s="75"/>
      <c r="Z20" s="75"/>
      <c r="AA20" s="75"/>
      <c r="AB20" s="75"/>
      <c r="AC20" s="75"/>
      <c r="AD20" s="75"/>
      <c r="AE20" s="75"/>
      <c r="AF20" s="75"/>
      <c r="AG20" s="75"/>
      <c r="AH20" s="75"/>
    </row>
    <row r="21" customFormat="false" ht="15" hidden="false" customHeight="false" outlineLevel="0" collapsed="false">
      <c r="A21" s="75"/>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row>
    <row r="22" customFormat="false" ht="15" hidden="false" customHeight="false" outlineLevel="0" collapsed="false">
      <c r="A22" s="75"/>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row>
    <row r="23" customFormat="false" ht="15" hidden="false" customHeight="false" outlineLevel="0" collapsed="false">
      <c r="A23" s="75"/>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row>
    <row r="24" customFormat="false" ht="15" hidden="false" customHeight="false" outlineLevel="0" collapsed="false">
      <c r="A24" s="75"/>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row>
    <row r="25" customFormat="false" ht="15" hidden="false" customHeight="false" outlineLevel="0" collapsed="false">
      <c r="A25" s="75"/>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row>
    <row r="26" customFormat="false" ht="15" hidden="false" customHeight="false" outlineLevel="0" collapsed="false">
      <c r="A26" s="75"/>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row>
    <row r="27" customFormat="false" ht="15" hidden="false" customHeight="false" outlineLevel="0" collapsed="false">
      <c r="A27" s="75"/>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row>
    <row r="28" customFormat="false" ht="15" hidden="false" customHeight="false" outlineLevel="0" collapsed="false">
      <c r="A28" s="75"/>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row>
    <row r="29" customFormat="false" ht="15" hidden="false" customHeight="false" outlineLevel="0" collapsed="false">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row>
    <row r="30" customFormat="false" ht="15" hidden="false" customHeight="false" outlineLevel="0" collapsed="false">
      <c r="A30" s="75"/>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row>
    <row r="31" customFormat="false" ht="15" hidden="false" customHeight="false" outlineLevel="0" collapsed="false">
      <c r="A31" s="75"/>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row>
    <row r="32" customFormat="false" ht="15" hidden="false" customHeight="false" outlineLevel="0" collapsed="false">
      <c r="A32" s="75"/>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row>
    <row r="33" customFormat="false" ht="15" hidden="false" customHeight="false" outlineLevel="0" collapsed="false">
      <c r="A33" s="75"/>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row>
    <row r="34" customFormat="false" ht="15" hidden="false" customHeight="false" outlineLevel="0" collapsed="false">
      <c r="A34" s="75"/>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row>
    <row r="35" customFormat="false" ht="15" hidden="false" customHeight="false" outlineLevel="0" collapsed="false">
      <c r="A35" s="75"/>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row>
    <row r="36" customFormat="false" ht="15" hidden="false" customHeight="false" outlineLevel="0" collapsed="false">
      <c r="A36" s="75"/>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row>
    <row r="37" customFormat="false" ht="15" hidden="false" customHeight="false" outlineLevel="0" collapsed="false">
      <c r="A37" s="75"/>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row>
    <row r="38" customFormat="false" ht="15" hidden="false" customHeight="false" outlineLevel="0" collapsed="false">
      <c r="A38" s="75"/>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row>
    <row r="39" customFormat="false" ht="15" hidden="false" customHeight="false" outlineLevel="0" collapsed="false">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row>
    <row r="40" customFormat="false" ht="15" hidden="false" customHeight="false" outlineLevel="0" collapsed="false">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row>
    <row r="41" customFormat="false" ht="15" hidden="false" customHeight="false" outlineLevel="0" collapsed="false">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row>
    <row r="42" customFormat="false" ht="15" hidden="false" customHeight="false" outlineLevel="0" collapsed="false">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row>
    <row r="43" customFormat="false" ht="15" hidden="false" customHeight="false" outlineLevel="0" collapsed="false">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row>
    <row r="44" customFormat="false" ht="15" hidden="false" customHeight="false" outlineLevel="0" collapsed="false">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row>
    <row r="45" customFormat="false" ht="15" hidden="false" customHeight="false" outlineLevel="0" collapsed="false">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row>
    <row r="46" customFormat="false" ht="15" hidden="false" customHeight="false" outlineLevel="0" collapsed="false">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row>
    <row r="47" customFormat="false" ht="15" hidden="false" customHeight="false" outlineLevel="0" collapsed="false">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row>
    <row r="48" customFormat="false" ht="15" hidden="false" customHeight="false" outlineLevel="0" collapsed="false">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row>
    <row r="49" customFormat="false" ht="15" hidden="false" customHeight="false" outlineLevel="0" collapsed="false">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row>
    <row r="50" customFormat="false" ht="15" hidden="false" customHeight="false" outlineLevel="0" collapsed="false">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c r="AB50" s="75"/>
      <c r="AC50" s="75"/>
      <c r="AD50" s="75"/>
      <c r="AE50" s="75"/>
      <c r="AF50" s="75"/>
      <c r="AG50" s="75"/>
      <c r="AH50" s="75"/>
    </row>
    <row r="51" customFormat="false" ht="15" hidden="false" customHeight="false" outlineLevel="0" collapsed="false">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row>
    <row r="52" customFormat="false" ht="15" hidden="false" customHeight="false" outlineLevel="0" collapsed="false">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row>
    <row r="53" customFormat="false" ht="15" hidden="false" customHeight="false" outlineLevel="0" collapsed="false">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row>
    <row r="54" customFormat="false" ht="15" hidden="false" customHeight="false" outlineLevel="0" collapsed="false">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row>
    <row r="55" customFormat="false" ht="15" hidden="false" customHeight="false" outlineLevel="0" collapsed="false">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row>
    <row r="56" customFormat="false" ht="15" hidden="false" customHeight="false" outlineLevel="0" collapsed="false">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row>
    <row r="57" customFormat="false" ht="15" hidden="false" customHeight="false" outlineLevel="0" collapsed="false">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row>
    <row r="58" customFormat="false" ht="15" hidden="false" customHeight="false" outlineLevel="0" collapsed="false">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row>
    <row r="59" customFormat="false" ht="15" hidden="false" customHeight="false" outlineLevel="0" collapsed="false">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row>
    <row r="60" customFormat="false" ht="15" hidden="false" customHeight="false" outlineLevel="0" collapsed="false">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row>
    <row r="61" customFormat="false" ht="15" hidden="false" customHeight="false" outlineLevel="0" collapsed="false">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row>
    <row r="62" customFormat="false" ht="15" hidden="false" customHeight="false" outlineLevel="0" collapsed="false">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row>
    <row r="63" customFormat="false" ht="15" hidden="false" customHeight="false" outlineLevel="0" collapsed="false">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row>
    <row r="64" customFormat="false" ht="15" hidden="false" customHeight="false" outlineLevel="0" collapsed="false">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row>
    <row r="65" customFormat="false" ht="15" hidden="false" customHeight="false" outlineLevel="0" collapsed="false">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row>
    <row r="66" customFormat="false" ht="15" hidden="false" customHeight="false" outlineLevel="0" collapsed="false">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row>
    <row r="68" customFormat="false" ht="15" hidden="false" customHeight="false" outlineLevel="0" collapsed="false">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row>
    <row r="69" customFormat="false" ht="15" hidden="false" customHeight="false" outlineLevel="0" collapsed="false">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row>
    <row r="70" customFormat="false" ht="15" hidden="false" customHeight="false" outlineLevel="0" collapsed="false">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row>
    <row r="71" customFormat="false" ht="15" hidden="false" customHeight="false" outlineLevel="0" collapsed="false">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row>
    <row r="72" customFormat="false" ht="15" hidden="false" customHeight="false" outlineLevel="0" collapsed="false">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row>
    <row r="73" customFormat="false" ht="15" hidden="false" customHeight="false" outlineLevel="0" collapsed="false">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row>
    <row r="74" customFormat="false" ht="15" hidden="false" customHeight="false" outlineLevel="0" collapsed="false">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row>
    <row r="75" customFormat="false" ht="15" hidden="false" customHeight="false" outlineLevel="0" collapsed="false">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row>
    <row r="76" customFormat="false" ht="15" hidden="false" customHeight="false" outlineLevel="0" collapsed="false">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row>
    <row r="77" customFormat="false" ht="15" hidden="false" customHeight="false" outlineLevel="0" collapsed="false">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row>
    <row r="78" customFormat="false" ht="15" hidden="false" customHeight="false" outlineLevel="0" collapsed="false">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row>
    <row r="79" customFormat="false" ht="15" hidden="false" customHeight="false" outlineLevel="0" collapsed="false">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row>
    <row r="80" customFormat="false" ht="15" hidden="false" customHeight="false" outlineLevel="0" collapsed="false">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row>
    <row r="81" customFormat="false" ht="15" hidden="false" customHeight="false" outlineLevel="0" collapsed="false">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row>
    <row r="82" customFormat="false" ht="15" hidden="false" customHeight="false" outlineLevel="0" collapsed="false">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row>
    <row r="83" customFormat="false" ht="15" hidden="false" customHeight="false" outlineLevel="0" collapsed="false">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row>
    <row r="84" customFormat="false" ht="15" hidden="false" customHeight="false" outlineLevel="0" collapsed="false">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row>
    <row r="85" customFormat="false" ht="15" hidden="false" customHeight="false" outlineLevel="0" collapsed="false">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row>
    <row r="86" customFormat="false" ht="15" hidden="false" customHeight="false" outlineLevel="0" collapsed="false">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row>
    <row r="87" customFormat="false" ht="15" hidden="false" customHeight="false" outlineLevel="0" collapsed="false">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row>
    <row r="88" customFormat="false" ht="15" hidden="false" customHeight="false" outlineLevel="0" collapsed="false">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row>
    <row r="89" customFormat="false" ht="15" hidden="false" customHeight="false" outlineLevel="0" collapsed="false">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row>
    <row r="90" customFormat="false" ht="15" hidden="false" customHeight="false" outlineLevel="0" collapsed="false">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row>
    <row r="91" customFormat="false" ht="15" hidden="false" customHeight="false" outlineLevel="0" collapsed="false">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row>
    <row r="92" customFormat="false" ht="15" hidden="false" customHeight="false" outlineLevel="0" collapsed="false">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row>
    <row r="93" customFormat="false" ht="15" hidden="false" customHeight="false" outlineLevel="0" collapsed="false">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row>
    <row r="94" customFormat="false" ht="15" hidden="false" customHeight="false" outlineLevel="0" collapsed="false">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row>
    <row r="95" customFormat="false" ht="15" hidden="false" customHeight="false" outlineLevel="0" collapsed="false">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row>
    <row r="96" customFormat="false" ht="15" hidden="false" customHeight="false" outlineLevel="0" collapsed="false">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row>
    <row r="97" customFormat="false" ht="15" hidden="false" customHeight="false" outlineLevel="0" collapsed="false">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row>
    <row r="98" customFormat="false" ht="15" hidden="false" customHeight="false" outlineLevel="0" collapsed="false">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row>
    <row r="99" customFormat="false" ht="15" hidden="false" customHeight="false" outlineLevel="0" collapsed="false">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row>
    <row r="100" customFormat="false" ht="15" hidden="false" customHeight="false" outlineLevel="0" collapsed="false">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row>
    <row r="101" customFormat="false" ht="15" hidden="false" customHeight="false" outlineLevel="0" collapsed="false">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row>
    <row r="102" customFormat="false" ht="15" hidden="false" customHeight="false" outlineLevel="0" collapsed="false">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row>
    <row r="103" customFormat="false" ht="15" hidden="false" customHeight="false" outlineLevel="0" collapsed="false">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row>
    <row r="104" customFormat="false" ht="15" hidden="false" customHeight="false" outlineLevel="0" collapsed="false">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row>
    <row r="105" customFormat="false" ht="15" hidden="false" customHeight="false" outlineLevel="0" collapsed="false">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row>
    <row r="106" customFormat="false" ht="15" hidden="false" customHeight="false" outlineLevel="0" collapsed="false">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row>
    <row r="107" customFormat="false" ht="15" hidden="false" customHeight="false" outlineLevel="0" collapsed="false">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row>
    <row r="108" customFormat="false" ht="15" hidden="false" customHeight="false" outlineLevel="0" collapsed="false">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row>
    <row r="109" customFormat="false" ht="15" hidden="false" customHeight="false" outlineLevel="0" collapsed="false">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row>
    <row r="110" customFormat="false" ht="15" hidden="false" customHeight="false" outlineLevel="0" collapsed="false">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row>
    <row r="111" customFormat="false" ht="15" hidden="false" customHeight="false" outlineLevel="0" collapsed="false">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row>
    <row r="112" customFormat="false" ht="15" hidden="false" customHeight="false" outlineLevel="0" collapsed="false">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row>
    <row r="113" customFormat="false" ht="15" hidden="false" customHeight="false" outlineLevel="0" collapsed="false">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row>
    <row r="114" customFormat="false" ht="15" hidden="false" customHeight="false" outlineLevel="0" collapsed="false">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row>
    <row r="115" customFormat="false" ht="15" hidden="false" customHeight="false" outlineLevel="0" collapsed="false">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row>
    <row r="116" customFormat="false" ht="15" hidden="false" customHeight="false" outlineLevel="0" collapsed="false">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row>
    <row r="117" customFormat="false" ht="15" hidden="false" customHeight="false" outlineLevel="0" collapsed="false">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row>
    <row r="118" customFormat="false" ht="15" hidden="false" customHeight="false" outlineLevel="0" collapsed="false">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row>
    <row r="119" customFormat="false" ht="15" hidden="false" customHeight="false" outlineLevel="0" collapsed="false">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row>
    <row r="120" customFormat="false" ht="15" hidden="false" customHeight="false" outlineLevel="0" collapsed="false">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row>
    <row r="121" customFormat="false" ht="15" hidden="false" customHeight="false" outlineLevel="0" collapsed="false">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row>
    <row r="122" customFormat="false" ht="15" hidden="false" customHeight="false" outlineLevel="0" collapsed="false">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row>
    <row r="123" customFormat="false" ht="15" hidden="false" customHeight="false" outlineLevel="0" collapsed="false">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row>
    <row r="124" customFormat="false" ht="15" hidden="false" customHeight="false" outlineLevel="0" collapsed="false">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row>
    <row r="125" customFormat="false" ht="15" hidden="false" customHeight="false" outlineLevel="0" collapsed="false">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row>
    <row r="126" customFormat="false" ht="15" hidden="false" customHeight="false" outlineLevel="0" collapsed="false">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row>
    <row r="127" customFormat="false" ht="15" hidden="false" customHeight="false" outlineLevel="0" collapsed="false">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row>
    <row r="128" customFormat="false" ht="15" hidden="false" customHeight="false" outlineLevel="0" collapsed="false">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row>
    <row r="129" customFormat="false" ht="15" hidden="false" customHeight="false" outlineLevel="0" collapsed="false">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row>
    <row r="130" customFormat="false" ht="15" hidden="false" customHeight="false" outlineLevel="0" collapsed="false">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row>
    <row r="131" customFormat="false" ht="15" hidden="false" customHeight="false" outlineLevel="0" collapsed="false">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row>
    <row r="132" customFormat="false" ht="15" hidden="false" customHeight="false" outlineLevel="0" collapsed="false">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row>
    <row r="133" customFormat="false" ht="15" hidden="false" customHeight="false" outlineLevel="0" collapsed="false">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row>
    <row r="134" customFormat="false" ht="15" hidden="false" customHeight="false" outlineLevel="0" collapsed="false">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row>
    <row r="135" customFormat="false" ht="15" hidden="false" customHeight="false" outlineLevel="0" collapsed="false">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row>
    <row r="136" customFormat="false" ht="15" hidden="false" customHeight="false" outlineLevel="0" collapsed="false">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row>
    <row r="137" customFormat="false" ht="15" hidden="false" customHeight="false" outlineLevel="0" collapsed="false">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row>
    <row r="138" customFormat="false" ht="15" hidden="false" customHeight="false" outlineLevel="0" collapsed="false">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row>
    <row r="139" customFormat="false" ht="15" hidden="false" customHeight="false" outlineLevel="0" collapsed="false">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row>
    <row r="140" customFormat="false" ht="15" hidden="false" customHeight="false" outlineLevel="0" collapsed="false">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row>
    <row r="141" customFormat="false" ht="15" hidden="false" customHeight="false" outlineLevel="0" collapsed="false">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row>
    <row r="142" customFormat="false" ht="15" hidden="false" customHeight="false" outlineLevel="0" collapsed="false">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row>
    <row r="143" customFormat="false" ht="15" hidden="false" customHeight="false" outlineLevel="0" collapsed="false">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row>
    <row r="144" customFormat="false" ht="15" hidden="false" customHeight="false" outlineLevel="0" collapsed="false">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row>
    <row r="145" customFormat="false" ht="15" hidden="false" customHeight="false" outlineLevel="0" collapsed="false">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row>
    <row r="146" customFormat="false" ht="15" hidden="false" customHeight="false" outlineLevel="0" collapsed="false">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row>
    <row r="147" customFormat="false" ht="15" hidden="false" customHeight="false" outlineLevel="0" collapsed="false">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row>
    <row r="148" customFormat="false" ht="15" hidden="false" customHeight="false" outlineLevel="0" collapsed="false">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row>
    <row r="149" customFormat="false" ht="15" hidden="false" customHeight="false" outlineLevel="0" collapsed="false">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row>
    <row r="150" customFormat="false" ht="15" hidden="false" customHeight="false" outlineLevel="0" collapsed="false">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row>
    <row r="151" customFormat="false" ht="15" hidden="false" customHeight="false" outlineLevel="0" collapsed="false">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row>
    <row r="152" customFormat="false" ht="15" hidden="false" customHeight="false" outlineLevel="0" collapsed="false">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row>
    <row r="153" customFormat="false" ht="15" hidden="false" customHeight="false" outlineLevel="0" collapsed="false">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row>
    <row r="154" customFormat="false" ht="15" hidden="false" customHeight="false" outlineLevel="0" collapsed="false">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row>
    <row r="155" customFormat="false" ht="15" hidden="false" customHeight="false" outlineLevel="0" collapsed="false">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row>
    <row r="156" customFormat="false" ht="15" hidden="false" customHeight="false" outlineLevel="0" collapsed="false">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row>
    <row r="157" customFormat="false" ht="15" hidden="false" customHeight="false" outlineLevel="0" collapsed="false">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row>
    <row r="158" customFormat="false" ht="15" hidden="false" customHeight="false" outlineLevel="0" collapsed="false">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row>
    <row r="159" customFormat="false" ht="15" hidden="false" customHeight="false" outlineLevel="0" collapsed="false">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row>
    <row r="160" customFormat="false" ht="15" hidden="false" customHeight="false" outlineLevel="0" collapsed="false">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row>
    <row r="161" customFormat="false" ht="15" hidden="false" customHeight="false" outlineLevel="0" collapsed="false">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row>
    <row r="162" customFormat="false" ht="15" hidden="false" customHeight="false" outlineLevel="0" collapsed="false">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row>
    <row r="163" customFormat="false" ht="15" hidden="false" customHeight="false" outlineLevel="0" collapsed="false">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row>
    <row r="164" customFormat="false" ht="15" hidden="false" customHeight="false" outlineLevel="0" collapsed="false">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row>
    <row r="165" customFormat="false" ht="15" hidden="false" customHeight="false" outlineLevel="0" collapsed="false">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row>
    <row r="166" customFormat="false" ht="15" hidden="false" customHeight="false" outlineLevel="0" collapsed="false">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row>
    <row r="167" customFormat="false" ht="15" hidden="false" customHeight="false" outlineLevel="0" collapsed="false">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row>
    <row r="168" customFormat="false" ht="15" hidden="false" customHeight="false" outlineLevel="0" collapsed="false">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row>
    <row r="169" customFormat="false" ht="15" hidden="false" customHeight="false" outlineLevel="0" collapsed="false">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row>
    <row r="170" customFormat="false" ht="15" hidden="false" customHeight="false" outlineLevel="0" collapsed="false">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row>
    <row r="171" customFormat="false" ht="15" hidden="false" customHeight="false" outlineLevel="0" collapsed="false">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row>
    <row r="172" customFormat="false" ht="15" hidden="false" customHeight="false" outlineLevel="0" collapsed="false">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row>
    <row r="173" customFormat="false" ht="15" hidden="false" customHeight="false" outlineLevel="0" collapsed="false">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row>
    <row r="174" customFormat="false" ht="15" hidden="false" customHeight="false" outlineLevel="0" collapsed="false">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row>
    <row r="175" customFormat="false" ht="15" hidden="false" customHeight="false" outlineLevel="0" collapsed="false">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row>
    <row r="176" customFormat="false" ht="15" hidden="false" customHeight="false" outlineLevel="0" collapsed="false">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row>
    <row r="177" customFormat="false" ht="15" hidden="false" customHeight="false" outlineLevel="0" collapsed="false">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row>
    <row r="178" customFormat="false" ht="15" hidden="false" customHeight="false" outlineLevel="0" collapsed="false">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row>
    <row r="179" customFormat="false" ht="15" hidden="false" customHeight="false" outlineLevel="0" collapsed="false">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row>
    <row r="180" customFormat="false" ht="15" hidden="false" customHeight="false" outlineLevel="0" collapsed="false">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row>
    <row r="181" customFormat="false" ht="15" hidden="false" customHeight="false" outlineLevel="0" collapsed="false">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row>
    <row r="182" customFormat="false" ht="15" hidden="false" customHeight="false" outlineLevel="0" collapsed="false">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row>
    <row r="183" customFormat="false" ht="15" hidden="false" customHeight="false" outlineLevel="0" collapsed="false">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row>
    <row r="184" customFormat="false" ht="15" hidden="false" customHeight="false" outlineLevel="0" collapsed="false">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row>
    <row r="185" customFormat="false" ht="15" hidden="false" customHeight="false" outlineLevel="0" collapsed="false">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row>
    <row r="186" customFormat="false" ht="15" hidden="false" customHeight="false" outlineLevel="0" collapsed="false">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row>
    <row r="187" customFormat="false" ht="15" hidden="false" customHeight="false" outlineLevel="0" collapsed="false">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row>
    <row r="188" customFormat="false" ht="15" hidden="false" customHeight="false" outlineLevel="0" collapsed="false">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row>
    <row r="189" customFormat="false" ht="15" hidden="false" customHeight="false" outlineLevel="0" collapsed="false">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row>
    <row r="190" customFormat="false" ht="15" hidden="false" customHeight="false" outlineLevel="0" collapsed="false">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row>
    <row r="191" customFormat="false" ht="15" hidden="false" customHeight="false" outlineLevel="0" collapsed="false">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row>
    <row r="192" customFormat="false" ht="15" hidden="false" customHeight="false" outlineLevel="0" collapsed="false">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row>
    <row r="193" customFormat="false" ht="15" hidden="false" customHeight="false" outlineLevel="0" collapsed="false">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row>
    <row r="194" customFormat="false" ht="15" hidden="false" customHeight="false" outlineLevel="0" collapsed="false">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row>
    <row r="195" customFormat="false" ht="15" hidden="false" customHeight="false" outlineLevel="0" collapsed="false">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row>
    <row r="196" customFormat="false" ht="15" hidden="false" customHeight="false" outlineLevel="0" collapsed="false">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row>
    <row r="197" customFormat="false" ht="15" hidden="false" customHeight="false" outlineLevel="0" collapsed="false">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row>
    <row r="198" customFormat="false" ht="15" hidden="false" customHeight="false" outlineLevel="0" collapsed="false">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row>
    <row r="199" customFormat="false" ht="15" hidden="false" customHeight="false" outlineLevel="0" collapsed="false">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row>
    <row r="200" customFormat="false" ht="15" hidden="false" customHeight="false" outlineLevel="0" collapsed="false">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row>
    <row r="201" customFormat="false" ht="15" hidden="false" customHeight="false" outlineLevel="0" collapsed="false">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row>
    <row r="202" customFormat="false" ht="15" hidden="false" customHeight="false" outlineLevel="0" collapsed="false">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row>
    <row r="203" customFormat="false" ht="15" hidden="false" customHeight="false" outlineLevel="0" collapsed="false">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row>
    <row r="204" customFormat="false" ht="15" hidden="false" customHeight="false" outlineLevel="0" collapsed="false">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row>
    <row r="205" customFormat="false" ht="15" hidden="false" customHeight="false" outlineLevel="0" collapsed="false">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row>
    <row r="206" customFormat="false" ht="15" hidden="false" customHeight="false" outlineLevel="0" collapsed="false">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row>
    <row r="207" customFormat="false" ht="15" hidden="false" customHeight="false" outlineLevel="0" collapsed="false">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row>
    <row r="208" customFormat="false" ht="15" hidden="false" customHeight="false" outlineLevel="0" collapsed="false">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row>
    <row r="209" customFormat="false" ht="15" hidden="false" customHeight="false" outlineLevel="0" collapsed="false">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row>
    <row r="210" customFormat="false" ht="15" hidden="false" customHeight="false" outlineLevel="0" collapsed="false">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row>
    <row r="211" customFormat="false" ht="15" hidden="false" customHeight="false" outlineLevel="0" collapsed="false">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row>
    <row r="212" customFormat="false" ht="15" hidden="false" customHeight="false" outlineLevel="0" collapsed="false">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row>
    <row r="213" customFormat="false" ht="15" hidden="false" customHeight="false" outlineLevel="0" collapsed="false">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row>
    <row r="214" customFormat="false" ht="15" hidden="false" customHeight="false" outlineLevel="0" collapsed="false">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row>
    <row r="215" customFormat="false" ht="15" hidden="false" customHeight="false" outlineLevel="0" collapsed="false">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row>
    <row r="216" customFormat="false" ht="15" hidden="false" customHeight="false" outlineLevel="0" collapsed="false">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row>
    <row r="217" customFormat="false" ht="15" hidden="false" customHeight="false" outlineLevel="0" collapsed="false">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row>
    <row r="218" customFormat="false" ht="15" hidden="false" customHeight="false" outlineLevel="0" collapsed="false">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row>
    <row r="219" customFormat="false" ht="15" hidden="false" customHeight="false" outlineLevel="0" collapsed="false">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row>
    <row r="220" customFormat="false" ht="15" hidden="false" customHeight="false" outlineLevel="0" collapsed="false">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row>
    <row r="221" customFormat="false" ht="15" hidden="false" customHeight="false" outlineLevel="0" collapsed="false">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row>
    <row r="222" customFormat="false" ht="15" hidden="false" customHeight="false" outlineLevel="0" collapsed="false">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row>
    <row r="223" customFormat="false" ht="15" hidden="false" customHeight="false" outlineLevel="0" collapsed="false">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row>
    <row r="224" customFormat="false" ht="15" hidden="false" customHeight="false" outlineLevel="0" collapsed="false">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row>
    <row r="225" customFormat="false" ht="15" hidden="false" customHeight="false" outlineLevel="0" collapsed="false">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row>
    <row r="226" customFormat="false" ht="15" hidden="false" customHeight="false" outlineLevel="0" collapsed="false">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row>
    <row r="227" customFormat="false" ht="15" hidden="false" customHeight="false" outlineLevel="0" collapsed="false">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row>
    <row r="228" customFormat="false" ht="15" hidden="false" customHeight="false" outlineLevel="0" collapsed="false">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row>
    <row r="229" customFormat="false" ht="15" hidden="false" customHeight="false" outlineLevel="0" collapsed="false">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row>
    <row r="230" customFormat="false" ht="15" hidden="false" customHeight="false" outlineLevel="0" collapsed="false">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row>
    <row r="231" customFormat="false" ht="15" hidden="false" customHeight="false" outlineLevel="0" collapsed="false">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row>
    <row r="232" customFormat="false" ht="15" hidden="false" customHeight="false" outlineLevel="0" collapsed="false">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row>
    <row r="233" customFormat="false" ht="15" hidden="false" customHeight="false" outlineLevel="0" collapsed="false">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row>
    <row r="234" customFormat="false" ht="15" hidden="false" customHeight="false" outlineLevel="0" collapsed="false">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row>
    <row r="235" customFormat="false" ht="15" hidden="false" customHeight="false" outlineLevel="0" collapsed="false">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row>
    <row r="236" customFormat="false" ht="15" hidden="false" customHeight="false" outlineLevel="0" collapsed="false">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row>
    <row r="237" customFormat="false" ht="15" hidden="false" customHeight="false" outlineLevel="0" collapsed="false">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row>
    <row r="238" customFormat="false" ht="15" hidden="false" customHeight="false" outlineLevel="0" collapsed="false">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row>
    <row r="239" customFormat="false" ht="15" hidden="false" customHeight="false" outlineLevel="0" collapsed="false">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row>
    <row r="240" customFormat="false" ht="15" hidden="false" customHeight="false" outlineLevel="0" collapsed="false">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row>
    <row r="241" customFormat="false" ht="15" hidden="false" customHeight="false" outlineLevel="0" collapsed="false">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row>
    <row r="242" customFormat="false" ht="15" hidden="false" customHeight="false" outlineLevel="0" collapsed="false">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row>
    <row r="243" customFormat="false" ht="15" hidden="false" customHeight="false" outlineLevel="0" collapsed="false">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row>
    <row r="244" customFormat="false" ht="15" hidden="false" customHeight="false" outlineLevel="0" collapsed="false">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row>
    <row r="245" customFormat="false" ht="15" hidden="false" customHeight="false" outlineLevel="0" collapsed="false">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row>
    <row r="246" customFormat="false" ht="15" hidden="false" customHeight="false" outlineLevel="0" collapsed="false">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row>
    <row r="247" customFormat="false" ht="15" hidden="false" customHeight="false" outlineLevel="0" collapsed="false">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row>
    <row r="248" customFormat="false" ht="15" hidden="false" customHeight="false" outlineLevel="0" collapsed="false">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row>
    <row r="249" customFormat="false" ht="15" hidden="false" customHeight="false" outlineLevel="0" collapsed="false">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row>
    <row r="250" customFormat="false" ht="15" hidden="false" customHeight="false" outlineLevel="0" collapsed="false">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row>
    <row r="251" customFormat="false" ht="15" hidden="false" customHeight="false" outlineLevel="0" collapsed="false">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row>
    <row r="252" customFormat="false" ht="15" hidden="false" customHeight="false" outlineLevel="0" collapsed="false">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row>
    <row r="253" customFormat="false" ht="15" hidden="false" customHeight="false" outlineLevel="0" collapsed="false">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row>
    <row r="254" customFormat="false" ht="15" hidden="false" customHeight="false" outlineLevel="0" collapsed="false">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row>
    <row r="255" customFormat="false" ht="15" hidden="false" customHeight="false" outlineLevel="0" collapsed="false">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row>
    <row r="256" customFormat="false" ht="15" hidden="false" customHeight="false" outlineLevel="0" collapsed="false">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row>
    <row r="257" customFormat="false" ht="15" hidden="false" customHeight="false" outlineLevel="0" collapsed="false">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row>
    <row r="258" customFormat="false" ht="15" hidden="false" customHeight="false" outlineLevel="0" collapsed="false">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row>
    <row r="259" customFormat="false" ht="15" hidden="false" customHeight="false" outlineLevel="0" collapsed="false">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row>
    <row r="260" customFormat="false" ht="15" hidden="false" customHeight="false" outlineLevel="0" collapsed="false">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row>
    <row r="261" customFormat="false" ht="15" hidden="false" customHeight="false" outlineLevel="0" collapsed="false">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row>
    <row r="262" customFormat="false" ht="15" hidden="false" customHeight="false" outlineLevel="0" collapsed="false">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row>
    <row r="263" customFormat="false" ht="15" hidden="false" customHeight="false" outlineLevel="0" collapsed="false">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row>
    <row r="264" customFormat="false" ht="15" hidden="false" customHeight="false" outlineLevel="0" collapsed="false">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row>
    <row r="265" customFormat="false" ht="15" hidden="false" customHeight="false" outlineLevel="0" collapsed="false">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row>
    <row r="266" customFormat="false" ht="15" hidden="false" customHeight="false" outlineLevel="0" collapsed="false">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row>
    <row r="267" customFormat="false" ht="15" hidden="false" customHeight="false" outlineLevel="0" collapsed="false">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row>
    <row r="268" customFormat="false" ht="15" hidden="false" customHeight="false" outlineLevel="0" collapsed="false">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row>
    <row r="269" customFormat="false" ht="15" hidden="false" customHeight="false" outlineLevel="0" collapsed="false">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row>
    <row r="270" customFormat="false" ht="15" hidden="false" customHeight="false" outlineLevel="0" collapsed="false">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row>
    <row r="271" customFormat="false" ht="15" hidden="false" customHeight="false" outlineLevel="0" collapsed="false">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row>
    <row r="272" customFormat="false" ht="15" hidden="false" customHeight="false" outlineLevel="0" collapsed="false">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row>
    <row r="273" customFormat="false" ht="15" hidden="false" customHeight="false" outlineLevel="0" collapsed="false">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row>
    <row r="274" customFormat="false" ht="15" hidden="false" customHeight="false" outlineLevel="0" collapsed="false">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row>
    <row r="275" customFormat="false" ht="15" hidden="false" customHeight="false" outlineLevel="0" collapsed="false">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row>
    <row r="276" customFormat="false" ht="15" hidden="false" customHeight="false" outlineLevel="0" collapsed="false">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row>
    <row r="277" customFormat="false" ht="15" hidden="false" customHeight="false" outlineLevel="0" collapsed="false">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row>
    <row r="278" customFormat="false" ht="15" hidden="false" customHeight="false" outlineLevel="0" collapsed="false">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row>
    <row r="279" customFormat="false" ht="15" hidden="false" customHeight="false" outlineLevel="0" collapsed="false">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row>
    <row r="280" customFormat="false" ht="15" hidden="false" customHeight="false" outlineLevel="0" collapsed="false">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row>
    <row r="281" customFormat="false" ht="15" hidden="false" customHeight="false" outlineLevel="0" collapsed="false">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row>
    <row r="282" customFormat="false" ht="15" hidden="false" customHeight="false" outlineLevel="0" collapsed="false">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row>
    <row r="283" customFormat="false" ht="15" hidden="false" customHeight="false" outlineLevel="0" collapsed="false">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row>
    <row r="284" customFormat="false" ht="15" hidden="false" customHeight="false" outlineLevel="0" collapsed="false">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row>
    <row r="285" customFormat="false" ht="15" hidden="false" customHeight="false" outlineLevel="0" collapsed="false">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row>
    <row r="286" customFormat="false" ht="15" hidden="false" customHeight="false" outlineLevel="0" collapsed="false">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row>
    <row r="287" customFormat="false" ht="15" hidden="false" customHeight="false" outlineLevel="0" collapsed="false">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row>
    <row r="288" customFormat="false" ht="15" hidden="false" customHeight="false" outlineLevel="0" collapsed="false">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row>
    <row r="289" customFormat="false" ht="15" hidden="false" customHeight="false" outlineLevel="0" collapsed="false">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row>
    <row r="290" customFormat="false" ht="15" hidden="false" customHeight="false" outlineLevel="0" collapsed="false">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row>
    <row r="291" customFormat="false" ht="15" hidden="false" customHeight="false" outlineLevel="0" collapsed="false">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row>
    <row r="292" customFormat="false" ht="15" hidden="false" customHeight="false" outlineLevel="0" collapsed="false">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row>
    <row r="293" customFormat="false" ht="15" hidden="false" customHeight="false" outlineLevel="0" collapsed="false">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row>
    <row r="294" customFormat="false" ht="15" hidden="false" customHeight="false" outlineLevel="0" collapsed="false">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row>
    <row r="295" customFormat="false" ht="15" hidden="false" customHeight="false" outlineLevel="0" collapsed="false">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row>
    <row r="296" customFormat="false" ht="15" hidden="false" customHeight="false" outlineLevel="0" collapsed="false">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row>
    <row r="297" customFormat="false" ht="15" hidden="false" customHeight="false" outlineLevel="0" collapsed="false">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row>
    <row r="298" customFormat="false" ht="15" hidden="false" customHeight="false" outlineLevel="0" collapsed="false">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row>
    <row r="299" customFormat="false" ht="15" hidden="false" customHeight="false" outlineLevel="0" collapsed="false">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row>
    <row r="300" customFormat="false" ht="15" hidden="false" customHeight="false" outlineLevel="0" collapsed="false">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row>
    <row r="301" customFormat="false" ht="15" hidden="false" customHeight="false" outlineLevel="0" collapsed="false">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row>
    <row r="302" customFormat="false" ht="15" hidden="false" customHeight="false" outlineLevel="0" collapsed="false">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row>
    <row r="303" customFormat="false" ht="15" hidden="false" customHeight="false" outlineLevel="0" collapsed="false">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c r="AB303" s="75"/>
      <c r="AC303" s="75"/>
      <c r="AD303" s="75"/>
      <c r="AE303" s="75"/>
      <c r="AF303" s="75"/>
      <c r="AG303" s="75"/>
      <c r="AH303" s="75"/>
    </row>
    <row r="304" customFormat="false" ht="15" hidden="false" customHeight="false" outlineLevel="0" collapsed="false">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c r="AB304" s="75"/>
      <c r="AC304" s="75"/>
      <c r="AD304" s="75"/>
      <c r="AE304" s="75"/>
      <c r="AF304" s="75"/>
      <c r="AG304" s="75"/>
      <c r="AH304" s="75"/>
    </row>
    <row r="305" customFormat="false" ht="15" hidden="false" customHeight="false" outlineLevel="0" collapsed="false">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c r="AB305" s="75"/>
      <c r="AC305" s="75"/>
      <c r="AD305" s="75"/>
      <c r="AE305" s="75"/>
      <c r="AF305" s="75"/>
      <c r="AG305" s="75"/>
      <c r="AH305" s="75"/>
    </row>
    <row r="306" customFormat="false" ht="15" hidden="false" customHeight="false" outlineLevel="0" collapsed="false">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c r="AB306" s="75"/>
      <c r="AC306" s="75"/>
      <c r="AD306" s="75"/>
      <c r="AE306" s="75"/>
      <c r="AF306" s="75"/>
      <c r="AG306" s="75"/>
      <c r="AH306" s="75"/>
    </row>
    <row r="307" customFormat="false" ht="15" hidden="false" customHeight="false" outlineLevel="0" collapsed="false">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c r="AB307" s="75"/>
      <c r="AC307" s="75"/>
      <c r="AD307" s="75"/>
      <c r="AE307" s="75"/>
      <c r="AF307" s="75"/>
      <c r="AG307" s="75"/>
      <c r="AH307" s="75"/>
    </row>
    <row r="308" customFormat="false" ht="15" hidden="false" customHeight="false" outlineLevel="0" collapsed="false">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c r="AB308" s="75"/>
      <c r="AC308" s="75"/>
      <c r="AD308" s="75"/>
      <c r="AE308" s="75"/>
      <c r="AF308" s="75"/>
      <c r="AG308" s="75"/>
      <c r="AH308" s="75"/>
    </row>
    <row r="309" customFormat="false" ht="15" hidden="false" customHeight="false" outlineLevel="0" collapsed="false">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c r="AB309" s="75"/>
      <c r="AC309" s="75"/>
      <c r="AD309" s="75"/>
      <c r="AE309" s="75"/>
      <c r="AF309" s="75"/>
      <c r="AG309" s="75"/>
      <c r="AH309" s="75"/>
    </row>
    <row r="310" customFormat="false" ht="15" hidden="false" customHeight="false" outlineLevel="0" collapsed="false">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c r="AB310" s="75"/>
      <c r="AC310" s="75"/>
      <c r="AD310" s="75"/>
      <c r="AE310" s="75"/>
      <c r="AF310" s="75"/>
      <c r="AG310" s="75"/>
      <c r="AH310" s="75"/>
    </row>
    <row r="311" customFormat="false" ht="15" hidden="false" customHeight="false" outlineLevel="0" collapsed="false">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c r="AB311" s="75"/>
      <c r="AC311" s="75"/>
      <c r="AD311" s="75"/>
      <c r="AE311" s="75"/>
      <c r="AF311" s="75"/>
      <c r="AG311" s="75"/>
      <c r="AH311" s="75"/>
    </row>
    <row r="312" customFormat="false" ht="15" hidden="false" customHeight="false" outlineLevel="0" collapsed="false">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c r="AB312" s="75"/>
      <c r="AC312" s="75"/>
      <c r="AD312" s="75"/>
      <c r="AE312" s="75"/>
      <c r="AF312" s="75"/>
      <c r="AG312" s="75"/>
      <c r="AH312" s="75"/>
    </row>
    <row r="313" customFormat="false" ht="15" hidden="false" customHeight="false" outlineLevel="0" collapsed="false">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c r="AB313" s="75"/>
      <c r="AC313" s="75"/>
      <c r="AD313" s="75"/>
      <c r="AE313" s="75"/>
      <c r="AF313" s="75"/>
      <c r="AG313" s="75"/>
      <c r="AH313" s="75"/>
    </row>
    <row r="314" customFormat="false" ht="15" hidden="false" customHeight="false" outlineLevel="0" collapsed="false">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c r="AB314" s="75"/>
      <c r="AC314" s="75"/>
      <c r="AD314" s="75"/>
      <c r="AE314" s="75"/>
      <c r="AF314" s="75"/>
      <c r="AG314" s="75"/>
      <c r="AH314" s="75"/>
    </row>
    <row r="315" customFormat="false" ht="15" hidden="false" customHeight="false" outlineLevel="0" collapsed="false">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c r="AB315" s="75"/>
      <c r="AC315" s="75"/>
      <c r="AD315" s="75"/>
      <c r="AE315" s="75"/>
      <c r="AF315" s="75"/>
      <c r="AG315" s="75"/>
      <c r="AH315" s="75"/>
    </row>
    <row r="316" customFormat="false" ht="15" hidden="false" customHeight="false" outlineLevel="0" collapsed="false">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c r="AC316" s="75"/>
      <c r="AD316" s="75"/>
      <c r="AE316" s="75"/>
      <c r="AF316" s="75"/>
      <c r="AG316" s="75"/>
      <c r="AH316" s="75"/>
    </row>
    <row r="317" customFormat="false" ht="15" hidden="false" customHeight="false" outlineLevel="0" collapsed="false">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c r="AB317" s="75"/>
      <c r="AC317" s="75"/>
      <c r="AD317" s="75"/>
      <c r="AE317" s="75"/>
      <c r="AF317" s="75"/>
      <c r="AG317" s="75"/>
      <c r="AH317" s="75"/>
    </row>
    <row r="318" customFormat="false" ht="15" hidden="false" customHeight="false" outlineLevel="0" collapsed="false">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c r="AB318" s="75"/>
      <c r="AC318" s="75"/>
      <c r="AD318" s="75"/>
      <c r="AE318" s="75"/>
      <c r="AF318" s="75"/>
      <c r="AG318" s="75"/>
      <c r="AH318" s="75"/>
    </row>
    <row r="319" customFormat="false" ht="15" hidden="false" customHeight="false" outlineLevel="0" collapsed="false">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c r="AB319" s="75"/>
      <c r="AC319" s="75"/>
      <c r="AD319" s="75"/>
      <c r="AE319" s="75"/>
      <c r="AF319" s="75"/>
      <c r="AG319" s="75"/>
      <c r="AH319" s="75"/>
    </row>
    <row r="320" customFormat="false" ht="15" hidden="false" customHeight="false" outlineLevel="0" collapsed="false">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c r="AB320" s="75"/>
      <c r="AC320" s="75"/>
      <c r="AD320" s="75"/>
      <c r="AE320" s="75"/>
      <c r="AF320" s="75"/>
      <c r="AG320" s="75"/>
      <c r="AH320" s="75"/>
    </row>
    <row r="321" customFormat="false" ht="15" hidden="false" customHeight="false" outlineLevel="0" collapsed="false">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c r="AB321" s="75"/>
      <c r="AC321" s="75"/>
      <c r="AD321" s="75"/>
      <c r="AE321" s="75"/>
      <c r="AF321" s="75"/>
      <c r="AG321" s="75"/>
      <c r="AH321" s="75"/>
    </row>
    <row r="322" customFormat="false" ht="15" hidden="false" customHeight="false" outlineLevel="0" collapsed="false">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c r="AB322" s="75"/>
      <c r="AC322" s="75"/>
      <c r="AD322" s="75"/>
      <c r="AE322" s="75"/>
      <c r="AF322" s="75"/>
      <c r="AG322" s="75"/>
      <c r="AH322" s="75"/>
    </row>
    <row r="323" customFormat="false" ht="15" hidden="false" customHeight="false" outlineLevel="0" collapsed="false">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c r="AB323" s="75"/>
      <c r="AC323" s="75"/>
      <c r="AD323" s="75"/>
      <c r="AE323" s="75"/>
      <c r="AF323" s="75"/>
      <c r="AG323" s="75"/>
      <c r="AH323" s="75"/>
    </row>
    <row r="324" customFormat="false" ht="15" hidden="false" customHeight="false" outlineLevel="0" collapsed="false">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c r="AB324" s="75"/>
      <c r="AC324" s="75"/>
      <c r="AD324" s="75"/>
      <c r="AE324" s="75"/>
      <c r="AF324" s="75"/>
      <c r="AG324" s="75"/>
      <c r="AH324" s="75"/>
    </row>
    <row r="325" customFormat="false" ht="15" hidden="false" customHeight="false" outlineLevel="0" collapsed="false">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c r="AB325" s="75"/>
      <c r="AC325" s="75"/>
      <c r="AD325" s="75"/>
      <c r="AE325" s="75"/>
      <c r="AF325" s="75"/>
      <c r="AG325" s="75"/>
      <c r="AH325" s="75"/>
    </row>
    <row r="326" customFormat="false" ht="15" hidden="false" customHeight="false" outlineLevel="0" collapsed="false">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c r="AB326" s="75"/>
      <c r="AC326" s="75"/>
      <c r="AD326" s="75"/>
      <c r="AE326" s="75"/>
      <c r="AF326" s="75"/>
      <c r="AG326" s="75"/>
      <c r="AH326" s="75"/>
    </row>
    <row r="327" customFormat="false" ht="15" hidden="false" customHeight="false" outlineLevel="0" collapsed="false">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c r="AB327" s="75"/>
      <c r="AC327" s="75"/>
      <c r="AD327" s="75"/>
      <c r="AE327" s="75"/>
      <c r="AF327" s="75"/>
      <c r="AG327" s="75"/>
      <c r="AH327" s="75"/>
    </row>
    <row r="328" customFormat="false" ht="15" hidden="false" customHeight="false" outlineLevel="0" collapsed="false">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c r="AB328" s="75"/>
      <c r="AC328" s="75"/>
      <c r="AD328" s="75"/>
      <c r="AE328" s="75"/>
      <c r="AF328" s="75"/>
      <c r="AG328" s="75"/>
      <c r="AH328" s="75"/>
    </row>
    <row r="329" customFormat="false" ht="15" hidden="false" customHeight="false" outlineLevel="0" collapsed="false">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c r="AB329" s="75"/>
      <c r="AC329" s="75"/>
      <c r="AD329" s="75"/>
      <c r="AE329" s="75"/>
      <c r="AF329" s="75"/>
      <c r="AG329" s="75"/>
      <c r="AH329" s="75"/>
    </row>
    <row r="330" customFormat="false" ht="15" hidden="false" customHeight="false" outlineLevel="0" collapsed="false">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c r="AB330" s="75"/>
      <c r="AC330" s="75"/>
      <c r="AD330" s="75"/>
      <c r="AE330" s="75"/>
      <c r="AF330" s="75"/>
      <c r="AG330" s="75"/>
      <c r="AH330" s="75"/>
    </row>
    <row r="331" customFormat="false" ht="15" hidden="false" customHeight="false" outlineLevel="0" collapsed="false">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c r="AB331" s="75"/>
      <c r="AC331" s="75"/>
      <c r="AD331" s="75"/>
      <c r="AE331" s="75"/>
      <c r="AF331" s="75"/>
      <c r="AG331" s="75"/>
      <c r="AH331" s="75"/>
    </row>
    <row r="332" customFormat="false" ht="15" hidden="false" customHeight="false" outlineLevel="0" collapsed="false">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c r="AB332" s="75"/>
      <c r="AC332" s="75"/>
      <c r="AD332" s="75"/>
      <c r="AE332" s="75"/>
      <c r="AF332" s="75"/>
      <c r="AG332" s="75"/>
      <c r="AH332" s="75"/>
    </row>
    <row r="333" customFormat="false" ht="15" hidden="false" customHeight="false" outlineLevel="0" collapsed="false">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c r="AB333" s="75"/>
      <c r="AC333" s="75"/>
      <c r="AD333" s="75"/>
      <c r="AE333" s="75"/>
      <c r="AF333" s="75"/>
      <c r="AG333" s="75"/>
      <c r="AH333" s="75"/>
    </row>
    <row r="334" customFormat="false" ht="15" hidden="false" customHeight="false" outlineLevel="0" collapsed="false">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c r="AB334" s="75"/>
      <c r="AC334" s="75"/>
      <c r="AD334" s="75"/>
      <c r="AE334" s="75"/>
      <c r="AF334" s="75"/>
      <c r="AG334" s="75"/>
      <c r="AH334" s="75"/>
    </row>
    <row r="335" customFormat="false" ht="15" hidden="false" customHeight="false" outlineLevel="0" collapsed="false">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c r="AB335" s="75"/>
      <c r="AC335" s="75"/>
      <c r="AD335" s="75"/>
      <c r="AE335" s="75"/>
      <c r="AF335" s="75"/>
      <c r="AG335" s="75"/>
      <c r="AH335" s="75"/>
    </row>
    <row r="336" customFormat="false" ht="15" hidden="false" customHeight="false" outlineLevel="0" collapsed="false">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c r="AB336" s="75"/>
      <c r="AC336" s="75"/>
      <c r="AD336" s="75"/>
      <c r="AE336" s="75"/>
      <c r="AF336" s="75"/>
      <c r="AG336" s="75"/>
      <c r="AH336" s="75"/>
    </row>
    <row r="337" customFormat="false" ht="15" hidden="false" customHeight="false" outlineLevel="0" collapsed="false">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c r="AB337" s="75"/>
      <c r="AC337" s="75"/>
      <c r="AD337" s="75"/>
      <c r="AE337" s="75"/>
      <c r="AF337" s="75"/>
      <c r="AG337" s="75"/>
      <c r="AH337" s="75"/>
    </row>
    <row r="338" customFormat="false" ht="15" hidden="false" customHeight="false" outlineLevel="0" collapsed="false">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c r="AB338" s="75"/>
      <c r="AC338" s="75"/>
      <c r="AD338" s="75"/>
      <c r="AE338" s="75"/>
      <c r="AF338" s="75"/>
      <c r="AG338" s="75"/>
      <c r="AH338" s="75"/>
    </row>
    <row r="339" customFormat="false" ht="15" hidden="false" customHeight="false" outlineLevel="0" collapsed="false">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c r="AB339" s="75"/>
      <c r="AC339" s="75"/>
      <c r="AD339" s="75"/>
      <c r="AE339" s="75"/>
      <c r="AF339" s="75"/>
      <c r="AG339" s="75"/>
      <c r="AH339" s="75"/>
    </row>
    <row r="340" customFormat="false" ht="15" hidden="false" customHeight="false" outlineLevel="0" collapsed="false">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c r="AB340" s="75"/>
      <c r="AC340" s="75"/>
      <c r="AD340" s="75"/>
      <c r="AE340" s="75"/>
      <c r="AF340" s="75"/>
      <c r="AG340" s="75"/>
      <c r="AH340" s="75"/>
    </row>
    <row r="341" customFormat="false" ht="15" hidden="false" customHeight="false" outlineLevel="0" collapsed="false">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c r="AB341" s="75"/>
      <c r="AC341" s="75"/>
      <c r="AD341" s="75"/>
      <c r="AE341" s="75"/>
      <c r="AF341" s="75"/>
      <c r="AG341" s="75"/>
      <c r="AH341" s="75"/>
    </row>
    <row r="342" customFormat="false" ht="15" hidden="false" customHeight="false" outlineLevel="0" collapsed="false">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c r="AB342" s="75"/>
      <c r="AC342" s="75"/>
      <c r="AD342" s="75"/>
      <c r="AE342" s="75"/>
      <c r="AF342" s="75"/>
      <c r="AG342" s="75"/>
      <c r="AH342" s="75"/>
    </row>
    <row r="343" customFormat="false" ht="15" hidden="false" customHeight="false" outlineLevel="0" collapsed="false">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c r="AB343" s="75"/>
      <c r="AC343" s="75"/>
      <c r="AD343" s="75"/>
      <c r="AE343" s="75"/>
      <c r="AF343" s="75"/>
      <c r="AG343" s="75"/>
      <c r="AH343" s="75"/>
    </row>
    <row r="344" customFormat="false" ht="15" hidden="false" customHeight="false" outlineLevel="0" collapsed="false">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c r="AB344" s="75"/>
      <c r="AC344" s="75"/>
      <c r="AD344" s="75"/>
      <c r="AE344" s="75"/>
      <c r="AF344" s="75"/>
      <c r="AG344" s="75"/>
      <c r="AH344" s="75"/>
    </row>
    <row r="345" customFormat="false" ht="15" hidden="false" customHeight="false" outlineLevel="0" collapsed="false">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c r="AB345" s="75"/>
      <c r="AC345" s="75"/>
      <c r="AD345" s="75"/>
      <c r="AE345" s="75"/>
      <c r="AF345" s="75"/>
      <c r="AG345" s="75"/>
      <c r="AH345" s="75"/>
    </row>
    <row r="346" customFormat="false" ht="15" hidden="false" customHeight="false" outlineLevel="0" collapsed="false">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c r="AB346" s="75"/>
      <c r="AC346" s="75"/>
      <c r="AD346" s="75"/>
      <c r="AE346" s="75"/>
      <c r="AF346" s="75"/>
      <c r="AG346" s="75"/>
      <c r="AH346" s="75"/>
    </row>
    <row r="347" customFormat="false" ht="15" hidden="false" customHeight="false" outlineLevel="0" collapsed="false">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c r="AB347" s="75"/>
      <c r="AC347" s="75"/>
      <c r="AD347" s="75"/>
      <c r="AE347" s="75"/>
      <c r="AF347" s="75"/>
      <c r="AG347" s="75"/>
      <c r="AH347" s="75"/>
    </row>
    <row r="348" customFormat="false" ht="15" hidden="false" customHeight="false" outlineLevel="0" collapsed="false">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c r="AB348" s="75"/>
      <c r="AC348" s="75"/>
      <c r="AD348" s="75"/>
      <c r="AE348" s="75"/>
      <c r="AF348" s="75"/>
      <c r="AG348" s="75"/>
      <c r="AH348" s="75"/>
    </row>
    <row r="349" customFormat="false" ht="15" hidden="false" customHeight="false" outlineLevel="0" collapsed="false">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c r="AB349" s="75"/>
      <c r="AC349" s="75"/>
      <c r="AD349" s="75"/>
      <c r="AE349" s="75"/>
      <c r="AF349" s="75"/>
      <c r="AG349" s="75"/>
      <c r="AH349" s="75"/>
    </row>
    <row r="350" customFormat="false" ht="15" hidden="false" customHeight="false" outlineLevel="0" collapsed="false">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c r="AB350" s="75"/>
      <c r="AC350" s="75"/>
      <c r="AD350" s="75"/>
      <c r="AE350" s="75"/>
      <c r="AF350" s="75"/>
      <c r="AG350" s="75"/>
      <c r="AH350" s="75"/>
    </row>
    <row r="351" customFormat="false" ht="15" hidden="false" customHeight="false" outlineLevel="0" collapsed="false">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c r="AB351" s="75"/>
      <c r="AC351" s="75"/>
      <c r="AD351" s="75"/>
      <c r="AE351" s="75"/>
      <c r="AF351" s="75"/>
      <c r="AG351" s="75"/>
      <c r="AH351" s="75"/>
    </row>
    <row r="352" customFormat="false" ht="15" hidden="false" customHeight="false" outlineLevel="0" collapsed="false">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c r="AB352" s="75"/>
      <c r="AC352" s="75"/>
      <c r="AD352" s="75"/>
      <c r="AE352" s="75"/>
      <c r="AF352" s="75"/>
      <c r="AG352" s="75"/>
      <c r="AH352" s="75"/>
    </row>
    <row r="353" customFormat="false" ht="15" hidden="false" customHeight="false" outlineLevel="0" collapsed="false">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c r="AB353" s="75"/>
      <c r="AC353" s="75"/>
      <c r="AD353" s="75"/>
      <c r="AE353" s="75"/>
      <c r="AF353" s="75"/>
      <c r="AG353" s="75"/>
      <c r="AH353" s="75"/>
    </row>
    <row r="354" customFormat="false" ht="15" hidden="false" customHeight="false" outlineLevel="0" collapsed="false">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c r="AB354" s="75"/>
      <c r="AC354" s="75"/>
      <c r="AD354" s="75"/>
      <c r="AE354" s="75"/>
      <c r="AF354" s="75"/>
      <c r="AG354" s="75"/>
      <c r="AH354" s="75"/>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77E23"/>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150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3" t="s">
        <v>116</v>
      </c>
      <c r="B2" s="73"/>
      <c r="C2" s="73"/>
      <c r="D2" s="73"/>
      <c r="E2" s="73"/>
      <c r="F2" s="73"/>
      <c r="G2" s="73"/>
      <c r="H2" s="73"/>
      <c r="I2" s="73"/>
      <c r="J2" s="73"/>
    </row>
    <row r="3" customFormat="false" ht="18" hidden="false" customHeight="true" outlineLevel="0" collapsed="false">
      <c r="A3" s="25" t="str">
        <f aca="false">"貼付行数: "&amp;COUNTA($N$5:$N$1004)&amp;"行"&amp;IF($N$5="","","｜対象期間: "&amp;IF(OR(IFERROR(IF(AND(IF(VALUE($D$5)&lt;19000101,INT(VALUE($D$5)),DATEVALUE(TEXT(VALUE($D$5),"0000-00-00")))&gt;=36526,IF(VALUE($D$5)&lt;19000101,INT(VALUE($D$5)),DATEVALUE(TEXT(VALUE($D$5),"0000-00-00")))&lt;=73415),IF(VALUE($D$5)&lt;19000101,INT(VALUE($D$5)),DATEVALUE(TEXT(VALUE($D$5),"0000-00-00"))),-1),-1)=-1,IFERROR(IF(AND(IF(VALUE($E$5)&lt;19000101,INT(VALUE($E$5)),DATEVALUE(TEXT(VALUE($E$5),"0000-00-00")))&gt;=36526,IF(VALUE($E$5)&lt;19000101,INT(VALUE($E$5)),DATEVALUE(TEXT(VALUE($E$5),"0000-00-00")))&lt;=73415),IF(VALUE($E$5)&lt;19000101,INT(VALUE($E$5)),DATEVALUE(TEXT(VALUE($E$5),"0000-00-00"))),-1),-1)=-1),"—",TEXT(IFERROR(IF(AND(IF(VALUE($D$5)&lt;19000101,INT(VALUE($D$5)),DATEVALUE(TEXT(VALUE($D$5),"0000-00-00")))&gt;=36526,IF(VALUE($D$5)&lt;19000101,INT(VALUE($D$5)),DATEVALUE(TEXT(VALUE($D$5),"0000-00-00")))&lt;=73415),IF(VALUE($D$5)&lt;19000101,INT(VALUE($D$5)),DATEVALUE(TEXT(VALUE($D$5),"0000-00-00"))),-1),-1),"m/d")&amp;"〜"&amp;TEXT(IFERROR(IF(AND(IF(VALUE($E$5)&lt;19000101,INT(VALUE($E$5)),DATEVALUE(TEXT(VALUE($E$5),"0000-00-00")))&gt;=36526,IF(VALUE($E$5)&lt;19000101,INT(VALUE($E$5)),DATEVALUE(TEXT(VALUE($E$5),"0000-00-00")))&lt;=73415),IF(VALUE($E$5)&lt;19000101,INT(VALUE($E$5)),DATEVALUE(TEXT(VALUE($E$5),"0000-00-00"))),-1),-1),"m/d")))</f>
        <v>貼付行数: 0行</v>
      </c>
      <c r="B3" s="25"/>
      <c r="C3" s="25"/>
      <c r="D3" s="25"/>
      <c r="E3" s="25"/>
      <c r="F3" s="25"/>
      <c r="G3" s="25"/>
      <c r="H3" s="25"/>
      <c r="I3" s="25"/>
      <c r="J3" s="25"/>
    </row>
    <row r="4" customFormat="false" ht="19.5" hidden="false" customHeight="true" outlineLevel="0" collapsed="false">
      <c r="A4" s="74" t="s">
        <v>117</v>
      </c>
      <c r="B4" s="74" t="s">
        <v>118</v>
      </c>
      <c r="C4" s="74" t="s">
        <v>119</v>
      </c>
      <c r="D4" s="74" t="s">
        <v>120</v>
      </c>
      <c r="E4" s="74" t="s">
        <v>121</v>
      </c>
      <c r="F4" s="74" t="s">
        <v>122</v>
      </c>
      <c r="G4" s="74" t="s">
        <v>123</v>
      </c>
      <c r="H4" s="74" t="s">
        <v>124</v>
      </c>
      <c r="I4" s="74" t="s">
        <v>125</v>
      </c>
      <c r="J4" s="74" t="s">
        <v>126</v>
      </c>
      <c r="K4" s="74" t="s">
        <v>127</v>
      </c>
      <c r="L4" s="74" t="s">
        <v>128</v>
      </c>
      <c r="M4" s="74" t="s">
        <v>129</v>
      </c>
      <c r="N4" s="74" t="s">
        <v>51</v>
      </c>
      <c r="O4" s="74" t="s">
        <v>130</v>
      </c>
      <c r="P4" s="74" t="s">
        <v>131</v>
      </c>
      <c r="Q4" s="74" t="s">
        <v>132</v>
      </c>
      <c r="R4" s="74" t="s">
        <v>133</v>
      </c>
      <c r="S4" s="74" t="s">
        <v>134</v>
      </c>
      <c r="T4" s="74" t="s">
        <v>135</v>
      </c>
      <c r="U4" s="74" t="s">
        <v>136</v>
      </c>
      <c r="V4" s="74" t="s">
        <v>137</v>
      </c>
      <c r="W4" s="74" t="s">
        <v>138</v>
      </c>
      <c r="X4" s="74" t="s">
        <v>139</v>
      </c>
      <c r="Y4" s="74" t="s">
        <v>140</v>
      </c>
      <c r="Z4" s="74" t="s">
        <v>141</v>
      </c>
      <c r="AA4" s="74" t="s">
        <v>142</v>
      </c>
      <c r="AB4" s="74" t="s">
        <v>143</v>
      </c>
      <c r="AC4" s="74" t="s">
        <v>144</v>
      </c>
      <c r="AD4" s="74" t="s">
        <v>145</v>
      </c>
      <c r="AE4" s="74" t="s">
        <v>146</v>
      </c>
      <c r="AF4" s="74" t="s">
        <v>147</v>
      </c>
      <c r="AG4" s="74" t="s">
        <v>148</v>
      </c>
      <c r="AH4" s="74" t="s">
        <v>149</v>
      </c>
    </row>
    <row r="5" customFormat="false" ht="15" hidden="false" customHeight="false" outlineLevel="0" collapsed="false">
      <c r="A5" s="75"/>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row>
    <row r="6" customFormat="false" ht="15" hidden="false" customHeight="false" outlineLevel="0" collapsed="false">
      <c r="A6" s="75"/>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row>
    <row r="7" customFormat="false" ht="15" hidden="false" customHeight="false" outlineLevel="0" collapsed="false">
      <c r="A7" s="75"/>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row>
    <row r="8" customFormat="false" ht="15" hidden="false" customHeight="false" outlineLevel="0" collapsed="false">
      <c r="A8" s="75"/>
      <c r="B8" s="75"/>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row>
    <row r="9" customFormat="false" ht="15" hidden="false" customHeight="false" outlineLevel="0" collapsed="false">
      <c r="A9" s="75"/>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row>
    <row r="10" customFormat="false" ht="15" hidden="false" customHeight="false" outlineLevel="0" collapsed="false">
      <c r="A10" s="75"/>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row>
    <row r="11" customFormat="false" ht="15" hidden="false" customHeight="false" outlineLevel="0" collapsed="false">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row>
    <row r="12" customFormat="false" ht="15" hidden="false" customHeight="false" outlineLevel="0" collapsed="false">
      <c r="A12" s="75"/>
      <c r="B12" s="75"/>
      <c r="C12" s="75"/>
      <c r="D12" s="75"/>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row>
    <row r="13" customFormat="false" ht="15" hidden="false" customHeight="false" outlineLevel="0" collapsed="false">
      <c r="A13" s="75"/>
      <c r="B13" s="75"/>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row>
    <row r="14" customFormat="false" ht="15" hidden="false" customHeight="false" outlineLevel="0" collapsed="false">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c r="AA14" s="75"/>
      <c r="AB14" s="75"/>
      <c r="AC14" s="75"/>
      <c r="AD14" s="75"/>
      <c r="AE14" s="75"/>
      <c r="AF14" s="75"/>
      <c r="AG14" s="75"/>
      <c r="AH14" s="75"/>
    </row>
    <row r="15" customFormat="false" ht="15" hidden="false" customHeight="false" outlineLevel="0" collapsed="false">
      <c r="A15" s="75"/>
      <c r="B15" s="75"/>
      <c r="C15" s="75"/>
      <c r="D15" s="7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row>
    <row r="16" customFormat="false" ht="15" hidden="false" customHeight="false" outlineLevel="0" collapsed="false">
      <c r="A16" s="75"/>
      <c r="B16" s="75"/>
      <c r="C16" s="75"/>
      <c r="D16" s="75"/>
      <c r="E16" s="75"/>
      <c r="F16" s="75"/>
      <c r="G16" s="75"/>
      <c r="H16" s="75"/>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row>
    <row r="17" customFormat="false" ht="15" hidden="false" customHeight="false" outlineLevel="0" collapsed="false">
      <c r="A17" s="75"/>
      <c r="B17" s="75"/>
      <c r="C17" s="75"/>
      <c r="D17" s="75"/>
      <c r="E17" s="75"/>
      <c r="F17" s="75"/>
      <c r="G17" s="75"/>
      <c r="H17" s="75"/>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5"/>
      <c r="AH17" s="75"/>
    </row>
    <row r="18" customFormat="false" ht="15" hidden="false" customHeight="false" outlineLevel="0" collapsed="false">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row>
    <row r="19" customFormat="false" ht="15" hidden="false" customHeight="false" outlineLevel="0" collapsed="false">
      <c r="A19" s="75"/>
      <c r="B19" s="75"/>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row>
    <row r="20" customFormat="false" ht="15" hidden="false" customHeight="false" outlineLevel="0" collapsed="false">
      <c r="A20" s="75"/>
      <c r="B20" s="75"/>
      <c r="C20" s="75"/>
      <c r="D20" s="75"/>
      <c r="E20" s="75"/>
      <c r="F20" s="75"/>
      <c r="G20" s="75"/>
      <c r="H20" s="75"/>
      <c r="I20" s="75"/>
      <c r="J20" s="75"/>
      <c r="K20" s="75"/>
      <c r="L20" s="75"/>
      <c r="M20" s="75"/>
      <c r="N20" s="75"/>
      <c r="O20" s="75"/>
      <c r="P20" s="75"/>
      <c r="Q20" s="75"/>
      <c r="R20" s="75"/>
      <c r="S20" s="75"/>
      <c r="T20" s="75"/>
      <c r="U20" s="75"/>
      <c r="V20" s="75"/>
      <c r="W20" s="75"/>
      <c r="X20" s="75"/>
      <c r="Y20" s="75"/>
      <c r="Z20" s="75"/>
      <c r="AA20" s="75"/>
      <c r="AB20" s="75"/>
      <c r="AC20" s="75"/>
      <c r="AD20" s="75"/>
      <c r="AE20" s="75"/>
      <c r="AF20" s="75"/>
      <c r="AG20" s="75"/>
      <c r="AH20" s="75"/>
    </row>
    <row r="21" customFormat="false" ht="15" hidden="false" customHeight="false" outlineLevel="0" collapsed="false">
      <c r="A21" s="75"/>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row>
    <row r="22" customFormat="false" ht="15" hidden="false" customHeight="false" outlineLevel="0" collapsed="false">
      <c r="A22" s="75"/>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row>
    <row r="23" customFormat="false" ht="15" hidden="false" customHeight="false" outlineLevel="0" collapsed="false">
      <c r="A23" s="75"/>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row>
    <row r="24" customFormat="false" ht="15" hidden="false" customHeight="false" outlineLevel="0" collapsed="false">
      <c r="A24" s="75"/>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row>
    <row r="25" customFormat="false" ht="15" hidden="false" customHeight="false" outlineLevel="0" collapsed="false">
      <c r="A25" s="75"/>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row>
    <row r="26" customFormat="false" ht="15" hidden="false" customHeight="false" outlineLevel="0" collapsed="false">
      <c r="A26" s="75"/>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row>
    <row r="27" customFormat="false" ht="15" hidden="false" customHeight="false" outlineLevel="0" collapsed="false">
      <c r="A27" s="75"/>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row>
    <row r="28" customFormat="false" ht="15" hidden="false" customHeight="false" outlineLevel="0" collapsed="false">
      <c r="A28" s="75"/>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row>
    <row r="29" customFormat="false" ht="15" hidden="false" customHeight="false" outlineLevel="0" collapsed="false">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row>
    <row r="30" customFormat="false" ht="15" hidden="false" customHeight="false" outlineLevel="0" collapsed="false">
      <c r="A30" s="75"/>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row>
    <row r="31" customFormat="false" ht="15" hidden="false" customHeight="false" outlineLevel="0" collapsed="false">
      <c r="A31" s="75"/>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row>
    <row r="32" customFormat="false" ht="15" hidden="false" customHeight="false" outlineLevel="0" collapsed="false">
      <c r="A32" s="75"/>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row>
    <row r="33" customFormat="false" ht="15" hidden="false" customHeight="false" outlineLevel="0" collapsed="false">
      <c r="A33" s="75"/>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row>
    <row r="34" customFormat="false" ht="15" hidden="false" customHeight="false" outlineLevel="0" collapsed="false">
      <c r="A34" s="75"/>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row>
    <row r="35" customFormat="false" ht="15" hidden="false" customHeight="false" outlineLevel="0" collapsed="false">
      <c r="A35" s="75"/>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row>
    <row r="36" customFormat="false" ht="15" hidden="false" customHeight="false" outlineLevel="0" collapsed="false">
      <c r="A36" s="75"/>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row>
    <row r="37" customFormat="false" ht="15" hidden="false" customHeight="false" outlineLevel="0" collapsed="false">
      <c r="A37" s="75"/>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row>
    <row r="38" customFormat="false" ht="15" hidden="false" customHeight="false" outlineLevel="0" collapsed="false">
      <c r="A38" s="75"/>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row>
    <row r="39" customFormat="false" ht="15" hidden="false" customHeight="false" outlineLevel="0" collapsed="false">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row>
    <row r="40" customFormat="false" ht="15" hidden="false" customHeight="false" outlineLevel="0" collapsed="false">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row>
    <row r="41" customFormat="false" ht="15" hidden="false" customHeight="false" outlineLevel="0" collapsed="false">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row>
    <row r="42" customFormat="false" ht="15" hidden="false" customHeight="false" outlineLevel="0" collapsed="false">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row>
    <row r="43" customFormat="false" ht="15" hidden="false" customHeight="false" outlineLevel="0" collapsed="false">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row>
    <row r="44" customFormat="false" ht="15" hidden="false" customHeight="false" outlineLevel="0" collapsed="false">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row>
    <row r="45" customFormat="false" ht="15" hidden="false" customHeight="false" outlineLevel="0" collapsed="false">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row>
    <row r="46" customFormat="false" ht="15" hidden="false" customHeight="false" outlineLevel="0" collapsed="false">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row>
    <row r="47" customFormat="false" ht="15" hidden="false" customHeight="false" outlineLevel="0" collapsed="false">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row>
    <row r="48" customFormat="false" ht="15" hidden="false" customHeight="false" outlineLevel="0" collapsed="false">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row>
    <row r="49" customFormat="false" ht="15" hidden="false" customHeight="false" outlineLevel="0" collapsed="false">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row>
    <row r="50" customFormat="false" ht="15" hidden="false" customHeight="false" outlineLevel="0" collapsed="false">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c r="AB50" s="75"/>
      <c r="AC50" s="75"/>
      <c r="AD50" s="75"/>
      <c r="AE50" s="75"/>
      <c r="AF50" s="75"/>
      <c r="AG50" s="75"/>
      <c r="AH50" s="75"/>
    </row>
    <row r="51" customFormat="false" ht="15" hidden="false" customHeight="false" outlineLevel="0" collapsed="false">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row>
    <row r="52" customFormat="false" ht="15" hidden="false" customHeight="false" outlineLevel="0" collapsed="false">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row>
    <row r="53" customFormat="false" ht="15" hidden="false" customHeight="false" outlineLevel="0" collapsed="false">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row>
    <row r="54" customFormat="false" ht="15" hidden="false" customHeight="false" outlineLevel="0" collapsed="false">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row>
    <row r="55" customFormat="false" ht="15" hidden="false" customHeight="false" outlineLevel="0" collapsed="false">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row>
    <row r="56" customFormat="false" ht="15" hidden="false" customHeight="false" outlineLevel="0" collapsed="false">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row>
    <row r="57" customFormat="false" ht="15" hidden="false" customHeight="false" outlineLevel="0" collapsed="false">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row>
    <row r="58" customFormat="false" ht="15" hidden="false" customHeight="false" outlineLevel="0" collapsed="false">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row>
    <row r="59" customFormat="false" ht="15" hidden="false" customHeight="false" outlineLevel="0" collapsed="false">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row>
    <row r="60" customFormat="false" ht="15" hidden="false" customHeight="false" outlineLevel="0" collapsed="false">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row>
    <row r="61" customFormat="false" ht="15" hidden="false" customHeight="false" outlineLevel="0" collapsed="false">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row>
    <row r="62" customFormat="false" ht="15" hidden="false" customHeight="false" outlineLevel="0" collapsed="false">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row>
    <row r="63" customFormat="false" ht="15" hidden="false" customHeight="false" outlineLevel="0" collapsed="false">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row>
    <row r="64" customFormat="false" ht="15" hidden="false" customHeight="false" outlineLevel="0" collapsed="false">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row>
    <row r="65" customFormat="false" ht="15" hidden="false" customHeight="false" outlineLevel="0" collapsed="false">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row>
    <row r="66" customFormat="false" ht="15" hidden="false" customHeight="false" outlineLevel="0" collapsed="false">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row>
    <row r="68" customFormat="false" ht="15" hidden="false" customHeight="false" outlineLevel="0" collapsed="false">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row>
    <row r="69" customFormat="false" ht="15" hidden="false" customHeight="false" outlineLevel="0" collapsed="false">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row>
    <row r="70" customFormat="false" ht="15" hidden="false" customHeight="false" outlineLevel="0" collapsed="false">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row>
    <row r="71" customFormat="false" ht="15" hidden="false" customHeight="false" outlineLevel="0" collapsed="false">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row>
    <row r="72" customFormat="false" ht="15" hidden="false" customHeight="false" outlineLevel="0" collapsed="false">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row>
    <row r="73" customFormat="false" ht="15" hidden="false" customHeight="false" outlineLevel="0" collapsed="false">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row>
    <row r="74" customFormat="false" ht="15" hidden="false" customHeight="false" outlineLevel="0" collapsed="false">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row>
    <row r="75" customFormat="false" ht="15" hidden="false" customHeight="false" outlineLevel="0" collapsed="false">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row>
    <row r="76" customFormat="false" ht="15" hidden="false" customHeight="false" outlineLevel="0" collapsed="false">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row>
    <row r="77" customFormat="false" ht="15" hidden="false" customHeight="false" outlineLevel="0" collapsed="false">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row>
    <row r="78" customFormat="false" ht="15" hidden="false" customHeight="false" outlineLevel="0" collapsed="false">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row>
    <row r="79" customFormat="false" ht="15" hidden="false" customHeight="false" outlineLevel="0" collapsed="false">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row>
    <row r="80" customFormat="false" ht="15" hidden="false" customHeight="false" outlineLevel="0" collapsed="false">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row>
    <row r="81" customFormat="false" ht="15" hidden="false" customHeight="false" outlineLevel="0" collapsed="false">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row>
    <row r="82" customFormat="false" ht="15" hidden="false" customHeight="false" outlineLevel="0" collapsed="false">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row>
    <row r="83" customFormat="false" ht="15" hidden="false" customHeight="false" outlineLevel="0" collapsed="false">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row>
    <row r="84" customFormat="false" ht="15" hidden="false" customHeight="false" outlineLevel="0" collapsed="false">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row>
    <row r="85" customFormat="false" ht="15" hidden="false" customHeight="false" outlineLevel="0" collapsed="false">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row>
    <row r="86" customFormat="false" ht="15" hidden="false" customHeight="false" outlineLevel="0" collapsed="false">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row>
    <row r="87" customFormat="false" ht="15" hidden="false" customHeight="false" outlineLevel="0" collapsed="false">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row>
    <row r="88" customFormat="false" ht="15" hidden="false" customHeight="false" outlineLevel="0" collapsed="false">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row>
    <row r="89" customFormat="false" ht="15" hidden="false" customHeight="false" outlineLevel="0" collapsed="false">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row>
    <row r="90" customFormat="false" ht="15" hidden="false" customHeight="false" outlineLevel="0" collapsed="false">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row>
    <row r="91" customFormat="false" ht="15" hidden="false" customHeight="false" outlineLevel="0" collapsed="false">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row>
    <row r="92" customFormat="false" ht="15" hidden="false" customHeight="false" outlineLevel="0" collapsed="false">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row>
    <row r="93" customFormat="false" ht="15" hidden="false" customHeight="false" outlineLevel="0" collapsed="false">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row>
    <row r="94" customFormat="false" ht="15" hidden="false" customHeight="false" outlineLevel="0" collapsed="false">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row>
    <row r="95" customFormat="false" ht="15" hidden="false" customHeight="false" outlineLevel="0" collapsed="false">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row>
    <row r="96" customFormat="false" ht="15" hidden="false" customHeight="false" outlineLevel="0" collapsed="false">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row>
    <row r="97" customFormat="false" ht="15" hidden="false" customHeight="false" outlineLevel="0" collapsed="false">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row>
    <row r="98" customFormat="false" ht="15" hidden="false" customHeight="false" outlineLevel="0" collapsed="false">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row>
    <row r="99" customFormat="false" ht="15" hidden="false" customHeight="false" outlineLevel="0" collapsed="false">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row>
    <row r="100" customFormat="false" ht="15" hidden="false" customHeight="false" outlineLevel="0" collapsed="false">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row>
    <row r="101" customFormat="false" ht="15" hidden="false" customHeight="false" outlineLevel="0" collapsed="false">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row>
    <row r="102" customFormat="false" ht="15" hidden="false" customHeight="false" outlineLevel="0" collapsed="false">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row>
    <row r="103" customFormat="false" ht="15" hidden="false" customHeight="false" outlineLevel="0" collapsed="false">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row>
    <row r="104" customFormat="false" ht="15" hidden="false" customHeight="false" outlineLevel="0" collapsed="false">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row>
    <row r="105" customFormat="false" ht="15" hidden="false" customHeight="false" outlineLevel="0" collapsed="false">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row>
    <row r="106" customFormat="false" ht="15" hidden="false" customHeight="false" outlineLevel="0" collapsed="false">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row>
    <row r="107" customFormat="false" ht="15" hidden="false" customHeight="false" outlineLevel="0" collapsed="false">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row>
    <row r="108" customFormat="false" ht="15" hidden="false" customHeight="false" outlineLevel="0" collapsed="false">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row>
    <row r="109" customFormat="false" ht="15" hidden="false" customHeight="false" outlineLevel="0" collapsed="false">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row>
    <row r="110" customFormat="false" ht="15" hidden="false" customHeight="false" outlineLevel="0" collapsed="false">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row>
    <row r="111" customFormat="false" ht="15" hidden="false" customHeight="false" outlineLevel="0" collapsed="false">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row>
    <row r="112" customFormat="false" ht="15" hidden="false" customHeight="false" outlineLevel="0" collapsed="false">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row>
    <row r="113" customFormat="false" ht="15" hidden="false" customHeight="false" outlineLevel="0" collapsed="false">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row>
    <row r="114" customFormat="false" ht="15" hidden="false" customHeight="false" outlineLevel="0" collapsed="false">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row>
    <row r="115" customFormat="false" ht="15" hidden="false" customHeight="false" outlineLevel="0" collapsed="false">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row>
    <row r="116" customFormat="false" ht="15" hidden="false" customHeight="false" outlineLevel="0" collapsed="false">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row>
    <row r="117" customFormat="false" ht="15" hidden="false" customHeight="false" outlineLevel="0" collapsed="false">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row>
    <row r="118" customFormat="false" ht="15" hidden="false" customHeight="false" outlineLevel="0" collapsed="false">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row>
    <row r="119" customFormat="false" ht="15" hidden="false" customHeight="false" outlineLevel="0" collapsed="false">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row>
    <row r="120" customFormat="false" ht="15" hidden="false" customHeight="false" outlineLevel="0" collapsed="false">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row>
    <row r="121" customFormat="false" ht="15" hidden="false" customHeight="false" outlineLevel="0" collapsed="false">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row>
    <row r="122" customFormat="false" ht="15" hidden="false" customHeight="false" outlineLevel="0" collapsed="false">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row>
    <row r="123" customFormat="false" ht="15" hidden="false" customHeight="false" outlineLevel="0" collapsed="false">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row>
    <row r="124" customFormat="false" ht="15" hidden="false" customHeight="false" outlineLevel="0" collapsed="false">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row>
    <row r="125" customFormat="false" ht="15" hidden="false" customHeight="false" outlineLevel="0" collapsed="false">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row>
    <row r="126" customFormat="false" ht="15" hidden="false" customHeight="false" outlineLevel="0" collapsed="false">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row>
    <row r="127" customFormat="false" ht="15" hidden="false" customHeight="false" outlineLevel="0" collapsed="false">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row>
    <row r="128" customFormat="false" ht="15" hidden="false" customHeight="false" outlineLevel="0" collapsed="false">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row>
    <row r="129" customFormat="false" ht="15" hidden="false" customHeight="false" outlineLevel="0" collapsed="false">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row>
    <row r="130" customFormat="false" ht="15" hidden="false" customHeight="false" outlineLevel="0" collapsed="false">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row>
    <row r="131" customFormat="false" ht="15" hidden="false" customHeight="false" outlineLevel="0" collapsed="false">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row>
    <row r="132" customFormat="false" ht="15" hidden="false" customHeight="false" outlineLevel="0" collapsed="false">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row>
    <row r="133" customFormat="false" ht="15" hidden="false" customHeight="false" outlineLevel="0" collapsed="false">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row>
    <row r="134" customFormat="false" ht="15" hidden="false" customHeight="false" outlineLevel="0" collapsed="false">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row>
    <row r="135" customFormat="false" ht="15" hidden="false" customHeight="false" outlineLevel="0" collapsed="false">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row>
    <row r="136" customFormat="false" ht="15" hidden="false" customHeight="false" outlineLevel="0" collapsed="false">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row>
    <row r="137" customFormat="false" ht="15" hidden="false" customHeight="false" outlineLevel="0" collapsed="false">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row>
    <row r="138" customFormat="false" ht="15" hidden="false" customHeight="false" outlineLevel="0" collapsed="false">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row>
    <row r="139" customFormat="false" ht="15" hidden="false" customHeight="false" outlineLevel="0" collapsed="false">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row>
    <row r="140" customFormat="false" ht="15" hidden="false" customHeight="false" outlineLevel="0" collapsed="false">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row>
    <row r="141" customFormat="false" ht="15" hidden="false" customHeight="false" outlineLevel="0" collapsed="false">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row>
    <row r="142" customFormat="false" ht="15" hidden="false" customHeight="false" outlineLevel="0" collapsed="false">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row>
    <row r="143" customFormat="false" ht="15" hidden="false" customHeight="false" outlineLevel="0" collapsed="false">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row>
    <row r="144" customFormat="false" ht="15" hidden="false" customHeight="false" outlineLevel="0" collapsed="false">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row>
    <row r="145" customFormat="false" ht="15" hidden="false" customHeight="false" outlineLevel="0" collapsed="false">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row>
    <row r="146" customFormat="false" ht="15" hidden="false" customHeight="false" outlineLevel="0" collapsed="false">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row>
    <row r="147" customFormat="false" ht="15" hidden="false" customHeight="false" outlineLevel="0" collapsed="false">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row>
    <row r="148" customFormat="false" ht="15" hidden="false" customHeight="false" outlineLevel="0" collapsed="false">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row>
    <row r="149" customFormat="false" ht="15" hidden="false" customHeight="false" outlineLevel="0" collapsed="false">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row>
    <row r="150" customFormat="false" ht="15" hidden="false" customHeight="false" outlineLevel="0" collapsed="false">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row>
    <row r="151" customFormat="false" ht="15" hidden="false" customHeight="false" outlineLevel="0" collapsed="false">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row>
    <row r="152" customFormat="false" ht="15" hidden="false" customHeight="false" outlineLevel="0" collapsed="false">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row>
    <row r="153" customFormat="false" ht="15" hidden="false" customHeight="false" outlineLevel="0" collapsed="false">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row>
    <row r="154" customFormat="false" ht="15" hidden="false" customHeight="false" outlineLevel="0" collapsed="false">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row>
    <row r="155" customFormat="false" ht="15" hidden="false" customHeight="false" outlineLevel="0" collapsed="false">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row>
    <row r="156" customFormat="false" ht="15" hidden="false" customHeight="false" outlineLevel="0" collapsed="false">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row>
    <row r="157" customFormat="false" ht="15" hidden="false" customHeight="false" outlineLevel="0" collapsed="false">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row>
    <row r="158" customFormat="false" ht="15" hidden="false" customHeight="false" outlineLevel="0" collapsed="false">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row>
    <row r="159" customFormat="false" ht="15" hidden="false" customHeight="false" outlineLevel="0" collapsed="false">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row>
    <row r="160" customFormat="false" ht="15" hidden="false" customHeight="false" outlineLevel="0" collapsed="false">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row>
    <row r="161" customFormat="false" ht="15" hidden="false" customHeight="false" outlineLevel="0" collapsed="false">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row>
    <row r="162" customFormat="false" ht="15" hidden="false" customHeight="false" outlineLevel="0" collapsed="false">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row>
    <row r="163" customFormat="false" ht="15" hidden="false" customHeight="false" outlineLevel="0" collapsed="false">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row>
    <row r="164" customFormat="false" ht="15" hidden="false" customHeight="false" outlineLevel="0" collapsed="false">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row>
    <row r="165" customFormat="false" ht="15" hidden="false" customHeight="false" outlineLevel="0" collapsed="false">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row>
    <row r="166" customFormat="false" ht="15" hidden="false" customHeight="false" outlineLevel="0" collapsed="false">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row>
    <row r="167" customFormat="false" ht="15" hidden="false" customHeight="false" outlineLevel="0" collapsed="false">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row>
    <row r="168" customFormat="false" ht="15" hidden="false" customHeight="false" outlineLevel="0" collapsed="false">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row>
    <row r="169" customFormat="false" ht="15" hidden="false" customHeight="false" outlineLevel="0" collapsed="false">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row>
    <row r="170" customFormat="false" ht="15" hidden="false" customHeight="false" outlineLevel="0" collapsed="false">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row>
    <row r="171" customFormat="false" ht="15" hidden="false" customHeight="false" outlineLevel="0" collapsed="false">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row>
    <row r="172" customFormat="false" ht="15" hidden="false" customHeight="false" outlineLevel="0" collapsed="false">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row>
    <row r="173" customFormat="false" ht="15" hidden="false" customHeight="false" outlineLevel="0" collapsed="false">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row>
    <row r="174" customFormat="false" ht="15" hidden="false" customHeight="false" outlineLevel="0" collapsed="false">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row>
    <row r="175" customFormat="false" ht="15" hidden="false" customHeight="false" outlineLevel="0" collapsed="false">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row>
    <row r="176" customFormat="false" ht="15" hidden="false" customHeight="false" outlineLevel="0" collapsed="false">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row>
    <row r="177" customFormat="false" ht="15" hidden="false" customHeight="false" outlineLevel="0" collapsed="false">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row>
    <row r="178" customFormat="false" ht="15" hidden="false" customHeight="false" outlineLevel="0" collapsed="false">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row>
    <row r="179" customFormat="false" ht="15" hidden="false" customHeight="false" outlineLevel="0" collapsed="false">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row>
    <row r="180" customFormat="false" ht="15" hidden="false" customHeight="false" outlineLevel="0" collapsed="false">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row>
    <row r="181" customFormat="false" ht="15" hidden="false" customHeight="false" outlineLevel="0" collapsed="false">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row>
    <row r="182" customFormat="false" ht="15" hidden="false" customHeight="false" outlineLevel="0" collapsed="false">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row>
    <row r="183" customFormat="false" ht="15" hidden="false" customHeight="false" outlineLevel="0" collapsed="false">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row>
    <row r="184" customFormat="false" ht="15" hidden="false" customHeight="false" outlineLevel="0" collapsed="false">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row>
    <row r="185" customFormat="false" ht="15" hidden="false" customHeight="false" outlineLevel="0" collapsed="false">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row>
    <row r="186" customFormat="false" ht="15" hidden="false" customHeight="false" outlineLevel="0" collapsed="false">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row>
    <row r="187" customFormat="false" ht="15" hidden="false" customHeight="false" outlineLevel="0" collapsed="false">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row>
    <row r="188" customFormat="false" ht="15" hidden="false" customHeight="false" outlineLevel="0" collapsed="false">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row>
    <row r="189" customFormat="false" ht="15" hidden="false" customHeight="false" outlineLevel="0" collapsed="false">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row>
    <row r="190" customFormat="false" ht="15" hidden="false" customHeight="false" outlineLevel="0" collapsed="false">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row>
    <row r="191" customFormat="false" ht="15" hidden="false" customHeight="false" outlineLevel="0" collapsed="false">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row>
    <row r="192" customFormat="false" ht="15" hidden="false" customHeight="false" outlineLevel="0" collapsed="false">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row>
    <row r="193" customFormat="false" ht="15" hidden="false" customHeight="false" outlineLevel="0" collapsed="false">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row>
    <row r="194" customFormat="false" ht="15" hidden="false" customHeight="false" outlineLevel="0" collapsed="false">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row>
    <row r="195" customFormat="false" ht="15" hidden="false" customHeight="false" outlineLevel="0" collapsed="false">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row>
    <row r="196" customFormat="false" ht="15" hidden="false" customHeight="false" outlineLevel="0" collapsed="false">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row>
    <row r="197" customFormat="false" ht="15" hidden="false" customHeight="false" outlineLevel="0" collapsed="false">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row>
    <row r="198" customFormat="false" ht="15" hidden="false" customHeight="false" outlineLevel="0" collapsed="false">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row>
    <row r="199" customFormat="false" ht="15" hidden="false" customHeight="false" outlineLevel="0" collapsed="false">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row>
    <row r="200" customFormat="false" ht="15" hidden="false" customHeight="false" outlineLevel="0" collapsed="false">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row>
    <row r="201" customFormat="false" ht="15" hidden="false" customHeight="false" outlineLevel="0" collapsed="false">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row>
    <row r="202" customFormat="false" ht="15" hidden="false" customHeight="false" outlineLevel="0" collapsed="false">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row>
    <row r="203" customFormat="false" ht="15" hidden="false" customHeight="false" outlineLevel="0" collapsed="false">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row>
    <row r="204" customFormat="false" ht="15" hidden="false" customHeight="false" outlineLevel="0" collapsed="false">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row>
    <row r="205" customFormat="false" ht="15" hidden="false" customHeight="false" outlineLevel="0" collapsed="false">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row>
    <row r="206" customFormat="false" ht="15" hidden="false" customHeight="false" outlineLevel="0" collapsed="false">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row>
    <row r="207" customFormat="false" ht="15" hidden="false" customHeight="false" outlineLevel="0" collapsed="false">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row>
    <row r="208" customFormat="false" ht="15" hidden="false" customHeight="false" outlineLevel="0" collapsed="false">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row>
    <row r="209" customFormat="false" ht="15" hidden="false" customHeight="false" outlineLevel="0" collapsed="false">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row>
    <row r="210" customFormat="false" ht="15" hidden="false" customHeight="false" outlineLevel="0" collapsed="false">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row>
    <row r="211" customFormat="false" ht="15" hidden="false" customHeight="false" outlineLevel="0" collapsed="false">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row>
    <row r="212" customFormat="false" ht="15" hidden="false" customHeight="false" outlineLevel="0" collapsed="false">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row>
    <row r="213" customFormat="false" ht="15" hidden="false" customHeight="false" outlineLevel="0" collapsed="false">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row>
    <row r="214" customFormat="false" ht="15" hidden="false" customHeight="false" outlineLevel="0" collapsed="false">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row>
    <row r="215" customFormat="false" ht="15" hidden="false" customHeight="false" outlineLevel="0" collapsed="false">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row>
    <row r="216" customFormat="false" ht="15" hidden="false" customHeight="false" outlineLevel="0" collapsed="false">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row>
    <row r="217" customFormat="false" ht="15" hidden="false" customHeight="false" outlineLevel="0" collapsed="false">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row>
    <row r="218" customFormat="false" ht="15" hidden="false" customHeight="false" outlineLevel="0" collapsed="false">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row>
    <row r="219" customFormat="false" ht="15" hidden="false" customHeight="false" outlineLevel="0" collapsed="false">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row>
    <row r="220" customFormat="false" ht="15" hidden="false" customHeight="false" outlineLevel="0" collapsed="false">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row>
    <row r="221" customFormat="false" ht="15" hidden="false" customHeight="false" outlineLevel="0" collapsed="false">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row>
    <row r="222" customFormat="false" ht="15" hidden="false" customHeight="false" outlineLevel="0" collapsed="false">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row>
    <row r="223" customFormat="false" ht="15" hidden="false" customHeight="false" outlineLevel="0" collapsed="false">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row>
    <row r="224" customFormat="false" ht="15" hidden="false" customHeight="false" outlineLevel="0" collapsed="false">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row>
    <row r="225" customFormat="false" ht="15" hidden="false" customHeight="false" outlineLevel="0" collapsed="false">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row>
    <row r="226" customFormat="false" ht="15" hidden="false" customHeight="false" outlineLevel="0" collapsed="false">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row>
    <row r="227" customFormat="false" ht="15" hidden="false" customHeight="false" outlineLevel="0" collapsed="false">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row>
    <row r="228" customFormat="false" ht="15" hidden="false" customHeight="false" outlineLevel="0" collapsed="false">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row>
    <row r="229" customFormat="false" ht="15" hidden="false" customHeight="false" outlineLevel="0" collapsed="false">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row>
    <row r="230" customFormat="false" ht="15" hidden="false" customHeight="false" outlineLevel="0" collapsed="false">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row>
    <row r="231" customFormat="false" ht="15" hidden="false" customHeight="false" outlineLevel="0" collapsed="false">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row>
    <row r="232" customFormat="false" ht="15" hidden="false" customHeight="false" outlineLevel="0" collapsed="false">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row>
    <row r="233" customFormat="false" ht="15" hidden="false" customHeight="false" outlineLevel="0" collapsed="false">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row>
    <row r="234" customFormat="false" ht="15" hidden="false" customHeight="false" outlineLevel="0" collapsed="false">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row>
    <row r="235" customFormat="false" ht="15" hidden="false" customHeight="false" outlineLevel="0" collapsed="false">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row>
    <row r="236" customFormat="false" ht="15" hidden="false" customHeight="false" outlineLevel="0" collapsed="false">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row>
    <row r="237" customFormat="false" ht="15" hidden="false" customHeight="false" outlineLevel="0" collapsed="false">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row>
    <row r="238" customFormat="false" ht="15" hidden="false" customHeight="false" outlineLevel="0" collapsed="false">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row>
    <row r="239" customFormat="false" ht="15" hidden="false" customHeight="false" outlineLevel="0" collapsed="false">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row>
    <row r="240" customFormat="false" ht="15" hidden="false" customHeight="false" outlineLevel="0" collapsed="false">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row>
    <row r="241" customFormat="false" ht="15" hidden="false" customHeight="false" outlineLevel="0" collapsed="false">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row>
    <row r="242" customFormat="false" ht="15" hidden="false" customHeight="false" outlineLevel="0" collapsed="false">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row>
    <row r="243" customFormat="false" ht="15" hidden="false" customHeight="false" outlineLevel="0" collapsed="false">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row>
    <row r="244" customFormat="false" ht="15" hidden="false" customHeight="false" outlineLevel="0" collapsed="false">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row>
    <row r="245" customFormat="false" ht="15" hidden="false" customHeight="false" outlineLevel="0" collapsed="false">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row>
    <row r="246" customFormat="false" ht="15" hidden="false" customHeight="false" outlineLevel="0" collapsed="false">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row>
    <row r="247" customFormat="false" ht="15" hidden="false" customHeight="false" outlineLevel="0" collapsed="false">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row>
    <row r="248" customFormat="false" ht="15" hidden="false" customHeight="false" outlineLevel="0" collapsed="false">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row>
    <row r="249" customFormat="false" ht="15" hidden="false" customHeight="false" outlineLevel="0" collapsed="false">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row>
    <row r="250" customFormat="false" ht="15" hidden="false" customHeight="false" outlineLevel="0" collapsed="false">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row>
    <row r="251" customFormat="false" ht="15" hidden="false" customHeight="false" outlineLevel="0" collapsed="false">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row>
    <row r="252" customFormat="false" ht="15" hidden="false" customHeight="false" outlineLevel="0" collapsed="false">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row>
    <row r="253" customFormat="false" ht="15" hidden="false" customHeight="false" outlineLevel="0" collapsed="false">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row>
    <row r="254" customFormat="false" ht="15" hidden="false" customHeight="false" outlineLevel="0" collapsed="false">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row>
    <row r="255" customFormat="false" ht="15" hidden="false" customHeight="false" outlineLevel="0" collapsed="false">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row>
    <row r="256" customFormat="false" ht="15" hidden="false" customHeight="false" outlineLevel="0" collapsed="false">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row>
    <row r="257" customFormat="false" ht="15" hidden="false" customHeight="false" outlineLevel="0" collapsed="false">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row>
    <row r="258" customFormat="false" ht="15" hidden="false" customHeight="false" outlineLevel="0" collapsed="false">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row>
    <row r="259" customFormat="false" ht="15" hidden="false" customHeight="false" outlineLevel="0" collapsed="false">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row>
    <row r="260" customFormat="false" ht="15" hidden="false" customHeight="false" outlineLevel="0" collapsed="false">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row>
    <row r="261" customFormat="false" ht="15" hidden="false" customHeight="false" outlineLevel="0" collapsed="false">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row>
    <row r="262" customFormat="false" ht="15" hidden="false" customHeight="false" outlineLevel="0" collapsed="false">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row>
    <row r="263" customFormat="false" ht="15" hidden="false" customHeight="false" outlineLevel="0" collapsed="false">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row>
    <row r="264" customFormat="false" ht="15" hidden="false" customHeight="false" outlineLevel="0" collapsed="false">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row>
    <row r="265" customFormat="false" ht="15" hidden="false" customHeight="false" outlineLevel="0" collapsed="false">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row>
    <row r="266" customFormat="false" ht="15" hidden="false" customHeight="false" outlineLevel="0" collapsed="false">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row>
    <row r="267" customFormat="false" ht="15" hidden="false" customHeight="false" outlineLevel="0" collapsed="false">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row>
    <row r="268" customFormat="false" ht="15" hidden="false" customHeight="false" outlineLevel="0" collapsed="false">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row>
    <row r="269" customFormat="false" ht="15" hidden="false" customHeight="false" outlineLevel="0" collapsed="false">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row>
    <row r="270" customFormat="false" ht="15" hidden="false" customHeight="false" outlineLevel="0" collapsed="false">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row>
    <row r="271" customFormat="false" ht="15" hidden="false" customHeight="false" outlineLevel="0" collapsed="false">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row>
    <row r="272" customFormat="false" ht="15" hidden="false" customHeight="false" outlineLevel="0" collapsed="false">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row>
    <row r="273" customFormat="false" ht="15" hidden="false" customHeight="false" outlineLevel="0" collapsed="false">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row>
    <row r="274" customFormat="false" ht="15" hidden="false" customHeight="false" outlineLevel="0" collapsed="false">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row>
    <row r="275" customFormat="false" ht="15" hidden="false" customHeight="false" outlineLevel="0" collapsed="false">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row>
    <row r="276" customFormat="false" ht="15" hidden="false" customHeight="false" outlineLevel="0" collapsed="false">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row>
    <row r="277" customFormat="false" ht="15" hidden="false" customHeight="false" outlineLevel="0" collapsed="false">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row>
    <row r="278" customFormat="false" ht="15" hidden="false" customHeight="false" outlineLevel="0" collapsed="false">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row>
    <row r="279" customFormat="false" ht="15" hidden="false" customHeight="false" outlineLevel="0" collapsed="false">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row>
    <row r="280" customFormat="false" ht="15" hidden="false" customHeight="false" outlineLevel="0" collapsed="false">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row>
    <row r="281" customFormat="false" ht="15" hidden="false" customHeight="false" outlineLevel="0" collapsed="false">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row>
    <row r="282" customFormat="false" ht="15" hidden="false" customHeight="false" outlineLevel="0" collapsed="false">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row>
    <row r="283" customFormat="false" ht="15" hidden="false" customHeight="false" outlineLevel="0" collapsed="false">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row>
    <row r="284" customFormat="false" ht="15" hidden="false" customHeight="false" outlineLevel="0" collapsed="false">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row>
    <row r="285" customFormat="false" ht="15" hidden="false" customHeight="false" outlineLevel="0" collapsed="false">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row>
    <row r="286" customFormat="false" ht="15" hidden="false" customHeight="false" outlineLevel="0" collapsed="false">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row>
    <row r="287" customFormat="false" ht="15" hidden="false" customHeight="false" outlineLevel="0" collapsed="false">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row>
    <row r="288" customFormat="false" ht="15" hidden="false" customHeight="false" outlineLevel="0" collapsed="false">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row>
    <row r="289" customFormat="false" ht="15" hidden="false" customHeight="false" outlineLevel="0" collapsed="false">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row>
    <row r="290" customFormat="false" ht="15" hidden="false" customHeight="false" outlineLevel="0" collapsed="false">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row>
    <row r="291" customFormat="false" ht="15" hidden="false" customHeight="false" outlineLevel="0" collapsed="false">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row>
    <row r="292" customFormat="false" ht="15" hidden="false" customHeight="false" outlineLevel="0" collapsed="false">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row>
    <row r="293" customFormat="false" ht="15" hidden="false" customHeight="false" outlineLevel="0" collapsed="false">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row>
    <row r="294" customFormat="false" ht="15" hidden="false" customHeight="false" outlineLevel="0" collapsed="false">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row>
    <row r="295" customFormat="false" ht="15" hidden="false" customHeight="false" outlineLevel="0" collapsed="false">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row>
    <row r="296" customFormat="false" ht="15" hidden="false" customHeight="false" outlineLevel="0" collapsed="false">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row>
    <row r="297" customFormat="false" ht="15" hidden="false" customHeight="false" outlineLevel="0" collapsed="false">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row>
    <row r="298" customFormat="false" ht="15" hidden="false" customHeight="false" outlineLevel="0" collapsed="false">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row>
    <row r="299" customFormat="false" ht="15" hidden="false" customHeight="false" outlineLevel="0" collapsed="false">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row>
    <row r="300" customFormat="false" ht="15" hidden="false" customHeight="false" outlineLevel="0" collapsed="false">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row>
    <row r="301" customFormat="false" ht="15" hidden="false" customHeight="false" outlineLevel="0" collapsed="false">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row>
    <row r="302" customFormat="false" ht="15" hidden="false" customHeight="false" outlineLevel="0" collapsed="false">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row>
    <row r="303" customFormat="false" ht="15" hidden="false" customHeight="false" outlineLevel="0" collapsed="false">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c r="AB303" s="75"/>
      <c r="AC303" s="75"/>
      <c r="AD303" s="75"/>
      <c r="AE303" s="75"/>
      <c r="AF303" s="75"/>
      <c r="AG303" s="75"/>
      <c r="AH303" s="75"/>
    </row>
    <row r="304" customFormat="false" ht="15" hidden="false" customHeight="false" outlineLevel="0" collapsed="false">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c r="AB304" s="75"/>
      <c r="AC304" s="75"/>
      <c r="AD304" s="75"/>
      <c r="AE304" s="75"/>
      <c r="AF304" s="75"/>
      <c r="AG304" s="75"/>
      <c r="AH304" s="75"/>
    </row>
    <row r="305" customFormat="false" ht="15" hidden="false" customHeight="false" outlineLevel="0" collapsed="false">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c r="AB305" s="75"/>
      <c r="AC305" s="75"/>
      <c r="AD305" s="75"/>
      <c r="AE305" s="75"/>
      <c r="AF305" s="75"/>
      <c r="AG305" s="75"/>
      <c r="AH305" s="75"/>
    </row>
    <row r="306" customFormat="false" ht="15" hidden="false" customHeight="false" outlineLevel="0" collapsed="false">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c r="AB306" s="75"/>
      <c r="AC306" s="75"/>
      <c r="AD306" s="75"/>
      <c r="AE306" s="75"/>
      <c r="AF306" s="75"/>
      <c r="AG306" s="75"/>
      <c r="AH306" s="75"/>
    </row>
    <row r="307" customFormat="false" ht="15" hidden="false" customHeight="false" outlineLevel="0" collapsed="false">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c r="AB307" s="75"/>
      <c r="AC307" s="75"/>
      <c r="AD307" s="75"/>
      <c r="AE307" s="75"/>
      <c r="AF307" s="75"/>
      <c r="AG307" s="75"/>
      <c r="AH307" s="75"/>
    </row>
    <row r="308" customFormat="false" ht="15" hidden="false" customHeight="false" outlineLevel="0" collapsed="false">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c r="AB308" s="75"/>
      <c r="AC308" s="75"/>
      <c r="AD308" s="75"/>
      <c r="AE308" s="75"/>
      <c r="AF308" s="75"/>
      <c r="AG308" s="75"/>
      <c r="AH308" s="75"/>
    </row>
    <row r="309" customFormat="false" ht="15" hidden="false" customHeight="false" outlineLevel="0" collapsed="false">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c r="AB309" s="75"/>
      <c r="AC309" s="75"/>
      <c r="AD309" s="75"/>
      <c r="AE309" s="75"/>
      <c r="AF309" s="75"/>
      <c r="AG309" s="75"/>
      <c r="AH309" s="75"/>
    </row>
    <row r="310" customFormat="false" ht="15" hidden="false" customHeight="false" outlineLevel="0" collapsed="false">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c r="AB310" s="75"/>
      <c r="AC310" s="75"/>
      <c r="AD310" s="75"/>
      <c r="AE310" s="75"/>
      <c r="AF310" s="75"/>
      <c r="AG310" s="75"/>
      <c r="AH310" s="75"/>
    </row>
    <row r="311" customFormat="false" ht="15" hidden="false" customHeight="false" outlineLevel="0" collapsed="false">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c r="AB311" s="75"/>
      <c r="AC311" s="75"/>
      <c r="AD311" s="75"/>
      <c r="AE311" s="75"/>
      <c r="AF311" s="75"/>
      <c r="AG311" s="75"/>
      <c r="AH311" s="75"/>
    </row>
    <row r="312" customFormat="false" ht="15" hidden="false" customHeight="false" outlineLevel="0" collapsed="false">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c r="AB312" s="75"/>
      <c r="AC312" s="75"/>
      <c r="AD312" s="75"/>
      <c r="AE312" s="75"/>
      <c r="AF312" s="75"/>
      <c r="AG312" s="75"/>
      <c r="AH312" s="75"/>
    </row>
    <row r="313" customFormat="false" ht="15" hidden="false" customHeight="false" outlineLevel="0" collapsed="false">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c r="AB313" s="75"/>
      <c r="AC313" s="75"/>
      <c r="AD313" s="75"/>
      <c r="AE313" s="75"/>
      <c r="AF313" s="75"/>
      <c r="AG313" s="75"/>
      <c r="AH313" s="75"/>
    </row>
    <row r="314" customFormat="false" ht="15" hidden="false" customHeight="false" outlineLevel="0" collapsed="false">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c r="AB314" s="75"/>
      <c r="AC314" s="75"/>
      <c r="AD314" s="75"/>
      <c r="AE314" s="75"/>
      <c r="AF314" s="75"/>
      <c r="AG314" s="75"/>
      <c r="AH314" s="75"/>
    </row>
    <row r="315" customFormat="false" ht="15" hidden="false" customHeight="false" outlineLevel="0" collapsed="false">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c r="AB315" s="75"/>
      <c r="AC315" s="75"/>
      <c r="AD315" s="75"/>
      <c r="AE315" s="75"/>
      <c r="AF315" s="75"/>
      <c r="AG315" s="75"/>
      <c r="AH315" s="75"/>
    </row>
    <row r="316" customFormat="false" ht="15" hidden="false" customHeight="false" outlineLevel="0" collapsed="false">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c r="AC316" s="75"/>
      <c r="AD316" s="75"/>
      <c r="AE316" s="75"/>
      <c r="AF316" s="75"/>
      <c r="AG316" s="75"/>
      <c r="AH316" s="75"/>
    </row>
    <row r="317" customFormat="false" ht="15" hidden="false" customHeight="false" outlineLevel="0" collapsed="false">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c r="AB317" s="75"/>
      <c r="AC317" s="75"/>
      <c r="AD317" s="75"/>
      <c r="AE317" s="75"/>
      <c r="AF317" s="75"/>
      <c r="AG317" s="75"/>
      <c r="AH317" s="75"/>
    </row>
    <row r="318" customFormat="false" ht="15" hidden="false" customHeight="false" outlineLevel="0" collapsed="false">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c r="AB318" s="75"/>
      <c r="AC318" s="75"/>
      <c r="AD318" s="75"/>
      <c r="AE318" s="75"/>
      <c r="AF318" s="75"/>
      <c r="AG318" s="75"/>
      <c r="AH318" s="75"/>
    </row>
    <row r="319" customFormat="false" ht="15" hidden="false" customHeight="false" outlineLevel="0" collapsed="false">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c r="AB319" s="75"/>
      <c r="AC319" s="75"/>
      <c r="AD319" s="75"/>
      <c r="AE319" s="75"/>
      <c r="AF319" s="75"/>
      <c r="AG319" s="75"/>
      <c r="AH319" s="75"/>
    </row>
    <row r="320" customFormat="false" ht="15" hidden="false" customHeight="false" outlineLevel="0" collapsed="false">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c r="AB320" s="75"/>
      <c r="AC320" s="75"/>
      <c r="AD320" s="75"/>
      <c r="AE320" s="75"/>
      <c r="AF320" s="75"/>
      <c r="AG320" s="75"/>
      <c r="AH320" s="75"/>
    </row>
    <row r="321" customFormat="false" ht="15" hidden="false" customHeight="false" outlineLevel="0" collapsed="false">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c r="AB321" s="75"/>
      <c r="AC321" s="75"/>
      <c r="AD321" s="75"/>
      <c r="AE321" s="75"/>
      <c r="AF321" s="75"/>
      <c r="AG321" s="75"/>
      <c r="AH321" s="75"/>
    </row>
    <row r="322" customFormat="false" ht="15" hidden="false" customHeight="false" outlineLevel="0" collapsed="false">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c r="AB322" s="75"/>
      <c r="AC322" s="75"/>
      <c r="AD322" s="75"/>
      <c r="AE322" s="75"/>
      <c r="AF322" s="75"/>
      <c r="AG322" s="75"/>
      <c r="AH322" s="75"/>
    </row>
    <row r="323" customFormat="false" ht="15" hidden="false" customHeight="false" outlineLevel="0" collapsed="false">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c r="AB323" s="75"/>
      <c r="AC323" s="75"/>
      <c r="AD323" s="75"/>
      <c r="AE323" s="75"/>
      <c r="AF323" s="75"/>
      <c r="AG323" s="75"/>
      <c r="AH323" s="75"/>
    </row>
    <row r="324" customFormat="false" ht="15" hidden="false" customHeight="false" outlineLevel="0" collapsed="false">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c r="AB324" s="75"/>
      <c r="AC324" s="75"/>
      <c r="AD324" s="75"/>
      <c r="AE324" s="75"/>
      <c r="AF324" s="75"/>
      <c r="AG324" s="75"/>
      <c r="AH324" s="75"/>
    </row>
    <row r="325" customFormat="false" ht="15" hidden="false" customHeight="false" outlineLevel="0" collapsed="false">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c r="AB325" s="75"/>
      <c r="AC325" s="75"/>
      <c r="AD325" s="75"/>
      <c r="AE325" s="75"/>
      <c r="AF325" s="75"/>
      <c r="AG325" s="75"/>
      <c r="AH325" s="75"/>
    </row>
    <row r="326" customFormat="false" ht="15" hidden="false" customHeight="false" outlineLevel="0" collapsed="false">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c r="AB326" s="75"/>
      <c r="AC326" s="75"/>
      <c r="AD326" s="75"/>
      <c r="AE326" s="75"/>
      <c r="AF326" s="75"/>
      <c r="AG326" s="75"/>
      <c r="AH326" s="75"/>
    </row>
    <row r="327" customFormat="false" ht="15" hidden="false" customHeight="false" outlineLevel="0" collapsed="false">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c r="AB327" s="75"/>
      <c r="AC327" s="75"/>
      <c r="AD327" s="75"/>
      <c r="AE327" s="75"/>
      <c r="AF327" s="75"/>
      <c r="AG327" s="75"/>
      <c r="AH327" s="75"/>
    </row>
    <row r="328" customFormat="false" ht="15" hidden="false" customHeight="false" outlineLevel="0" collapsed="false">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c r="AB328" s="75"/>
      <c r="AC328" s="75"/>
      <c r="AD328" s="75"/>
      <c r="AE328" s="75"/>
      <c r="AF328" s="75"/>
      <c r="AG328" s="75"/>
      <c r="AH328" s="75"/>
    </row>
    <row r="329" customFormat="false" ht="15" hidden="false" customHeight="false" outlineLevel="0" collapsed="false">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c r="AB329" s="75"/>
      <c r="AC329" s="75"/>
      <c r="AD329" s="75"/>
      <c r="AE329" s="75"/>
      <c r="AF329" s="75"/>
      <c r="AG329" s="75"/>
      <c r="AH329" s="75"/>
    </row>
    <row r="330" customFormat="false" ht="15" hidden="false" customHeight="false" outlineLevel="0" collapsed="false">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c r="AB330" s="75"/>
      <c r="AC330" s="75"/>
      <c r="AD330" s="75"/>
      <c r="AE330" s="75"/>
      <c r="AF330" s="75"/>
      <c r="AG330" s="75"/>
      <c r="AH330" s="75"/>
    </row>
    <row r="331" customFormat="false" ht="15" hidden="false" customHeight="false" outlineLevel="0" collapsed="false">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c r="AB331" s="75"/>
      <c r="AC331" s="75"/>
      <c r="AD331" s="75"/>
      <c r="AE331" s="75"/>
      <c r="AF331" s="75"/>
      <c r="AG331" s="75"/>
      <c r="AH331" s="75"/>
    </row>
    <row r="332" customFormat="false" ht="15" hidden="false" customHeight="false" outlineLevel="0" collapsed="false">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c r="AB332" s="75"/>
      <c r="AC332" s="75"/>
      <c r="AD332" s="75"/>
      <c r="AE332" s="75"/>
      <c r="AF332" s="75"/>
      <c r="AG332" s="75"/>
      <c r="AH332" s="75"/>
    </row>
    <row r="333" customFormat="false" ht="15" hidden="false" customHeight="false" outlineLevel="0" collapsed="false">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c r="AB333" s="75"/>
      <c r="AC333" s="75"/>
      <c r="AD333" s="75"/>
      <c r="AE333" s="75"/>
      <c r="AF333" s="75"/>
      <c r="AG333" s="75"/>
      <c r="AH333" s="75"/>
    </row>
    <row r="334" customFormat="false" ht="15" hidden="false" customHeight="false" outlineLevel="0" collapsed="false">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c r="AB334" s="75"/>
      <c r="AC334" s="75"/>
      <c r="AD334" s="75"/>
      <c r="AE334" s="75"/>
      <c r="AF334" s="75"/>
      <c r="AG334" s="75"/>
      <c r="AH334" s="75"/>
    </row>
    <row r="335" customFormat="false" ht="15" hidden="false" customHeight="false" outlineLevel="0" collapsed="false">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c r="AB335" s="75"/>
      <c r="AC335" s="75"/>
      <c r="AD335" s="75"/>
      <c r="AE335" s="75"/>
      <c r="AF335" s="75"/>
      <c r="AG335" s="75"/>
      <c r="AH335" s="75"/>
    </row>
    <row r="336" customFormat="false" ht="15" hidden="false" customHeight="false" outlineLevel="0" collapsed="false">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c r="AB336" s="75"/>
      <c r="AC336" s="75"/>
      <c r="AD336" s="75"/>
      <c r="AE336" s="75"/>
      <c r="AF336" s="75"/>
      <c r="AG336" s="75"/>
      <c r="AH336" s="75"/>
    </row>
    <row r="337" customFormat="false" ht="15" hidden="false" customHeight="false" outlineLevel="0" collapsed="false">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c r="AB337" s="75"/>
      <c r="AC337" s="75"/>
      <c r="AD337" s="75"/>
      <c r="AE337" s="75"/>
      <c r="AF337" s="75"/>
      <c r="AG337" s="75"/>
      <c r="AH337" s="75"/>
    </row>
    <row r="338" customFormat="false" ht="15" hidden="false" customHeight="false" outlineLevel="0" collapsed="false">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c r="AB338" s="75"/>
      <c r="AC338" s="75"/>
      <c r="AD338" s="75"/>
      <c r="AE338" s="75"/>
      <c r="AF338" s="75"/>
      <c r="AG338" s="75"/>
      <c r="AH338" s="75"/>
    </row>
    <row r="339" customFormat="false" ht="15" hidden="false" customHeight="false" outlineLevel="0" collapsed="false">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c r="AB339" s="75"/>
      <c r="AC339" s="75"/>
      <c r="AD339" s="75"/>
      <c r="AE339" s="75"/>
      <c r="AF339" s="75"/>
      <c r="AG339" s="75"/>
      <c r="AH339" s="75"/>
    </row>
    <row r="340" customFormat="false" ht="15" hidden="false" customHeight="false" outlineLevel="0" collapsed="false">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c r="AB340" s="75"/>
      <c r="AC340" s="75"/>
      <c r="AD340" s="75"/>
      <c r="AE340" s="75"/>
      <c r="AF340" s="75"/>
      <c r="AG340" s="75"/>
      <c r="AH340" s="75"/>
    </row>
    <row r="341" customFormat="false" ht="15" hidden="false" customHeight="false" outlineLevel="0" collapsed="false">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c r="AB341" s="75"/>
      <c r="AC341" s="75"/>
      <c r="AD341" s="75"/>
      <c r="AE341" s="75"/>
      <c r="AF341" s="75"/>
      <c r="AG341" s="75"/>
      <c r="AH341" s="75"/>
    </row>
    <row r="342" customFormat="false" ht="15" hidden="false" customHeight="false" outlineLevel="0" collapsed="false">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c r="AB342" s="75"/>
      <c r="AC342" s="75"/>
      <c r="AD342" s="75"/>
      <c r="AE342" s="75"/>
      <c r="AF342" s="75"/>
      <c r="AG342" s="75"/>
      <c r="AH342" s="75"/>
    </row>
    <row r="343" customFormat="false" ht="15" hidden="false" customHeight="false" outlineLevel="0" collapsed="false">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c r="AB343" s="75"/>
      <c r="AC343" s="75"/>
      <c r="AD343" s="75"/>
      <c r="AE343" s="75"/>
      <c r="AF343" s="75"/>
      <c r="AG343" s="75"/>
      <c r="AH343" s="75"/>
    </row>
    <row r="344" customFormat="false" ht="15" hidden="false" customHeight="false" outlineLevel="0" collapsed="false">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c r="AB344" s="75"/>
      <c r="AC344" s="75"/>
      <c r="AD344" s="75"/>
      <c r="AE344" s="75"/>
      <c r="AF344" s="75"/>
      <c r="AG344" s="75"/>
      <c r="AH344" s="75"/>
    </row>
    <row r="345" customFormat="false" ht="15" hidden="false" customHeight="false" outlineLevel="0" collapsed="false">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c r="AB345" s="75"/>
      <c r="AC345" s="75"/>
      <c r="AD345" s="75"/>
      <c r="AE345" s="75"/>
      <c r="AF345" s="75"/>
      <c r="AG345" s="75"/>
      <c r="AH345" s="75"/>
    </row>
    <row r="346" customFormat="false" ht="15" hidden="false" customHeight="false" outlineLevel="0" collapsed="false">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c r="AB346" s="75"/>
      <c r="AC346" s="75"/>
      <c r="AD346" s="75"/>
      <c r="AE346" s="75"/>
      <c r="AF346" s="75"/>
      <c r="AG346" s="75"/>
      <c r="AH346" s="75"/>
    </row>
    <row r="347" customFormat="false" ht="15" hidden="false" customHeight="false" outlineLevel="0" collapsed="false">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c r="AB347" s="75"/>
      <c r="AC347" s="75"/>
      <c r="AD347" s="75"/>
      <c r="AE347" s="75"/>
      <c r="AF347" s="75"/>
      <c r="AG347" s="75"/>
      <c r="AH347" s="75"/>
    </row>
    <row r="348" customFormat="false" ht="15" hidden="false" customHeight="false" outlineLevel="0" collapsed="false">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c r="AB348" s="75"/>
      <c r="AC348" s="75"/>
      <c r="AD348" s="75"/>
      <c r="AE348" s="75"/>
      <c r="AF348" s="75"/>
      <c r="AG348" s="75"/>
      <c r="AH348" s="75"/>
    </row>
    <row r="349" customFormat="false" ht="15" hidden="false" customHeight="false" outlineLevel="0" collapsed="false">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c r="AB349" s="75"/>
      <c r="AC349" s="75"/>
      <c r="AD349" s="75"/>
      <c r="AE349" s="75"/>
      <c r="AF349" s="75"/>
      <c r="AG349" s="75"/>
      <c r="AH349" s="75"/>
    </row>
    <row r="350" customFormat="false" ht="15" hidden="false" customHeight="false" outlineLevel="0" collapsed="false">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c r="AB350" s="75"/>
      <c r="AC350" s="75"/>
      <c r="AD350" s="75"/>
      <c r="AE350" s="75"/>
      <c r="AF350" s="75"/>
      <c r="AG350" s="75"/>
      <c r="AH350" s="75"/>
    </row>
    <row r="351" customFormat="false" ht="15" hidden="false" customHeight="false" outlineLevel="0" collapsed="false">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c r="AB351" s="75"/>
      <c r="AC351" s="75"/>
      <c r="AD351" s="75"/>
      <c r="AE351" s="75"/>
      <c r="AF351" s="75"/>
      <c r="AG351" s="75"/>
      <c r="AH351" s="75"/>
    </row>
    <row r="352" customFormat="false" ht="15" hidden="false" customHeight="false" outlineLevel="0" collapsed="false">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c r="AB352" s="75"/>
      <c r="AC352" s="75"/>
      <c r="AD352" s="75"/>
      <c r="AE352" s="75"/>
      <c r="AF352" s="75"/>
      <c r="AG352" s="75"/>
      <c r="AH352" s="75"/>
    </row>
    <row r="353" customFormat="false" ht="15" hidden="false" customHeight="false" outlineLevel="0" collapsed="false">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c r="AB353" s="75"/>
      <c r="AC353" s="75"/>
      <c r="AD353" s="75"/>
      <c r="AE353" s="75"/>
      <c r="AF353" s="75"/>
      <c r="AG353" s="75"/>
      <c r="AH353" s="75"/>
    </row>
    <row r="354" customFormat="false" ht="15" hidden="false" customHeight="false" outlineLevel="0" collapsed="false">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c r="AB354" s="75"/>
      <c r="AC354" s="75"/>
      <c r="AD354" s="75"/>
      <c r="AE354" s="75"/>
      <c r="AF354" s="75"/>
      <c r="AG354" s="75"/>
      <c r="AH354" s="75"/>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2026-08-27T10:19:10Z</dcterms:created>
  <dc:creator>TOHOシネマズ新宿 コンセッション</dc:creator>
  <dc:description/>
  <dc:language>en-US</dc:language>
  <cp:lastModifiedBy/>
  <dcterms:modified xsi:type="dcterms:W3CDTF">2026-08-27T10:19:11Z</dcterms:modified>
  <cp:revision>0</cp:revision>
  <dc:subject/>
  <dc:title>コンセッション事前準備数ツール</dc:title>
</cp:coreProperties>
</file>

<file path=docProps/custom.xml><?xml version="1.0" encoding="utf-8"?>
<Properties xmlns="http://schemas.openxmlformats.org/officeDocument/2006/custom-properties" xmlns:vt="http://schemas.openxmlformats.org/officeDocument/2006/docPropsVTypes"/>
</file>