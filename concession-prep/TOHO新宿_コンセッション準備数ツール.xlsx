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準備数計算" sheetId="2" state="visible" r:id="rId4"/>
    <sheet name="印刷用" sheetId="3" state="visible" r:id="rId5"/>
    <sheet name="日別データ" sheetId="4" state="visible" r:id="rId6"/>
    <sheet name="CSV貼付" sheetId="5" state="visible" r:id="rId7"/>
  </sheets>
  <definedNames>
    <definedName function="false" hidden="false" localSheetId="4" name="_xlnm.Print_Area" vbProcedure="false">CSV貼付!$A$1:$L$64</definedName>
    <definedName function="false" hidden="false" localSheetId="2" name="_xlnm.Print_Area" vbProcedure="false">印刷用!$A$1:$F$28</definedName>
    <definedName function="false" hidden="false" localSheetId="1" name="_xlnm.Print_Area" vbProcedure="false">準備数計算!$A$1:$H$31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WenQuanYi Zen Hei"/>
            <family val="2"/>
          </rPr>
          <t xml:space="preserve">朝・昼・夕方・夜の購買率で計算します。</t>
        </r>
        <r>
          <rPr>
            <sz val="10"/>
            <rFont val="Arial"/>
            <family val="2"/>
          </rPr>
          <t xml:space="preserve">CSV</t>
        </r>
        <r>
          <rPr>
            <sz val="10"/>
            <rFont val="WenQuanYi Zen Hei"/>
            <family val="2"/>
          </rPr>
          <t xml:space="preserve">に時刻・時間帯の情報が無いときは、自動的に「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日全体」の購買率で計算します。</t>
        </r>
      </text>
    </comment>
    <comment ref="D6" authorId="0">
      <text>
        <r>
          <rPr>
            <sz val="10"/>
            <rFont val="WenQuanYi Zen Hei"/>
            <family val="2"/>
          </rPr>
          <t xml:space="preserve">これから準備する回（例：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時間後のピークの回）の合計動員数を入力してください。サンプル値です。</t>
        </r>
      </text>
    </comment>
    <comment ref="D7" authorId="0">
      <text>
        <r>
          <rPr>
            <sz val="10"/>
            <rFont val="Arial"/>
            <family val="2"/>
          </rPr>
          <t xml:space="preserve">1.2 </t>
        </r>
        <r>
          <rPr>
            <sz val="10"/>
            <rFont val="WenQuanYi Zen Hei"/>
            <family val="2"/>
          </rPr>
          <t xml:space="preserve">と入力すると </t>
        </r>
        <r>
          <rPr>
            <sz val="10"/>
            <rFont val="Arial"/>
            <family val="2"/>
          </rPr>
          <t xml:space="preserve">×120% </t>
        </r>
        <r>
          <rPr>
            <sz val="10"/>
            <rFont val="WenQuanYi Zen Hei"/>
            <family val="2"/>
          </rPr>
          <t xml:space="preserve">です。余裕を持たせたいときに上げてください。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3" authorId="0">
      <text>
        <r>
          <rPr>
            <sz val="10"/>
            <rFont val="WenQuanYi Zen Hei"/>
            <family val="2"/>
          </rPr>
          <t xml:space="preserve">商品名はサンプルです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最大</t>
        </r>
        <r>
          <rPr>
            <sz val="10"/>
            <rFont val="Arial"/>
            <family val="2"/>
          </rPr>
          <t xml:space="preserve">20</t>
        </r>
        <r>
          <rPr>
            <sz val="10"/>
            <rFont val="WenQuanYi Zen Hei"/>
            <family val="2"/>
          </rPr>
          <t xml:space="preserve">枠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。</t>
        </r>
        <r>
          <rPr>
            <sz val="10"/>
            <rFont val="Arial"/>
            <family val="2"/>
          </rPr>
          <t xml:space="preserve">CSV</t>
        </r>
        <r>
          <rPr>
            <sz val="10"/>
            <rFont val="WenQuanYi Zen Hei"/>
            <family val="2"/>
          </rPr>
          <t xml:space="preserve">側の商品名と完全一致させてください。</t>
        </r>
      </text>
    </comment>
    <comment ref="C4" authorId="0">
      <text>
        <r>
          <rPr>
            <sz val="10"/>
            <rFont val="WenQuanYi Zen Hei"/>
            <family val="2"/>
          </rPr>
          <t xml:space="preserve">日付・動員数はサンプルです。実際の直近</t>
        </r>
        <r>
          <rPr>
            <sz val="10"/>
            <rFont val="Arial"/>
            <family val="2"/>
          </rPr>
          <t xml:space="preserve">7</t>
        </r>
        <r>
          <rPr>
            <sz val="10"/>
            <rFont val="WenQuanYi Zen Hei"/>
            <family val="2"/>
          </rPr>
          <t xml:space="preserve">日分に置き換えてください。</t>
        </r>
      </text>
    </comment>
    <comment ref="C7" authorId="0">
      <text>
        <r>
          <rPr>
            <sz val="10"/>
            <rFont val="WenQuanYi Zen Hei"/>
            <family val="2"/>
          </rPr>
          <t xml:space="preserve">時間帯別の動員数（任意）。時間帯別の購買率を使うときだけ入力してください。サンプル値です。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5</t>
        </r>
        <r>
          <rPr>
            <sz val="10"/>
            <rFont val="WenQuanYi Zen Hei"/>
            <family val="2"/>
          </rPr>
          <t xml:space="preserve">行目以降はサンプルデータです。実際の</t>
        </r>
        <r>
          <rPr>
            <sz val="10"/>
            <rFont val="Arial"/>
            <family val="2"/>
          </rPr>
          <t xml:space="preserve">CSV</t>
        </r>
        <r>
          <rPr>
            <sz val="10"/>
            <rFont val="WenQuanYi Zen Hei"/>
            <family val="2"/>
          </rPr>
          <t xml:space="preserve">に置き換えてください。</t>
        </r>
      </text>
    </comment>
    <comment ref="I4" authorId="0">
      <text>
        <r>
          <rPr>
            <sz val="10"/>
            <rFont val="WenQuanYi Zen Hei"/>
            <family val="2"/>
          </rPr>
          <t xml:space="preserve">「日別データ」の商品名一覧に載っているかを自動判定します。「⚠ 未登録」の行は集計されません。</t>
        </r>
      </text>
    </comment>
    <comment ref="J4" authorId="0">
      <text>
        <r>
          <rPr>
            <sz val="10"/>
            <rFont val="Arial"/>
            <family val="2"/>
          </rPr>
          <t xml:space="preserve">D</t>
        </r>
        <r>
          <rPr>
            <sz val="10"/>
            <rFont val="WenQuanYi Zen Hei"/>
            <family val="2"/>
          </rPr>
          <t xml:space="preserve">列の時刻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または時間帯名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から 朝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昼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夕方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夜 を自動判定します。</t>
        </r>
        <r>
          <rPr>
            <sz val="10"/>
            <rFont val="Arial"/>
            <family val="2"/>
          </rPr>
          <t xml:space="preserve">D</t>
        </r>
        <r>
          <rPr>
            <sz val="10"/>
            <rFont val="WenQuanYi Zen Hei"/>
            <family val="2"/>
          </rPr>
          <t xml:space="preserve">列が空の行は「－」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時間帯なし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になります。</t>
        </r>
      </text>
    </comment>
    <comment ref="L6" authorId="0">
      <text>
        <r>
          <rPr>
            <sz val="10"/>
            <rFont val="WenQuanYi Zen Hei"/>
            <family val="2"/>
          </rPr>
          <t xml:space="preserve">この時刻より前が「朝」です。区切り時刻は自由に変更できます。</t>
        </r>
      </text>
    </comment>
  </commentList>
</comments>
</file>

<file path=xl/sharedStrings.xml><?xml version="1.0" encoding="utf-8"?>
<sst xmlns="http://schemas.openxmlformats.org/spreadsheetml/2006/main" count="447" uniqueCount="110">
  <si>
    <t xml:space="preserve">　🍿 コンセッション 事前準備数ツール</t>
  </si>
  <si>
    <r>
      <rPr>
        <sz val="9.5"/>
        <color rgb="FF8A93A3"/>
        <rFont val="BIZ UDPゴシック"/>
        <family val="0"/>
        <charset val="1"/>
      </rPr>
      <t xml:space="preserve">TOHO</t>
    </r>
    <r>
      <rPr>
        <sz val="9.5"/>
        <color rgb="FF8A93A3"/>
        <rFont val="WenQuanYi Zen Hei"/>
        <family val="2"/>
      </rPr>
      <t xml:space="preserve">シネマズ新宿｜過去の購買率から、ピーク前の仕込み数（作る数）を自動計算する雛形です</t>
    </r>
  </si>
  <si>
    <r>
      <rPr>
        <b val="true"/>
        <sz val="10"/>
        <color rgb="FF2E3A59"/>
        <rFont val="WenQuanYi Zen Hei"/>
        <family val="2"/>
      </rPr>
      <t xml:space="preserve">  つかいかた（</t>
    </r>
    <r>
      <rPr>
        <b val="true"/>
        <sz val="10"/>
        <color rgb="FF2E3A59"/>
        <rFont val="BIZ UDPゴシック"/>
        <family val="0"/>
        <charset val="1"/>
      </rPr>
      <t xml:space="preserve">3</t>
    </r>
    <r>
      <rPr>
        <b val="true"/>
        <sz val="10"/>
        <color rgb="FF2E3A59"/>
        <rFont val="WenQuanYi Zen Hei"/>
        <family val="2"/>
      </rPr>
      <t xml:space="preserve">ステップ）</t>
    </r>
  </si>
  <si>
    <t xml:space="preserve">①</t>
  </si>
  <si>
    <t xml:space="preserve">「日別データ」シートに 日付 と 動員数 を入力</t>
  </si>
  <si>
    <r>
      <rPr>
        <sz val="9"/>
        <color rgb="FF8A93A3"/>
        <rFont val="WenQuanYi Zen Hei"/>
        <family val="2"/>
      </rPr>
      <t xml:space="preserve">直近</t>
    </r>
    <r>
      <rPr>
        <sz val="9"/>
        <color rgb="FF8A93A3"/>
        <rFont val="BIZ UDPゴシック"/>
        <family val="0"/>
        <charset val="1"/>
      </rPr>
      <t xml:space="preserve">7</t>
    </r>
    <r>
      <rPr>
        <sz val="9"/>
        <color rgb="FF8A93A3"/>
        <rFont val="WenQuanYi Zen Hei"/>
        <family val="2"/>
      </rPr>
      <t xml:space="preserve">日分。日付は左から古い順（右端＝昨日）。時間帯別の動員数（朝〜夜）は任意入力。販売数は</t>
    </r>
    <r>
      <rPr>
        <sz val="9"/>
        <color rgb="FF8A93A3"/>
        <rFont val="BIZ UDPゴシック"/>
        <family val="0"/>
        <charset val="1"/>
      </rPr>
      <t xml:space="preserve">STEP②</t>
    </r>
    <r>
      <rPr>
        <sz val="9"/>
        <color rgb="FF8A93A3"/>
        <rFont val="WenQuanYi Zen Hei"/>
        <family val="2"/>
      </rPr>
      <t xml:space="preserve">の</t>
    </r>
    <r>
      <rPr>
        <sz val="9"/>
        <color rgb="FF8A93A3"/>
        <rFont val="BIZ UDPゴシック"/>
        <family val="0"/>
        <charset val="1"/>
      </rPr>
      <t xml:space="preserve">CSV</t>
    </r>
    <r>
      <rPr>
        <sz val="9"/>
        <color rgb="FF8A93A3"/>
        <rFont val="WenQuanYi Zen Hei"/>
        <family val="2"/>
      </rPr>
      <t xml:space="preserve">から自動。｜担当：社員</t>
    </r>
  </si>
  <si>
    <t xml:space="preserve">②</t>
  </si>
  <si>
    <r>
      <rPr>
        <b val="true"/>
        <sz val="11"/>
        <color rgb="FF333B4A"/>
        <rFont val="WenQuanYi Zen Hei"/>
        <family val="2"/>
      </rPr>
      <t xml:space="preserve">「</t>
    </r>
    <r>
      <rPr>
        <b val="true"/>
        <sz val="11"/>
        <color rgb="FF333B4A"/>
        <rFont val="BIZ UDPゴシック"/>
        <family val="0"/>
        <charset val="1"/>
      </rPr>
      <t xml:space="preserve">CSV</t>
    </r>
    <r>
      <rPr>
        <b val="true"/>
        <sz val="11"/>
        <color rgb="FF333B4A"/>
        <rFont val="WenQuanYi Zen Hei"/>
        <family val="2"/>
      </rPr>
      <t xml:space="preserve">貼付」シートに 集計ソフトの</t>
    </r>
    <r>
      <rPr>
        <b val="true"/>
        <sz val="11"/>
        <color rgb="FF333B4A"/>
        <rFont val="BIZ UDPゴシック"/>
        <family val="0"/>
        <charset val="1"/>
      </rPr>
      <t xml:space="preserve">CSV </t>
    </r>
    <r>
      <rPr>
        <b val="true"/>
        <sz val="11"/>
        <color rgb="FF333B4A"/>
        <rFont val="WenQuanYi Zen Hei"/>
        <family val="2"/>
      </rPr>
      <t xml:space="preserve">を貼り付け</t>
    </r>
  </si>
  <si>
    <r>
      <rPr>
        <sz val="9"/>
        <color rgb="FF8A93A3"/>
        <rFont val="BIZ UDPゴシック"/>
        <family val="0"/>
        <charset val="1"/>
      </rPr>
      <t xml:space="preserve">A=</t>
    </r>
    <r>
      <rPr>
        <sz val="9"/>
        <color rgb="FF8A93A3"/>
        <rFont val="WenQuanYi Zen Hei"/>
        <family val="2"/>
      </rPr>
      <t xml:space="preserve">日付・</t>
    </r>
    <r>
      <rPr>
        <sz val="9"/>
        <color rgb="FF8A93A3"/>
        <rFont val="BIZ UDPゴシック"/>
        <family val="0"/>
        <charset val="1"/>
      </rPr>
      <t xml:space="preserve">B=</t>
    </r>
    <r>
      <rPr>
        <sz val="9"/>
        <color rgb="FF8A93A3"/>
        <rFont val="WenQuanYi Zen Hei"/>
        <family val="2"/>
      </rPr>
      <t xml:space="preserve">商品名・</t>
    </r>
    <r>
      <rPr>
        <sz val="9"/>
        <color rgb="FF8A93A3"/>
        <rFont val="BIZ UDPゴシック"/>
        <family val="0"/>
        <charset val="1"/>
      </rPr>
      <t xml:space="preserve">C=</t>
    </r>
    <r>
      <rPr>
        <sz val="9"/>
        <color rgb="FF8A93A3"/>
        <rFont val="WenQuanYi Zen Hei"/>
        <family val="2"/>
      </rPr>
      <t xml:space="preserve">販売数・</t>
    </r>
    <r>
      <rPr>
        <sz val="9"/>
        <color rgb="FF8A93A3"/>
        <rFont val="BIZ UDPゴシック"/>
        <family val="0"/>
        <charset val="1"/>
      </rPr>
      <t xml:space="preserve">D=</t>
    </r>
    <r>
      <rPr>
        <sz val="9"/>
        <color rgb="FF8A93A3"/>
        <rFont val="WenQuanYi Zen Hei"/>
        <family val="2"/>
      </rPr>
      <t xml:space="preserve">時刻か時間帯（任意）。商品名チェックと</t>
    </r>
    <r>
      <rPr>
        <sz val="9"/>
        <color rgb="FF8A93A3"/>
        <rFont val="BIZ UDPゴシック"/>
        <family val="0"/>
        <charset val="1"/>
      </rPr>
      <t xml:space="preserve">CSV</t>
    </r>
    <r>
      <rPr>
        <sz val="9"/>
        <color rgb="FF8A93A3"/>
        <rFont val="WenQuanYi Zen Hei"/>
        <family val="2"/>
      </rPr>
      <t xml:space="preserve">取込チェックが「✔」か確認。｜担当：社員</t>
    </r>
  </si>
  <si>
    <t xml:space="preserve">③</t>
  </si>
  <si>
    <t xml:space="preserve">「準備数計算」で 時間帯・ピーク動員数 を入れて「作る数」を確認</t>
  </si>
  <si>
    <r>
      <rPr>
        <sz val="9"/>
        <color rgb="FF8A93A3"/>
        <rFont val="WenQuanYi Zen Hei"/>
        <family val="2"/>
      </rPr>
      <t xml:space="preserve">ピーク動員数＝これから準備する回（例：</t>
    </r>
    <r>
      <rPr>
        <sz val="9"/>
        <color rgb="FF8A93A3"/>
        <rFont val="BIZ UDPゴシック"/>
        <family val="0"/>
        <charset val="1"/>
      </rPr>
      <t xml:space="preserve">1</t>
    </r>
    <r>
      <rPr>
        <sz val="9"/>
        <color rgb="FF8A93A3"/>
        <rFont val="WenQuanYi Zen Hei"/>
        <family val="2"/>
      </rPr>
      <t xml:space="preserve">時間後のピーク）の合計動員数。「印刷用」シートを</t>
    </r>
    <r>
      <rPr>
        <sz val="9"/>
        <color rgb="FF8A93A3"/>
        <rFont val="BIZ UDPゴシック"/>
        <family val="0"/>
        <charset val="1"/>
      </rPr>
      <t xml:space="preserve">A4</t>
    </r>
    <r>
      <rPr>
        <sz val="9"/>
        <color rgb="FF8A93A3"/>
        <rFont val="WenQuanYi Zen Hei"/>
        <family val="2"/>
      </rPr>
      <t xml:space="preserve">で刷って現場へ。｜担当：社員（確認：スタッフ）</t>
    </r>
  </si>
  <si>
    <t xml:space="preserve">  セルの色のルール</t>
  </si>
  <si>
    <t xml:space="preserve">✏️ 黄色 ＝ 入力するセル</t>
  </si>
  <si>
    <t xml:space="preserve">🔒 グレー ＝ 自動計算</t>
  </si>
  <si>
    <t xml:space="preserve">  計算のしくみ</t>
  </si>
  <si>
    <r>
      <rPr>
        <sz val="10"/>
        <color rgb="FF333B4A"/>
        <rFont val="WenQuanYi Zen Hei"/>
        <family val="2"/>
      </rPr>
      <t xml:space="preserve">購買率 ＝ 参照期間（の選んだ時間帯）の販売数 </t>
    </r>
    <r>
      <rPr>
        <sz val="10"/>
        <color rgb="FF333B4A"/>
        <rFont val="BIZ UDPゴシック"/>
        <family val="0"/>
        <charset val="1"/>
      </rPr>
      <t xml:space="preserve">÷ </t>
    </r>
    <r>
      <rPr>
        <sz val="10"/>
        <color rgb="FF333B4A"/>
        <rFont val="WenQuanYi Zen Hei"/>
        <family val="2"/>
      </rPr>
      <t xml:space="preserve">動員数</t>
    </r>
  </si>
  <si>
    <r>
      <rPr>
        <sz val="10"/>
        <color rgb="FF333B4A"/>
        <rFont val="WenQuanYi Zen Hei"/>
        <family val="2"/>
      </rPr>
      <t xml:space="preserve">作る数 ＝ ピーク動員数 </t>
    </r>
    <r>
      <rPr>
        <sz val="10"/>
        <color rgb="FF333B4A"/>
        <rFont val="BIZ UDPゴシック"/>
        <family val="0"/>
        <charset val="1"/>
      </rPr>
      <t xml:space="preserve">× </t>
    </r>
    <r>
      <rPr>
        <sz val="10"/>
        <color rgb="FF333B4A"/>
        <rFont val="WenQuanYi Zen Hei"/>
        <family val="2"/>
      </rPr>
      <t xml:space="preserve">購買率 </t>
    </r>
    <r>
      <rPr>
        <sz val="10"/>
        <color rgb="FF333B4A"/>
        <rFont val="BIZ UDPゴシック"/>
        <family val="0"/>
        <charset val="1"/>
      </rPr>
      <t xml:space="preserve">× </t>
    </r>
    <r>
      <rPr>
        <sz val="10"/>
        <color rgb="FF333B4A"/>
        <rFont val="WenQuanYi Zen Hei"/>
        <family val="2"/>
      </rPr>
      <t xml:space="preserve">倍率（小数点以下は切り上げ）</t>
    </r>
  </si>
  <si>
    <t xml:space="preserve">  注意メモ</t>
  </si>
  <si>
    <r>
      <rPr>
        <sz val="9.5"/>
        <color rgb="FF333B4A"/>
        <rFont val="WenQuanYi Zen Hei"/>
        <family val="2"/>
      </rPr>
      <t xml:space="preserve">・ピーク動員数には「これから準備する回」の合計動員数を入れます（例：</t>
    </r>
    <r>
      <rPr>
        <sz val="9.5"/>
        <color rgb="FF333B4A"/>
        <rFont val="BIZ UDPゴシック"/>
        <family val="0"/>
        <charset val="1"/>
      </rPr>
      <t xml:space="preserve">1</t>
    </r>
    <r>
      <rPr>
        <sz val="9.5"/>
        <color rgb="FF333B4A"/>
        <rFont val="WenQuanYi Zen Hei"/>
        <family val="2"/>
      </rPr>
      <t xml:space="preserve">時間後のピークの回の計）。</t>
    </r>
  </si>
  <si>
    <r>
      <rPr>
        <sz val="9.5"/>
        <color rgb="FF333B4A"/>
        <rFont val="WenQuanYi Zen Hei"/>
        <family val="2"/>
      </rPr>
      <t xml:space="preserve">・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の</t>
    </r>
    <r>
      <rPr>
        <sz val="9.5"/>
        <color rgb="FF333B4A"/>
        <rFont val="BIZ UDPゴシック"/>
        <family val="0"/>
        <charset val="1"/>
      </rPr>
      <t xml:space="preserve">D</t>
    </r>
    <r>
      <rPr>
        <sz val="9.5"/>
        <color rgb="FF333B4A"/>
        <rFont val="WenQuanYi Zen Hei"/>
        <family val="2"/>
      </rPr>
      <t xml:space="preserve">列に時刻（例 </t>
    </r>
    <r>
      <rPr>
        <sz val="9.5"/>
        <color rgb="FF333B4A"/>
        <rFont val="BIZ UDPゴシック"/>
        <family val="0"/>
        <charset val="1"/>
      </rPr>
      <t xml:space="preserve">13:05</t>
    </r>
    <r>
      <rPr>
        <sz val="9.5"/>
        <color rgb="FF333B4A"/>
        <rFont val="WenQuanYi Zen Hei"/>
        <family val="2"/>
      </rPr>
      <t xml:space="preserve">）か時間帯（朝</t>
    </r>
    <r>
      <rPr>
        <sz val="9.5"/>
        <color rgb="FF333B4A"/>
        <rFont val="BIZ UDPゴシック"/>
        <family val="0"/>
        <charset val="1"/>
      </rPr>
      <t xml:space="preserve">/</t>
    </r>
    <r>
      <rPr>
        <sz val="9.5"/>
        <color rgb="FF333B4A"/>
        <rFont val="WenQuanYi Zen Hei"/>
        <family val="2"/>
      </rPr>
      <t xml:space="preserve">昼</t>
    </r>
    <r>
      <rPr>
        <sz val="9.5"/>
        <color rgb="FF333B4A"/>
        <rFont val="BIZ UDPゴシック"/>
        <family val="0"/>
        <charset val="1"/>
      </rPr>
      <t xml:space="preserve">/</t>
    </r>
    <r>
      <rPr>
        <sz val="9.5"/>
        <color rgb="FF333B4A"/>
        <rFont val="WenQuanYi Zen Hei"/>
        <family val="2"/>
      </rPr>
      <t xml:space="preserve">夕方</t>
    </r>
    <r>
      <rPr>
        <sz val="9.5"/>
        <color rgb="FF333B4A"/>
        <rFont val="BIZ UDPゴシック"/>
        <family val="0"/>
        <charset val="1"/>
      </rPr>
      <t xml:space="preserve">/</t>
    </r>
    <r>
      <rPr>
        <sz val="9.5"/>
        <color rgb="FF333B4A"/>
        <rFont val="WenQuanYi Zen Hei"/>
        <family val="2"/>
      </rPr>
      <t xml:space="preserve">夜）が入っていると、時間帯別の購買率で計算できます。</t>
    </r>
  </si>
  <si>
    <r>
      <rPr>
        <sz val="9.5"/>
        <color rgb="FF333B4A"/>
        <rFont val="WenQuanYi Zen Hei"/>
        <family val="2"/>
      </rPr>
      <t xml:space="preserve">　（無い場合は自動で「</t>
    </r>
    <r>
      <rPr>
        <sz val="9.5"/>
        <color rgb="FF333B4A"/>
        <rFont val="BIZ UDPゴシック"/>
        <family val="0"/>
        <charset val="1"/>
      </rPr>
      <t xml:space="preserve">1</t>
    </r>
    <r>
      <rPr>
        <sz val="9.5"/>
        <color rgb="FF333B4A"/>
        <rFont val="WenQuanYi Zen Hei"/>
        <family val="2"/>
      </rPr>
      <t xml:space="preserve">日全体」の購買率になります。時間帯の区切りは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貼付シートの右側で変更できます）</t>
    </r>
  </si>
  <si>
    <t xml:space="preserve">・時間帯別の購買率を使うときは、「日別データ」の朝〜夜の動員数も入力してください（未入力だと「要確認」表示）。</t>
  </si>
  <si>
    <r>
      <rPr>
        <sz val="9.5"/>
        <color rgb="FF333B4A"/>
        <rFont val="WenQuanYi Zen Hei"/>
        <family val="2"/>
      </rPr>
      <t xml:space="preserve">・商品枠は最大</t>
    </r>
    <r>
      <rPr>
        <sz val="9.5"/>
        <color rgb="FF333B4A"/>
        <rFont val="BIZ UDPゴシック"/>
        <family val="0"/>
        <charset val="1"/>
      </rPr>
      <t xml:space="preserve">20</t>
    </r>
    <r>
      <rPr>
        <sz val="9.5"/>
        <color rgb="FF333B4A"/>
        <rFont val="WenQuanYi Zen Hei"/>
        <family val="2"/>
      </rPr>
      <t xml:space="preserve">です（「日別データ」シートの商品名欄）。商品名は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側と完全一致が必要です。</t>
    </r>
  </si>
  <si>
    <r>
      <rPr>
        <sz val="9.5"/>
        <color rgb="FF333B4A"/>
        <rFont val="WenQuanYi Zen Hei"/>
        <family val="2"/>
      </rPr>
      <t xml:space="preserve">・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貼付は最大</t>
    </r>
    <r>
      <rPr>
        <sz val="9.5"/>
        <color rgb="FF333B4A"/>
        <rFont val="BIZ UDPゴシック"/>
        <family val="0"/>
        <charset val="1"/>
      </rPr>
      <t xml:space="preserve">2000</t>
    </r>
    <r>
      <rPr>
        <sz val="9.5"/>
        <color rgb="FF333B4A"/>
        <rFont val="WenQuanYi Zen Hei"/>
        <family val="2"/>
      </rPr>
      <t xml:space="preserve">行まで集計されます。列が多い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は「日付・商品名・販売数（・時刻）」だけ貼ると確実です。</t>
    </r>
  </si>
  <si>
    <r>
      <rPr>
        <sz val="9.5"/>
        <color rgb="FF333B4A"/>
        <rFont val="WenQuanYi Zen Hei"/>
        <family val="2"/>
      </rPr>
      <t xml:space="preserve">・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を貼り付けて日付が文字列になった場合は、日付列を選択 →「データ」→「区切り位置」で日付に戻せます。</t>
    </r>
  </si>
  <si>
    <r>
      <rPr>
        <sz val="9.5"/>
        <color rgb="FF333B4A"/>
        <rFont val="WenQuanYi Zen Hei"/>
        <family val="2"/>
      </rPr>
      <t xml:space="preserve">・「印刷用」シートは準備数計算と自動連動です。</t>
    </r>
    <r>
      <rPr>
        <sz val="9.5"/>
        <color rgb="FF333B4A"/>
        <rFont val="BIZ UDPゴシック"/>
        <family val="0"/>
        <charset val="1"/>
      </rPr>
      <t xml:space="preserve">A4</t>
    </r>
    <r>
      <rPr>
        <sz val="9.5"/>
        <color rgb="FF333B4A"/>
        <rFont val="WenQuanYi Zen Hei"/>
        <family val="2"/>
      </rPr>
      <t xml:space="preserve">縦</t>
    </r>
    <r>
      <rPr>
        <sz val="9.5"/>
        <color rgb="FF333B4A"/>
        <rFont val="BIZ UDPゴシック"/>
        <family val="0"/>
        <charset val="1"/>
      </rPr>
      <t xml:space="preserve">1</t>
    </r>
    <r>
      <rPr>
        <sz val="9.5"/>
        <color rgb="FF333B4A"/>
        <rFont val="WenQuanYi Zen Hei"/>
        <family val="2"/>
      </rPr>
      <t xml:space="preserve">枚で印刷して現場に持っていけます。</t>
    </r>
  </si>
  <si>
    <t xml:space="preserve">・いまはサンプルデータが入っています。実際のデータで上書きしてお使いください。</t>
  </si>
  <si>
    <r>
      <rPr>
        <sz val="8.5"/>
        <color rgb="FF8A93A3"/>
        <rFont val="WenQuanYi Zen Hei"/>
        <family val="2"/>
      </rPr>
      <t xml:space="preserve">雛形版 </t>
    </r>
    <r>
      <rPr>
        <sz val="8.5"/>
        <color rgb="FF8A93A3"/>
        <rFont val="BIZ UDPゴシック"/>
        <family val="0"/>
        <charset val="1"/>
      </rPr>
      <t xml:space="preserve">v2.0</t>
    </r>
    <r>
      <rPr>
        <sz val="8.5"/>
        <color rgb="FF8A93A3"/>
        <rFont val="WenQuanYi Zen Hei"/>
        <family val="2"/>
      </rPr>
      <t xml:space="preserve">（</t>
    </r>
    <r>
      <rPr>
        <sz val="8.5"/>
        <color rgb="FF8A93A3"/>
        <rFont val="BIZ UDPゴシック"/>
        <family val="0"/>
        <charset val="1"/>
      </rPr>
      <t xml:space="preserve">2026/8</t>
    </r>
    <r>
      <rPr>
        <sz val="8.5"/>
        <color rgb="FF8A93A3"/>
        <rFont val="WenQuanYi Zen Hei"/>
        <family val="2"/>
      </rPr>
      <t xml:space="preserve">）｜数式・レイアウトは自由に調整してください</t>
    </r>
  </si>
  <si>
    <t xml:space="preserve">　🍿 準備数計算｜ピーク前の仕込み数</t>
  </si>
  <si>
    <r>
      <rPr>
        <sz val="9"/>
        <color rgb="FF8A93A3"/>
        <rFont val="WenQuanYi Zen Hei"/>
        <family val="2"/>
      </rPr>
      <t xml:space="preserve">時間帯ごとの購買率 </t>
    </r>
    <r>
      <rPr>
        <sz val="9"/>
        <color rgb="FF8A93A3"/>
        <rFont val="BIZ UDPゴシック"/>
        <family val="0"/>
        <charset val="1"/>
      </rPr>
      <t xml:space="preserve">× </t>
    </r>
    <r>
      <rPr>
        <sz val="9"/>
        <color rgb="FF8A93A3"/>
        <rFont val="WenQuanYi Zen Hei"/>
        <family val="2"/>
      </rPr>
      <t xml:space="preserve">ピーク動員数 </t>
    </r>
    <r>
      <rPr>
        <sz val="9"/>
        <color rgb="FF8A93A3"/>
        <rFont val="BIZ UDPゴシック"/>
        <family val="0"/>
        <charset val="1"/>
      </rPr>
      <t xml:space="preserve">× </t>
    </r>
    <r>
      <rPr>
        <sz val="9"/>
        <color rgb="FF8A93A3"/>
        <rFont val="WenQuanYi Zen Hei"/>
        <family val="2"/>
      </rPr>
      <t xml:space="preserve">倍率 で「作る数」を自動計算します</t>
    </r>
  </si>
  <si>
    <t xml:space="preserve"> ⚙ 計算用（さわらない）</t>
  </si>
  <si>
    <t xml:space="preserve">  ① 参照期間</t>
  </si>
  <si>
    <r>
      <rPr>
        <b val="true"/>
        <sz val="10.5"/>
        <color rgb="FF333B4A"/>
        <rFont val="WenQuanYi Zen Hei"/>
        <family val="2"/>
      </rPr>
      <t xml:space="preserve">直近</t>
    </r>
    <r>
      <rPr>
        <b val="true"/>
        <sz val="10.5"/>
        <color rgb="FF333B4A"/>
        <rFont val="BIZ UDPゴシック"/>
        <family val="0"/>
        <charset val="1"/>
      </rPr>
      <t xml:space="preserve">7</t>
    </r>
    <r>
      <rPr>
        <b val="true"/>
        <sz val="10.5"/>
        <color rgb="FF333B4A"/>
        <rFont val="WenQuanYi Zen Hei"/>
        <family val="2"/>
      </rPr>
      <t xml:space="preserve">日間</t>
    </r>
  </si>
  <si>
    <t xml:space="preserve">参照日数</t>
  </si>
  <si>
    <t xml:space="preserve">  ② 時間帯</t>
  </si>
  <si>
    <t xml:space="preserve">昼</t>
  </si>
  <si>
    <r>
      <rPr>
        <sz val="9"/>
        <color rgb="FF8A93A3"/>
        <rFont val="WenQuanYi Zen Hei"/>
        <family val="2"/>
      </rPr>
      <t xml:space="preserve">← どの時間帯の売れ方で計算するか（</t>
    </r>
    <r>
      <rPr>
        <sz val="9"/>
        <color rgb="FF8A93A3"/>
        <rFont val="BIZ UDPゴシック"/>
        <family val="0"/>
        <charset val="1"/>
      </rPr>
      <t xml:space="preserve">CSV</t>
    </r>
    <r>
      <rPr>
        <sz val="9"/>
        <color rgb="FF8A93A3"/>
        <rFont val="WenQuanYi Zen Hei"/>
        <family val="2"/>
      </rPr>
      <t xml:space="preserve">に時刻</t>
    </r>
    <r>
      <rPr>
        <sz val="9"/>
        <color rgb="FF8A93A3"/>
        <rFont val="BIZ UDPゴシック"/>
        <family val="0"/>
        <charset val="1"/>
      </rPr>
      <t xml:space="preserve">/</t>
    </r>
    <r>
      <rPr>
        <sz val="9"/>
        <color rgb="FF8A93A3"/>
        <rFont val="WenQuanYi Zen Hei"/>
        <family val="2"/>
      </rPr>
      <t xml:space="preserve">時間帯があるとき有効）</t>
    </r>
  </si>
  <si>
    <t xml:space="preserve">動員合計</t>
  </si>
  <si>
    <t xml:space="preserve">  ③ ピーク動員数</t>
  </si>
  <si>
    <r>
      <rPr>
        <sz val="9"/>
        <color rgb="FF8A93A3"/>
        <rFont val="WenQuanYi Zen Hei"/>
        <family val="2"/>
      </rPr>
      <t xml:space="preserve">← これから準備する回の合計動員数（例：</t>
    </r>
    <r>
      <rPr>
        <sz val="9"/>
        <color rgb="FF8A93A3"/>
        <rFont val="BIZ UDPゴシック"/>
        <family val="0"/>
        <charset val="1"/>
      </rPr>
      <t xml:space="preserve">1</t>
    </r>
    <r>
      <rPr>
        <sz val="9"/>
        <color rgb="FF8A93A3"/>
        <rFont val="WenQuanYi Zen Hei"/>
        <family val="2"/>
      </rPr>
      <t xml:space="preserve">時間後のピークの回の計）</t>
    </r>
  </si>
  <si>
    <t xml:space="preserve">動員行</t>
  </si>
  <si>
    <t xml:space="preserve">  ④ 倍率</t>
  </si>
  <si>
    <r>
      <rPr>
        <sz val="9"/>
        <color rgb="FF8A93A3"/>
        <rFont val="WenQuanYi Zen Hei"/>
        <family val="2"/>
      </rPr>
      <t xml:space="preserve">← 余裕を持たせるなら </t>
    </r>
    <r>
      <rPr>
        <sz val="9"/>
        <color rgb="FF8A93A3"/>
        <rFont val="BIZ UDPゴシック"/>
        <family val="0"/>
        <charset val="1"/>
      </rPr>
      <t xml:space="preserve">×110%</t>
    </r>
    <r>
      <rPr>
        <sz val="9"/>
        <color rgb="FF8A93A3"/>
        <rFont val="WenQuanYi Zen Hei"/>
        <family val="2"/>
      </rPr>
      <t xml:space="preserve">〜</t>
    </r>
    <r>
      <rPr>
        <sz val="9"/>
        <color rgb="FF8A93A3"/>
        <rFont val="BIZ UDPゴシック"/>
        <family val="0"/>
        <charset val="1"/>
      </rPr>
      <t xml:space="preserve">×150% </t>
    </r>
    <r>
      <rPr>
        <sz val="9"/>
        <color rgb="FF8A93A3"/>
        <rFont val="WenQuanYi Zen Hei"/>
        <family val="2"/>
      </rPr>
      <t xml:space="preserve">など</t>
    </r>
  </si>
  <si>
    <t xml:space="preserve">帯条件</t>
  </si>
  <si>
    <t xml:space="preserve">帯データ数</t>
  </si>
  <si>
    <t xml:space="preserve">全体動員</t>
  </si>
  <si>
    <t xml:space="preserve">No.</t>
  </si>
  <si>
    <t xml:space="preserve">商品名</t>
  </si>
  <si>
    <t xml:space="preserve">期間販売数</t>
  </si>
  <si>
    <t xml:space="preserve">購買率</t>
  </si>
  <si>
    <r>
      <rPr>
        <b val="true"/>
        <sz val="11"/>
        <color rgb="FFFFFFFF"/>
        <rFont val="WenQuanYi Zen Hei"/>
        <family val="2"/>
      </rPr>
      <t xml:space="preserve">👉 作る数
</t>
    </r>
    <r>
      <rPr>
        <b val="true"/>
        <sz val="11"/>
        <color rgb="FFFFFFFF"/>
        <rFont val="BIZ UDPゴシック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この数を準備</t>
    </r>
    <r>
      <rPr>
        <b val="true"/>
        <sz val="11"/>
        <color rgb="FFFFFFFF"/>
        <rFont val="BIZ UDPゴシック"/>
        <family val="0"/>
        <charset val="1"/>
      </rPr>
      <t xml:space="preserve">)</t>
    </r>
  </si>
  <si>
    <r>
      <rPr>
        <b val="true"/>
        <sz val="9.5"/>
        <color rgb="FFFFFFFF"/>
        <rFont val="WenQuanYi Zen Hei"/>
        <family val="2"/>
      </rPr>
      <t xml:space="preserve">（参考）
</t>
    </r>
    <r>
      <rPr>
        <b val="true"/>
        <sz val="9.5"/>
        <color rgb="FFFFFFFF"/>
        <rFont val="BIZ UDPゴシック"/>
        <family val="0"/>
        <charset val="1"/>
      </rPr>
      <t xml:space="preserve">1</t>
    </r>
    <r>
      <rPr>
        <b val="true"/>
        <sz val="9.5"/>
        <color rgb="FFFFFFFF"/>
        <rFont val="WenQuanYi Zen Hei"/>
        <family val="2"/>
      </rPr>
      <t xml:space="preserve">日全体</t>
    </r>
  </si>
  <si>
    <r>
      <rPr>
        <sz val="8.5"/>
        <color rgb="FF8A93A3"/>
        <rFont val="WenQuanYi Zen Hei"/>
        <family val="2"/>
      </rPr>
      <t xml:space="preserve">※ 作る数 ＝ ピーク動員数 </t>
    </r>
    <r>
      <rPr>
        <sz val="8.5"/>
        <color rgb="FF8A93A3"/>
        <rFont val="BIZ UDPゴシック"/>
        <family val="0"/>
        <charset val="1"/>
      </rPr>
      <t xml:space="preserve">× </t>
    </r>
    <r>
      <rPr>
        <sz val="8.5"/>
        <color rgb="FF8A93A3"/>
        <rFont val="WenQuanYi Zen Hei"/>
        <family val="2"/>
      </rPr>
      <t xml:space="preserve">購買率 </t>
    </r>
    <r>
      <rPr>
        <sz val="8.5"/>
        <color rgb="FF8A93A3"/>
        <rFont val="BIZ UDPゴシック"/>
        <family val="0"/>
        <charset val="1"/>
      </rPr>
      <t xml:space="preserve">× </t>
    </r>
    <r>
      <rPr>
        <sz val="8.5"/>
        <color rgb="FF8A93A3"/>
        <rFont val="WenQuanYi Zen Hei"/>
        <family val="2"/>
      </rPr>
      <t xml:space="preserve">倍率（小数点以下切り上げ）｜購買率 ＝ 参照期間（の選んだ時間帯）の販売数 </t>
    </r>
    <r>
      <rPr>
        <sz val="8.5"/>
        <color rgb="FF8A93A3"/>
        <rFont val="BIZ UDPゴシック"/>
        <family val="0"/>
        <charset val="1"/>
      </rPr>
      <t xml:space="preserve">÷ </t>
    </r>
    <r>
      <rPr>
        <sz val="8.5"/>
        <color rgb="FF8A93A3"/>
        <rFont val="WenQuanYi Zen Hei"/>
        <family val="2"/>
      </rPr>
      <t xml:space="preserve">動員数</t>
    </r>
  </si>
  <si>
    <t xml:space="preserve">　🍿 仕込み指示書（コンセッション）</t>
  </si>
  <si>
    <t xml:space="preserve">  👇 この数を作ってください</t>
  </si>
  <si>
    <t xml:space="preserve">日付・回：＿＿＿＿＿＿＿＿＿＿　　作成者：＿＿＿＿＿＿　　確認者：＿＿＿＿＿＿</t>
  </si>
  <si>
    <t xml:space="preserve">作る数</t>
  </si>
  <si>
    <t xml:space="preserve">できたら✓</t>
  </si>
  <si>
    <r>
      <rPr>
        <sz val="8"/>
        <color rgb="FF8A93A3"/>
        <rFont val="WenQuanYi Zen Hei"/>
        <family val="2"/>
      </rPr>
      <t xml:space="preserve">※ 数字は「準備数計算」シートから自動で入ります｜</t>
    </r>
    <r>
      <rPr>
        <sz val="8"/>
        <color rgb="FF8A93A3"/>
        <rFont val="BIZ UDPゴシック"/>
        <family val="0"/>
        <charset val="1"/>
      </rPr>
      <t xml:space="preserve">A4</t>
    </r>
    <r>
      <rPr>
        <sz val="8"/>
        <color rgb="FF8A93A3"/>
        <rFont val="WenQuanYi Zen Hei"/>
        <family val="2"/>
      </rPr>
      <t xml:space="preserve">縦・</t>
    </r>
    <r>
      <rPr>
        <sz val="8"/>
        <color rgb="FF8A93A3"/>
        <rFont val="BIZ UDPゴシック"/>
        <family val="0"/>
        <charset val="1"/>
      </rPr>
      <t xml:space="preserve">1</t>
    </r>
    <r>
      <rPr>
        <sz val="8"/>
        <color rgb="FF8A93A3"/>
        <rFont val="WenQuanYi Zen Hei"/>
        <family val="2"/>
      </rPr>
      <t xml:space="preserve">ページ印刷</t>
    </r>
  </si>
  <si>
    <t xml:space="preserve">　📅 日別データ（動員数・販売数）</t>
  </si>
  <si>
    <r>
      <rPr>
        <sz val="8.5"/>
        <color rgb="FF8A93A3"/>
        <rFont val="WenQuanYi Zen Hei"/>
        <family val="2"/>
      </rPr>
      <t xml:space="preserve">凡例</t>
    </r>
    <r>
      <rPr>
        <sz val="8.5"/>
        <color rgb="FF8A93A3"/>
        <rFont val="BIZ UDPゴシック"/>
        <family val="0"/>
        <charset val="1"/>
      </rPr>
      <t xml:space="preserve">:</t>
    </r>
  </si>
  <si>
    <t xml:space="preserve">✏️ 入力セル</t>
  </si>
  <si>
    <t xml:space="preserve">🔒 自動計算</t>
  </si>
  <si>
    <r>
      <rPr>
        <sz val="8.5"/>
        <color rgb="FF8A93A3"/>
        <rFont val="WenQuanYi Zen Hei"/>
        <family val="2"/>
      </rPr>
      <t xml:space="preserve">日付は左から古い順（右端＝昨日）。販売数は「</t>
    </r>
    <r>
      <rPr>
        <sz val="8.5"/>
        <color rgb="FF8A93A3"/>
        <rFont val="BIZ UDPゴシック"/>
        <family val="0"/>
        <charset val="1"/>
      </rPr>
      <t xml:space="preserve">CSV</t>
    </r>
    <r>
      <rPr>
        <sz val="8.5"/>
        <color rgb="FF8A93A3"/>
        <rFont val="WenQuanYi Zen Hei"/>
        <family val="2"/>
      </rPr>
      <t xml:space="preserve">貼付」シートから自動集計されます。</t>
    </r>
  </si>
  <si>
    <t xml:space="preserve">  日付</t>
  </si>
  <si>
    <t xml:space="preserve">  曜日</t>
  </si>
  <si>
    <r>
      <rPr>
        <sz val="8"/>
        <color rgb="FF8A93A3"/>
        <rFont val="BIZ UDPゴシック"/>
        <family val="0"/>
        <charset val="1"/>
      </rPr>
      <t xml:space="preserve">7</t>
    </r>
    <r>
      <rPr>
        <sz val="8"/>
        <color rgb="FF8A93A3"/>
        <rFont val="WenQuanYi Zen Hei"/>
        <family val="2"/>
      </rPr>
      <t xml:space="preserve">日計</t>
    </r>
  </si>
  <si>
    <r>
      <rPr>
        <b val="true"/>
        <sz val="10"/>
        <color rgb="FF333B4A"/>
        <rFont val="WenQuanYi Zen Hei"/>
        <family val="2"/>
      </rPr>
      <t xml:space="preserve">  動員数（</t>
    </r>
    <r>
      <rPr>
        <b val="true"/>
        <sz val="10"/>
        <color rgb="FF333B4A"/>
        <rFont val="BIZ UDPゴシック"/>
        <family val="0"/>
        <charset val="1"/>
      </rPr>
      <t xml:space="preserve">1</t>
    </r>
    <r>
      <rPr>
        <b val="true"/>
        <sz val="10"/>
        <color rgb="FF333B4A"/>
        <rFont val="WenQuanYi Zen Hei"/>
        <family val="2"/>
      </rPr>
      <t xml:space="preserve">日計）</t>
    </r>
  </si>
  <si>
    <t xml:space="preserve">  動員数（朝）</t>
  </si>
  <si>
    <t xml:space="preserve">← 時間帯別の購買率を使う場合に入力（任意）</t>
  </si>
  <si>
    <t xml:space="preserve">  動員数（昼）</t>
  </si>
  <si>
    <t xml:space="preserve">  動員数（夕方）</t>
  </si>
  <si>
    <t xml:space="preserve">  動員数（夜）</t>
  </si>
  <si>
    <r>
      <rPr>
        <sz val="8"/>
        <color rgb="FF8A93A3"/>
        <rFont val="BIZ UDPゴシック"/>
        <family val="0"/>
        <charset val="1"/>
      </rPr>
      <t xml:space="preserve">  CSV</t>
    </r>
    <r>
      <rPr>
        <sz val="8"/>
        <color rgb="FF8A93A3"/>
        <rFont val="WenQuanYi Zen Hei"/>
        <family val="2"/>
      </rPr>
      <t xml:space="preserve">取込チェック</t>
    </r>
  </si>
  <si>
    <r>
      <rPr>
        <b val="true"/>
        <sz val="9.5"/>
        <color rgb="FFFFFFFF"/>
        <rFont val="BIZ UDPゴシック"/>
        <family val="0"/>
        <charset val="1"/>
      </rPr>
      <t xml:space="preserve">7</t>
    </r>
    <r>
      <rPr>
        <b val="true"/>
        <sz val="9.5"/>
        <color rgb="FFFFFFFF"/>
        <rFont val="WenQuanYi Zen Hei"/>
        <family val="2"/>
      </rPr>
      <t xml:space="preserve">日合計</t>
    </r>
  </si>
  <si>
    <t xml:space="preserve">メモ</t>
  </si>
  <si>
    <r>
      <rPr>
        <sz val="10.5"/>
        <color rgb="FF333B4A"/>
        <rFont val="WenQuanYi Zen Hei"/>
        <family val="2"/>
      </rPr>
      <t xml:space="preserve">ポップコーン（塩）</t>
    </r>
    <r>
      <rPr>
        <sz val="10.5"/>
        <color rgb="FF333B4A"/>
        <rFont val="BIZ UDPゴシック"/>
        <family val="0"/>
        <charset val="1"/>
      </rPr>
      <t xml:space="preserve">M</t>
    </r>
  </si>
  <si>
    <r>
      <rPr>
        <sz val="10.5"/>
        <color rgb="FF333B4A"/>
        <rFont val="WenQuanYi Zen Hei"/>
        <family val="2"/>
      </rPr>
      <t xml:space="preserve">ポップコーン（キャラメル）</t>
    </r>
    <r>
      <rPr>
        <sz val="10.5"/>
        <color rgb="FF333B4A"/>
        <rFont val="BIZ UDPゴシック"/>
        <family val="0"/>
        <charset val="1"/>
      </rPr>
      <t xml:space="preserve">M</t>
    </r>
  </si>
  <si>
    <t xml:space="preserve">ポップコーン ハーフ＆ハーフ</t>
  </si>
  <si>
    <r>
      <rPr>
        <sz val="10.5"/>
        <color rgb="FF333B4A"/>
        <rFont val="WenQuanYi Zen Hei"/>
        <family val="2"/>
      </rPr>
      <t xml:space="preserve">ドリンク </t>
    </r>
    <r>
      <rPr>
        <sz val="10.5"/>
        <color rgb="FF333B4A"/>
        <rFont val="BIZ UDPゴシック"/>
        <family val="0"/>
        <charset val="1"/>
      </rPr>
      <t xml:space="preserve">S</t>
    </r>
  </si>
  <si>
    <r>
      <rPr>
        <sz val="10.5"/>
        <color rgb="FF333B4A"/>
        <rFont val="WenQuanYi Zen Hei"/>
        <family val="2"/>
      </rPr>
      <t xml:space="preserve">ドリンク </t>
    </r>
    <r>
      <rPr>
        <sz val="10.5"/>
        <color rgb="FF333B4A"/>
        <rFont val="BIZ UDPゴシック"/>
        <family val="0"/>
        <charset val="1"/>
      </rPr>
      <t xml:space="preserve">M</t>
    </r>
  </si>
  <si>
    <r>
      <rPr>
        <sz val="10.5"/>
        <color rgb="FF333B4A"/>
        <rFont val="WenQuanYi Zen Hei"/>
        <family val="2"/>
      </rPr>
      <t xml:space="preserve">ドリンク </t>
    </r>
    <r>
      <rPr>
        <sz val="10.5"/>
        <color rgb="FF333B4A"/>
        <rFont val="BIZ UDPゴシック"/>
        <family val="0"/>
        <charset val="1"/>
      </rPr>
      <t xml:space="preserve">L</t>
    </r>
  </si>
  <si>
    <t xml:space="preserve">チュロス（シナモン）</t>
  </si>
  <si>
    <t xml:space="preserve">ホットドッグ</t>
  </si>
  <si>
    <t xml:space="preserve">ナチョス（チーズソース）</t>
  </si>
  <si>
    <t xml:space="preserve">フライドポテト</t>
  </si>
  <si>
    <t xml:space="preserve">チキンナゲット</t>
  </si>
  <si>
    <t xml:space="preserve">ソフトクリーム（バニラ）</t>
  </si>
  <si>
    <r>
      <rPr>
        <sz val="8.5"/>
        <color rgb="FF8A93A3"/>
        <rFont val="WenQuanYi Zen Hei"/>
        <family val="2"/>
      </rPr>
      <t xml:space="preserve">※ 販売数のセルは自動計算です。</t>
    </r>
    <r>
      <rPr>
        <sz val="8.5"/>
        <color rgb="FF8A93A3"/>
        <rFont val="BIZ UDPゴシック"/>
        <family val="0"/>
        <charset val="1"/>
      </rPr>
      <t xml:space="preserve">CSV</t>
    </r>
    <r>
      <rPr>
        <sz val="8.5"/>
        <color rgb="FF8A93A3"/>
        <rFont val="WenQuanYi Zen Hei"/>
        <family val="2"/>
      </rPr>
      <t xml:space="preserve">を使わず手入力したい場合は、数値を直接入力しても使えます（自動集計に戻すには、となりのセルの数式をコピーしてください。手入力時は時間帯別の計算は使えません）。</t>
    </r>
  </si>
  <si>
    <r>
      <rPr>
        <b val="true"/>
        <sz val="14"/>
        <color rgb="FFFFFFFF"/>
        <rFont val="WenQuanYi Zen Hei"/>
        <family val="2"/>
      </rPr>
      <t xml:space="preserve">　📋 </t>
    </r>
    <r>
      <rPr>
        <b val="true"/>
        <sz val="14"/>
        <color rgb="FFFFFFFF"/>
        <rFont val="BIZ UDPゴシック"/>
        <family val="0"/>
        <charset val="1"/>
      </rPr>
      <t xml:space="preserve">CSV</t>
    </r>
    <r>
      <rPr>
        <b val="true"/>
        <sz val="14"/>
        <color rgb="FFFFFFFF"/>
        <rFont val="WenQuanYi Zen Hei"/>
        <family val="2"/>
      </rPr>
      <t xml:space="preserve">貼付（集計ソフトのデータ）</t>
    </r>
  </si>
  <si>
    <r>
      <rPr>
        <sz val="9"/>
        <color rgb="FF8A93A3"/>
        <rFont val="WenQuanYi Zen Hei"/>
        <family val="2"/>
      </rPr>
      <t xml:space="preserve">集計ソフトから抽出した</t>
    </r>
    <r>
      <rPr>
        <sz val="9"/>
        <color rgb="FF8A93A3"/>
        <rFont val="BIZ UDPゴシック"/>
        <family val="0"/>
        <charset val="1"/>
      </rPr>
      <t xml:space="preserve">CSV</t>
    </r>
    <r>
      <rPr>
        <sz val="9"/>
        <color rgb="FF8A93A3"/>
        <rFont val="WenQuanYi Zen Hei"/>
        <family val="2"/>
      </rPr>
      <t xml:space="preserve">を、</t>
    </r>
    <r>
      <rPr>
        <sz val="9"/>
        <color rgb="FF8A93A3"/>
        <rFont val="BIZ UDPゴシック"/>
        <family val="0"/>
        <charset val="1"/>
      </rPr>
      <t xml:space="preserve">5</t>
    </r>
    <r>
      <rPr>
        <sz val="9"/>
        <color rgb="FF8A93A3"/>
        <rFont val="WenQuanYi Zen Hei"/>
        <family val="2"/>
      </rPr>
      <t xml:space="preserve">行目以降にそのまま貼り付けてください（</t>
    </r>
    <r>
      <rPr>
        <sz val="9"/>
        <color rgb="FF8A93A3"/>
        <rFont val="BIZ UDPゴシック"/>
        <family val="0"/>
        <charset val="1"/>
      </rPr>
      <t xml:space="preserve">A=</t>
    </r>
    <r>
      <rPr>
        <sz val="9"/>
        <color rgb="FF8A93A3"/>
        <rFont val="WenQuanYi Zen Hei"/>
        <family val="2"/>
      </rPr>
      <t xml:space="preserve">日付・</t>
    </r>
    <r>
      <rPr>
        <sz val="9"/>
        <color rgb="FF8A93A3"/>
        <rFont val="BIZ UDPゴシック"/>
        <family val="0"/>
        <charset val="1"/>
      </rPr>
      <t xml:space="preserve">B=</t>
    </r>
    <r>
      <rPr>
        <sz val="9"/>
        <color rgb="FF8A93A3"/>
        <rFont val="WenQuanYi Zen Hei"/>
        <family val="2"/>
      </rPr>
      <t xml:space="preserve">商品名・</t>
    </r>
    <r>
      <rPr>
        <sz val="9"/>
        <color rgb="FF8A93A3"/>
        <rFont val="BIZ UDPゴシック"/>
        <family val="0"/>
        <charset val="1"/>
      </rPr>
      <t xml:space="preserve">C=</t>
    </r>
    <r>
      <rPr>
        <sz val="9"/>
        <color rgb="FF8A93A3"/>
        <rFont val="WenQuanYi Zen Hei"/>
        <family val="2"/>
      </rPr>
      <t xml:space="preserve">販売数・</t>
    </r>
    <r>
      <rPr>
        <sz val="9"/>
        <color rgb="FF8A93A3"/>
        <rFont val="BIZ UDPゴシック"/>
        <family val="0"/>
        <charset val="1"/>
      </rPr>
      <t xml:space="preserve">D=</t>
    </r>
    <r>
      <rPr>
        <sz val="9"/>
        <color rgb="FF8A93A3"/>
        <rFont val="WenQuanYi Zen Hei"/>
        <family val="2"/>
      </rPr>
      <t xml:space="preserve">時刻か時間帯</t>
    </r>
    <r>
      <rPr>
        <sz val="9"/>
        <color rgb="FF8A93A3"/>
        <rFont val="BIZ UDPゴシック"/>
        <family val="0"/>
        <charset val="1"/>
      </rPr>
      <t xml:space="preserve">(</t>
    </r>
    <r>
      <rPr>
        <sz val="9"/>
        <color rgb="FF8A93A3"/>
        <rFont val="WenQuanYi Zen Hei"/>
        <family val="2"/>
      </rPr>
      <t xml:space="preserve">任意</t>
    </r>
    <r>
      <rPr>
        <sz val="9"/>
        <color rgb="FF8A93A3"/>
        <rFont val="BIZ UDPゴシック"/>
        <family val="0"/>
        <charset val="1"/>
      </rPr>
      <t xml:space="preserve">)</t>
    </r>
    <r>
      <rPr>
        <sz val="9"/>
        <color rgb="FF8A93A3"/>
        <rFont val="WenQuanYi Zen Hei"/>
        <family val="2"/>
      </rPr>
      <t xml:space="preserve">・</t>
    </r>
    <r>
      <rPr>
        <sz val="9"/>
        <color rgb="FF8A93A3"/>
        <rFont val="BIZ UDPゴシック"/>
        <family val="0"/>
        <charset val="1"/>
      </rPr>
      <t xml:space="preserve">E</t>
    </r>
    <r>
      <rPr>
        <sz val="9"/>
        <color rgb="FF8A93A3"/>
        <rFont val="WenQuanYi Zen Hei"/>
        <family val="2"/>
      </rPr>
      <t xml:space="preserve">〜</t>
    </r>
    <r>
      <rPr>
        <sz val="9"/>
        <color rgb="FF8A93A3"/>
        <rFont val="BIZ UDPゴシック"/>
        <family val="0"/>
        <charset val="1"/>
      </rPr>
      <t xml:space="preserve">G=</t>
    </r>
    <r>
      <rPr>
        <sz val="9"/>
        <color rgb="FF8A93A3"/>
        <rFont val="WenQuanYi Zen Hei"/>
        <family val="2"/>
      </rPr>
      <t xml:space="preserve">予備、最大</t>
    </r>
    <r>
      <rPr>
        <sz val="9"/>
        <color rgb="FF8A93A3"/>
        <rFont val="BIZ UDPゴシック"/>
        <family val="0"/>
        <charset val="1"/>
      </rPr>
      <t xml:space="preserve">2000</t>
    </r>
    <r>
      <rPr>
        <sz val="9"/>
        <color rgb="FF8A93A3"/>
        <rFont val="WenQuanYi Zen Hei"/>
        <family val="2"/>
      </rPr>
      <t xml:space="preserve">行）。列が多い</t>
    </r>
    <r>
      <rPr>
        <sz val="9"/>
        <color rgb="FF8A93A3"/>
        <rFont val="BIZ UDPゴシック"/>
        <family val="0"/>
        <charset val="1"/>
      </rPr>
      <t xml:space="preserve">CSV</t>
    </r>
    <r>
      <rPr>
        <sz val="9"/>
        <color rgb="FF8A93A3"/>
        <rFont val="WenQuanYi Zen Hei"/>
        <family val="2"/>
      </rPr>
      <t xml:space="preserve">は必要な列だけ貼ると確実です。</t>
    </r>
  </si>
  <si>
    <t xml:space="preserve">貼付行数</t>
  </si>
  <si>
    <t xml:space="preserve">⚠ 未登録</t>
  </si>
  <si>
    <t xml:space="preserve">日付</t>
  </si>
  <si>
    <t xml:space="preserve">販売数</t>
  </si>
  <si>
    <t xml:space="preserve">時刻・時間帯</t>
  </si>
  <si>
    <t xml:space="preserve">金額（予備）</t>
  </si>
  <si>
    <t xml:space="preserve">（予備）</t>
  </si>
  <si>
    <t xml:space="preserve">商品名チェック</t>
  </si>
  <si>
    <t xml:space="preserve">時間帯判定</t>
  </si>
  <si>
    <r>
      <rPr>
        <sz val="9.5"/>
        <color rgb="FF333B4A"/>
        <rFont val="WenQuanYi Zen Hei"/>
        <family val="2"/>
      </rPr>
      <t xml:space="preserve">ポップコーン（塩）</t>
    </r>
    <r>
      <rPr>
        <sz val="9.5"/>
        <color rgb="FF333B4A"/>
        <rFont val="BIZ UDPゴシック"/>
        <family val="0"/>
        <charset val="1"/>
      </rPr>
      <t xml:space="preserve">M</t>
    </r>
  </si>
  <si>
    <t xml:space="preserve"> ⏰ 時間帯の区切り</t>
  </si>
  <si>
    <t xml:space="preserve">朝→昼 </t>
  </si>
  <si>
    <t xml:space="preserve">昼→夕方 </t>
  </si>
  <si>
    <t xml:space="preserve">夕方→夜 </t>
  </si>
  <si>
    <r>
      <rPr>
        <sz val="9.5"/>
        <color rgb="FF333B4A"/>
        <rFont val="WenQuanYi Zen Hei"/>
        <family val="2"/>
      </rPr>
      <t xml:space="preserve">ポップコーン（キャラメル）</t>
    </r>
    <r>
      <rPr>
        <sz val="9.5"/>
        <color rgb="FF333B4A"/>
        <rFont val="BIZ UDPゴシック"/>
        <family val="0"/>
        <charset val="1"/>
      </rPr>
      <t xml:space="preserve">M</t>
    </r>
  </si>
  <si>
    <r>
      <rPr>
        <sz val="9.5"/>
        <color rgb="FF333B4A"/>
        <rFont val="WenQuanYi Zen Hei"/>
        <family val="2"/>
      </rPr>
      <t xml:space="preserve">ドリンク </t>
    </r>
    <r>
      <rPr>
        <sz val="9.5"/>
        <color rgb="FF333B4A"/>
        <rFont val="BIZ UDPゴシック"/>
        <family val="0"/>
        <charset val="1"/>
      </rPr>
      <t xml:space="preserve">S</t>
    </r>
  </si>
  <si>
    <r>
      <rPr>
        <sz val="9.5"/>
        <color rgb="FF333B4A"/>
        <rFont val="WenQuanYi Zen Hei"/>
        <family val="2"/>
      </rPr>
      <t xml:space="preserve">ドリンク </t>
    </r>
    <r>
      <rPr>
        <sz val="9.5"/>
        <color rgb="FF333B4A"/>
        <rFont val="BIZ UDPゴシック"/>
        <family val="0"/>
        <charset val="1"/>
      </rPr>
      <t xml:space="preserve">M</t>
    </r>
  </si>
  <si>
    <r>
      <rPr>
        <sz val="9.5"/>
        <color rgb="FF333B4A"/>
        <rFont val="WenQuanYi Zen Hei"/>
        <family val="2"/>
      </rPr>
      <t xml:space="preserve">ドリンク </t>
    </r>
    <r>
      <rPr>
        <sz val="9.5"/>
        <color rgb="FF333B4A"/>
        <rFont val="BIZ UDPゴシック"/>
        <family val="0"/>
        <charset val="1"/>
      </rPr>
      <t xml:space="preserve">L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</si>
</sst>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\×0%"/>
    <numFmt numFmtId="167" formatCode="0.0%"/>
    <numFmt numFmtId="168" formatCode="General"/>
    <numFmt numFmtId="169" formatCode="m/d"/>
    <numFmt numFmtId="170" formatCode="h:mm"/>
  </numFmts>
  <fonts count="5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WenQuanYi Zen Hei"/>
      <family val="2"/>
    </font>
    <font>
      <sz val="9.5"/>
      <color rgb="FF8A93A3"/>
      <name val="BIZ UDPゴシック"/>
      <family val="0"/>
      <charset val="1"/>
    </font>
    <font>
      <sz val="9.5"/>
      <color rgb="FF8A93A3"/>
      <name val="WenQuanYi Zen Hei"/>
      <family val="2"/>
    </font>
    <font>
      <b val="true"/>
      <sz val="10"/>
      <color rgb="FF2E3A59"/>
      <name val="WenQuanYi Zen Hei"/>
      <family val="2"/>
    </font>
    <font>
      <b val="true"/>
      <sz val="10"/>
      <color rgb="FF2E3A59"/>
      <name val="BIZ UDPゴシック"/>
      <family val="0"/>
      <charset val="1"/>
    </font>
    <font>
      <b val="true"/>
      <sz val="16"/>
      <color rgb="FFE8604C"/>
      <name val="BIZ UDPゴシック"/>
      <family val="0"/>
      <charset val="1"/>
    </font>
    <font>
      <b val="true"/>
      <sz val="11"/>
      <color rgb="FF333B4A"/>
      <name val="WenQuanYi Zen Hei"/>
      <family val="2"/>
    </font>
    <font>
      <sz val="9"/>
      <color rgb="FF8A93A3"/>
      <name val="WenQuanYi Zen Hei"/>
      <family val="2"/>
    </font>
    <font>
      <sz val="9"/>
      <color rgb="FF8A93A3"/>
      <name val="BIZ UDPゴシック"/>
      <family val="0"/>
      <charset val="1"/>
    </font>
    <font>
      <b val="true"/>
      <sz val="16"/>
      <color rgb="FFE9A13B"/>
      <name val="BIZ UDPゴシック"/>
      <family val="0"/>
      <charset val="1"/>
    </font>
    <font>
      <b val="true"/>
      <sz val="11"/>
      <color rgb="FF333B4A"/>
      <name val="BIZ UDPゴシック"/>
      <family val="0"/>
      <charset val="1"/>
    </font>
    <font>
      <b val="true"/>
      <sz val="16"/>
      <color rgb="FF1F9E92"/>
      <name val="BIZ UDPゴシック"/>
      <family val="0"/>
      <charset val="1"/>
    </font>
    <font>
      <sz val="9.5"/>
      <color rgb="FF333B4A"/>
      <name val="WenQuanYi Zen Hei"/>
      <family val="2"/>
    </font>
    <font>
      <sz val="9.5"/>
      <color rgb="FF5B6472"/>
      <name val="WenQuanYi Zen Hei"/>
      <family val="2"/>
    </font>
    <font>
      <sz val="10"/>
      <color rgb="FF333B4A"/>
      <name val="WenQuanYi Zen Hei"/>
      <family val="2"/>
    </font>
    <font>
      <sz val="10"/>
      <color rgb="FF333B4A"/>
      <name val="BIZ UDPゴシック"/>
      <family val="0"/>
      <charset val="1"/>
    </font>
    <font>
      <sz val="9.5"/>
      <color rgb="FF333B4A"/>
      <name val="BIZ UDPゴシック"/>
      <family val="0"/>
      <charset val="1"/>
    </font>
    <font>
      <sz val="8.5"/>
      <color rgb="FF8A93A3"/>
      <name val="WenQuanYi Zen Hei"/>
      <family val="2"/>
    </font>
    <font>
      <sz val="8.5"/>
      <color rgb="FF8A93A3"/>
      <name val="BIZ UDPゴシック"/>
      <family val="0"/>
      <charset val="1"/>
    </font>
    <font>
      <sz val="8"/>
      <color rgb="FF8A93A3"/>
      <name val="WenQuanYi Zen Hei"/>
      <family val="2"/>
    </font>
    <font>
      <b val="true"/>
      <sz val="10"/>
      <color rgb="FF333B4A"/>
      <name val="WenQuanYi Zen Hei"/>
      <family val="2"/>
    </font>
    <font>
      <b val="true"/>
      <sz val="10.5"/>
      <color rgb="FF333B4A"/>
      <name val="WenQuanYi Zen Hei"/>
      <family val="2"/>
    </font>
    <font>
      <b val="true"/>
      <sz val="10.5"/>
      <color rgb="FF333B4A"/>
      <name val="BIZ UDPゴシック"/>
      <family val="0"/>
      <charset val="1"/>
    </font>
    <font>
      <b val="true"/>
      <sz val="10.5"/>
      <color rgb="FFE8604C"/>
      <name val="BIZ UDPゴシック"/>
      <family val="0"/>
      <charset val="1"/>
    </font>
    <font>
      <b val="true"/>
      <sz val="8.5"/>
      <color rgb="FFD14343"/>
      <name val="BIZ UDPゴシック"/>
      <family val="0"/>
      <charset val="1"/>
    </font>
    <font>
      <b val="true"/>
      <sz val="9.5"/>
      <color rgb="FFFFFFFF"/>
      <name val="BIZ UDPゴシック"/>
      <family val="0"/>
      <charset val="1"/>
    </font>
    <font>
      <b val="true"/>
      <sz val="9.5"/>
      <color rgb="FFFFFFFF"/>
      <name val="WenQuanYi Zen Hei"/>
      <family val="2"/>
    </font>
    <font>
      <b val="true"/>
      <sz val="11"/>
      <color rgb="FFFFFFFF"/>
      <name val="WenQuanYi Zen Hei"/>
      <family val="2"/>
    </font>
    <font>
      <b val="true"/>
      <sz val="11"/>
      <color rgb="FFFFFFFF"/>
      <name val="BIZ UDPゴシック"/>
      <family val="0"/>
      <charset val="1"/>
    </font>
    <font>
      <sz val="10.5"/>
      <color rgb="FF333B4A"/>
      <name val="WenQuanYi Zen Hei"/>
      <family val="2"/>
    </font>
    <font>
      <sz val="10"/>
      <color rgb="FF5B6472"/>
      <name val="BIZ UDPゴシック"/>
      <family val="0"/>
      <charset val="1"/>
    </font>
    <font>
      <b val="true"/>
      <sz val="13"/>
      <color rgb="FFE8604C"/>
      <name val="BIZ UDPゴシック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b val="true"/>
      <sz val="12"/>
      <color rgb="FFE8604C"/>
      <name val="WenQuanYi Zen Hei"/>
      <family val="2"/>
    </font>
    <font>
      <b val="true"/>
      <sz val="10"/>
      <color rgb="FFFFFFFF"/>
      <name val="BIZ UDPゴシック"/>
      <family val="0"/>
      <charset val="1"/>
    </font>
    <font>
      <b val="true"/>
      <sz val="10"/>
      <color rgb="FFFFFFFF"/>
      <name val="WenQuanYi Zen Hei"/>
      <family val="2"/>
    </font>
    <font>
      <sz val="11.5"/>
      <color rgb="FF333B4A"/>
      <name val="WenQuanYi Zen Hei"/>
      <family val="2"/>
    </font>
    <font>
      <b val="true"/>
      <sz val="14"/>
      <color rgb="FFE8604C"/>
      <name val="BIZ UDPゴシック"/>
      <family val="0"/>
      <charset val="1"/>
    </font>
    <font>
      <sz val="12"/>
      <color rgb="FFB9C0CC"/>
      <name val="BIZ UDPゴシック"/>
      <family val="0"/>
      <charset val="1"/>
    </font>
    <font>
      <sz val="8"/>
      <color rgb="FF8A93A3"/>
      <name val="BIZ UDPゴシック"/>
      <family val="0"/>
      <charset val="1"/>
    </font>
    <font>
      <sz val="8.5"/>
      <color rgb="FF333B4A"/>
      <name val="WenQuanYi Zen Hei"/>
      <family val="2"/>
    </font>
    <font>
      <sz val="8.5"/>
      <color rgb="FF5B6472"/>
      <name val="WenQuanYi Zen Hei"/>
      <family val="2"/>
    </font>
    <font>
      <b val="true"/>
      <sz val="10"/>
      <color rgb="FF333B4A"/>
      <name val="BIZ UDPゴシック"/>
      <family val="0"/>
      <charset val="1"/>
    </font>
    <font>
      <sz val="10.5"/>
      <color rgb="FF333B4A"/>
      <name val="BIZ UDPゴシック"/>
      <family val="0"/>
      <charset val="1"/>
    </font>
    <font>
      <b val="true"/>
      <sz val="10.5"/>
      <color rgb="FF1F9E92"/>
      <name val="BIZ UDPゴシック"/>
      <family val="0"/>
      <charset val="1"/>
    </font>
    <font>
      <sz val="9"/>
      <color rgb="FF5B6472"/>
      <name val="WenQuanYi Zen Hei"/>
      <family val="2"/>
    </font>
    <font>
      <b val="true"/>
      <sz val="9.5"/>
      <color rgb="FF5B6472"/>
      <name val="BIZ UDPゴシック"/>
      <family val="0"/>
      <charset val="1"/>
    </font>
    <font>
      <b val="true"/>
      <sz val="10"/>
      <color rgb="FF5B6472"/>
      <name val="BIZ UDPゴシック"/>
      <family val="0"/>
      <charset val="1"/>
    </font>
    <font>
      <sz val="9"/>
      <color rgb="FF333B4A"/>
      <name val="BIZ UDPゴシック"/>
      <family val="0"/>
      <charset val="1"/>
    </font>
    <font>
      <b val="true"/>
      <sz val="14"/>
      <color rgb="FFFFFFFF"/>
      <name val="BIZ UDPゴシック"/>
      <family val="0"/>
      <charset val="1"/>
    </font>
    <font>
      <b val="true"/>
      <sz val="9"/>
      <color rgb="FF333B4A"/>
      <name val="BIZ UDPゴシック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2E3A59"/>
        <bgColor rgb="FF333B4A"/>
      </patternFill>
    </fill>
    <fill>
      <patternFill patternType="solid">
        <fgColor rgb="FFE9EDF5"/>
        <bgColor rgb="FFDFF2F0"/>
      </patternFill>
    </fill>
    <fill>
      <patternFill patternType="solid">
        <fgColor rgb="FFFFFFFF"/>
        <bgColor rgb="FFF8FAFC"/>
      </patternFill>
    </fill>
    <fill>
      <patternFill patternType="solid">
        <fgColor rgb="FFFFF4D6"/>
        <bgColor rgb="FFFDF0DA"/>
      </patternFill>
    </fill>
    <fill>
      <patternFill patternType="solid">
        <fgColor rgb="FFF2F4F7"/>
        <bgColor rgb="FFF7F8FA"/>
      </patternFill>
    </fill>
    <fill>
      <patternFill patternType="solid">
        <fgColor rgb="FFF7F8FA"/>
        <bgColor rgb="FFF8FAFC"/>
      </patternFill>
    </fill>
    <fill>
      <patternFill patternType="solid">
        <fgColor rgb="FFFCE7E2"/>
        <bgColor rgb="FFFDECEC"/>
      </patternFill>
    </fill>
    <fill>
      <patternFill patternType="solid">
        <fgColor rgb="FFE8604C"/>
        <bgColor rgb="FFD14343"/>
      </patternFill>
    </fill>
    <fill>
      <patternFill patternType="solid">
        <fgColor rgb="FFFFF1EE"/>
        <bgColor rgb="FFFDECEC"/>
      </patternFill>
    </fill>
    <fill>
      <patternFill patternType="solid">
        <fgColor rgb="FFF8FAFC"/>
        <bgColor rgb="FFF7F8FA"/>
      </patternFill>
    </fill>
    <fill>
      <patternFill patternType="solid">
        <fgColor rgb="FFDFF2F0"/>
        <bgColor rgb="FFE9EDF5"/>
      </patternFill>
    </fill>
    <fill>
      <patternFill patternType="solid">
        <fgColor rgb="FFFDF0DA"/>
        <bgColor rgb="FFFFF4D6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>
        <color rgb="FFE8604C"/>
      </left>
      <right/>
      <top style="medium">
        <color rgb="FFE8604C"/>
      </top>
      <bottom style="medium">
        <color rgb="FFE8604C"/>
      </bottom>
      <diagonal/>
    </border>
    <border diagonalUp="false" diagonalDown="false">
      <left style="medium">
        <color rgb="FFE9A13B"/>
      </left>
      <right/>
      <top style="medium">
        <color rgb="FFE9A13B"/>
      </top>
      <bottom style="medium">
        <color rgb="FFE9A13B"/>
      </bottom>
      <diagonal/>
    </border>
    <border diagonalUp="false" diagonalDown="false">
      <left style="medium">
        <color rgb="FF1F9E92"/>
      </left>
      <right/>
      <top style="medium">
        <color rgb="FF1F9E92"/>
      </top>
      <bottom style="medium">
        <color rgb="FF1F9E92"/>
      </bottom>
      <diagonal/>
    </border>
    <border diagonalUp="false" diagonalDown="false"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  <border diagonalUp="false" diagonalDown="false">
      <left style="thin">
        <color rgb="FFDFE3EA"/>
      </left>
      <right style="thin">
        <color rgb="FFDFE3EA"/>
      </right>
      <top style="thin">
        <color rgb="FFDFE3EA"/>
      </top>
      <bottom style="thin">
        <color rgb="FFDFE3EA"/>
      </bottom>
      <diagonal/>
    </border>
    <border diagonalUp="false" diagonalDown="false">
      <left style="hair">
        <color rgb="FFDFE3EA"/>
      </left>
      <right style="hair">
        <color rgb="FFDFE3EA"/>
      </right>
      <top style="hair">
        <color rgb="FFDFE3EA"/>
      </top>
      <bottom style="hair">
        <color rgb="FFDFE3EA"/>
      </bottom>
      <diagonal/>
    </border>
    <border diagonalUp="false" diagonalDown="false">
      <left style="hair">
        <color rgb="FFDFE3EA"/>
      </left>
      <right style="hair">
        <color rgb="FFDFE3EA"/>
      </right>
      <top/>
      <bottom style="hair">
        <color rgb="FFDFE3EA"/>
      </bottom>
      <diagonal/>
    </border>
    <border diagonalUp="false" diagonalDown="false">
      <left style="medium">
        <color rgb="FFE8604C"/>
      </left>
      <right style="medium">
        <color rgb="FFE8604C"/>
      </right>
      <top/>
      <bottom style="hair">
        <color rgb="FFDFE3EA"/>
      </bottom>
      <diagonal/>
    </border>
    <border diagonalUp="false" diagonalDown="false">
      <left style="medium">
        <color rgb="FFE8604C"/>
      </left>
      <right style="medium">
        <color rgb="FFE8604C"/>
      </right>
      <top/>
      <bottom style="medium">
        <color rgb="FFE8604C"/>
      </bottom>
      <diagonal/>
    </border>
    <border diagonalUp="false" diagonalDown="false">
      <left style="medium">
        <color rgb="FFE8604C"/>
      </left>
      <right style="medium">
        <color rgb="FFE8604C"/>
      </right>
      <top style="thin">
        <color rgb="FFDFE3EA"/>
      </top>
      <bottom style="thin">
        <color rgb="FFDFE3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7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2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6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7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5" fillId="1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1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4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4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5" fillId="1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42" fillId="1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5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47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8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9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0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1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9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4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2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5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55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BIZ UDPゴシック"/>
        <charset val="1"/>
        <family val="0"/>
        <b val="1"/>
        <color rgb="FFD14343"/>
        <sz val="9"/>
      </font>
    </dxf>
    <dxf>
      <fill>
        <patternFill>
          <bgColor rgb="FFFBE3C8"/>
        </patternFill>
      </fill>
    </dxf>
    <dxf>
      <font>
        <name val="BIZ UDPゴシック"/>
        <charset val="1"/>
        <family val="0"/>
        <b val="1"/>
        <color rgb="FFD14343"/>
      </font>
    </dxf>
    <dxf>
      <font>
        <name val="BIZ UDPゴシック"/>
        <charset val="1"/>
        <family val="0"/>
        <b val="1"/>
        <color rgb="FF3B6FD4"/>
      </font>
    </dxf>
    <dxf>
      <font>
        <name val="BIZ UDPゴシック"/>
        <charset val="1"/>
        <family val="0"/>
        <color rgb="FF2E9E5B"/>
        <sz val="8"/>
      </font>
    </dxf>
    <dxf>
      <font>
        <name val="BIZ UDPゴシック"/>
        <charset val="1"/>
        <family val="0"/>
        <b val="1"/>
        <color rgb="FFD14343"/>
        <sz val="8"/>
      </font>
    </dxf>
    <dxf>
      <font>
        <name val="BIZ UDPゴシック"/>
        <charset val="1"/>
        <family val="0"/>
        <color rgb="FF2E9E5B"/>
        <sz val="9"/>
      </font>
    </dxf>
    <dxf>
      <font>
        <name val="BIZ UDPゴシック"/>
        <charset val="1"/>
        <family val="0"/>
        <b val="1"/>
        <color rgb="FFD14343"/>
        <sz val="9"/>
      </font>
      <fill>
        <patternFill>
          <bgColor rgb="FFFDEC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1EE"/>
      <rgbColor rgb="FFFF00FF"/>
      <rgbColor rgb="FF00FFFF"/>
      <rgbColor rgb="FF800000"/>
      <rgbColor rgb="FF008000"/>
      <rgbColor rgb="FF000080"/>
      <rgbColor rgb="FF808000"/>
      <rgbColor rgb="FF800080"/>
      <rgbColor rgb="FF1F9E92"/>
      <rgbColor rgb="FFB9C0CC"/>
      <rgbColor rgb="FF808080"/>
      <rgbColor rgb="FF9999FF"/>
      <rgbColor rgb="FFD14343"/>
      <rgbColor rgb="FFFFF4D6"/>
      <rgbColor rgb="FFDFF2F0"/>
      <rgbColor rgb="FF660066"/>
      <rgbColor rgb="FFFF8080"/>
      <rgbColor rgb="FF0066CC"/>
      <rgbColor rgb="FFDFE3EA"/>
      <rgbColor rgb="FF000080"/>
      <rgbColor rgb="FFFF00FF"/>
      <rgbColor rgb="FFF7F8FA"/>
      <rgbColor rgb="FF00FFFF"/>
      <rgbColor rgb="FF800080"/>
      <rgbColor rgb="FF800000"/>
      <rgbColor rgb="FF008080"/>
      <rgbColor rgb="FF0000FF"/>
      <rgbColor rgb="FF00CCFF"/>
      <rgbColor rgb="FFE9EDF5"/>
      <rgbColor rgb="FFF2F4F7"/>
      <rgbColor rgb="FFFDF0DA"/>
      <rgbColor rgb="FFFCE7E2"/>
      <rgbColor rgb="FFFBE3C8"/>
      <rgbColor rgb="FFFDECEC"/>
      <rgbColor rgb="FFF0D48A"/>
      <rgbColor rgb="FF3B6FD4"/>
      <rgbColor rgb="FF33CCCC"/>
      <rgbColor rgb="FF99CC00"/>
      <rgbColor rgb="FFF8FAFC"/>
      <rgbColor rgb="FFE9A13B"/>
      <rgbColor rgb="FFE8604C"/>
      <rgbColor rgb="FF5B6472"/>
      <rgbColor rgb="FF8A93A3"/>
      <rgbColor rgb="FF003366"/>
      <rgbColor rgb="FF2E9E5B"/>
      <rgbColor rgb="FF003300"/>
      <rgbColor rgb="FF333300"/>
      <rgbColor rgb="FF993300"/>
      <rgbColor rgb="FF993366"/>
      <rgbColor rgb="FF2E3A59"/>
      <rgbColor rgb="FF333B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3A59"/>
    <pageSetUpPr fitToPage="true"/>
  </sheetPr>
  <dimension ref="A1:J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6"/>
    <col collapsed="false" customWidth="true" hidden="false" outlineLevel="0" max="10" min="3" style="0" width="13"/>
  </cols>
  <sheetData>
    <row r="1" customFormat="false" ht="37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  <c r="J2" s="2"/>
    </row>
    <row r="4" customFormat="false" ht="21.75" hidden="false" customHeight="true" outlineLevel="0" collapsed="false">
      <c r="B4" s="3" t="s">
        <v>2</v>
      </c>
      <c r="C4" s="3"/>
      <c r="D4" s="3"/>
    </row>
    <row r="6" customFormat="false" ht="24" hidden="false" customHeight="true" outlineLevel="0" collapsed="false">
      <c r="B6" s="4" t="s">
        <v>3</v>
      </c>
      <c r="C6" s="5" t="s">
        <v>4</v>
      </c>
      <c r="D6" s="5"/>
      <c r="E6" s="5"/>
      <c r="F6" s="5"/>
      <c r="G6" s="5"/>
      <c r="H6" s="5"/>
      <c r="I6" s="5"/>
      <c r="J6" s="5"/>
    </row>
    <row r="7" customFormat="false" ht="19.5" hidden="false" customHeight="true" outlineLevel="0" collapsed="false">
      <c r="B7" s="4"/>
      <c r="C7" s="6" t="s">
        <v>5</v>
      </c>
      <c r="D7" s="6"/>
      <c r="E7" s="6"/>
      <c r="F7" s="6"/>
      <c r="G7" s="6"/>
      <c r="H7" s="6"/>
      <c r="I7" s="6"/>
      <c r="J7" s="6"/>
    </row>
    <row r="9" customFormat="false" ht="24" hidden="false" customHeight="true" outlineLevel="0" collapsed="false">
      <c r="B9" s="7" t="s">
        <v>6</v>
      </c>
      <c r="C9" s="5" t="s">
        <v>7</v>
      </c>
      <c r="D9" s="5"/>
      <c r="E9" s="5"/>
      <c r="F9" s="5"/>
      <c r="G9" s="5"/>
      <c r="H9" s="5"/>
      <c r="I9" s="5"/>
      <c r="J9" s="5"/>
    </row>
    <row r="10" customFormat="false" ht="19.5" hidden="false" customHeight="true" outlineLevel="0" collapsed="false">
      <c r="B10" s="7"/>
      <c r="C10" s="8" t="s">
        <v>8</v>
      </c>
      <c r="D10" s="8"/>
      <c r="E10" s="8"/>
      <c r="F10" s="8"/>
      <c r="G10" s="8"/>
      <c r="H10" s="8"/>
      <c r="I10" s="8"/>
      <c r="J10" s="8"/>
    </row>
    <row r="12" customFormat="false" ht="24" hidden="false" customHeight="true" outlineLevel="0" collapsed="false">
      <c r="B12" s="9" t="s">
        <v>9</v>
      </c>
      <c r="C12" s="5" t="s">
        <v>10</v>
      </c>
      <c r="D12" s="5"/>
      <c r="E12" s="5"/>
      <c r="F12" s="5"/>
      <c r="G12" s="5"/>
      <c r="H12" s="5"/>
      <c r="I12" s="5"/>
      <c r="J12" s="5"/>
    </row>
    <row r="13" customFormat="false" ht="19.5" hidden="false" customHeight="true" outlineLevel="0" collapsed="false">
      <c r="B13" s="9"/>
      <c r="C13" s="6" t="s">
        <v>11</v>
      </c>
      <c r="D13" s="6"/>
      <c r="E13" s="6"/>
      <c r="F13" s="6"/>
      <c r="G13" s="6"/>
      <c r="H13" s="6"/>
      <c r="I13" s="6"/>
      <c r="J13" s="6"/>
    </row>
    <row r="16" customFormat="false" ht="21.75" hidden="false" customHeight="true" outlineLevel="0" collapsed="false">
      <c r="B16" s="3" t="s">
        <v>12</v>
      </c>
      <c r="C16" s="3"/>
      <c r="D16" s="3"/>
    </row>
    <row r="17" customFormat="false" ht="19.5" hidden="false" customHeight="true" outlineLevel="0" collapsed="false">
      <c r="C17" s="10" t="s">
        <v>13</v>
      </c>
      <c r="D17" s="10"/>
      <c r="F17" s="11" t="s">
        <v>14</v>
      </c>
      <c r="G17" s="11"/>
    </row>
    <row r="19" customFormat="false" ht="21.75" hidden="false" customHeight="true" outlineLevel="0" collapsed="false">
      <c r="B19" s="3" t="s">
        <v>15</v>
      </c>
      <c r="C19" s="3"/>
      <c r="D19" s="3"/>
    </row>
    <row r="20" customFormat="false" ht="15" hidden="false" customHeight="false" outlineLevel="0" collapsed="false">
      <c r="C20" s="12" t="s">
        <v>16</v>
      </c>
      <c r="D20" s="12"/>
      <c r="E20" s="12"/>
      <c r="F20" s="12"/>
      <c r="G20" s="12"/>
      <c r="H20" s="12"/>
      <c r="I20" s="12"/>
      <c r="J20" s="12"/>
    </row>
    <row r="21" customFormat="false" ht="15" hidden="false" customHeight="false" outlineLevel="0" collapsed="false">
      <c r="C21" s="12" t="s">
        <v>17</v>
      </c>
      <c r="D21" s="12"/>
      <c r="E21" s="12"/>
      <c r="F21" s="12"/>
      <c r="G21" s="12"/>
      <c r="H21" s="12"/>
      <c r="I21" s="12"/>
      <c r="J21" s="12"/>
    </row>
    <row r="23" customFormat="false" ht="21.75" hidden="false" customHeight="true" outlineLevel="0" collapsed="false">
      <c r="B23" s="3" t="s">
        <v>18</v>
      </c>
      <c r="C23" s="3"/>
      <c r="D23" s="3"/>
    </row>
    <row r="24" customFormat="false" ht="18" hidden="false" customHeight="true" outlineLevel="0" collapsed="false">
      <c r="C24" s="13" t="s">
        <v>19</v>
      </c>
      <c r="D24" s="13"/>
      <c r="E24" s="13"/>
      <c r="F24" s="13"/>
      <c r="G24" s="13"/>
      <c r="H24" s="13"/>
      <c r="I24" s="13"/>
      <c r="J24" s="13"/>
    </row>
    <row r="25" customFormat="false" ht="18" hidden="false" customHeight="true" outlineLevel="0" collapsed="false">
      <c r="C25" s="13" t="s">
        <v>20</v>
      </c>
      <c r="D25" s="13"/>
      <c r="E25" s="13"/>
      <c r="F25" s="13"/>
      <c r="G25" s="13"/>
      <c r="H25" s="13"/>
      <c r="I25" s="13"/>
      <c r="J25" s="13"/>
    </row>
    <row r="26" customFormat="false" ht="18" hidden="false" customHeight="true" outlineLevel="0" collapsed="false">
      <c r="C26" s="13" t="s">
        <v>21</v>
      </c>
      <c r="D26" s="13"/>
      <c r="E26" s="13"/>
      <c r="F26" s="13"/>
      <c r="G26" s="13"/>
      <c r="H26" s="13"/>
      <c r="I26" s="13"/>
      <c r="J26" s="13"/>
    </row>
    <row r="27" customFormat="false" ht="18" hidden="false" customHeight="true" outlineLevel="0" collapsed="false">
      <c r="C27" s="13" t="s">
        <v>22</v>
      </c>
      <c r="D27" s="13"/>
      <c r="E27" s="13"/>
      <c r="F27" s="13"/>
      <c r="G27" s="13"/>
      <c r="H27" s="13"/>
      <c r="I27" s="13"/>
      <c r="J27" s="13"/>
    </row>
    <row r="28" customFormat="false" ht="18" hidden="false" customHeight="true" outlineLevel="0" collapsed="false">
      <c r="C28" s="13" t="s">
        <v>23</v>
      </c>
      <c r="D28" s="13"/>
      <c r="E28" s="13"/>
      <c r="F28" s="13"/>
      <c r="G28" s="13"/>
      <c r="H28" s="13"/>
      <c r="I28" s="13"/>
      <c r="J28" s="13"/>
    </row>
    <row r="29" customFormat="false" ht="18" hidden="false" customHeight="true" outlineLevel="0" collapsed="false">
      <c r="C29" s="13" t="s">
        <v>24</v>
      </c>
      <c r="D29" s="13"/>
      <c r="E29" s="13"/>
      <c r="F29" s="13"/>
      <c r="G29" s="13"/>
      <c r="H29" s="13"/>
      <c r="I29" s="13"/>
      <c r="J29" s="13"/>
    </row>
    <row r="30" customFormat="false" ht="18" hidden="false" customHeight="true" outlineLevel="0" collapsed="false">
      <c r="C30" s="13" t="s">
        <v>25</v>
      </c>
      <c r="D30" s="13"/>
      <c r="E30" s="13"/>
      <c r="F30" s="13"/>
      <c r="G30" s="13"/>
      <c r="H30" s="13"/>
      <c r="I30" s="13"/>
      <c r="J30" s="13"/>
    </row>
    <row r="31" customFormat="false" ht="18" hidden="false" customHeight="true" outlineLevel="0" collapsed="false">
      <c r="C31" s="13" t="s">
        <v>26</v>
      </c>
      <c r="D31" s="13"/>
      <c r="E31" s="13"/>
      <c r="F31" s="13"/>
      <c r="G31" s="13"/>
      <c r="H31" s="13"/>
      <c r="I31" s="13"/>
      <c r="J31" s="13"/>
    </row>
    <row r="32" customFormat="false" ht="18" hidden="false" customHeight="true" outlineLevel="0" collapsed="false">
      <c r="C32" s="13" t="s">
        <v>27</v>
      </c>
      <c r="D32" s="13"/>
      <c r="E32" s="13"/>
      <c r="F32" s="13"/>
      <c r="G32" s="13"/>
      <c r="H32" s="13"/>
      <c r="I32" s="13"/>
      <c r="J32" s="13"/>
    </row>
    <row r="34" customFormat="false" ht="15" hidden="false" customHeight="false" outlineLevel="0" collapsed="false">
      <c r="C34" s="14" t="s">
        <v>28</v>
      </c>
      <c r="D34" s="14"/>
      <c r="E34" s="14"/>
      <c r="F34" s="14"/>
      <c r="G34" s="14"/>
      <c r="H34" s="14"/>
      <c r="I34" s="14"/>
      <c r="J34" s="14"/>
    </row>
  </sheetData>
  <mergeCells count="29">
    <mergeCell ref="A1:J1"/>
    <mergeCell ref="B2:J2"/>
    <mergeCell ref="B4:D4"/>
    <mergeCell ref="B6:B7"/>
    <mergeCell ref="C6:J6"/>
    <mergeCell ref="C7:J7"/>
    <mergeCell ref="B9:B10"/>
    <mergeCell ref="C9:J9"/>
    <mergeCell ref="C10:J10"/>
    <mergeCell ref="B12:B13"/>
    <mergeCell ref="C12:J12"/>
    <mergeCell ref="C13:J13"/>
    <mergeCell ref="B16:D16"/>
    <mergeCell ref="C17:D17"/>
    <mergeCell ref="F17:G17"/>
    <mergeCell ref="B19:D19"/>
    <mergeCell ref="C20:J20"/>
    <mergeCell ref="C21:J21"/>
    <mergeCell ref="B23:D23"/>
    <mergeCell ref="C24:J24"/>
    <mergeCell ref="C25:J25"/>
    <mergeCell ref="C26:J26"/>
    <mergeCell ref="C27:J27"/>
    <mergeCell ref="C28:J28"/>
    <mergeCell ref="C29:J29"/>
    <mergeCell ref="C30:J30"/>
    <mergeCell ref="C31:J31"/>
    <mergeCell ref="C32:J32"/>
    <mergeCell ref="C34:J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604C"/>
    <pageSetUpPr fitToPage="true"/>
  </sheetPr>
  <dimension ref="B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6"/>
    <col collapsed="false" customWidth="true" hidden="false" outlineLevel="0" max="3" min="3" style="0" width="26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0"/>
  </cols>
  <sheetData>
    <row r="1" customFormat="false" ht="33.75" hidden="false" customHeight="true" outlineLevel="0" collapsed="false">
      <c r="B1" s="1" t="s">
        <v>29</v>
      </c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B2" s="6" t="s">
        <v>30</v>
      </c>
      <c r="C2" s="6"/>
      <c r="D2" s="6"/>
      <c r="E2" s="6"/>
      <c r="F2" s="6"/>
      <c r="G2" s="6"/>
      <c r="H2" s="6"/>
    </row>
    <row r="3" customFormat="false" ht="6" hidden="false" customHeight="true" outlineLevel="0" collapsed="false">
      <c r="I3" s="15" t="s">
        <v>31</v>
      </c>
      <c r="J3" s="15"/>
    </row>
    <row r="4" customFormat="false" ht="24" hidden="false" customHeight="true" outlineLevel="0" collapsed="false">
      <c r="B4" s="16" t="s">
        <v>32</v>
      </c>
      <c r="C4" s="16"/>
      <c r="D4" s="17" t="s">
        <v>33</v>
      </c>
      <c r="E4" s="18" t="str">
        <f aca="false">IF(日別データ!$I$4="","（「日別データ」シートに日付を入力してください）","参照: "&amp;IF(INDEX(日別データ!$C$4:$I$4,1,8-$J$4)="","—",TEXT(INDEX(日別データ!$C$4:$I$4,1,8-$J$4),"m/d"))&amp;"〜"&amp;TEXT(日別データ!$I$4,"m/d")&amp;"｜"&amp;IF($J$7="*","1日全体",$D$5)&amp;"の動員合計 "&amp;TEXT($J$5,"#,##0")&amp;"人")</f>
        <v>参照: 8/19〜8/25｜昼の動員合計 11,100人</v>
      </c>
      <c r="F4" s="18"/>
      <c r="G4" s="18"/>
      <c r="H4" s="18"/>
      <c r="I4" s="19" t="s">
        <v>34</v>
      </c>
      <c r="J4" s="20" t="n">
        <f aca="false">IF($D$4="昨日",1,IF($D$4="直近3日間",3,7))</f>
        <v>7</v>
      </c>
    </row>
    <row r="5" customFormat="false" ht="24" hidden="false" customHeight="true" outlineLevel="0" collapsed="false">
      <c r="B5" s="16" t="s">
        <v>35</v>
      </c>
      <c r="C5" s="16"/>
      <c r="D5" s="17" t="s">
        <v>36</v>
      </c>
      <c r="E5" s="6" t="s">
        <v>37</v>
      </c>
      <c r="F5" s="6"/>
      <c r="G5" s="6"/>
      <c r="H5" s="6"/>
      <c r="I5" s="19" t="s">
        <v>38</v>
      </c>
      <c r="J5" s="20" t="n">
        <f aca="false">SUMPRODUCT((COLUMN(日別データ!$C$6:$I$6)&gt;=10-$J$4)*(INDEX(日別データ!$C$6:$I$10,$J$6,0)&gt;0),INDEX(日別データ!$C$6:$I$10,$J$6,0))</f>
        <v>11100</v>
      </c>
    </row>
    <row r="6" customFormat="false" ht="24" hidden="false" customHeight="true" outlineLevel="0" collapsed="false">
      <c r="B6" s="16" t="s">
        <v>39</v>
      </c>
      <c r="C6" s="16"/>
      <c r="D6" s="21" t="n">
        <v>1200</v>
      </c>
      <c r="E6" s="6" t="s">
        <v>40</v>
      </c>
      <c r="F6" s="6"/>
      <c r="G6" s="6"/>
      <c r="H6" s="6"/>
      <c r="I6" s="19" t="s">
        <v>41</v>
      </c>
      <c r="J6" s="20" t="n">
        <f aca="false">IF(OR($D$5="1日全体",$J$8=0),1,MATCH($D$5,{"朝","昼","夕方","夜"},0)+1)</f>
        <v>3</v>
      </c>
    </row>
    <row r="7" customFormat="false" ht="24" hidden="false" customHeight="true" outlineLevel="0" collapsed="false">
      <c r="B7" s="16" t="s">
        <v>42</v>
      </c>
      <c r="C7" s="16"/>
      <c r="D7" s="22" t="n">
        <v>1.2</v>
      </c>
      <c r="E7" s="6" t="s">
        <v>43</v>
      </c>
      <c r="F7" s="6"/>
      <c r="G7" s="6"/>
      <c r="H7" s="6"/>
      <c r="I7" s="19" t="s">
        <v>44</v>
      </c>
      <c r="J7" s="20" t="str">
        <f aca="false">IF(OR($D$5="1日全体",$J$8=0),"*",$D$5)</f>
        <v>昼</v>
      </c>
    </row>
    <row r="8" customFormat="false" ht="13.5" hidden="false" customHeight="true" outlineLevel="0" collapsed="false">
      <c r="B8" s="23" t="str">
        <f aca="false">IF(日別データ!$I$4="","",TRIM(IF(AND($D$5&lt;&gt;"1日全体",$J$8=0),"⚠ CSVに時刻・時間帯の情報が無いため、1日全体の購買率で計算しています。","")&amp;" "&amp;IF(SUMPRODUCT((COLUMN(日別データ!$C$6:$I$6)&gt;=10-$J$4)*(INDEX(日別データ!$C$6:$I$10,$J$6,0)&gt;0))&lt;$J$4,"⚠ 参照期間に動員数（"&amp;IF($J$7="*","1日計",$D$5)&amp;"）が未入力の日があります（入力済みの日だけで計算します）。","")&amp;" "&amp;IF(SUMPRODUCT((COLUMN(日別データ!$C$11:$I$11)&gt;=10-$J$4)*(日別データ!$C$11:$I$11="✔"))=0,"⚠ 参照期間の販売データがCSV貼付にありません。CSVを確認してください。","")))</f>
        <v/>
      </c>
      <c r="C8" s="23"/>
      <c r="D8" s="23"/>
      <c r="E8" s="23"/>
      <c r="F8" s="23"/>
      <c r="G8" s="23"/>
      <c r="H8" s="23"/>
      <c r="I8" s="19" t="s">
        <v>45</v>
      </c>
      <c r="J8" s="20" t="n">
        <f aca="false">COUNTIF(CSV貼付!$J$5:$J$2004,"朝")+COUNTIF(CSV貼付!$J$5:$J$2004,"昼")+COUNTIF(CSV貼付!$J$5:$J$2004,"夕方")+COUNTIF(CSV貼付!$J$5:$J$2004,"夜")</f>
        <v>336</v>
      </c>
    </row>
    <row r="9" customFormat="false" ht="6" hidden="false" customHeight="true" outlineLevel="0" collapsed="false">
      <c r="I9" s="19" t="s">
        <v>46</v>
      </c>
      <c r="J9" s="20" t="n">
        <f aca="false">SUMPRODUCT((COLUMN(日別データ!$C$6:$I$6)&gt;=10-$J$4)*(日別データ!$C$6:$I$6&gt;0),日別データ!$C$6:$I$6)</f>
        <v>37000</v>
      </c>
    </row>
    <row r="10" customFormat="false" ht="33.75" hidden="false" customHeight="true" outlineLevel="0" collapsed="false">
      <c r="B10" s="24" t="s">
        <v>47</v>
      </c>
      <c r="C10" s="25" t="s">
        <v>48</v>
      </c>
      <c r="D10" s="25" t="s">
        <v>49</v>
      </c>
      <c r="E10" s="25" t="s">
        <v>50</v>
      </c>
      <c r="F10" s="26" t="s">
        <v>51</v>
      </c>
      <c r="G10" s="25" t="s">
        <v>52</v>
      </c>
    </row>
    <row r="11" customFormat="false" ht="21" hidden="false" customHeight="true" outlineLevel="0" collapsed="false">
      <c r="B11" s="27" t="n">
        <v>1</v>
      </c>
      <c r="C11" s="28" t="str">
        <f aca="false">IF(日別データ!B13="","",日別データ!B13)</f>
        <v>ポップコーン（塩）M</v>
      </c>
      <c r="D11" s="29" t="n">
        <f aca="false">IF($C11="","",IF($J$7="*",SUMPRODUCT((COLUMN(日別データ!$C$6:$I$6)&gt;=10-$J$4)*(日別データ!$C$6:$I$6&gt;0),日別データ!C13:I13),SUMPRODUCT((COLUMN(日別データ!$C$4:$I$4)&gt;=10-$J$4)*(INDEX(日別データ!$C$6:$I$10,$J$6,0)&gt;0)*SUMIFS(CSV貼付!$C$5:$C$2004,CSV貼付!$A$5:$A$2004,"&gt;="&amp;日別データ!$C$4:$I$4,CSV貼付!$A$5:$A$2004,"&lt;"&amp;日別データ!$C$4:$I$4+1,CSV貼付!$B$5:$B$2004,$C11,CSV貼付!$J$5:$J$2004,$J$7))))</f>
        <v>934</v>
      </c>
      <c r="E11" s="30" t="n">
        <f aca="false">IF($C11="","",IF($J$5&lt;=0,"要確認",D11/$J$5))</f>
        <v>0.0841441441441442</v>
      </c>
      <c r="F11" s="31" t="n">
        <f aca="false">IF(OR($C11="",$D$6="",$D$7=""),"",IF(ISNUMBER($E11),ROUNDUP($D$6*$E11*$D$7,0),"—"))</f>
        <v>122</v>
      </c>
      <c r="G11" s="32" t="n">
        <f aca="false">IF($C11="","",IF($J$9&lt;=0,"－",SUMPRODUCT((COLUMN(日別データ!$C$6:$I$6)&gt;=10-$J$4)*(日別データ!$C$6:$I$6&gt;0),日別データ!C13:I13)/$J$9))</f>
        <v>0.0763513513513514</v>
      </c>
    </row>
    <row r="12" customFormat="false" ht="21" hidden="false" customHeight="true" outlineLevel="0" collapsed="false">
      <c r="B12" s="33" t="n">
        <v>2</v>
      </c>
      <c r="C12" s="34" t="str">
        <f aca="false">IF(日別データ!B14="","",日別データ!B14)</f>
        <v>ポップコーン（キャラメル）M</v>
      </c>
      <c r="D12" s="35" t="n">
        <f aca="false">IF($C12="","",IF($J$7="*",SUMPRODUCT((COLUMN(日別データ!$C$6:$I$6)&gt;=10-$J$4)*(日別データ!$C$6:$I$6&gt;0),日別データ!C14:I14),SUMPRODUCT((COLUMN(日別データ!$C$4:$I$4)&gt;=10-$J$4)*(INDEX(日別データ!$C$6:$I$10,$J$6,0)&gt;0)*SUMIFS(CSV貼付!$C$5:$C$2004,CSV貼付!$A$5:$A$2004,"&gt;="&amp;日別データ!$C$4:$I$4,CSV貼付!$A$5:$A$2004,"&lt;"&amp;日別データ!$C$4:$I$4+1,CSV貼付!$B$5:$B$2004,$C12,CSV貼付!$J$5:$J$2004,$J$7))))</f>
        <v>636</v>
      </c>
      <c r="E12" s="36" t="n">
        <f aca="false">IF($C12="","",IF($J$5&lt;=0,"要確認",D12/$J$5))</f>
        <v>0.0572972972972973</v>
      </c>
      <c r="F12" s="31" t="n">
        <f aca="false">IF(OR($C12="",$D$6="",$D$7=""),"",IF(ISNUMBER($E12),ROUNDUP($D$6*$E12*$D$7,0),"—"))</f>
        <v>83</v>
      </c>
      <c r="G12" s="37" t="n">
        <f aca="false">IF($C12="","",IF($J$9&lt;=0,"－",SUMPRODUCT((COLUMN(日別データ!$C$6:$I$6)&gt;=10-$J$4)*(日別データ!$C$6:$I$6&gt;0),日別データ!C14:I14)/$J$9))</f>
        <v>0.0556486486486487</v>
      </c>
    </row>
    <row r="13" customFormat="false" ht="21" hidden="false" customHeight="true" outlineLevel="0" collapsed="false">
      <c r="B13" s="27" t="n">
        <v>3</v>
      </c>
      <c r="C13" s="28" t="str">
        <f aca="false">IF(日別データ!B15="","",日別データ!B15)</f>
        <v>ポップコーン ハーフ＆ハーフ</v>
      </c>
      <c r="D13" s="29" t="n">
        <f aca="false">IF($C13="","",IF($J$7="*",SUMPRODUCT((COLUMN(日別データ!$C$6:$I$6)&gt;=10-$J$4)*(日別データ!$C$6:$I$6&gt;0),日別データ!C15:I15),SUMPRODUCT((COLUMN(日別データ!$C$4:$I$4)&gt;=10-$J$4)*(INDEX(日別データ!$C$6:$I$10,$J$6,0)&gt;0)*SUMIFS(CSV貼付!$C$5:$C$2004,CSV貼付!$A$5:$A$2004,"&gt;="&amp;日別データ!$C$4:$I$4,CSV貼付!$A$5:$A$2004,"&lt;"&amp;日別データ!$C$4:$I$4+1,CSV貼付!$B$5:$B$2004,$C13,CSV貼付!$J$5:$J$2004,$J$7))))</f>
        <v>457</v>
      </c>
      <c r="E13" s="30" t="n">
        <f aca="false">IF($C13="","",IF($J$5&lt;=0,"要確認",D13/$J$5))</f>
        <v>0.0411711711711712</v>
      </c>
      <c r="F13" s="31" t="n">
        <f aca="false">IF(OR($C13="",$D$6="",$D$7=""),"",IF(ISNUMBER($E13),ROUNDUP($D$6*$E13*$D$7,0),"—"))</f>
        <v>60</v>
      </c>
      <c r="G13" s="32" t="n">
        <f aca="false">IF($C13="","",IF($J$9&lt;=0,"－",SUMPRODUCT((COLUMN(日別データ!$C$6:$I$6)&gt;=10-$J$4)*(日別データ!$C$6:$I$6&gt;0),日別データ!C15:I15)/$J$9))</f>
        <v>0.0408378378378378</v>
      </c>
    </row>
    <row r="14" customFormat="false" ht="21" hidden="false" customHeight="true" outlineLevel="0" collapsed="false">
      <c r="B14" s="33" t="n">
        <v>4</v>
      </c>
      <c r="C14" s="34" t="str">
        <f aca="false">IF(日別データ!B16="","",日別データ!B16)</f>
        <v>ドリンク S</v>
      </c>
      <c r="D14" s="35" t="n">
        <f aca="false">IF($C14="","",IF($J$7="*",SUMPRODUCT((COLUMN(日別データ!$C$6:$I$6)&gt;=10-$J$4)*(日別データ!$C$6:$I$6&gt;0),日別データ!C16:I16),SUMPRODUCT((COLUMN(日別データ!$C$4:$I$4)&gt;=10-$J$4)*(INDEX(日別データ!$C$6:$I$10,$J$6,0)&gt;0)*SUMIFS(CSV貼付!$C$5:$C$2004,CSV貼付!$A$5:$A$2004,"&gt;="&amp;日別データ!$C$4:$I$4,CSV貼付!$A$5:$A$2004,"&lt;"&amp;日別データ!$C$4:$I$4+1,CSV貼付!$B$5:$B$2004,$C14,CSV貼付!$J$5:$J$2004,$J$7))))</f>
        <v>494</v>
      </c>
      <c r="E14" s="36" t="n">
        <f aca="false">IF($C14="","",IF($J$5&lt;=0,"要確認",D14/$J$5))</f>
        <v>0.0445045045045045</v>
      </c>
      <c r="F14" s="31" t="n">
        <f aca="false">IF(OR($C14="",$D$6="",$D$7=""),"",IF(ISNUMBER($E14),ROUNDUP($D$6*$E14*$D$7,0),"—"))</f>
        <v>65</v>
      </c>
      <c r="G14" s="37" t="n">
        <f aca="false">IF($C14="","",IF($J$9&lt;=0,"－",SUMPRODUCT((COLUMN(日別データ!$C$6:$I$6)&gt;=10-$J$4)*(日別データ!$C$6:$I$6&gt;0),日別データ!C16:I16)/$J$9))</f>
        <v>0.0451081081081081</v>
      </c>
    </row>
    <row r="15" customFormat="false" ht="21" hidden="false" customHeight="true" outlineLevel="0" collapsed="false">
      <c r="B15" s="27" t="n">
        <v>5</v>
      </c>
      <c r="C15" s="28" t="str">
        <f aca="false">IF(日別データ!B17="","",日別データ!B17)</f>
        <v>ドリンク M</v>
      </c>
      <c r="D15" s="29" t="n">
        <f aca="false">IF($C15="","",IF($J$7="*",SUMPRODUCT((COLUMN(日別データ!$C$6:$I$6)&gt;=10-$J$4)*(日別データ!$C$6:$I$6&gt;0),日別データ!C17:I17),SUMPRODUCT((COLUMN(日別データ!$C$4:$I$4)&gt;=10-$J$4)*(INDEX(日別データ!$C$6:$I$10,$J$6,0)&gt;0)*SUMIFS(CSV貼付!$C$5:$C$2004,CSV貼付!$A$5:$A$2004,"&gt;="&amp;日別データ!$C$4:$I$4,CSV貼付!$A$5:$A$2004,"&lt;"&amp;日別データ!$C$4:$I$4+1,CSV貼付!$B$5:$B$2004,$C15,CSV貼付!$J$5:$J$2004,$J$7))))</f>
        <v>1215</v>
      </c>
      <c r="E15" s="30" t="n">
        <f aca="false">IF($C15="","",IF($J$5&lt;=0,"要確認",D15/$J$5))</f>
        <v>0.109459459459459</v>
      </c>
      <c r="F15" s="31" t="n">
        <f aca="false">IF(OR($C15="",$D$6="",$D$7=""),"",IF(ISNUMBER($E15),ROUNDUP($D$6*$E15*$D$7,0),"—"))</f>
        <v>158</v>
      </c>
      <c r="G15" s="32" t="n">
        <f aca="false">IF($C15="","",IF($J$9&lt;=0,"－",SUMPRODUCT((COLUMN(日別データ!$C$6:$I$6)&gt;=10-$J$4)*(日別データ!$C$6:$I$6&gt;0),日別データ!C17:I17)/$J$9))</f>
        <v>0.0995945945945946</v>
      </c>
    </row>
    <row r="16" customFormat="false" ht="21" hidden="false" customHeight="true" outlineLevel="0" collapsed="false">
      <c r="B16" s="33" t="n">
        <v>6</v>
      </c>
      <c r="C16" s="34" t="str">
        <f aca="false">IF(日別データ!B18="","",日別データ!B18)</f>
        <v>ドリンク L</v>
      </c>
      <c r="D16" s="35" t="n">
        <f aca="false">IF($C16="","",IF($J$7="*",SUMPRODUCT((COLUMN(日別データ!$C$6:$I$6)&gt;=10-$J$4)*(日別データ!$C$6:$I$6&gt;0),日別データ!C18:I18),SUMPRODUCT((COLUMN(日別データ!$C$4:$I$4)&gt;=10-$J$4)*(INDEX(日別データ!$C$6:$I$10,$J$6,0)&gt;0)*SUMIFS(CSV貼付!$C$5:$C$2004,CSV貼付!$A$5:$A$2004,"&gt;="&amp;日別データ!$C$4:$I$4,CSV貼付!$A$5:$A$2004,"&lt;"&amp;日別データ!$C$4:$I$4+1,CSV貼付!$B$5:$B$2004,$C16,CSV貼付!$J$5:$J$2004,$J$7))))</f>
        <v>371</v>
      </c>
      <c r="E16" s="36" t="n">
        <f aca="false">IF($C16="","",IF($J$5&lt;=0,"要確認",D16/$J$5))</f>
        <v>0.0334234234234234</v>
      </c>
      <c r="F16" s="31" t="n">
        <f aca="false">IF(OR($C16="",$D$6="",$D$7=""),"",IF(ISNUMBER($E16),ROUNDUP($D$6*$E16*$D$7,0),"—"))</f>
        <v>49</v>
      </c>
      <c r="G16" s="37" t="n">
        <f aca="false">IF($C16="","",IF($J$9&lt;=0,"－",SUMPRODUCT((COLUMN(日別データ!$C$6:$I$6)&gt;=10-$J$4)*(日別データ!$C$6:$I$6&gt;0),日別データ!C18:I18)/$J$9))</f>
        <v>0.0321891891891892</v>
      </c>
    </row>
    <row r="17" customFormat="false" ht="21" hidden="false" customHeight="true" outlineLevel="0" collapsed="false">
      <c r="B17" s="27" t="n">
        <v>7</v>
      </c>
      <c r="C17" s="28" t="str">
        <f aca="false">IF(日別データ!B19="","",日別データ!B19)</f>
        <v>チュロス（シナモン）</v>
      </c>
      <c r="D17" s="29" t="n">
        <f aca="false">IF($C17="","",IF($J$7="*",SUMPRODUCT((COLUMN(日別データ!$C$6:$I$6)&gt;=10-$J$4)*(日別データ!$C$6:$I$6&gt;0),日別データ!C19:I19),SUMPRODUCT((COLUMN(日別データ!$C$4:$I$4)&gt;=10-$J$4)*(INDEX(日別データ!$C$6:$I$10,$J$6,0)&gt;0)*SUMIFS(CSV貼付!$C$5:$C$2004,CSV貼付!$A$5:$A$2004,"&gt;="&amp;日別データ!$C$4:$I$4,CSV貼付!$A$5:$A$2004,"&lt;"&amp;日別データ!$C$4:$I$4+1,CSV貼付!$B$5:$B$2004,$C17,CSV貼付!$J$5:$J$2004,$J$7))))</f>
        <v>330</v>
      </c>
      <c r="E17" s="30" t="n">
        <f aca="false">IF($C17="","",IF($J$5&lt;=0,"要確認",D17/$J$5))</f>
        <v>0.0297297297297297</v>
      </c>
      <c r="F17" s="31" t="n">
        <f aca="false">IF(OR($C17="",$D$6="",$D$7=""),"",IF(ISNUMBER($E17),ROUNDUP($D$6*$E17*$D$7,0),"—"))</f>
        <v>43</v>
      </c>
      <c r="G17" s="32" t="n">
        <f aca="false">IF($C17="","",IF($J$9&lt;=0,"－",SUMPRODUCT((COLUMN(日別データ!$C$6:$I$6)&gt;=10-$J$4)*(日別データ!$C$6:$I$6&gt;0),日別データ!C19:I19)/$J$9))</f>
        <v>0.0295405405405405</v>
      </c>
    </row>
    <row r="18" customFormat="false" ht="21" hidden="false" customHeight="true" outlineLevel="0" collapsed="false">
      <c r="B18" s="33" t="n">
        <v>8</v>
      </c>
      <c r="C18" s="34" t="str">
        <f aca="false">IF(日別データ!B20="","",日別データ!B20)</f>
        <v>ホットドッグ</v>
      </c>
      <c r="D18" s="35" t="n">
        <f aca="false">IF($C18="","",IF($J$7="*",SUMPRODUCT((COLUMN(日別データ!$C$6:$I$6)&gt;=10-$J$4)*(日別データ!$C$6:$I$6&gt;0),日別データ!C20:I20),SUMPRODUCT((COLUMN(日別データ!$C$4:$I$4)&gt;=10-$J$4)*(INDEX(日別データ!$C$6:$I$10,$J$6,0)&gt;0)*SUMIFS(CSV貼付!$C$5:$C$2004,CSV貼付!$A$5:$A$2004,"&gt;="&amp;日別データ!$C$4:$I$4,CSV貼付!$A$5:$A$2004,"&lt;"&amp;日別データ!$C$4:$I$4+1,CSV貼付!$B$5:$B$2004,$C18,CSV貼付!$J$5:$J$2004,$J$7))))</f>
        <v>263</v>
      </c>
      <c r="E18" s="36" t="n">
        <f aca="false">IF($C18="","",IF($J$5&lt;=0,"要確認",D18/$J$5))</f>
        <v>0.0236936936936937</v>
      </c>
      <c r="F18" s="31" t="n">
        <f aca="false">IF(OR($C18="",$D$6="",$D$7=""),"",IF(ISNUMBER($E18),ROUNDUP($D$6*$E18*$D$7,0),"—"))</f>
        <v>35</v>
      </c>
      <c r="G18" s="37" t="n">
        <f aca="false">IF($C18="","",IF($J$9&lt;=0,"－",SUMPRODUCT((COLUMN(日別データ!$C$6:$I$6)&gt;=10-$J$4)*(日別データ!$C$6:$I$6&gt;0),日別データ!C20:I20)/$J$9))</f>
        <v>0.0227297297297297</v>
      </c>
    </row>
    <row r="19" customFormat="false" ht="21" hidden="false" customHeight="true" outlineLevel="0" collapsed="false">
      <c r="B19" s="27" t="n">
        <v>9</v>
      </c>
      <c r="C19" s="28" t="str">
        <f aca="false">IF(日別データ!B21="","",日別データ!B21)</f>
        <v>ナチョス（チーズソース）</v>
      </c>
      <c r="D19" s="29" t="n">
        <f aca="false">IF($C19="","",IF($J$7="*",SUMPRODUCT((COLUMN(日別データ!$C$6:$I$6)&gt;=10-$J$4)*(日別データ!$C$6:$I$6&gt;0),日別データ!C21:I21),SUMPRODUCT((COLUMN(日別データ!$C$4:$I$4)&gt;=10-$J$4)*(INDEX(日別データ!$C$6:$I$10,$J$6,0)&gt;0)*SUMIFS(CSV貼付!$C$5:$C$2004,CSV貼付!$A$5:$A$2004,"&gt;="&amp;日別データ!$C$4:$I$4,CSV貼付!$A$5:$A$2004,"&lt;"&amp;日別データ!$C$4:$I$4+1,CSV貼付!$B$5:$B$2004,$C19,CSV貼付!$J$5:$J$2004,$J$7))))</f>
        <v>193</v>
      </c>
      <c r="E19" s="30" t="n">
        <f aca="false">IF($C19="","",IF($J$5&lt;=0,"要確認",D19/$J$5))</f>
        <v>0.0173873873873874</v>
      </c>
      <c r="F19" s="31" t="n">
        <f aca="false">IF(OR($C19="",$D$6="",$D$7=""),"",IF(ISNUMBER($E19),ROUNDUP($D$6*$E19*$D$7,0),"—"))</f>
        <v>26</v>
      </c>
      <c r="G19" s="32" t="n">
        <f aca="false">IF($C19="","",IF($J$9&lt;=0,"－",SUMPRODUCT((COLUMN(日別データ!$C$6:$I$6)&gt;=10-$J$4)*(日別データ!$C$6:$I$6&gt;0),日別データ!C21:I21)/$J$9))</f>
        <v>0.0164864864864865</v>
      </c>
    </row>
    <row r="20" customFormat="false" ht="21" hidden="false" customHeight="true" outlineLevel="0" collapsed="false">
      <c r="B20" s="33" t="n">
        <v>10</v>
      </c>
      <c r="C20" s="34" t="str">
        <f aca="false">IF(日別データ!B22="","",日別データ!B22)</f>
        <v>フライドポテト</v>
      </c>
      <c r="D20" s="35" t="n">
        <f aca="false">IF($C20="","",IF($J$7="*",SUMPRODUCT((COLUMN(日別データ!$C$6:$I$6)&gt;=10-$J$4)*(日別データ!$C$6:$I$6&gt;0),日別データ!C22:I22),SUMPRODUCT((COLUMN(日別データ!$C$4:$I$4)&gt;=10-$J$4)*(INDEX(日別データ!$C$6:$I$10,$J$6,0)&gt;0)*SUMIFS(CSV貼付!$C$5:$C$2004,CSV貼付!$A$5:$A$2004,"&gt;="&amp;日別データ!$C$4:$I$4,CSV貼付!$A$5:$A$2004,"&lt;"&amp;日別データ!$C$4:$I$4+1,CSV貼付!$B$5:$B$2004,$C20,CSV貼付!$J$5:$J$2004,$J$7))))</f>
        <v>286</v>
      </c>
      <c r="E20" s="36" t="n">
        <f aca="false">IF($C20="","",IF($J$5&lt;=0,"要確認",D20/$J$5))</f>
        <v>0.0257657657657658</v>
      </c>
      <c r="F20" s="31" t="n">
        <f aca="false">IF(OR($C20="",$D$6="",$D$7=""),"",IF(ISNUMBER($E20),ROUNDUP($D$6*$E20*$D$7,0),"—"))</f>
        <v>38</v>
      </c>
      <c r="G20" s="37" t="n">
        <f aca="false">IF($C20="","",IF($J$9&lt;=0,"－",SUMPRODUCT((COLUMN(日別データ!$C$6:$I$6)&gt;=10-$J$4)*(日別データ!$C$6:$I$6&gt;0),日別データ!C22:I22)/$J$9))</f>
        <v>0.0269189189189189</v>
      </c>
    </row>
    <row r="21" customFormat="false" ht="21" hidden="false" customHeight="true" outlineLevel="0" collapsed="false">
      <c r="B21" s="27" t="n">
        <v>11</v>
      </c>
      <c r="C21" s="28" t="str">
        <f aca="false">IF(日別データ!B23="","",日別データ!B23)</f>
        <v>チキンナゲット</v>
      </c>
      <c r="D21" s="29" t="n">
        <f aca="false">IF($C21="","",IF($J$7="*",SUMPRODUCT((COLUMN(日別データ!$C$6:$I$6)&gt;=10-$J$4)*(日別データ!$C$6:$I$6&gt;0),日別データ!C23:I23),SUMPRODUCT((COLUMN(日別データ!$C$4:$I$4)&gt;=10-$J$4)*(INDEX(日別データ!$C$6:$I$10,$J$6,0)&gt;0)*SUMIFS(CSV貼付!$C$5:$C$2004,CSV貼付!$A$5:$A$2004,"&gt;="&amp;日別データ!$C$4:$I$4,CSV貼付!$A$5:$A$2004,"&lt;"&amp;日別データ!$C$4:$I$4+1,CSV貼付!$B$5:$B$2004,$C21,CSV貼付!$J$5:$J$2004,$J$7))))</f>
        <v>183</v>
      </c>
      <c r="E21" s="30" t="n">
        <f aca="false">IF($C21="","",IF($J$5&lt;=0,"要確認",D21/$J$5))</f>
        <v>0.0164864864864865</v>
      </c>
      <c r="F21" s="31" t="n">
        <f aca="false">IF(OR($C21="",$D$6="",$D$7=""),"",IF(ISNUMBER($E21),ROUNDUP($D$6*$E21*$D$7,0),"—"))</f>
        <v>24</v>
      </c>
      <c r="G21" s="32" t="n">
        <f aca="false">IF($C21="","",IF($J$9&lt;=0,"－",SUMPRODUCT((COLUMN(日別データ!$C$6:$I$6)&gt;=10-$J$4)*(日別データ!$C$6:$I$6&gt;0),日別データ!C23:I23)/$J$9))</f>
        <v>0.0152432432432432</v>
      </c>
    </row>
    <row r="22" customFormat="false" ht="21" hidden="false" customHeight="true" outlineLevel="0" collapsed="false">
      <c r="B22" s="33" t="n">
        <v>12</v>
      </c>
      <c r="C22" s="34" t="str">
        <f aca="false">IF(日別データ!B24="","",日別データ!B24)</f>
        <v>ソフトクリーム（バニラ）</v>
      </c>
      <c r="D22" s="35" t="n">
        <f aca="false">IF($C22="","",IF($J$7="*",SUMPRODUCT((COLUMN(日別データ!$C$6:$I$6)&gt;=10-$J$4)*(日別データ!$C$6:$I$6&gt;0),日別データ!C24:I24),SUMPRODUCT((COLUMN(日別データ!$C$4:$I$4)&gt;=10-$J$4)*(INDEX(日別データ!$C$6:$I$10,$J$6,0)&gt;0)*SUMIFS(CSV貼付!$C$5:$C$2004,CSV貼付!$A$5:$A$2004,"&gt;="&amp;日別データ!$C$4:$I$4,CSV貼付!$A$5:$A$2004,"&lt;"&amp;日別データ!$C$4:$I$4+1,CSV貼付!$B$5:$B$2004,$C22,CSV貼付!$J$5:$J$2004,$J$7))))</f>
        <v>161</v>
      </c>
      <c r="E22" s="36" t="n">
        <f aca="false">IF($C22="","",IF($J$5&lt;=0,"要確認",D22/$J$5))</f>
        <v>0.0145045045045045</v>
      </c>
      <c r="F22" s="31" t="n">
        <f aca="false">IF(OR($C22="",$D$6="",$D$7=""),"",IF(ISNUMBER($E22),ROUNDUP($D$6*$E22*$D$7,0),"—"))</f>
        <v>21</v>
      </c>
      <c r="G22" s="37" t="n">
        <f aca="false">IF($C22="","",IF($J$9&lt;=0,"－",SUMPRODUCT((COLUMN(日別データ!$C$6:$I$6)&gt;=10-$J$4)*(日別データ!$C$6:$I$6&gt;0),日別データ!C24:I24)/$J$9))</f>
        <v>0.0144594594594595</v>
      </c>
    </row>
    <row r="23" customFormat="false" ht="21" hidden="false" customHeight="true" outlineLevel="0" collapsed="false">
      <c r="B23" s="27" t="n">
        <v>13</v>
      </c>
      <c r="C23" s="28" t="str">
        <f aca="false">IF(日別データ!B25="","",日別データ!B25)</f>
        <v/>
      </c>
      <c r="D23" s="29" t="str">
        <f aca="false">IF($C23="","",IF($J$7="*",SUMPRODUCT((COLUMN(日別データ!$C$6:$I$6)&gt;=10-$J$4)*(日別データ!$C$6:$I$6&gt;0),日別データ!C25:I25),SUMPRODUCT((COLUMN(日別データ!$C$4:$I$4)&gt;=10-$J$4)*(INDEX(日別データ!$C$6:$I$10,$J$6,0)&gt;0)*SUMIFS(CSV貼付!$C$5:$C$2004,CSV貼付!$A$5:$A$2004,"&gt;="&amp;日別データ!$C$4:$I$4,CSV貼付!$A$5:$A$2004,"&lt;"&amp;日別データ!$C$4:$I$4+1,CSV貼付!$B$5:$B$2004,$C23,CSV貼付!$J$5:$J$2004,$J$7))))</f>
        <v/>
      </c>
      <c r="E23" s="30" t="str">
        <f aca="false">IF($C23="","",IF($J$5&lt;=0,"要確認",D23/$J$5))</f>
        <v/>
      </c>
      <c r="F23" s="31" t="str">
        <f aca="false">IF(OR($C23="",$D$6="",$D$7=""),"",IF(ISNUMBER($E23),ROUNDUP($D$6*$E23*$D$7,0),"—"))</f>
        <v/>
      </c>
      <c r="G23" s="32" t="str">
        <f aca="false">IF($C23="","",IF($J$9&lt;=0,"－",SUMPRODUCT((COLUMN(日別データ!$C$6:$I$6)&gt;=10-$J$4)*(日別データ!$C$6:$I$6&gt;0),日別データ!C25:I25)/$J$9))</f>
        <v/>
      </c>
    </row>
    <row r="24" customFormat="false" ht="21" hidden="false" customHeight="true" outlineLevel="0" collapsed="false">
      <c r="B24" s="33" t="n">
        <v>14</v>
      </c>
      <c r="C24" s="34" t="str">
        <f aca="false">IF(日別データ!B26="","",日別データ!B26)</f>
        <v/>
      </c>
      <c r="D24" s="35" t="str">
        <f aca="false">IF($C24="","",IF($J$7="*",SUMPRODUCT((COLUMN(日別データ!$C$6:$I$6)&gt;=10-$J$4)*(日別データ!$C$6:$I$6&gt;0),日別データ!C26:I26),SUMPRODUCT((COLUMN(日別データ!$C$4:$I$4)&gt;=10-$J$4)*(INDEX(日別データ!$C$6:$I$10,$J$6,0)&gt;0)*SUMIFS(CSV貼付!$C$5:$C$2004,CSV貼付!$A$5:$A$2004,"&gt;="&amp;日別データ!$C$4:$I$4,CSV貼付!$A$5:$A$2004,"&lt;"&amp;日別データ!$C$4:$I$4+1,CSV貼付!$B$5:$B$2004,$C24,CSV貼付!$J$5:$J$2004,$J$7))))</f>
        <v/>
      </c>
      <c r="E24" s="36" t="str">
        <f aca="false">IF($C24="","",IF($J$5&lt;=0,"要確認",D24/$J$5))</f>
        <v/>
      </c>
      <c r="F24" s="31" t="str">
        <f aca="false">IF(OR($C24="",$D$6="",$D$7=""),"",IF(ISNUMBER($E24),ROUNDUP($D$6*$E24*$D$7,0),"—"))</f>
        <v/>
      </c>
      <c r="G24" s="37" t="str">
        <f aca="false">IF($C24="","",IF($J$9&lt;=0,"－",SUMPRODUCT((COLUMN(日別データ!$C$6:$I$6)&gt;=10-$J$4)*(日別データ!$C$6:$I$6&gt;0),日別データ!C26:I26)/$J$9))</f>
        <v/>
      </c>
    </row>
    <row r="25" customFormat="false" ht="21" hidden="false" customHeight="true" outlineLevel="0" collapsed="false">
      <c r="B25" s="27" t="n">
        <v>15</v>
      </c>
      <c r="C25" s="28" t="str">
        <f aca="false">IF(日別データ!B27="","",日別データ!B27)</f>
        <v/>
      </c>
      <c r="D25" s="29" t="str">
        <f aca="false">IF($C25="","",IF($J$7="*",SUMPRODUCT((COLUMN(日別データ!$C$6:$I$6)&gt;=10-$J$4)*(日別データ!$C$6:$I$6&gt;0),日別データ!C27:I27),SUMPRODUCT((COLUMN(日別データ!$C$4:$I$4)&gt;=10-$J$4)*(INDEX(日別データ!$C$6:$I$10,$J$6,0)&gt;0)*SUMIFS(CSV貼付!$C$5:$C$2004,CSV貼付!$A$5:$A$2004,"&gt;="&amp;日別データ!$C$4:$I$4,CSV貼付!$A$5:$A$2004,"&lt;"&amp;日別データ!$C$4:$I$4+1,CSV貼付!$B$5:$B$2004,$C25,CSV貼付!$J$5:$J$2004,$J$7))))</f>
        <v/>
      </c>
      <c r="E25" s="30" t="str">
        <f aca="false">IF($C25="","",IF($J$5&lt;=0,"要確認",D25/$J$5))</f>
        <v/>
      </c>
      <c r="F25" s="31" t="str">
        <f aca="false">IF(OR($C25="",$D$6="",$D$7=""),"",IF(ISNUMBER($E25),ROUNDUP($D$6*$E25*$D$7,0),"—"))</f>
        <v/>
      </c>
      <c r="G25" s="32" t="str">
        <f aca="false">IF($C25="","",IF($J$9&lt;=0,"－",SUMPRODUCT((COLUMN(日別データ!$C$6:$I$6)&gt;=10-$J$4)*(日別データ!$C$6:$I$6&gt;0),日別データ!C27:I27)/$J$9))</f>
        <v/>
      </c>
    </row>
    <row r="26" customFormat="false" ht="21" hidden="false" customHeight="true" outlineLevel="0" collapsed="false">
      <c r="B26" s="33" t="n">
        <v>16</v>
      </c>
      <c r="C26" s="34" t="str">
        <f aca="false">IF(日別データ!B28="","",日別データ!B28)</f>
        <v/>
      </c>
      <c r="D26" s="35" t="str">
        <f aca="false">IF($C26="","",IF($J$7="*",SUMPRODUCT((COLUMN(日別データ!$C$6:$I$6)&gt;=10-$J$4)*(日別データ!$C$6:$I$6&gt;0),日別データ!C28:I28),SUMPRODUCT((COLUMN(日別データ!$C$4:$I$4)&gt;=10-$J$4)*(INDEX(日別データ!$C$6:$I$10,$J$6,0)&gt;0)*SUMIFS(CSV貼付!$C$5:$C$2004,CSV貼付!$A$5:$A$2004,"&gt;="&amp;日別データ!$C$4:$I$4,CSV貼付!$A$5:$A$2004,"&lt;"&amp;日別データ!$C$4:$I$4+1,CSV貼付!$B$5:$B$2004,$C26,CSV貼付!$J$5:$J$2004,$J$7))))</f>
        <v/>
      </c>
      <c r="E26" s="36" t="str">
        <f aca="false">IF($C26="","",IF($J$5&lt;=0,"要確認",D26/$J$5))</f>
        <v/>
      </c>
      <c r="F26" s="31" t="str">
        <f aca="false">IF(OR($C26="",$D$6="",$D$7=""),"",IF(ISNUMBER($E26),ROUNDUP($D$6*$E26*$D$7,0),"—"))</f>
        <v/>
      </c>
      <c r="G26" s="37" t="str">
        <f aca="false">IF($C26="","",IF($J$9&lt;=0,"－",SUMPRODUCT((COLUMN(日別データ!$C$6:$I$6)&gt;=10-$J$4)*(日別データ!$C$6:$I$6&gt;0),日別データ!C28:I28)/$J$9))</f>
        <v/>
      </c>
    </row>
    <row r="27" customFormat="false" ht="21" hidden="false" customHeight="true" outlineLevel="0" collapsed="false">
      <c r="B27" s="27" t="n">
        <v>17</v>
      </c>
      <c r="C27" s="28" t="str">
        <f aca="false">IF(日別データ!B29="","",日別データ!B29)</f>
        <v/>
      </c>
      <c r="D27" s="29" t="str">
        <f aca="false">IF($C27="","",IF($J$7="*",SUMPRODUCT((COLUMN(日別データ!$C$6:$I$6)&gt;=10-$J$4)*(日別データ!$C$6:$I$6&gt;0),日別データ!C29:I29),SUMPRODUCT((COLUMN(日別データ!$C$4:$I$4)&gt;=10-$J$4)*(INDEX(日別データ!$C$6:$I$10,$J$6,0)&gt;0)*SUMIFS(CSV貼付!$C$5:$C$2004,CSV貼付!$A$5:$A$2004,"&gt;="&amp;日別データ!$C$4:$I$4,CSV貼付!$A$5:$A$2004,"&lt;"&amp;日別データ!$C$4:$I$4+1,CSV貼付!$B$5:$B$2004,$C27,CSV貼付!$J$5:$J$2004,$J$7))))</f>
        <v/>
      </c>
      <c r="E27" s="30" t="str">
        <f aca="false">IF($C27="","",IF($J$5&lt;=0,"要確認",D27/$J$5))</f>
        <v/>
      </c>
      <c r="F27" s="31" t="str">
        <f aca="false">IF(OR($C27="",$D$6="",$D$7=""),"",IF(ISNUMBER($E27),ROUNDUP($D$6*$E27*$D$7,0),"—"))</f>
        <v/>
      </c>
      <c r="G27" s="32" t="str">
        <f aca="false">IF($C27="","",IF($J$9&lt;=0,"－",SUMPRODUCT((COLUMN(日別データ!$C$6:$I$6)&gt;=10-$J$4)*(日別データ!$C$6:$I$6&gt;0),日別データ!C29:I29)/$J$9))</f>
        <v/>
      </c>
    </row>
    <row r="28" customFormat="false" ht="21" hidden="false" customHeight="true" outlineLevel="0" collapsed="false">
      <c r="B28" s="33" t="n">
        <v>18</v>
      </c>
      <c r="C28" s="34" t="str">
        <f aca="false">IF(日別データ!B30="","",日別データ!B30)</f>
        <v/>
      </c>
      <c r="D28" s="35" t="str">
        <f aca="false">IF($C28="","",IF($J$7="*",SUMPRODUCT((COLUMN(日別データ!$C$6:$I$6)&gt;=10-$J$4)*(日別データ!$C$6:$I$6&gt;0),日別データ!C30:I30),SUMPRODUCT((COLUMN(日別データ!$C$4:$I$4)&gt;=10-$J$4)*(INDEX(日別データ!$C$6:$I$10,$J$6,0)&gt;0)*SUMIFS(CSV貼付!$C$5:$C$2004,CSV貼付!$A$5:$A$2004,"&gt;="&amp;日別データ!$C$4:$I$4,CSV貼付!$A$5:$A$2004,"&lt;"&amp;日別データ!$C$4:$I$4+1,CSV貼付!$B$5:$B$2004,$C28,CSV貼付!$J$5:$J$2004,$J$7))))</f>
        <v/>
      </c>
      <c r="E28" s="36" t="str">
        <f aca="false">IF($C28="","",IF($J$5&lt;=0,"要確認",D28/$J$5))</f>
        <v/>
      </c>
      <c r="F28" s="31" t="str">
        <f aca="false">IF(OR($C28="",$D$6="",$D$7=""),"",IF(ISNUMBER($E28),ROUNDUP($D$6*$E28*$D$7,0),"—"))</f>
        <v/>
      </c>
      <c r="G28" s="37" t="str">
        <f aca="false">IF($C28="","",IF($J$9&lt;=0,"－",SUMPRODUCT((COLUMN(日別データ!$C$6:$I$6)&gt;=10-$J$4)*(日別データ!$C$6:$I$6&gt;0),日別データ!C30:I30)/$J$9))</f>
        <v/>
      </c>
    </row>
    <row r="29" customFormat="false" ht="21" hidden="false" customHeight="true" outlineLevel="0" collapsed="false">
      <c r="B29" s="27" t="n">
        <v>19</v>
      </c>
      <c r="C29" s="28" t="str">
        <f aca="false">IF(日別データ!B31="","",日別データ!B31)</f>
        <v/>
      </c>
      <c r="D29" s="29" t="str">
        <f aca="false">IF($C29="","",IF($J$7="*",SUMPRODUCT((COLUMN(日別データ!$C$6:$I$6)&gt;=10-$J$4)*(日別データ!$C$6:$I$6&gt;0),日別データ!C31:I31),SUMPRODUCT((COLUMN(日別データ!$C$4:$I$4)&gt;=10-$J$4)*(INDEX(日別データ!$C$6:$I$10,$J$6,0)&gt;0)*SUMIFS(CSV貼付!$C$5:$C$2004,CSV貼付!$A$5:$A$2004,"&gt;="&amp;日別データ!$C$4:$I$4,CSV貼付!$A$5:$A$2004,"&lt;"&amp;日別データ!$C$4:$I$4+1,CSV貼付!$B$5:$B$2004,$C29,CSV貼付!$J$5:$J$2004,$J$7))))</f>
        <v/>
      </c>
      <c r="E29" s="30" t="str">
        <f aca="false">IF($C29="","",IF($J$5&lt;=0,"要確認",D29/$J$5))</f>
        <v/>
      </c>
      <c r="F29" s="31" t="str">
        <f aca="false">IF(OR($C29="",$D$6="",$D$7=""),"",IF(ISNUMBER($E29),ROUNDUP($D$6*$E29*$D$7,0),"—"))</f>
        <v/>
      </c>
      <c r="G29" s="32" t="str">
        <f aca="false">IF($C29="","",IF($J$9&lt;=0,"－",SUMPRODUCT((COLUMN(日別データ!$C$6:$I$6)&gt;=10-$J$4)*(日別データ!$C$6:$I$6&gt;0),日別データ!C31:I31)/$J$9))</f>
        <v/>
      </c>
    </row>
    <row r="30" customFormat="false" ht="21" hidden="false" customHeight="true" outlineLevel="0" collapsed="false">
      <c r="B30" s="33" t="n">
        <v>20</v>
      </c>
      <c r="C30" s="34" t="str">
        <f aca="false">IF(日別データ!B32="","",日別データ!B32)</f>
        <v/>
      </c>
      <c r="D30" s="35" t="str">
        <f aca="false">IF($C30="","",IF($J$7="*",SUMPRODUCT((COLUMN(日別データ!$C$6:$I$6)&gt;=10-$J$4)*(日別データ!$C$6:$I$6&gt;0),日別データ!C32:I32),SUMPRODUCT((COLUMN(日別データ!$C$4:$I$4)&gt;=10-$J$4)*(INDEX(日別データ!$C$6:$I$10,$J$6,0)&gt;0)*SUMIFS(CSV貼付!$C$5:$C$2004,CSV貼付!$A$5:$A$2004,"&gt;="&amp;日別データ!$C$4:$I$4,CSV貼付!$A$5:$A$2004,"&lt;"&amp;日別データ!$C$4:$I$4+1,CSV貼付!$B$5:$B$2004,$C30,CSV貼付!$J$5:$J$2004,$J$7))))</f>
        <v/>
      </c>
      <c r="E30" s="36" t="str">
        <f aca="false">IF($C30="","",IF($J$5&lt;=0,"要確認",D30/$J$5))</f>
        <v/>
      </c>
      <c r="F30" s="38" t="str">
        <f aca="false">IF(OR($C30="",$D$6="",$D$7=""),"",IF(ISNUMBER($E30),ROUNDUP($D$6*$E30*$D$7,0),"—"))</f>
        <v/>
      </c>
      <c r="G30" s="37" t="str">
        <f aca="false">IF($C30="","",IF($J$9&lt;=0,"－",SUMPRODUCT((COLUMN(日別データ!$C$6:$I$6)&gt;=10-$J$4)*(日別データ!$C$6:$I$6&gt;0),日別データ!C32:I32)/$J$9))</f>
        <v/>
      </c>
    </row>
    <row r="31" customFormat="false" ht="18" hidden="false" customHeight="true" outlineLevel="0" collapsed="false">
      <c r="B31" s="14" t="s">
        <v>53</v>
      </c>
      <c r="C31" s="14"/>
      <c r="D31" s="14"/>
      <c r="E31" s="14"/>
      <c r="F31" s="14"/>
      <c r="G31" s="14"/>
      <c r="H31" s="14"/>
    </row>
  </sheetData>
  <mergeCells count="13">
    <mergeCell ref="B1:H1"/>
    <mergeCell ref="B2:H2"/>
    <mergeCell ref="I3:J3"/>
    <mergeCell ref="B4:C4"/>
    <mergeCell ref="E4:H4"/>
    <mergeCell ref="B5:C5"/>
    <mergeCell ref="E5:H5"/>
    <mergeCell ref="B6:C6"/>
    <mergeCell ref="E6:H6"/>
    <mergeCell ref="B7:C7"/>
    <mergeCell ref="E7:H7"/>
    <mergeCell ref="B8:H8"/>
    <mergeCell ref="B31:H31"/>
  </mergeCells>
  <conditionalFormatting sqref="F11:F30">
    <cfRule type="dataBar" priority="2">
      <dataBar showValue="1" minLength="10" maxLength="90">
        <cfvo type="num" val="0"/>
        <cfvo type="max" val="0"/>
        <color rgb="FFE8604C"/>
      </dataBar>
      <extLst>
        <ext xmlns:x14="http://schemas.microsoft.com/office/spreadsheetml/2009/9/main" uri="{B025F937-C7B1-47D3-B67F-A62EFF666E3E}">
          <x14:id>{549028D3-30B8-40D8-81FB-2CF955277AA4}</x14:id>
        </ext>
      </extLst>
    </cfRule>
  </conditionalFormatting>
  <conditionalFormatting sqref="E11:E30">
    <cfRule type="expression" priority="3" aboveAverage="0" equalAverage="0" bottom="0" percent="0" rank="0" text="" dxfId="0">
      <formula>ISTEXT(E11)</formula>
    </cfRule>
  </conditionalFormatting>
  <dataValidations count="4">
    <dataValidation allowBlank="false" error="リストから選んでください（直近7日間／直近3日間／昨日）" errorStyle="stop" errorTitle="参照期間" operator="between" showDropDown="false" showErrorMessage="true" showInputMessage="false" sqref="D4" type="list">
      <formula1>"直近7日間,直近3日間,昨日"</formula1>
      <formula2>0</formula2>
    </dataValidation>
    <dataValidation allowBlank="false" error="リストから選んでください（1日全体／朝／昼／夕方／夜）" errorStyle="stop" errorTitle="時間帯" operator="between" showDropDown="false" showErrorMessage="true" showInputMessage="false" sqref="D5" type="list">
      <formula1>"1日全体,朝,昼,夕方,夜"</formula1>
      <formula2>0</formula2>
    </dataValidation>
    <dataValidation allowBlank="false" error="ピーク動員数は 0〜999,999 の整数で入力してください" errorStyle="stop" errorTitle="ピーク動員数" operator="between" showDropDown="false" showErrorMessage="true" showInputMessage="false" sqref="D6" type="whole">
      <formula1>0</formula1>
      <formula2>999999</formula2>
    </dataValidation>
    <dataValidation allowBlank="false" error="倍率は 0〜5 の数値で入力してください（1.2 → ×120%）" errorStyle="stop" errorTitle="倍率" operator="between" showDropDown="false" showErrorMessage="true" showInputMessage="false" sqref="D7" type="decimal">
      <formula1>0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49028D3-30B8-40D8-81FB-2CF955277AA4}">
            <x14:dataBar minLength="10" maxLength="90" axisPosition="none" gradient="true">
              <x14:cfvo type="num">
                <xm:f>0</xm:f>
              </x14:cfvo>
              <x14:cfvo type="max"/>
              <x14:negativeFillColor rgb="FFE8604C"/>
              <x14:axisColor rgb="FF000000"/>
            </x14:dataBar>
          </x14:cfRule>
          <xm:sqref>F11:F30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9E5B"/>
    <pageSetUpPr fitToPage="true"/>
  </sheetPr>
  <dimension ref="B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.5"/>
  </cols>
  <sheetData>
    <row r="1" customFormat="false" ht="36" hidden="false" customHeight="true" outlineLevel="0" collapsed="false">
      <c r="B1" s="1" t="s">
        <v>54</v>
      </c>
      <c r="C1" s="1"/>
      <c r="D1" s="1"/>
      <c r="E1" s="1"/>
    </row>
    <row r="2" customFormat="false" ht="24" hidden="false" customHeight="true" outlineLevel="0" collapsed="false">
      <c r="B2" s="39" t="s">
        <v>55</v>
      </c>
      <c r="C2" s="39"/>
      <c r="D2" s="39"/>
      <c r="E2" s="39"/>
    </row>
    <row r="3" customFormat="false" ht="21.75" hidden="false" customHeight="true" outlineLevel="0" collapsed="false">
      <c r="B3" s="40" t="str">
        <f aca="false">"対象時間帯: "&amp;IF(準備数計算!$J$7="*","1日全体",準備数計算!$D$5)&amp;"　｜　ピーク動員数: "&amp;TEXT(準備数計算!$D$6,"#,##0")&amp;"人"</f>
        <v>対象時間帯: 昼　｜　ピーク動員数: 1,200人</v>
      </c>
      <c r="C3" s="40"/>
      <c r="D3" s="40"/>
      <c r="E3" s="40"/>
    </row>
    <row r="4" customFormat="false" ht="19.5" hidden="false" customHeight="true" outlineLevel="0" collapsed="false">
      <c r="B4" s="18" t="str">
        <f aca="false">"倍率: ×"&amp;TEXT(準備数計算!$D$7*100,"0")&amp;"%　｜　"&amp;準備数計算!$E$4</f>
        <v>倍率: ×120%　｜　参照: 8/19〜8/25｜昼の動員合計 11,100人</v>
      </c>
      <c r="C4" s="18"/>
      <c r="D4" s="18"/>
      <c r="E4" s="18"/>
    </row>
    <row r="5" customFormat="false" ht="21.75" hidden="false" customHeight="true" outlineLevel="0" collapsed="false">
      <c r="B5" s="12" t="s">
        <v>56</v>
      </c>
      <c r="C5" s="12"/>
      <c r="D5" s="12"/>
      <c r="E5" s="12"/>
    </row>
    <row r="6" customFormat="false" ht="7.5" hidden="false" customHeight="true" outlineLevel="0" collapsed="false"/>
    <row r="7" customFormat="false" ht="25.5" hidden="false" customHeight="true" outlineLevel="0" collapsed="false">
      <c r="B7" s="41" t="s">
        <v>47</v>
      </c>
      <c r="C7" s="42" t="s">
        <v>48</v>
      </c>
      <c r="D7" s="43" t="s">
        <v>57</v>
      </c>
      <c r="E7" s="42" t="s">
        <v>58</v>
      </c>
    </row>
    <row r="8" customFormat="false" ht="24" hidden="false" customHeight="true" outlineLevel="0" collapsed="false">
      <c r="B8" s="44" t="n">
        <f aca="false">IF(準備数計算!$C11="","",1)</f>
        <v>1</v>
      </c>
      <c r="C8" s="45" t="str">
        <f aca="false">IF(準備数計算!$C11="","",準備数計算!$C11)</f>
        <v>ポップコーン（塩）M</v>
      </c>
      <c r="D8" s="46" t="n">
        <f aca="false">IF(準備数計算!$C11="","",準備数計算!$F11)</f>
        <v>122</v>
      </c>
      <c r="E8" s="47" t="str">
        <f aca="false">IF(準備数計算!$C11="","","☐")</f>
        <v>☐</v>
      </c>
    </row>
    <row r="9" customFormat="false" ht="24" hidden="false" customHeight="true" outlineLevel="0" collapsed="false">
      <c r="B9" s="44" t="n">
        <f aca="false">IF(準備数計算!$C12="","",2)</f>
        <v>2</v>
      </c>
      <c r="C9" s="45" t="str">
        <f aca="false">IF(準備数計算!$C12="","",準備数計算!$C12)</f>
        <v>ポップコーン（キャラメル）M</v>
      </c>
      <c r="D9" s="46" t="n">
        <f aca="false">IF(準備数計算!$C12="","",準備数計算!$F12)</f>
        <v>83</v>
      </c>
      <c r="E9" s="47" t="str">
        <f aca="false">IF(準備数計算!$C12="","","☐")</f>
        <v>☐</v>
      </c>
    </row>
    <row r="10" customFormat="false" ht="24" hidden="false" customHeight="true" outlineLevel="0" collapsed="false">
      <c r="B10" s="44" t="n">
        <f aca="false">IF(準備数計算!$C13="","",3)</f>
        <v>3</v>
      </c>
      <c r="C10" s="45" t="str">
        <f aca="false">IF(準備数計算!$C13="","",準備数計算!$C13)</f>
        <v>ポップコーン ハーフ＆ハーフ</v>
      </c>
      <c r="D10" s="46" t="n">
        <f aca="false">IF(準備数計算!$C13="","",準備数計算!$F13)</f>
        <v>60</v>
      </c>
      <c r="E10" s="47" t="str">
        <f aca="false">IF(準備数計算!$C13="","","☐")</f>
        <v>☐</v>
      </c>
    </row>
    <row r="11" customFormat="false" ht="24" hidden="false" customHeight="true" outlineLevel="0" collapsed="false">
      <c r="B11" s="44" t="n">
        <f aca="false">IF(準備数計算!$C14="","",4)</f>
        <v>4</v>
      </c>
      <c r="C11" s="45" t="str">
        <f aca="false">IF(準備数計算!$C14="","",準備数計算!$C14)</f>
        <v>ドリンク S</v>
      </c>
      <c r="D11" s="46" t="n">
        <f aca="false">IF(準備数計算!$C14="","",準備数計算!$F14)</f>
        <v>65</v>
      </c>
      <c r="E11" s="47" t="str">
        <f aca="false">IF(準備数計算!$C14="","","☐")</f>
        <v>☐</v>
      </c>
    </row>
    <row r="12" customFormat="false" ht="24" hidden="false" customHeight="true" outlineLevel="0" collapsed="false">
      <c r="B12" s="44" t="n">
        <f aca="false">IF(準備数計算!$C15="","",5)</f>
        <v>5</v>
      </c>
      <c r="C12" s="45" t="str">
        <f aca="false">IF(準備数計算!$C15="","",準備数計算!$C15)</f>
        <v>ドリンク M</v>
      </c>
      <c r="D12" s="46" t="n">
        <f aca="false">IF(準備数計算!$C15="","",準備数計算!$F15)</f>
        <v>158</v>
      </c>
      <c r="E12" s="47" t="str">
        <f aca="false">IF(準備数計算!$C15="","","☐")</f>
        <v>☐</v>
      </c>
    </row>
    <row r="13" customFormat="false" ht="24" hidden="false" customHeight="true" outlineLevel="0" collapsed="false">
      <c r="B13" s="44" t="n">
        <f aca="false">IF(準備数計算!$C16="","",6)</f>
        <v>6</v>
      </c>
      <c r="C13" s="45" t="str">
        <f aca="false">IF(準備数計算!$C16="","",準備数計算!$C16)</f>
        <v>ドリンク L</v>
      </c>
      <c r="D13" s="46" t="n">
        <f aca="false">IF(準備数計算!$C16="","",準備数計算!$F16)</f>
        <v>49</v>
      </c>
      <c r="E13" s="47" t="str">
        <f aca="false">IF(準備数計算!$C16="","","☐")</f>
        <v>☐</v>
      </c>
    </row>
    <row r="14" customFormat="false" ht="24" hidden="false" customHeight="true" outlineLevel="0" collapsed="false">
      <c r="B14" s="44" t="n">
        <f aca="false">IF(準備数計算!$C17="","",7)</f>
        <v>7</v>
      </c>
      <c r="C14" s="45" t="str">
        <f aca="false">IF(準備数計算!$C17="","",準備数計算!$C17)</f>
        <v>チュロス（シナモン）</v>
      </c>
      <c r="D14" s="46" t="n">
        <f aca="false">IF(準備数計算!$C17="","",準備数計算!$F17)</f>
        <v>43</v>
      </c>
      <c r="E14" s="47" t="str">
        <f aca="false">IF(準備数計算!$C17="","","☐")</f>
        <v>☐</v>
      </c>
    </row>
    <row r="15" customFormat="false" ht="24" hidden="false" customHeight="true" outlineLevel="0" collapsed="false">
      <c r="B15" s="44" t="n">
        <f aca="false">IF(準備数計算!$C18="","",8)</f>
        <v>8</v>
      </c>
      <c r="C15" s="45" t="str">
        <f aca="false">IF(準備数計算!$C18="","",準備数計算!$C18)</f>
        <v>ホットドッグ</v>
      </c>
      <c r="D15" s="46" t="n">
        <f aca="false">IF(準備数計算!$C18="","",準備数計算!$F18)</f>
        <v>35</v>
      </c>
      <c r="E15" s="47" t="str">
        <f aca="false">IF(準備数計算!$C18="","","☐")</f>
        <v>☐</v>
      </c>
    </row>
    <row r="16" customFormat="false" ht="24" hidden="false" customHeight="true" outlineLevel="0" collapsed="false">
      <c r="B16" s="44" t="n">
        <f aca="false">IF(準備数計算!$C19="","",9)</f>
        <v>9</v>
      </c>
      <c r="C16" s="45" t="str">
        <f aca="false">IF(準備数計算!$C19="","",準備数計算!$C19)</f>
        <v>ナチョス（チーズソース）</v>
      </c>
      <c r="D16" s="46" t="n">
        <f aca="false">IF(準備数計算!$C19="","",準備数計算!$F19)</f>
        <v>26</v>
      </c>
      <c r="E16" s="47" t="str">
        <f aca="false">IF(準備数計算!$C19="","","☐")</f>
        <v>☐</v>
      </c>
    </row>
    <row r="17" customFormat="false" ht="24" hidden="false" customHeight="true" outlineLevel="0" collapsed="false">
      <c r="B17" s="44" t="n">
        <f aca="false">IF(準備数計算!$C20="","",10)</f>
        <v>10</v>
      </c>
      <c r="C17" s="45" t="str">
        <f aca="false">IF(準備数計算!$C20="","",準備数計算!$C20)</f>
        <v>フライドポテト</v>
      </c>
      <c r="D17" s="46" t="n">
        <f aca="false">IF(準備数計算!$C20="","",準備数計算!$F20)</f>
        <v>38</v>
      </c>
      <c r="E17" s="47" t="str">
        <f aca="false">IF(準備数計算!$C20="","","☐")</f>
        <v>☐</v>
      </c>
    </row>
    <row r="18" customFormat="false" ht="24" hidden="false" customHeight="true" outlineLevel="0" collapsed="false">
      <c r="B18" s="44" t="n">
        <f aca="false">IF(準備数計算!$C21="","",11)</f>
        <v>11</v>
      </c>
      <c r="C18" s="45" t="str">
        <f aca="false">IF(準備数計算!$C21="","",準備数計算!$C21)</f>
        <v>チキンナゲット</v>
      </c>
      <c r="D18" s="46" t="n">
        <f aca="false">IF(準備数計算!$C21="","",準備数計算!$F21)</f>
        <v>24</v>
      </c>
      <c r="E18" s="47" t="str">
        <f aca="false">IF(準備数計算!$C21="","","☐")</f>
        <v>☐</v>
      </c>
    </row>
    <row r="19" customFormat="false" ht="24" hidden="false" customHeight="true" outlineLevel="0" collapsed="false">
      <c r="B19" s="44" t="n">
        <f aca="false">IF(準備数計算!$C22="","",12)</f>
        <v>12</v>
      </c>
      <c r="C19" s="45" t="str">
        <f aca="false">IF(準備数計算!$C22="","",準備数計算!$C22)</f>
        <v>ソフトクリーム（バニラ）</v>
      </c>
      <c r="D19" s="46" t="n">
        <f aca="false">IF(準備数計算!$C22="","",準備数計算!$F22)</f>
        <v>21</v>
      </c>
      <c r="E19" s="47" t="str">
        <f aca="false">IF(準備数計算!$C22="","","☐")</f>
        <v>☐</v>
      </c>
    </row>
    <row r="20" customFormat="false" ht="24" hidden="false" customHeight="true" outlineLevel="0" collapsed="false">
      <c r="B20" s="44" t="str">
        <f aca="false">IF(準備数計算!$C23="","",13)</f>
        <v/>
      </c>
      <c r="C20" s="45" t="str">
        <f aca="false">IF(準備数計算!$C23="","",準備数計算!$C23)</f>
        <v/>
      </c>
      <c r="D20" s="46" t="str">
        <f aca="false">IF(準備数計算!$C23="","",準備数計算!$F23)</f>
        <v/>
      </c>
      <c r="E20" s="47" t="str">
        <f aca="false">IF(準備数計算!$C23="","","☐")</f>
        <v/>
      </c>
    </row>
    <row r="21" customFormat="false" ht="24" hidden="false" customHeight="true" outlineLevel="0" collapsed="false">
      <c r="B21" s="44" t="str">
        <f aca="false">IF(準備数計算!$C24="","",14)</f>
        <v/>
      </c>
      <c r="C21" s="45" t="str">
        <f aca="false">IF(準備数計算!$C24="","",準備数計算!$C24)</f>
        <v/>
      </c>
      <c r="D21" s="46" t="str">
        <f aca="false">IF(準備数計算!$C24="","",準備数計算!$F24)</f>
        <v/>
      </c>
      <c r="E21" s="47" t="str">
        <f aca="false">IF(準備数計算!$C24="","","☐")</f>
        <v/>
      </c>
    </row>
    <row r="22" customFormat="false" ht="24" hidden="false" customHeight="true" outlineLevel="0" collapsed="false">
      <c r="B22" s="44" t="str">
        <f aca="false">IF(準備数計算!$C25="","",15)</f>
        <v/>
      </c>
      <c r="C22" s="45" t="str">
        <f aca="false">IF(準備数計算!$C25="","",準備数計算!$C25)</f>
        <v/>
      </c>
      <c r="D22" s="46" t="str">
        <f aca="false">IF(準備数計算!$C25="","",準備数計算!$F25)</f>
        <v/>
      </c>
      <c r="E22" s="47" t="str">
        <f aca="false">IF(準備数計算!$C25="","","☐")</f>
        <v/>
      </c>
    </row>
    <row r="23" customFormat="false" ht="24" hidden="false" customHeight="true" outlineLevel="0" collapsed="false">
      <c r="B23" s="44" t="str">
        <f aca="false">IF(準備数計算!$C26="","",16)</f>
        <v/>
      </c>
      <c r="C23" s="45" t="str">
        <f aca="false">IF(準備数計算!$C26="","",準備数計算!$C26)</f>
        <v/>
      </c>
      <c r="D23" s="46" t="str">
        <f aca="false">IF(準備数計算!$C26="","",準備数計算!$F26)</f>
        <v/>
      </c>
      <c r="E23" s="47" t="str">
        <f aca="false">IF(準備数計算!$C26="","","☐")</f>
        <v/>
      </c>
    </row>
    <row r="24" customFormat="false" ht="24" hidden="false" customHeight="true" outlineLevel="0" collapsed="false">
      <c r="B24" s="44" t="str">
        <f aca="false">IF(準備数計算!$C27="","",17)</f>
        <v/>
      </c>
      <c r="C24" s="45" t="str">
        <f aca="false">IF(準備数計算!$C27="","",準備数計算!$C27)</f>
        <v/>
      </c>
      <c r="D24" s="46" t="str">
        <f aca="false">IF(準備数計算!$C27="","",準備数計算!$F27)</f>
        <v/>
      </c>
      <c r="E24" s="47" t="str">
        <f aca="false">IF(準備数計算!$C27="","","☐")</f>
        <v/>
      </c>
    </row>
    <row r="25" customFormat="false" ht="24" hidden="false" customHeight="true" outlineLevel="0" collapsed="false">
      <c r="B25" s="44" t="str">
        <f aca="false">IF(準備数計算!$C28="","",18)</f>
        <v/>
      </c>
      <c r="C25" s="45" t="str">
        <f aca="false">IF(準備数計算!$C28="","",準備数計算!$C28)</f>
        <v/>
      </c>
      <c r="D25" s="46" t="str">
        <f aca="false">IF(準備数計算!$C28="","",準備数計算!$F28)</f>
        <v/>
      </c>
      <c r="E25" s="47" t="str">
        <f aca="false">IF(準備数計算!$C28="","","☐")</f>
        <v/>
      </c>
    </row>
    <row r="26" customFormat="false" ht="24" hidden="false" customHeight="true" outlineLevel="0" collapsed="false">
      <c r="B26" s="44" t="str">
        <f aca="false">IF(準備数計算!$C29="","",19)</f>
        <v/>
      </c>
      <c r="C26" s="45" t="str">
        <f aca="false">IF(準備数計算!$C29="","",準備数計算!$C29)</f>
        <v/>
      </c>
      <c r="D26" s="46" t="str">
        <f aca="false">IF(準備数計算!$C29="","",準備数計算!$F29)</f>
        <v/>
      </c>
      <c r="E26" s="47" t="str">
        <f aca="false">IF(準備数計算!$C29="","","☐")</f>
        <v/>
      </c>
    </row>
    <row r="27" customFormat="false" ht="24" hidden="false" customHeight="true" outlineLevel="0" collapsed="false">
      <c r="B27" s="44" t="str">
        <f aca="false">IF(準備数計算!$C30="","",20)</f>
        <v/>
      </c>
      <c r="C27" s="45" t="str">
        <f aca="false">IF(準備数計算!$C30="","",準備数計算!$C30)</f>
        <v/>
      </c>
      <c r="D27" s="46" t="str">
        <f aca="false">IF(準備数計算!$C30="","",準備数計算!$F30)</f>
        <v/>
      </c>
      <c r="E27" s="47" t="str">
        <f aca="false">IF(準備数計算!$C30="","","☐")</f>
        <v/>
      </c>
    </row>
    <row r="28" customFormat="false" ht="15.75" hidden="false" customHeight="true" outlineLevel="0" collapsed="false">
      <c r="B28" s="48" t="s">
        <v>59</v>
      </c>
      <c r="C28" s="48"/>
      <c r="D28" s="48"/>
      <c r="E28" s="48"/>
    </row>
  </sheetData>
  <mergeCells count="6">
    <mergeCell ref="B1:E1"/>
    <mergeCell ref="B2:E2"/>
    <mergeCell ref="B3:E3"/>
    <mergeCell ref="B4:E4"/>
    <mergeCell ref="B5:E5"/>
    <mergeCell ref="B28:E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9E92"/>
    <pageSetUpPr fitToPage="true"/>
  </sheetPr>
  <dimension ref="A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2" topLeftCell="C13" activePane="bottomRight" state="frozen"/>
      <selection pane="topLeft" activeCell="A1" activeCellId="0" sqref="A1"/>
      <selection pane="topRight" activeCell="C1" activeCellId="0" sqref="C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9" min="3" style="0" width="10"/>
    <col collapsed="false" customWidth="true" hidden="false" outlineLevel="0" max="10" min="10" style="0" width="11"/>
    <col collapsed="false" customWidth="true" hidden="false" outlineLevel="0" max="11" min="11" style="0" width="18"/>
  </cols>
  <sheetData>
    <row r="1" customFormat="false" ht="33.75" hidden="false" customHeight="true" outlineLevel="0" collapsed="false">
      <c r="A1" s="1" t="s">
        <v>60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A2" s="49" t="s">
        <v>61</v>
      </c>
      <c r="B2" s="50" t="s">
        <v>62</v>
      </c>
      <c r="C2" s="51" t="s">
        <v>63</v>
      </c>
      <c r="D2" s="51"/>
      <c r="F2" s="14" t="s">
        <v>64</v>
      </c>
      <c r="G2" s="14"/>
      <c r="H2" s="14"/>
      <c r="I2" s="14"/>
      <c r="J2" s="14"/>
      <c r="K2" s="14"/>
    </row>
    <row r="3" customFormat="false" ht="6" hidden="false" customHeight="true" outlineLevel="0" collapsed="false"/>
    <row r="4" customFormat="false" ht="21.75" hidden="false" customHeight="true" outlineLevel="0" collapsed="false">
      <c r="B4" s="52" t="s">
        <v>65</v>
      </c>
      <c r="C4" s="53" t="n">
        <v>46253</v>
      </c>
      <c r="D4" s="53" t="n">
        <v>46254</v>
      </c>
      <c r="E4" s="53" t="n">
        <v>46255</v>
      </c>
      <c r="F4" s="53" t="n">
        <v>46256</v>
      </c>
      <c r="G4" s="53" t="n">
        <v>46257</v>
      </c>
      <c r="H4" s="53" t="n">
        <v>46258</v>
      </c>
      <c r="I4" s="53" t="n">
        <v>46259</v>
      </c>
    </row>
    <row r="5" customFormat="false" ht="15.75" hidden="false" customHeight="true" outlineLevel="0" collapsed="false">
      <c r="B5" s="54" t="s">
        <v>66</v>
      </c>
      <c r="C5" s="55" t="str">
        <f aca="false">IF(C$4="","",CHOOSE(WEEKDAY(C$4),"日","月","火","水","木","金","土"))</f>
        <v>水</v>
      </c>
      <c r="D5" s="55" t="str">
        <f aca="false">IF(D$4="","",CHOOSE(WEEKDAY(D$4),"日","月","火","水","木","金","土"))</f>
        <v>木</v>
      </c>
      <c r="E5" s="55" t="str">
        <f aca="false">IF(E$4="","",CHOOSE(WEEKDAY(E$4),"日","月","火","水","木","金","土"))</f>
        <v>金</v>
      </c>
      <c r="F5" s="55" t="str">
        <f aca="false">IF(F$4="","",CHOOSE(WEEKDAY(F$4),"日","月","火","水","木","金","土"))</f>
        <v>土</v>
      </c>
      <c r="G5" s="55" t="str">
        <f aca="false">IF(G$4="","",CHOOSE(WEEKDAY(G$4),"日","月","火","水","木","金","土"))</f>
        <v>日</v>
      </c>
      <c r="H5" s="55" t="str">
        <f aca="false">IF(H$4="","",CHOOSE(WEEKDAY(H$4),"日","月","火","水","木","金","土"))</f>
        <v>月</v>
      </c>
      <c r="I5" s="55" t="str">
        <f aca="false">IF(I$4="","",CHOOSE(WEEKDAY(I$4),"日","月","火","水","木","金","土"))</f>
        <v>火</v>
      </c>
      <c r="J5" s="56" t="s">
        <v>67</v>
      </c>
    </row>
    <row r="6" customFormat="false" ht="21.75" hidden="false" customHeight="true" outlineLevel="0" collapsed="false">
      <c r="B6" s="52" t="s">
        <v>68</v>
      </c>
      <c r="C6" s="57" t="n">
        <v>4200</v>
      </c>
      <c r="D6" s="57" t="n">
        <v>3900</v>
      </c>
      <c r="E6" s="57" t="n">
        <v>5100</v>
      </c>
      <c r="F6" s="57" t="n">
        <v>8300</v>
      </c>
      <c r="G6" s="57" t="n">
        <v>7800</v>
      </c>
      <c r="H6" s="57" t="n">
        <v>3600</v>
      </c>
      <c r="I6" s="57" t="n">
        <v>4100</v>
      </c>
      <c r="J6" s="58" t="n">
        <f aca="false">IF(COUNT(C6:I6)=0,"",SUM(C6:I6))</f>
        <v>37000</v>
      </c>
    </row>
    <row r="7" customFormat="false" ht="18.75" hidden="false" customHeight="true" outlineLevel="0" collapsed="false">
      <c r="B7" s="59" t="s">
        <v>69</v>
      </c>
      <c r="C7" s="60" t="n">
        <v>630</v>
      </c>
      <c r="D7" s="60" t="n">
        <v>585</v>
      </c>
      <c r="E7" s="60" t="n">
        <v>765</v>
      </c>
      <c r="F7" s="60" t="n">
        <v>1245</v>
      </c>
      <c r="G7" s="60" t="n">
        <v>1170</v>
      </c>
      <c r="H7" s="60" t="n">
        <v>540</v>
      </c>
      <c r="I7" s="60" t="n">
        <v>615</v>
      </c>
      <c r="J7" s="61" t="n">
        <f aca="false">IF(COUNT(C7:I7)=0,"",SUM(C7:I7))</f>
        <v>5550</v>
      </c>
      <c r="K7" s="62" t="s">
        <v>70</v>
      </c>
    </row>
    <row r="8" customFormat="false" ht="18.75" hidden="false" customHeight="true" outlineLevel="0" collapsed="false">
      <c r="B8" s="59" t="s">
        <v>71</v>
      </c>
      <c r="C8" s="60" t="n">
        <v>1260</v>
      </c>
      <c r="D8" s="60" t="n">
        <v>1170</v>
      </c>
      <c r="E8" s="60" t="n">
        <v>1530</v>
      </c>
      <c r="F8" s="60" t="n">
        <v>2490</v>
      </c>
      <c r="G8" s="60" t="n">
        <v>2340</v>
      </c>
      <c r="H8" s="60" t="n">
        <v>1080</v>
      </c>
      <c r="I8" s="60" t="n">
        <v>1230</v>
      </c>
      <c r="J8" s="61" t="n">
        <f aca="false">IF(COUNT(C8:I8)=0,"",SUM(C8:I8))</f>
        <v>11100</v>
      </c>
      <c r="K8" s="62"/>
    </row>
    <row r="9" customFormat="false" ht="18.75" hidden="false" customHeight="true" outlineLevel="0" collapsed="false">
      <c r="B9" s="59" t="s">
        <v>72</v>
      </c>
      <c r="C9" s="60" t="n">
        <v>1050</v>
      </c>
      <c r="D9" s="60" t="n">
        <v>975</v>
      </c>
      <c r="E9" s="60" t="n">
        <v>1275</v>
      </c>
      <c r="F9" s="60" t="n">
        <v>2075</v>
      </c>
      <c r="G9" s="60" t="n">
        <v>1950</v>
      </c>
      <c r="H9" s="60" t="n">
        <v>900</v>
      </c>
      <c r="I9" s="60" t="n">
        <v>1025</v>
      </c>
      <c r="J9" s="61" t="n">
        <f aca="false">IF(COUNT(C9:I9)=0,"",SUM(C9:I9))</f>
        <v>9250</v>
      </c>
      <c r="K9" s="62"/>
    </row>
    <row r="10" customFormat="false" ht="18.75" hidden="false" customHeight="true" outlineLevel="0" collapsed="false">
      <c r="B10" s="59" t="s">
        <v>73</v>
      </c>
      <c r="C10" s="60" t="n">
        <v>1260</v>
      </c>
      <c r="D10" s="60" t="n">
        <v>1170</v>
      </c>
      <c r="E10" s="60" t="n">
        <v>1530</v>
      </c>
      <c r="F10" s="60" t="n">
        <v>2490</v>
      </c>
      <c r="G10" s="60" t="n">
        <v>2340</v>
      </c>
      <c r="H10" s="60" t="n">
        <v>1080</v>
      </c>
      <c r="I10" s="60" t="n">
        <v>1230</v>
      </c>
      <c r="J10" s="61" t="n">
        <f aca="false">IF(COUNT(C10:I10)=0,"",SUM(C10:I10))</f>
        <v>11100</v>
      </c>
      <c r="K10" s="62"/>
    </row>
    <row r="11" customFormat="false" ht="15.75" hidden="false" customHeight="true" outlineLevel="0" collapsed="false">
      <c r="B11" s="63" t="s">
        <v>74</v>
      </c>
      <c r="C11" s="56" t="str">
        <f aca="false">IF(C$4="","",IF(COUNTIFS(CSV貼付!$A$5:$A$2004,"&gt;="&amp;C$4,CSV貼付!$A$5:$A$2004,"&lt;"&amp;C$4+1)=0,"⚠なし","✔"))</f>
        <v>✔</v>
      </c>
      <c r="D11" s="56" t="str">
        <f aca="false">IF(D$4="","",IF(COUNTIFS(CSV貼付!$A$5:$A$2004,"&gt;="&amp;D$4,CSV貼付!$A$5:$A$2004,"&lt;"&amp;D$4+1)=0,"⚠なし","✔"))</f>
        <v>✔</v>
      </c>
      <c r="E11" s="56" t="str">
        <f aca="false">IF(E$4="","",IF(COUNTIFS(CSV貼付!$A$5:$A$2004,"&gt;="&amp;E$4,CSV貼付!$A$5:$A$2004,"&lt;"&amp;E$4+1)=0,"⚠なし","✔"))</f>
        <v>✔</v>
      </c>
      <c r="F11" s="56" t="str">
        <f aca="false">IF(F$4="","",IF(COUNTIFS(CSV貼付!$A$5:$A$2004,"&gt;="&amp;F$4,CSV貼付!$A$5:$A$2004,"&lt;"&amp;F$4+1)=0,"⚠なし","✔"))</f>
        <v>✔</v>
      </c>
      <c r="G11" s="56" t="str">
        <f aca="false">IF(G$4="","",IF(COUNTIFS(CSV貼付!$A$5:$A$2004,"&gt;="&amp;G$4,CSV貼付!$A$5:$A$2004,"&lt;"&amp;G$4+1)=0,"⚠なし","✔"))</f>
        <v>✔</v>
      </c>
      <c r="H11" s="56" t="str">
        <f aca="false">IF(H$4="","",IF(COUNTIFS(CSV貼付!$A$5:$A$2004,"&gt;="&amp;H$4,CSV貼付!$A$5:$A$2004,"&lt;"&amp;H$4+1)=0,"⚠なし","✔"))</f>
        <v>✔</v>
      </c>
      <c r="I11" s="56" t="str">
        <f aca="false">IF(I$4="","",IF(COUNTIFS(CSV貼付!$A$5:$A$2004,"&gt;="&amp;I$4,CSV貼付!$A$5:$A$2004,"&lt;"&amp;I$4+1)=0,"⚠なし","✔"))</f>
        <v>✔</v>
      </c>
    </row>
    <row r="12" customFormat="false" ht="21.75" hidden="false" customHeight="true" outlineLevel="0" collapsed="false">
      <c r="A12" s="64" t="s">
        <v>47</v>
      </c>
      <c r="B12" s="65" t="s">
        <v>48</v>
      </c>
      <c r="C12" s="66" t="n">
        <f aca="false">IF(C$4="","",C$4)</f>
        <v>46253</v>
      </c>
      <c r="D12" s="66" t="n">
        <f aca="false">IF(D$4="","",D$4)</f>
        <v>46254</v>
      </c>
      <c r="E12" s="66" t="n">
        <f aca="false">IF(E$4="","",E$4)</f>
        <v>46255</v>
      </c>
      <c r="F12" s="66" t="n">
        <f aca="false">IF(F$4="","",F$4)</f>
        <v>46256</v>
      </c>
      <c r="G12" s="66" t="n">
        <f aca="false">IF(G$4="","",G$4)</f>
        <v>46257</v>
      </c>
      <c r="H12" s="66" t="n">
        <f aca="false">IF(H$4="","",H$4)</f>
        <v>46258</v>
      </c>
      <c r="I12" s="66" t="n">
        <f aca="false">IF(I$4="","",I$4)</f>
        <v>46259</v>
      </c>
      <c r="J12" s="64" t="s">
        <v>75</v>
      </c>
      <c r="K12" s="65" t="s">
        <v>76</v>
      </c>
    </row>
    <row r="13" customFormat="false" ht="19.5" hidden="false" customHeight="true" outlineLevel="0" collapsed="false">
      <c r="A13" s="27" t="n">
        <v>1</v>
      </c>
      <c r="B13" s="67" t="s">
        <v>77</v>
      </c>
      <c r="C13" s="68" t="n">
        <f aca="false">IF(OR($B13="",C$4=""),"",SUMIFS(CSV貼付!$C$5:$C$2004,CSV貼付!$A$5:$A$2004,"&gt;="&amp;C$4,CSV貼付!$A$5:$A$2004,"&lt;"&amp;C$4+1,CSV貼付!$B$5:$B$2004,$B13))</f>
        <v>313</v>
      </c>
      <c r="D13" s="68" t="n">
        <f aca="false">IF(OR($B13="",D$4=""),"",SUMIFS(CSV貼付!$C$5:$C$2004,CSV貼付!$A$5:$A$2004,"&gt;="&amp;D$4,CSV貼付!$A$5:$A$2004,"&lt;"&amp;D$4+1,CSV貼付!$B$5:$B$2004,$B13))</f>
        <v>283</v>
      </c>
      <c r="E13" s="68" t="n">
        <f aca="false">IF(OR($B13="",E$4=""),"",SUMIFS(CSV貼付!$C$5:$C$2004,CSV貼付!$A$5:$A$2004,"&gt;="&amp;E$4,CSV貼付!$A$5:$A$2004,"&lt;"&amp;E$4+1,CSV貼付!$B$5:$B$2004,$B13))</f>
        <v>339</v>
      </c>
      <c r="F13" s="68" t="n">
        <f aca="false">IF(OR($B13="",F$4=""),"",SUMIFS(CSV貼付!$C$5:$C$2004,CSV貼付!$A$5:$A$2004,"&gt;="&amp;F$4,CSV貼付!$A$5:$A$2004,"&lt;"&amp;F$4+1,CSV貼付!$B$5:$B$2004,$B13))</f>
        <v>670</v>
      </c>
      <c r="G13" s="68" t="n">
        <f aca="false">IF(OR($B13="",G$4=""),"",SUMIFS(CSV貼付!$C$5:$C$2004,CSV貼付!$A$5:$A$2004,"&gt;="&amp;G$4,CSV貼付!$A$5:$A$2004,"&lt;"&amp;G$4+1,CSV貼付!$B$5:$B$2004,$B13))</f>
        <v>613</v>
      </c>
      <c r="H13" s="68" t="n">
        <f aca="false">IF(OR($B13="",H$4=""),"",SUMIFS(CSV貼付!$C$5:$C$2004,CSV貼付!$A$5:$A$2004,"&gt;="&amp;H$4,CSV貼付!$A$5:$A$2004,"&lt;"&amp;H$4+1,CSV貼付!$B$5:$B$2004,$B13))</f>
        <v>298</v>
      </c>
      <c r="I13" s="68" t="n">
        <f aca="false">IF(OR($B13="",I$4=""),"",SUMIFS(CSV貼付!$C$5:$C$2004,CSV貼付!$A$5:$A$2004,"&gt;="&amp;I$4,CSV貼付!$A$5:$A$2004,"&lt;"&amp;I$4+1,CSV貼付!$B$5:$B$2004,$B13))</f>
        <v>309</v>
      </c>
      <c r="J13" s="69" t="n">
        <f aca="false">IF($B13="","",SUM(C13:I13))</f>
        <v>2825</v>
      </c>
      <c r="K13" s="70"/>
    </row>
    <row r="14" customFormat="false" ht="19.5" hidden="false" customHeight="true" outlineLevel="0" collapsed="false">
      <c r="A14" s="27" t="n">
        <v>2</v>
      </c>
      <c r="B14" s="67" t="s">
        <v>78</v>
      </c>
      <c r="C14" s="35" t="n">
        <f aca="false">IF(OR($B14="",C$4=""),"",SUMIFS(CSV貼付!$C$5:$C$2004,CSV貼付!$A$5:$A$2004,"&gt;="&amp;C$4,CSV貼付!$A$5:$A$2004,"&lt;"&amp;C$4+1,CSV貼付!$B$5:$B$2004,$B14))</f>
        <v>218</v>
      </c>
      <c r="D14" s="35" t="n">
        <f aca="false">IF(OR($B14="",D$4=""),"",SUMIFS(CSV貼付!$C$5:$C$2004,CSV貼付!$A$5:$A$2004,"&gt;="&amp;D$4,CSV貼付!$A$5:$A$2004,"&lt;"&amp;D$4+1,CSV貼付!$B$5:$B$2004,$B14))</f>
        <v>201</v>
      </c>
      <c r="E14" s="35" t="n">
        <f aca="false">IF(OR($B14="",E$4=""),"",SUMIFS(CSV貼付!$C$5:$C$2004,CSV貼付!$A$5:$A$2004,"&gt;="&amp;E$4,CSV貼付!$A$5:$A$2004,"&lt;"&amp;E$4+1,CSV貼付!$B$5:$B$2004,$B14))</f>
        <v>260</v>
      </c>
      <c r="F14" s="35" t="n">
        <f aca="false">IF(OR($B14="",F$4=""),"",SUMIFS(CSV貼付!$C$5:$C$2004,CSV貼付!$A$5:$A$2004,"&gt;="&amp;F$4,CSV貼付!$A$5:$A$2004,"&lt;"&amp;F$4+1,CSV貼付!$B$5:$B$2004,$B14))</f>
        <v>484</v>
      </c>
      <c r="G14" s="35" t="n">
        <f aca="false">IF(OR($B14="",G$4=""),"",SUMIFS(CSV貼付!$C$5:$C$2004,CSV貼付!$A$5:$A$2004,"&gt;="&amp;G$4,CSV貼付!$A$5:$A$2004,"&lt;"&amp;G$4+1,CSV貼付!$B$5:$B$2004,$B14))</f>
        <v>444</v>
      </c>
      <c r="H14" s="35" t="n">
        <f aca="false">IF(OR($B14="",H$4=""),"",SUMIFS(CSV貼付!$C$5:$C$2004,CSV貼付!$A$5:$A$2004,"&gt;="&amp;H$4,CSV貼付!$A$5:$A$2004,"&lt;"&amp;H$4+1,CSV貼付!$B$5:$B$2004,$B14))</f>
        <v>186</v>
      </c>
      <c r="I14" s="35" t="n">
        <f aca="false">IF(OR($B14="",I$4=""),"",SUMIFS(CSV貼付!$C$5:$C$2004,CSV貼付!$A$5:$A$2004,"&gt;="&amp;I$4,CSV貼付!$A$5:$A$2004,"&lt;"&amp;I$4+1,CSV貼付!$B$5:$B$2004,$B14))</f>
        <v>266</v>
      </c>
      <c r="J14" s="69" t="n">
        <f aca="false">IF($B14="","",SUM(C14:I14))</f>
        <v>2059</v>
      </c>
      <c r="K14" s="70"/>
    </row>
    <row r="15" customFormat="false" ht="19.5" hidden="false" customHeight="true" outlineLevel="0" collapsed="false">
      <c r="A15" s="27" t="n">
        <v>3</v>
      </c>
      <c r="B15" s="67" t="s">
        <v>79</v>
      </c>
      <c r="C15" s="68" t="n">
        <f aca="false">IF(OR($B15="",C$4=""),"",SUMIFS(CSV貼付!$C$5:$C$2004,CSV貼付!$A$5:$A$2004,"&gt;="&amp;C$4,CSV貼付!$A$5:$A$2004,"&lt;"&amp;C$4+1,CSV貼付!$B$5:$B$2004,$B15))</f>
        <v>148</v>
      </c>
      <c r="D15" s="68" t="n">
        <f aca="false">IF(OR($B15="",D$4=""),"",SUMIFS(CSV貼付!$C$5:$C$2004,CSV貼付!$A$5:$A$2004,"&gt;="&amp;D$4,CSV貼付!$A$5:$A$2004,"&lt;"&amp;D$4+1,CSV貼付!$B$5:$B$2004,$B15))</f>
        <v>166</v>
      </c>
      <c r="E15" s="68" t="n">
        <f aca="false">IF(OR($B15="",E$4=""),"",SUMIFS(CSV貼付!$C$5:$C$2004,CSV貼付!$A$5:$A$2004,"&gt;="&amp;E$4,CSV貼付!$A$5:$A$2004,"&lt;"&amp;E$4+1,CSV貼付!$B$5:$B$2004,$B15))</f>
        <v>205</v>
      </c>
      <c r="F15" s="68" t="n">
        <f aca="false">IF(OR($B15="",F$4=""),"",SUMIFS(CSV貼付!$C$5:$C$2004,CSV貼付!$A$5:$A$2004,"&gt;="&amp;F$4,CSV貼付!$A$5:$A$2004,"&lt;"&amp;F$4+1,CSV貼付!$B$5:$B$2004,$B15))</f>
        <v>320</v>
      </c>
      <c r="G15" s="68" t="n">
        <f aca="false">IF(OR($B15="",G$4=""),"",SUMIFS(CSV貼付!$C$5:$C$2004,CSV貼付!$A$5:$A$2004,"&gt;="&amp;G$4,CSV貼付!$A$5:$A$2004,"&lt;"&amp;G$4+1,CSV貼付!$B$5:$B$2004,$B15))</f>
        <v>374</v>
      </c>
      <c r="H15" s="68" t="n">
        <f aca="false">IF(OR($B15="",H$4=""),"",SUMIFS(CSV貼付!$C$5:$C$2004,CSV貼付!$A$5:$A$2004,"&gt;="&amp;H$4,CSV貼付!$A$5:$A$2004,"&lt;"&amp;H$4+1,CSV貼付!$B$5:$B$2004,$B15))</f>
        <v>152</v>
      </c>
      <c r="I15" s="68" t="n">
        <f aca="false">IF(OR($B15="",I$4=""),"",SUMIFS(CSV貼付!$C$5:$C$2004,CSV貼付!$A$5:$A$2004,"&gt;="&amp;I$4,CSV貼付!$A$5:$A$2004,"&lt;"&amp;I$4+1,CSV貼付!$B$5:$B$2004,$B15))</f>
        <v>146</v>
      </c>
      <c r="J15" s="69" t="n">
        <f aca="false">IF($B15="","",SUM(C15:I15))</f>
        <v>1511</v>
      </c>
      <c r="K15" s="70"/>
    </row>
    <row r="16" customFormat="false" ht="19.5" hidden="false" customHeight="true" outlineLevel="0" collapsed="false">
      <c r="A16" s="27" t="n">
        <v>4</v>
      </c>
      <c r="B16" s="67" t="s">
        <v>80</v>
      </c>
      <c r="C16" s="35" t="n">
        <f aca="false">IF(OR($B16="",C$4=""),"",SUMIFS(CSV貼付!$C$5:$C$2004,CSV貼付!$A$5:$A$2004,"&gt;="&amp;C$4,CSV貼付!$A$5:$A$2004,"&lt;"&amp;C$4+1,CSV貼付!$B$5:$B$2004,$B16))</f>
        <v>162</v>
      </c>
      <c r="D16" s="35" t="n">
        <f aca="false">IF(OR($B16="",D$4=""),"",SUMIFS(CSV貼付!$C$5:$C$2004,CSV貼付!$A$5:$A$2004,"&gt;="&amp;D$4,CSV貼付!$A$5:$A$2004,"&lt;"&amp;D$4+1,CSV貼付!$B$5:$B$2004,$B16))</f>
        <v>174</v>
      </c>
      <c r="E16" s="35" t="n">
        <f aca="false">IF(OR($B16="",E$4=""),"",SUMIFS(CSV貼付!$C$5:$C$2004,CSV貼付!$A$5:$A$2004,"&gt;="&amp;E$4,CSV貼付!$A$5:$A$2004,"&lt;"&amp;E$4+1,CSV貼付!$B$5:$B$2004,$B16))</f>
        <v>244</v>
      </c>
      <c r="F16" s="35" t="n">
        <f aca="false">IF(OR($B16="",F$4=""),"",SUMIFS(CSV貼付!$C$5:$C$2004,CSV貼付!$A$5:$A$2004,"&gt;="&amp;F$4,CSV貼付!$A$5:$A$2004,"&lt;"&amp;F$4+1,CSV貼付!$B$5:$B$2004,$B16))</f>
        <v>447</v>
      </c>
      <c r="G16" s="35" t="n">
        <f aca="false">IF(OR($B16="",G$4=""),"",SUMIFS(CSV貼付!$C$5:$C$2004,CSV貼付!$A$5:$A$2004,"&gt;="&amp;G$4,CSV貼付!$A$5:$A$2004,"&lt;"&amp;G$4+1,CSV貼付!$B$5:$B$2004,$B16))</f>
        <v>324</v>
      </c>
      <c r="H16" s="35" t="n">
        <f aca="false">IF(OR($B16="",H$4=""),"",SUMIFS(CSV貼付!$C$5:$C$2004,CSV貼付!$A$5:$A$2004,"&gt;="&amp;H$4,CSV貼付!$A$5:$A$2004,"&lt;"&amp;H$4+1,CSV貼付!$B$5:$B$2004,$B16))</f>
        <v>153</v>
      </c>
      <c r="I16" s="35" t="n">
        <f aca="false">IF(OR($B16="",I$4=""),"",SUMIFS(CSV貼付!$C$5:$C$2004,CSV貼付!$A$5:$A$2004,"&gt;="&amp;I$4,CSV貼付!$A$5:$A$2004,"&lt;"&amp;I$4+1,CSV貼付!$B$5:$B$2004,$B16))</f>
        <v>165</v>
      </c>
      <c r="J16" s="69" t="n">
        <f aca="false">IF($B16="","",SUM(C16:I16))</f>
        <v>1669</v>
      </c>
      <c r="K16" s="70"/>
    </row>
    <row r="17" customFormat="false" ht="19.5" hidden="false" customHeight="true" outlineLevel="0" collapsed="false">
      <c r="A17" s="27" t="n">
        <v>5</v>
      </c>
      <c r="B17" s="67" t="s">
        <v>81</v>
      </c>
      <c r="C17" s="68" t="n">
        <f aca="false">IF(OR($B17="",C$4=""),"",SUMIFS(CSV貼付!$C$5:$C$2004,CSV貼付!$A$5:$A$2004,"&gt;="&amp;C$4,CSV貼付!$A$5:$A$2004,"&lt;"&amp;C$4+1,CSV貼付!$B$5:$B$2004,$B17))</f>
        <v>429</v>
      </c>
      <c r="D17" s="68" t="n">
        <f aca="false">IF(OR($B17="",D$4=""),"",SUMIFS(CSV貼付!$C$5:$C$2004,CSV貼付!$A$5:$A$2004,"&gt;="&amp;D$4,CSV貼付!$A$5:$A$2004,"&lt;"&amp;D$4+1,CSV貼付!$B$5:$B$2004,$B17))</f>
        <v>323</v>
      </c>
      <c r="E17" s="68" t="n">
        <f aca="false">IF(OR($B17="",E$4=""),"",SUMIFS(CSV貼付!$C$5:$C$2004,CSV貼付!$A$5:$A$2004,"&gt;="&amp;E$4,CSV貼付!$A$5:$A$2004,"&lt;"&amp;E$4+1,CSV貼付!$B$5:$B$2004,$B17))</f>
        <v>495</v>
      </c>
      <c r="F17" s="68" t="n">
        <f aca="false">IF(OR($B17="",F$4=""),"",SUMIFS(CSV貼付!$C$5:$C$2004,CSV貼付!$A$5:$A$2004,"&gt;="&amp;F$4,CSV貼付!$A$5:$A$2004,"&lt;"&amp;F$4+1,CSV貼付!$B$5:$B$2004,$B17))</f>
        <v>848</v>
      </c>
      <c r="G17" s="68" t="n">
        <f aca="false">IF(OR($B17="",G$4=""),"",SUMIFS(CSV貼付!$C$5:$C$2004,CSV貼付!$A$5:$A$2004,"&gt;="&amp;G$4,CSV貼付!$A$5:$A$2004,"&lt;"&amp;G$4+1,CSV貼付!$B$5:$B$2004,$B17))</f>
        <v>845</v>
      </c>
      <c r="H17" s="68" t="n">
        <f aca="false">IF(OR($B17="",H$4=""),"",SUMIFS(CSV貼付!$C$5:$C$2004,CSV貼付!$A$5:$A$2004,"&gt;="&amp;H$4,CSV貼付!$A$5:$A$2004,"&lt;"&amp;H$4+1,CSV貼付!$B$5:$B$2004,$B17))</f>
        <v>350</v>
      </c>
      <c r="I17" s="68" t="n">
        <f aca="false">IF(OR($B17="",I$4=""),"",SUMIFS(CSV貼付!$C$5:$C$2004,CSV貼付!$A$5:$A$2004,"&gt;="&amp;I$4,CSV貼付!$A$5:$A$2004,"&lt;"&amp;I$4+1,CSV貼付!$B$5:$B$2004,$B17))</f>
        <v>395</v>
      </c>
      <c r="J17" s="69" t="n">
        <f aca="false">IF($B17="","",SUM(C17:I17))</f>
        <v>3685</v>
      </c>
      <c r="K17" s="70"/>
    </row>
    <row r="18" customFormat="false" ht="19.5" hidden="false" customHeight="true" outlineLevel="0" collapsed="false">
      <c r="A18" s="27" t="n">
        <v>6</v>
      </c>
      <c r="B18" s="67" t="s">
        <v>82</v>
      </c>
      <c r="C18" s="35" t="n">
        <f aca="false">IF(OR($B18="",C$4=""),"",SUMIFS(CSV貼付!$C$5:$C$2004,CSV貼付!$A$5:$A$2004,"&gt;="&amp;C$4,CSV貼付!$A$5:$A$2004,"&lt;"&amp;C$4+1,CSV貼付!$B$5:$B$2004,$B18))</f>
        <v>123</v>
      </c>
      <c r="D18" s="35" t="n">
        <f aca="false">IF(OR($B18="",D$4=""),"",SUMIFS(CSV貼付!$C$5:$C$2004,CSV貼付!$A$5:$A$2004,"&gt;="&amp;D$4,CSV貼付!$A$5:$A$2004,"&lt;"&amp;D$4+1,CSV貼付!$B$5:$B$2004,$B18))</f>
        <v>116</v>
      </c>
      <c r="E18" s="35" t="n">
        <f aca="false">IF(OR($B18="",E$4=""),"",SUMIFS(CSV貼付!$C$5:$C$2004,CSV貼付!$A$5:$A$2004,"&gt;="&amp;E$4,CSV貼付!$A$5:$A$2004,"&lt;"&amp;E$4+1,CSV貼付!$B$5:$B$2004,$B18))</f>
        <v>165</v>
      </c>
      <c r="F18" s="35" t="n">
        <f aca="false">IF(OR($B18="",F$4=""),"",SUMIFS(CSV貼付!$C$5:$C$2004,CSV貼付!$A$5:$A$2004,"&gt;="&amp;F$4,CSV貼付!$A$5:$A$2004,"&lt;"&amp;F$4+1,CSV貼付!$B$5:$B$2004,$B18))</f>
        <v>272</v>
      </c>
      <c r="G18" s="35" t="n">
        <f aca="false">IF(OR($B18="",G$4=""),"",SUMIFS(CSV貼付!$C$5:$C$2004,CSV貼付!$A$5:$A$2004,"&gt;="&amp;G$4,CSV貼付!$A$5:$A$2004,"&lt;"&amp;G$4+1,CSV貼付!$B$5:$B$2004,$B18))</f>
        <v>285</v>
      </c>
      <c r="H18" s="35" t="n">
        <f aca="false">IF(OR($B18="",H$4=""),"",SUMIFS(CSV貼付!$C$5:$C$2004,CSV貼付!$A$5:$A$2004,"&gt;="&amp;H$4,CSV貼付!$A$5:$A$2004,"&lt;"&amp;H$4+1,CSV貼付!$B$5:$B$2004,$B18))</f>
        <v>101</v>
      </c>
      <c r="I18" s="35" t="n">
        <f aca="false">IF(OR($B18="",I$4=""),"",SUMIFS(CSV貼付!$C$5:$C$2004,CSV貼付!$A$5:$A$2004,"&gt;="&amp;I$4,CSV貼付!$A$5:$A$2004,"&lt;"&amp;I$4+1,CSV貼付!$B$5:$B$2004,$B18))</f>
        <v>129</v>
      </c>
      <c r="J18" s="69" t="n">
        <f aca="false">IF($B18="","",SUM(C18:I18))</f>
        <v>1191</v>
      </c>
      <c r="K18" s="70"/>
    </row>
    <row r="19" customFormat="false" ht="19.5" hidden="false" customHeight="true" outlineLevel="0" collapsed="false">
      <c r="A19" s="27" t="n">
        <v>7</v>
      </c>
      <c r="B19" s="67" t="s">
        <v>83</v>
      </c>
      <c r="C19" s="68" t="n">
        <f aca="false">IF(OR($B19="",C$4=""),"",SUMIFS(CSV貼付!$C$5:$C$2004,CSV貼付!$A$5:$A$2004,"&gt;="&amp;C$4,CSV貼付!$A$5:$A$2004,"&lt;"&amp;C$4+1,CSV貼付!$B$5:$B$2004,$B19))</f>
        <v>127</v>
      </c>
      <c r="D19" s="68" t="n">
        <f aca="false">IF(OR($B19="",D$4=""),"",SUMIFS(CSV貼付!$C$5:$C$2004,CSV貼付!$A$5:$A$2004,"&gt;="&amp;D$4,CSV貼付!$A$5:$A$2004,"&lt;"&amp;D$4+1,CSV貼付!$B$5:$B$2004,$B19))</f>
        <v>94</v>
      </c>
      <c r="E19" s="68" t="n">
        <f aca="false">IF(OR($B19="",E$4=""),"",SUMIFS(CSV貼付!$C$5:$C$2004,CSV貼付!$A$5:$A$2004,"&gt;="&amp;E$4,CSV貼付!$A$5:$A$2004,"&lt;"&amp;E$4+1,CSV貼付!$B$5:$B$2004,$B19))</f>
        <v>140</v>
      </c>
      <c r="F19" s="68" t="n">
        <f aca="false">IF(OR($B19="",F$4=""),"",SUMIFS(CSV貼付!$C$5:$C$2004,CSV貼付!$A$5:$A$2004,"&gt;="&amp;F$4,CSV貼付!$A$5:$A$2004,"&lt;"&amp;F$4+1,CSV貼付!$B$5:$B$2004,$B19))</f>
        <v>259</v>
      </c>
      <c r="G19" s="68" t="n">
        <f aca="false">IF(OR($B19="",G$4=""),"",SUMIFS(CSV貼付!$C$5:$C$2004,CSV貼付!$A$5:$A$2004,"&gt;="&amp;G$4,CSV貼付!$A$5:$A$2004,"&lt;"&amp;G$4+1,CSV貼付!$B$5:$B$2004,$B19))</f>
        <v>262</v>
      </c>
      <c r="H19" s="68" t="n">
        <f aca="false">IF(OR($B19="",H$4=""),"",SUMIFS(CSV貼付!$C$5:$C$2004,CSV貼付!$A$5:$A$2004,"&gt;="&amp;H$4,CSV貼付!$A$5:$A$2004,"&lt;"&amp;H$4+1,CSV貼付!$B$5:$B$2004,$B19))</f>
        <v>94</v>
      </c>
      <c r="I19" s="68" t="n">
        <f aca="false">IF(OR($B19="",I$4=""),"",SUMIFS(CSV貼付!$C$5:$C$2004,CSV貼付!$A$5:$A$2004,"&gt;="&amp;I$4,CSV貼付!$A$5:$A$2004,"&lt;"&amp;I$4+1,CSV貼付!$B$5:$B$2004,$B19))</f>
        <v>117</v>
      </c>
      <c r="J19" s="69" t="n">
        <f aca="false">IF($B19="","",SUM(C19:I19))</f>
        <v>1093</v>
      </c>
      <c r="K19" s="70"/>
    </row>
    <row r="20" customFormat="false" ht="19.5" hidden="false" customHeight="true" outlineLevel="0" collapsed="false">
      <c r="A20" s="27" t="n">
        <v>8</v>
      </c>
      <c r="B20" s="67" t="s">
        <v>84</v>
      </c>
      <c r="C20" s="35" t="n">
        <f aca="false">IF(OR($B20="",C$4=""),"",SUMIFS(CSV貼付!$C$5:$C$2004,CSV貼付!$A$5:$A$2004,"&gt;="&amp;C$4,CSV貼付!$A$5:$A$2004,"&lt;"&amp;C$4+1,CSV貼付!$B$5:$B$2004,$B20))</f>
        <v>106</v>
      </c>
      <c r="D20" s="35" t="n">
        <f aca="false">IF(OR($B20="",D$4=""),"",SUMIFS(CSV貼付!$C$5:$C$2004,CSV貼付!$A$5:$A$2004,"&gt;="&amp;D$4,CSV貼付!$A$5:$A$2004,"&lt;"&amp;D$4+1,CSV貼付!$B$5:$B$2004,$B20))</f>
        <v>79</v>
      </c>
      <c r="E20" s="35" t="n">
        <f aca="false">IF(OR($B20="",E$4=""),"",SUMIFS(CSV貼付!$C$5:$C$2004,CSV貼付!$A$5:$A$2004,"&gt;="&amp;E$4,CSV貼付!$A$5:$A$2004,"&lt;"&amp;E$4+1,CSV貼付!$B$5:$B$2004,$B20))</f>
        <v>96</v>
      </c>
      <c r="F20" s="35" t="n">
        <f aca="false">IF(OR($B20="",F$4=""),"",SUMIFS(CSV貼付!$C$5:$C$2004,CSV貼付!$A$5:$A$2004,"&gt;="&amp;F$4,CSV貼付!$A$5:$A$2004,"&lt;"&amp;F$4+1,CSV貼付!$B$5:$B$2004,$B20))</f>
        <v>227</v>
      </c>
      <c r="G20" s="35" t="n">
        <f aca="false">IF(OR($B20="",G$4=""),"",SUMIFS(CSV貼付!$C$5:$C$2004,CSV貼付!$A$5:$A$2004,"&gt;="&amp;G$4,CSV貼付!$A$5:$A$2004,"&lt;"&amp;G$4+1,CSV貼付!$B$5:$B$2004,$B20))</f>
        <v>165</v>
      </c>
      <c r="H20" s="35" t="n">
        <f aca="false">IF(OR($B20="",H$4=""),"",SUMIFS(CSV貼付!$C$5:$C$2004,CSV貼付!$A$5:$A$2004,"&gt;="&amp;H$4,CSV貼付!$A$5:$A$2004,"&lt;"&amp;H$4+1,CSV貼付!$B$5:$B$2004,$B20))</f>
        <v>79</v>
      </c>
      <c r="I20" s="35" t="n">
        <f aca="false">IF(OR($B20="",I$4=""),"",SUMIFS(CSV貼付!$C$5:$C$2004,CSV貼付!$A$5:$A$2004,"&gt;="&amp;I$4,CSV貼付!$A$5:$A$2004,"&lt;"&amp;I$4+1,CSV貼付!$B$5:$B$2004,$B20))</f>
        <v>89</v>
      </c>
      <c r="J20" s="69" t="n">
        <f aca="false">IF($B20="","",SUM(C20:I20))</f>
        <v>841</v>
      </c>
      <c r="K20" s="70"/>
    </row>
    <row r="21" customFormat="false" ht="19.5" hidden="false" customHeight="true" outlineLevel="0" collapsed="false">
      <c r="A21" s="27" t="n">
        <v>9</v>
      </c>
      <c r="B21" s="67" t="s">
        <v>85</v>
      </c>
      <c r="C21" s="68" t="n">
        <f aca="false">IF(OR($B21="",C$4=""),"",SUMIFS(CSV貼付!$C$5:$C$2004,CSV貼付!$A$5:$A$2004,"&gt;="&amp;C$4,CSV貼付!$A$5:$A$2004,"&lt;"&amp;C$4+1,CSV貼付!$B$5:$B$2004,$B21))</f>
        <v>68</v>
      </c>
      <c r="D21" s="68" t="n">
        <f aca="false">IF(OR($B21="",D$4=""),"",SUMIFS(CSV貼付!$C$5:$C$2004,CSV貼付!$A$5:$A$2004,"&gt;="&amp;D$4,CSV貼付!$A$5:$A$2004,"&lt;"&amp;D$4+1,CSV貼付!$B$5:$B$2004,$B21))</f>
        <v>63</v>
      </c>
      <c r="E21" s="68" t="n">
        <f aca="false">IF(OR($B21="",E$4=""),"",SUMIFS(CSV貼付!$C$5:$C$2004,CSV貼付!$A$5:$A$2004,"&gt;="&amp;E$4,CSV貼付!$A$5:$A$2004,"&lt;"&amp;E$4+1,CSV貼付!$B$5:$B$2004,$B21))</f>
        <v>74</v>
      </c>
      <c r="F21" s="68" t="n">
        <f aca="false">IF(OR($B21="",F$4=""),"",SUMIFS(CSV貼付!$C$5:$C$2004,CSV貼付!$A$5:$A$2004,"&gt;="&amp;F$4,CSV貼付!$A$5:$A$2004,"&lt;"&amp;F$4+1,CSV貼付!$B$5:$B$2004,$B21))</f>
        <v>160</v>
      </c>
      <c r="G21" s="68" t="n">
        <f aca="false">IF(OR($B21="",G$4=""),"",SUMIFS(CSV貼付!$C$5:$C$2004,CSV貼付!$A$5:$A$2004,"&gt;="&amp;G$4,CSV貼付!$A$5:$A$2004,"&lt;"&amp;G$4+1,CSV貼付!$B$5:$B$2004,$B21))</f>
        <v>118</v>
      </c>
      <c r="H21" s="68" t="n">
        <f aca="false">IF(OR($B21="",H$4=""),"",SUMIFS(CSV貼付!$C$5:$C$2004,CSV貼付!$A$5:$A$2004,"&gt;="&amp;H$4,CSV貼付!$A$5:$A$2004,"&lt;"&amp;H$4+1,CSV貼付!$B$5:$B$2004,$B21))</f>
        <v>64</v>
      </c>
      <c r="I21" s="68" t="n">
        <f aca="false">IF(OR($B21="",I$4=""),"",SUMIFS(CSV貼付!$C$5:$C$2004,CSV貼付!$A$5:$A$2004,"&gt;="&amp;I$4,CSV貼付!$A$5:$A$2004,"&lt;"&amp;I$4+1,CSV貼付!$B$5:$B$2004,$B21))</f>
        <v>63</v>
      </c>
      <c r="J21" s="69" t="n">
        <f aca="false">IF($B21="","",SUM(C21:I21))</f>
        <v>610</v>
      </c>
      <c r="K21" s="70"/>
    </row>
    <row r="22" customFormat="false" ht="19.5" hidden="false" customHeight="true" outlineLevel="0" collapsed="false">
      <c r="A22" s="27" t="n">
        <v>10</v>
      </c>
      <c r="B22" s="67" t="s">
        <v>86</v>
      </c>
      <c r="C22" s="35" t="n">
        <f aca="false">IF(OR($B22="",C$4=""),"",SUMIFS(CSV貼付!$C$5:$C$2004,CSV貼付!$A$5:$A$2004,"&gt;="&amp;C$4,CSV貼付!$A$5:$A$2004,"&lt;"&amp;C$4+1,CSV貼付!$B$5:$B$2004,$B22))</f>
        <v>110</v>
      </c>
      <c r="D22" s="35" t="n">
        <f aca="false">IF(OR($B22="",D$4=""),"",SUMIFS(CSV貼付!$C$5:$C$2004,CSV貼付!$A$5:$A$2004,"&gt;="&amp;D$4,CSV貼付!$A$5:$A$2004,"&lt;"&amp;D$4+1,CSV貼付!$B$5:$B$2004,$B22))</f>
        <v>114</v>
      </c>
      <c r="E22" s="35" t="n">
        <f aca="false">IF(OR($B22="",E$4=""),"",SUMIFS(CSV貼付!$C$5:$C$2004,CSV貼付!$A$5:$A$2004,"&gt;="&amp;E$4,CSV貼付!$A$5:$A$2004,"&lt;"&amp;E$4+1,CSV貼付!$B$5:$B$2004,$B22))</f>
        <v>134</v>
      </c>
      <c r="F22" s="35" t="n">
        <f aca="false">IF(OR($B22="",F$4=""),"",SUMIFS(CSV貼付!$C$5:$C$2004,CSV貼付!$A$5:$A$2004,"&gt;="&amp;F$4,CSV貼付!$A$5:$A$2004,"&lt;"&amp;F$4+1,CSV貼付!$B$5:$B$2004,$B22))</f>
        <v>204</v>
      </c>
      <c r="G22" s="35" t="n">
        <f aca="false">IF(OR($B22="",G$4=""),"",SUMIFS(CSV貼付!$C$5:$C$2004,CSV貼付!$A$5:$A$2004,"&gt;="&amp;G$4,CSV貼付!$A$5:$A$2004,"&lt;"&amp;G$4+1,CSV貼付!$B$5:$B$2004,$B22))</f>
        <v>224</v>
      </c>
      <c r="H22" s="35" t="n">
        <f aca="false">IF(OR($B22="",H$4=""),"",SUMIFS(CSV貼付!$C$5:$C$2004,CSV貼付!$A$5:$A$2004,"&gt;="&amp;H$4,CSV貼付!$A$5:$A$2004,"&lt;"&amp;H$4+1,CSV貼付!$B$5:$B$2004,$B22))</f>
        <v>89</v>
      </c>
      <c r="I22" s="35" t="n">
        <f aca="false">IF(OR($B22="",I$4=""),"",SUMIFS(CSV貼付!$C$5:$C$2004,CSV貼付!$A$5:$A$2004,"&gt;="&amp;I$4,CSV貼付!$A$5:$A$2004,"&lt;"&amp;I$4+1,CSV貼付!$B$5:$B$2004,$B22))</f>
        <v>121</v>
      </c>
      <c r="J22" s="69" t="n">
        <f aca="false">IF($B22="","",SUM(C22:I22))</f>
        <v>996</v>
      </c>
      <c r="K22" s="70"/>
    </row>
    <row r="23" customFormat="false" ht="19.5" hidden="false" customHeight="true" outlineLevel="0" collapsed="false">
      <c r="A23" s="27" t="n">
        <v>11</v>
      </c>
      <c r="B23" s="67" t="s">
        <v>87</v>
      </c>
      <c r="C23" s="68" t="n">
        <f aca="false">IF(OR($B23="",C$4=""),"",SUMIFS(CSV貼付!$C$5:$C$2004,CSV貼付!$A$5:$A$2004,"&gt;="&amp;C$4,CSV貼付!$A$5:$A$2004,"&lt;"&amp;C$4+1,CSV貼付!$B$5:$B$2004,$B23))</f>
        <v>71</v>
      </c>
      <c r="D23" s="68" t="n">
        <f aca="false">IF(OR($B23="",D$4=""),"",SUMIFS(CSV貼付!$C$5:$C$2004,CSV貼付!$A$5:$A$2004,"&gt;="&amp;D$4,CSV貼付!$A$5:$A$2004,"&lt;"&amp;D$4+1,CSV貼付!$B$5:$B$2004,$B23))</f>
        <v>55</v>
      </c>
      <c r="E23" s="68" t="n">
        <f aca="false">IF(OR($B23="",E$4=""),"",SUMIFS(CSV貼付!$C$5:$C$2004,CSV貼付!$A$5:$A$2004,"&gt;="&amp;E$4,CSV貼付!$A$5:$A$2004,"&lt;"&amp;E$4+1,CSV貼付!$B$5:$B$2004,$B23))</f>
        <v>71</v>
      </c>
      <c r="F23" s="68" t="n">
        <f aca="false">IF(OR($B23="",F$4=""),"",SUMIFS(CSV貼付!$C$5:$C$2004,CSV貼付!$A$5:$A$2004,"&gt;="&amp;F$4,CSV貼付!$A$5:$A$2004,"&lt;"&amp;F$4+1,CSV貼付!$B$5:$B$2004,$B23))</f>
        <v>120</v>
      </c>
      <c r="G23" s="68" t="n">
        <f aca="false">IF(OR($B23="",G$4=""),"",SUMIFS(CSV貼付!$C$5:$C$2004,CSV貼付!$A$5:$A$2004,"&gt;="&amp;G$4,CSV貼付!$A$5:$A$2004,"&lt;"&amp;G$4+1,CSV貼付!$B$5:$B$2004,$B23))</f>
        <v>130</v>
      </c>
      <c r="H23" s="68" t="n">
        <f aca="false">IF(OR($B23="",H$4=""),"",SUMIFS(CSV貼付!$C$5:$C$2004,CSV貼付!$A$5:$A$2004,"&gt;="&amp;H$4,CSV貼付!$A$5:$A$2004,"&lt;"&amp;H$4+1,CSV貼付!$B$5:$B$2004,$B23))</f>
        <v>60</v>
      </c>
      <c r="I23" s="68" t="n">
        <f aca="false">IF(OR($B23="",I$4=""),"",SUMIFS(CSV貼付!$C$5:$C$2004,CSV貼付!$A$5:$A$2004,"&gt;="&amp;I$4,CSV貼付!$A$5:$A$2004,"&lt;"&amp;I$4+1,CSV貼付!$B$5:$B$2004,$B23))</f>
        <v>57</v>
      </c>
      <c r="J23" s="69" t="n">
        <f aca="false">IF($B23="","",SUM(C23:I23))</f>
        <v>564</v>
      </c>
      <c r="K23" s="70"/>
    </row>
    <row r="24" customFormat="false" ht="19.5" hidden="false" customHeight="true" outlineLevel="0" collapsed="false">
      <c r="A24" s="27" t="n">
        <v>12</v>
      </c>
      <c r="B24" s="67" t="s">
        <v>88</v>
      </c>
      <c r="C24" s="35" t="n">
        <f aca="false">IF(OR($B24="",C$4=""),"",SUMIFS(CSV貼付!$C$5:$C$2004,CSV貼付!$A$5:$A$2004,"&gt;="&amp;C$4,CSV貼付!$A$5:$A$2004,"&lt;"&amp;C$4+1,CSV貼付!$B$5:$B$2004,$B24))</f>
        <v>60</v>
      </c>
      <c r="D24" s="35" t="n">
        <f aca="false">IF(OR($B24="",D$4=""),"",SUMIFS(CSV貼付!$C$5:$C$2004,CSV貼付!$A$5:$A$2004,"&gt;="&amp;D$4,CSV貼付!$A$5:$A$2004,"&lt;"&amp;D$4+1,CSV貼付!$B$5:$B$2004,$B24))</f>
        <v>50</v>
      </c>
      <c r="E24" s="35" t="n">
        <f aca="false">IF(OR($B24="",E$4=""),"",SUMIFS(CSV貼付!$C$5:$C$2004,CSV貼付!$A$5:$A$2004,"&gt;="&amp;E$4,CSV貼付!$A$5:$A$2004,"&lt;"&amp;E$4+1,CSV貼付!$B$5:$B$2004,$B24))</f>
        <v>72</v>
      </c>
      <c r="F24" s="35" t="n">
        <f aca="false">IF(OR($B24="",F$4=""),"",SUMIFS(CSV貼付!$C$5:$C$2004,CSV貼付!$A$5:$A$2004,"&gt;="&amp;F$4,CSV貼付!$A$5:$A$2004,"&lt;"&amp;F$4+1,CSV貼付!$B$5:$B$2004,$B24))</f>
        <v>129</v>
      </c>
      <c r="G24" s="35" t="n">
        <f aca="false">IF(OR($B24="",G$4=""),"",SUMIFS(CSV貼付!$C$5:$C$2004,CSV貼付!$A$5:$A$2004,"&gt;="&amp;G$4,CSV貼付!$A$5:$A$2004,"&lt;"&amp;G$4+1,CSV貼付!$B$5:$B$2004,$B24))</f>
        <v>114</v>
      </c>
      <c r="H24" s="35" t="n">
        <f aca="false">IF(OR($B24="",H$4=""),"",SUMIFS(CSV貼付!$C$5:$C$2004,CSV貼付!$A$5:$A$2004,"&gt;="&amp;H$4,CSV貼付!$A$5:$A$2004,"&lt;"&amp;H$4+1,CSV貼付!$B$5:$B$2004,$B24))</f>
        <v>49</v>
      </c>
      <c r="I24" s="35" t="n">
        <f aca="false">IF(OR($B24="",I$4=""),"",SUMIFS(CSV貼付!$C$5:$C$2004,CSV貼付!$A$5:$A$2004,"&gt;="&amp;I$4,CSV貼付!$A$5:$A$2004,"&lt;"&amp;I$4+1,CSV貼付!$B$5:$B$2004,$B24))</f>
        <v>61</v>
      </c>
      <c r="J24" s="69" t="n">
        <f aca="false">IF($B24="","",SUM(C24:I24))</f>
        <v>535</v>
      </c>
      <c r="K24" s="70"/>
    </row>
    <row r="25" customFormat="false" ht="19.5" hidden="false" customHeight="true" outlineLevel="0" collapsed="false">
      <c r="A25" s="27" t="n">
        <v>13</v>
      </c>
      <c r="B25" s="67"/>
      <c r="C25" s="68" t="str">
        <f aca="false">IF(OR($B25="",C$4=""),"",SUMIFS(CSV貼付!$C$5:$C$2004,CSV貼付!$A$5:$A$2004,"&gt;="&amp;C$4,CSV貼付!$A$5:$A$2004,"&lt;"&amp;C$4+1,CSV貼付!$B$5:$B$2004,$B25))</f>
        <v/>
      </c>
      <c r="D25" s="68" t="str">
        <f aca="false">IF(OR($B25="",D$4=""),"",SUMIFS(CSV貼付!$C$5:$C$2004,CSV貼付!$A$5:$A$2004,"&gt;="&amp;D$4,CSV貼付!$A$5:$A$2004,"&lt;"&amp;D$4+1,CSV貼付!$B$5:$B$2004,$B25))</f>
        <v/>
      </c>
      <c r="E25" s="68" t="str">
        <f aca="false">IF(OR($B25="",E$4=""),"",SUMIFS(CSV貼付!$C$5:$C$2004,CSV貼付!$A$5:$A$2004,"&gt;="&amp;E$4,CSV貼付!$A$5:$A$2004,"&lt;"&amp;E$4+1,CSV貼付!$B$5:$B$2004,$B25))</f>
        <v/>
      </c>
      <c r="F25" s="68" t="str">
        <f aca="false">IF(OR($B25="",F$4=""),"",SUMIFS(CSV貼付!$C$5:$C$2004,CSV貼付!$A$5:$A$2004,"&gt;="&amp;F$4,CSV貼付!$A$5:$A$2004,"&lt;"&amp;F$4+1,CSV貼付!$B$5:$B$2004,$B25))</f>
        <v/>
      </c>
      <c r="G25" s="68" t="str">
        <f aca="false">IF(OR($B25="",G$4=""),"",SUMIFS(CSV貼付!$C$5:$C$2004,CSV貼付!$A$5:$A$2004,"&gt;="&amp;G$4,CSV貼付!$A$5:$A$2004,"&lt;"&amp;G$4+1,CSV貼付!$B$5:$B$2004,$B25))</f>
        <v/>
      </c>
      <c r="H25" s="68" t="str">
        <f aca="false">IF(OR($B25="",H$4=""),"",SUMIFS(CSV貼付!$C$5:$C$2004,CSV貼付!$A$5:$A$2004,"&gt;="&amp;H$4,CSV貼付!$A$5:$A$2004,"&lt;"&amp;H$4+1,CSV貼付!$B$5:$B$2004,$B25))</f>
        <v/>
      </c>
      <c r="I25" s="68" t="str">
        <f aca="false">IF(OR($B25="",I$4=""),"",SUMIFS(CSV貼付!$C$5:$C$2004,CSV貼付!$A$5:$A$2004,"&gt;="&amp;I$4,CSV貼付!$A$5:$A$2004,"&lt;"&amp;I$4+1,CSV貼付!$B$5:$B$2004,$B25))</f>
        <v/>
      </c>
      <c r="J25" s="69" t="str">
        <f aca="false">IF($B25="","",SUM(C25:I25))</f>
        <v/>
      </c>
      <c r="K25" s="70"/>
    </row>
    <row r="26" customFormat="false" ht="19.5" hidden="false" customHeight="true" outlineLevel="0" collapsed="false">
      <c r="A26" s="27" t="n">
        <v>14</v>
      </c>
      <c r="B26" s="67"/>
      <c r="C26" s="35" t="str">
        <f aca="false">IF(OR($B26="",C$4=""),"",SUMIFS(CSV貼付!$C$5:$C$2004,CSV貼付!$A$5:$A$2004,"&gt;="&amp;C$4,CSV貼付!$A$5:$A$2004,"&lt;"&amp;C$4+1,CSV貼付!$B$5:$B$2004,$B26))</f>
        <v/>
      </c>
      <c r="D26" s="35" t="str">
        <f aca="false">IF(OR($B26="",D$4=""),"",SUMIFS(CSV貼付!$C$5:$C$2004,CSV貼付!$A$5:$A$2004,"&gt;="&amp;D$4,CSV貼付!$A$5:$A$2004,"&lt;"&amp;D$4+1,CSV貼付!$B$5:$B$2004,$B26))</f>
        <v/>
      </c>
      <c r="E26" s="35" t="str">
        <f aca="false">IF(OR($B26="",E$4=""),"",SUMIFS(CSV貼付!$C$5:$C$2004,CSV貼付!$A$5:$A$2004,"&gt;="&amp;E$4,CSV貼付!$A$5:$A$2004,"&lt;"&amp;E$4+1,CSV貼付!$B$5:$B$2004,$B26))</f>
        <v/>
      </c>
      <c r="F26" s="35" t="str">
        <f aca="false">IF(OR($B26="",F$4=""),"",SUMIFS(CSV貼付!$C$5:$C$2004,CSV貼付!$A$5:$A$2004,"&gt;="&amp;F$4,CSV貼付!$A$5:$A$2004,"&lt;"&amp;F$4+1,CSV貼付!$B$5:$B$2004,$B26))</f>
        <v/>
      </c>
      <c r="G26" s="35" t="str">
        <f aca="false">IF(OR($B26="",G$4=""),"",SUMIFS(CSV貼付!$C$5:$C$2004,CSV貼付!$A$5:$A$2004,"&gt;="&amp;G$4,CSV貼付!$A$5:$A$2004,"&lt;"&amp;G$4+1,CSV貼付!$B$5:$B$2004,$B26))</f>
        <v/>
      </c>
      <c r="H26" s="35" t="str">
        <f aca="false">IF(OR($B26="",H$4=""),"",SUMIFS(CSV貼付!$C$5:$C$2004,CSV貼付!$A$5:$A$2004,"&gt;="&amp;H$4,CSV貼付!$A$5:$A$2004,"&lt;"&amp;H$4+1,CSV貼付!$B$5:$B$2004,$B26))</f>
        <v/>
      </c>
      <c r="I26" s="35" t="str">
        <f aca="false">IF(OR($B26="",I$4=""),"",SUMIFS(CSV貼付!$C$5:$C$2004,CSV貼付!$A$5:$A$2004,"&gt;="&amp;I$4,CSV貼付!$A$5:$A$2004,"&lt;"&amp;I$4+1,CSV貼付!$B$5:$B$2004,$B26))</f>
        <v/>
      </c>
      <c r="J26" s="69" t="str">
        <f aca="false">IF($B26="","",SUM(C26:I26))</f>
        <v/>
      </c>
      <c r="K26" s="70"/>
    </row>
    <row r="27" customFormat="false" ht="19.5" hidden="false" customHeight="true" outlineLevel="0" collapsed="false">
      <c r="A27" s="27" t="n">
        <v>15</v>
      </c>
      <c r="B27" s="67"/>
      <c r="C27" s="68" t="str">
        <f aca="false">IF(OR($B27="",C$4=""),"",SUMIFS(CSV貼付!$C$5:$C$2004,CSV貼付!$A$5:$A$2004,"&gt;="&amp;C$4,CSV貼付!$A$5:$A$2004,"&lt;"&amp;C$4+1,CSV貼付!$B$5:$B$2004,$B27))</f>
        <v/>
      </c>
      <c r="D27" s="68" t="str">
        <f aca="false">IF(OR($B27="",D$4=""),"",SUMIFS(CSV貼付!$C$5:$C$2004,CSV貼付!$A$5:$A$2004,"&gt;="&amp;D$4,CSV貼付!$A$5:$A$2004,"&lt;"&amp;D$4+1,CSV貼付!$B$5:$B$2004,$B27))</f>
        <v/>
      </c>
      <c r="E27" s="68" t="str">
        <f aca="false">IF(OR($B27="",E$4=""),"",SUMIFS(CSV貼付!$C$5:$C$2004,CSV貼付!$A$5:$A$2004,"&gt;="&amp;E$4,CSV貼付!$A$5:$A$2004,"&lt;"&amp;E$4+1,CSV貼付!$B$5:$B$2004,$B27))</f>
        <v/>
      </c>
      <c r="F27" s="68" t="str">
        <f aca="false">IF(OR($B27="",F$4=""),"",SUMIFS(CSV貼付!$C$5:$C$2004,CSV貼付!$A$5:$A$2004,"&gt;="&amp;F$4,CSV貼付!$A$5:$A$2004,"&lt;"&amp;F$4+1,CSV貼付!$B$5:$B$2004,$B27))</f>
        <v/>
      </c>
      <c r="G27" s="68" t="str">
        <f aca="false">IF(OR($B27="",G$4=""),"",SUMIFS(CSV貼付!$C$5:$C$2004,CSV貼付!$A$5:$A$2004,"&gt;="&amp;G$4,CSV貼付!$A$5:$A$2004,"&lt;"&amp;G$4+1,CSV貼付!$B$5:$B$2004,$B27))</f>
        <v/>
      </c>
      <c r="H27" s="68" t="str">
        <f aca="false">IF(OR($B27="",H$4=""),"",SUMIFS(CSV貼付!$C$5:$C$2004,CSV貼付!$A$5:$A$2004,"&gt;="&amp;H$4,CSV貼付!$A$5:$A$2004,"&lt;"&amp;H$4+1,CSV貼付!$B$5:$B$2004,$B27))</f>
        <v/>
      </c>
      <c r="I27" s="68" t="str">
        <f aca="false">IF(OR($B27="",I$4=""),"",SUMIFS(CSV貼付!$C$5:$C$2004,CSV貼付!$A$5:$A$2004,"&gt;="&amp;I$4,CSV貼付!$A$5:$A$2004,"&lt;"&amp;I$4+1,CSV貼付!$B$5:$B$2004,$B27))</f>
        <v/>
      </c>
      <c r="J27" s="69" t="str">
        <f aca="false">IF($B27="","",SUM(C27:I27))</f>
        <v/>
      </c>
      <c r="K27" s="70"/>
    </row>
    <row r="28" customFormat="false" ht="19.5" hidden="false" customHeight="true" outlineLevel="0" collapsed="false">
      <c r="A28" s="27" t="n">
        <v>16</v>
      </c>
      <c r="B28" s="67"/>
      <c r="C28" s="35" t="str">
        <f aca="false">IF(OR($B28="",C$4=""),"",SUMIFS(CSV貼付!$C$5:$C$2004,CSV貼付!$A$5:$A$2004,"&gt;="&amp;C$4,CSV貼付!$A$5:$A$2004,"&lt;"&amp;C$4+1,CSV貼付!$B$5:$B$2004,$B28))</f>
        <v/>
      </c>
      <c r="D28" s="35" t="str">
        <f aca="false">IF(OR($B28="",D$4=""),"",SUMIFS(CSV貼付!$C$5:$C$2004,CSV貼付!$A$5:$A$2004,"&gt;="&amp;D$4,CSV貼付!$A$5:$A$2004,"&lt;"&amp;D$4+1,CSV貼付!$B$5:$B$2004,$B28))</f>
        <v/>
      </c>
      <c r="E28" s="35" t="str">
        <f aca="false">IF(OR($B28="",E$4=""),"",SUMIFS(CSV貼付!$C$5:$C$2004,CSV貼付!$A$5:$A$2004,"&gt;="&amp;E$4,CSV貼付!$A$5:$A$2004,"&lt;"&amp;E$4+1,CSV貼付!$B$5:$B$2004,$B28))</f>
        <v/>
      </c>
      <c r="F28" s="35" t="str">
        <f aca="false">IF(OR($B28="",F$4=""),"",SUMIFS(CSV貼付!$C$5:$C$2004,CSV貼付!$A$5:$A$2004,"&gt;="&amp;F$4,CSV貼付!$A$5:$A$2004,"&lt;"&amp;F$4+1,CSV貼付!$B$5:$B$2004,$B28))</f>
        <v/>
      </c>
      <c r="G28" s="35" t="str">
        <f aca="false">IF(OR($B28="",G$4=""),"",SUMIFS(CSV貼付!$C$5:$C$2004,CSV貼付!$A$5:$A$2004,"&gt;="&amp;G$4,CSV貼付!$A$5:$A$2004,"&lt;"&amp;G$4+1,CSV貼付!$B$5:$B$2004,$B28))</f>
        <v/>
      </c>
      <c r="H28" s="35" t="str">
        <f aca="false">IF(OR($B28="",H$4=""),"",SUMIFS(CSV貼付!$C$5:$C$2004,CSV貼付!$A$5:$A$2004,"&gt;="&amp;H$4,CSV貼付!$A$5:$A$2004,"&lt;"&amp;H$4+1,CSV貼付!$B$5:$B$2004,$B28))</f>
        <v/>
      </c>
      <c r="I28" s="35" t="str">
        <f aca="false">IF(OR($B28="",I$4=""),"",SUMIFS(CSV貼付!$C$5:$C$2004,CSV貼付!$A$5:$A$2004,"&gt;="&amp;I$4,CSV貼付!$A$5:$A$2004,"&lt;"&amp;I$4+1,CSV貼付!$B$5:$B$2004,$B28))</f>
        <v/>
      </c>
      <c r="J28" s="69" t="str">
        <f aca="false">IF($B28="","",SUM(C28:I28))</f>
        <v/>
      </c>
      <c r="K28" s="70"/>
    </row>
    <row r="29" customFormat="false" ht="19.5" hidden="false" customHeight="true" outlineLevel="0" collapsed="false">
      <c r="A29" s="27" t="n">
        <v>17</v>
      </c>
      <c r="B29" s="67"/>
      <c r="C29" s="68" t="str">
        <f aca="false">IF(OR($B29="",C$4=""),"",SUMIFS(CSV貼付!$C$5:$C$2004,CSV貼付!$A$5:$A$2004,"&gt;="&amp;C$4,CSV貼付!$A$5:$A$2004,"&lt;"&amp;C$4+1,CSV貼付!$B$5:$B$2004,$B29))</f>
        <v/>
      </c>
      <c r="D29" s="68" t="str">
        <f aca="false">IF(OR($B29="",D$4=""),"",SUMIFS(CSV貼付!$C$5:$C$2004,CSV貼付!$A$5:$A$2004,"&gt;="&amp;D$4,CSV貼付!$A$5:$A$2004,"&lt;"&amp;D$4+1,CSV貼付!$B$5:$B$2004,$B29))</f>
        <v/>
      </c>
      <c r="E29" s="68" t="str">
        <f aca="false">IF(OR($B29="",E$4=""),"",SUMIFS(CSV貼付!$C$5:$C$2004,CSV貼付!$A$5:$A$2004,"&gt;="&amp;E$4,CSV貼付!$A$5:$A$2004,"&lt;"&amp;E$4+1,CSV貼付!$B$5:$B$2004,$B29))</f>
        <v/>
      </c>
      <c r="F29" s="68" t="str">
        <f aca="false">IF(OR($B29="",F$4=""),"",SUMIFS(CSV貼付!$C$5:$C$2004,CSV貼付!$A$5:$A$2004,"&gt;="&amp;F$4,CSV貼付!$A$5:$A$2004,"&lt;"&amp;F$4+1,CSV貼付!$B$5:$B$2004,$B29))</f>
        <v/>
      </c>
      <c r="G29" s="68" t="str">
        <f aca="false">IF(OR($B29="",G$4=""),"",SUMIFS(CSV貼付!$C$5:$C$2004,CSV貼付!$A$5:$A$2004,"&gt;="&amp;G$4,CSV貼付!$A$5:$A$2004,"&lt;"&amp;G$4+1,CSV貼付!$B$5:$B$2004,$B29))</f>
        <v/>
      </c>
      <c r="H29" s="68" t="str">
        <f aca="false">IF(OR($B29="",H$4=""),"",SUMIFS(CSV貼付!$C$5:$C$2004,CSV貼付!$A$5:$A$2004,"&gt;="&amp;H$4,CSV貼付!$A$5:$A$2004,"&lt;"&amp;H$4+1,CSV貼付!$B$5:$B$2004,$B29))</f>
        <v/>
      </c>
      <c r="I29" s="68" t="str">
        <f aca="false">IF(OR($B29="",I$4=""),"",SUMIFS(CSV貼付!$C$5:$C$2004,CSV貼付!$A$5:$A$2004,"&gt;="&amp;I$4,CSV貼付!$A$5:$A$2004,"&lt;"&amp;I$4+1,CSV貼付!$B$5:$B$2004,$B29))</f>
        <v/>
      </c>
      <c r="J29" s="69" t="str">
        <f aca="false">IF($B29="","",SUM(C29:I29))</f>
        <v/>
      </c>
      <c r="K29" s="70"/>
    </row>
    <row r="30" customFormat="false" ht="19.5" hidden="false" customHeight="true" outlineLevel="0" collapsed="false">
      <c r="A30" s="27" t="n">
        <v>18</v>
      </c>
      <c r="B30" s="67"/>
      <c r="C30" s="35" t="str">
        <f aca="false">IF(OR($B30="",C$4=""),"",SUMIFS(CSV貼付!$C$5:$C$2004,CSV貼付!$A$5:$A$2004,"&gt;="&amp;C$4,CSV貼付!$A$5:$A$2004,"&lt;"&amp;C$4+1,CSV貼付!$B$5:$B$2004,$B30))</f>
        <v/>
      </c>
      <c r="D30" s="35" t="str">
        <f aca="false">IF(OR($B30="",D$4=""),"",SUMIFS(CSV貼付!$C$5:$C$2004,CSV貼付!$A$5:$A$2004,"&gt;="&amp;D$4,CSV貼付!$A$5:$A$2004,"&lt;"&amp;D$4+1,CSV貼付!$B$5:$B$2004,$B30))</f>
        <v/>
      </c>
      <c r="E30" s="35" t="str">
        <f aca="false">IF(OR($B30="",E$4=""),"",SUMIFS(CSV貼付!$C$5:$C$2004,CSV貼付!$A$5:$A$2004,"&gt;="&amp;E$4,CSV貼付!$A$5:$A$2004,"&lt;"&amp;E$4+1,CSV貼付!$B$5:$B$2004,$B30))</f>
        <v/>
      </c>
      <c r="F30" s="35" t="str">
        <f aca="false">IF(OR($B30="",F$4=""),"",SUMIFS(CSV貼付!$C$5:$C$2004,CSV貼付!$A$5:$A$2004,"&gt;="&amp;F$4,CSV貼付!$A$5:$A$2004,"&lt;"&amp;F$4+1,CSV貼付!$B$5:$B$2004,$B30))</f>
        <v/>
      </c>
      <c r="G30" s="35" t="str">
        <f aca="false">IF(OR($B30="",G$4=""),"",SUMIFS(CSV貼付!$C$5:$C$2004,CSV貼付!$A$5:$A$2004,"&gt;="&amp;G$4,CSV貼付!$A$5:$A$2004,"&lt;"&amp;G$4+1,CSV貼付!$B$5:$B$2004,$B30))</f>
        <v/>
      </c>
      <c r="H30" s="35" t="str">
        <f aca="false">IF(OR($B30="",H$4=""),"",SUMIFS(CSV貼付!$C$5:$C$2004,CSV貼付!$A$5:$A$2004,"&gt;="&amp;H$4,CSV貼付!$A$5:$A$2004,"&lt;"&amp;H$4+1,CSV貼付!$B$5:$B$2004,$B30))</f>
        <v/>
      </c>
      <c r="I30" s="35" t="str">
        <f aca="false">IF(OR($B30="",I$4=""),"",SUMIFS(CSV貼付!$C$5:$C$2004,CSV貼付!$A$5:$A$2004,"&gt;="&amp;I$4,CSV貼付!$A$5:$A$2004,"&lt;"&amp;I$4+1,CSV貼付!$B$5:$B$2004,$B30))</f>
        <v/>
      </c>
      <c r="J30" s="69" t="str">
        <f aca="false">IF($B30="","",SUM(C30:I30))</f>
        <v/>
      </c>
      <c r="K30" s="70"/>
    </row>
    <row r="31" customFormat="false" ht="19.5" hidden="false" customHeight="true" outlineLevel="0" collapsed="false">
      <c r="A31" s="27" t="n">
        <v>19</v>
      </c>
      <c r="B31" s="67"/>
      <c r="C31" s="68" t="str">
        <f aca="false">IF(OR($B31="",C$4=""),"",SUMIFS(CSV貼付!$C$5:$C$2004,CSV貼付!$A$5:$A$2004,"&gt;="&amp;C$4,CSV貼付!$A$5:$A$2004,"&lt;"&amp;C$4+1,CSV貼付!$B$5:$B$2004,$B31))</f>
        <v/>
      </c>
      <c r="D31" s="68" t="str">
        <f aca="false">IF(OR($B31="",D$4=""),"",SUMIFS(CSV貼付!$C$5:$C$2004,CSV貼付!$A$5:$A$2004,"&gt;="&amp;D$4,CSV貼付!$A$5:$A$2004,"&lt;"&amp;D$4+1,CSV貼付!$B$5:$B$2004,$B31))</f>
        <v/>
      </c>
      <c r="E31" s="68" t="str">
        <f aca="false">IF(OR($B31="",E$4=""),"",SUMIFS(CSV貼付!$C$5:$C$2004,CSV貼付!$A$5:$A$2004,"&gt;="&amp;E$4,CSV貼付!$A$5:$A$2004,"&lt;"&amp;E$4+1,CSV貼付!$B$5:$B$2004,$B31))</f>
        <v/>
      </c>
      <c r="F31" s="68" t="str">
        <f aca="false">IF(OR($B31="",F$4=""),"",SUMIFS(CSV貼付!$C$5:$C$2004,CSV貼付!$A$5:$A$2004,"&gt;="&amp;F$4,CSV貼付!$A$5:$A$2004,"&lt;"&amp;F$4+1,CSV貼付!$B$5:$B$2004,$B31))</f>
        <v/>
      </c>
      <c r="G31" s="68" t="str">
        <f aca="false">IF(OR($B31="",G$4=""),"",SUMIFS(CSV貼付!$C$5:$C$2004,CSV貼付!$A$5:$A$2004,"&gt;="&amp;G$4,CSV貼付!$A$5:$A$2004,"&lt;"&amp;G$4+1,CSV貼付!$B$5:$B$2004,$B31))</f>
        <v/>
      </c>
      <c r="H31" s="68" t="str">
        <f aca="false">IF(OR($B31="",H$4=""),"",SUMIFS(CSV貼付!$C$5:$C$2004,CSV貼付!$A$5:$A$2004,"&gt;="&amp;H$4,CSV貼付!$A$5:$A$2004,"&lt;"&amp;H$4+1,CSV貼付!$B$5:$B$2004,$B31))</f>
        <v/>
      </c>
      <c r="I31" s="68" t="str">
        <f aca="false">IF(OR($B31="",I$4=""),"",SUMIFS(CSV貼付!$C$5:$C$2004,CSV貼付!$A$5:$A$2004,"&gt;="&amp;I$4,CSV貼付!$A$5:$A$2004,"&lt;"&amp;I$4+1,CSV貼付!$B$5:$B$2004,$B31))</f>
        <v/>
      </c>
      <c r="J31" s="69" t="str">
        <f aca="false">IF($B31="","",SUM(C31:I31))</f>
        <v/>
      </c>
      <c r="K31" s="70"/>
    </row>
    <row r="32" customFormat="false" ht="19.5" hidden="false" customHeight="true" outlineLevel="0" collapsed="false">
      <c r="A32" s="27" t="n">
        <v>20</v>
      </c>
      <c r="B32" s="67"/>
      <c r="C32" s="35" t="str">
        <f aca="false">IF(OR($B32="",C$4=""),"",SUMIFS(CSV貼付!$C$5:$C$2004,CSV貼付!$A$5:$A$2004,"&gt;="&amp;C$4,CSV貼付!$A$5:$A$2004,"&lt;"&amp;C$4+1,CSV貼付!$B$5:$B$2004,$B32))</f>
        <v/>
      </c>
      <c r="D32" s="35" t="str">
        <f aca="false">IF(OR($B32="",D$4=""),"",SUMIFS(CSV貼付!$C$5:$C$2004,CSV貼付!$A$5:$A$2004,"&gt;="&amp;D$4,CSV貼付!$A$5:$A$2004,"&lt;"&amp;D$4+1,CSV貼付!$B$5:$B$2004,$B32))</f>
        <v/>
      </c>
      <c r="E32" s="35" t="str">
        <f aca="false">IF(OR($B32="",E$4=""),"",SUMIFS(CSV貼付!$C$5:$C$2004,CSV貼付!$A$5:$A$2004,"&gt;="&amp;E$4,CSV貼付!$A$5:$A$2004,"&lt;"&amp;E$4+1,CSV貼付!$B$5:$B$2004,$B32))</f>
        <v/>
      </c>
      <c r="F32" s="35" t="str">
        <f aca="false">IF(OR($B32="",F$4=""),"",SUMIFS(CSV貼付!$C$5:$C$2004,CSV貼付!$A$5:$A$2004,"&gt;="&amp;F$4,CSV貼付!$A$5:$A$2004,"&lt;"&amp;F$4+1,CSV貼付!$B$5:$B$2004,$B32))</f>
        <v/>
      </c>
      <c r="G32" s="35" t="str">
        <f aca="false">IF(OR($B32="",G$4=""),"",SUMIFS(CSV貼付!$C$5:$C$2004,CSV貼付!$A$5:$A$2004,"&gt;="&amp;G$4,CSV貼付!$A$5:$A$2004,"&lt;"&amp;G$4+1,CSV貼付!$B$5:$B$2004,$B32))</f>
        <v/>
      </c>
      <c r="H32" s="35" t="str">
        <f aca="false">IF(OR($B32="",H$4=""),"",SUMIFS(CSV貼付!$C$5:$C$2004,CSV貼付!$A$5:$A$2004,"&gt;="&amp;H$4,CSV貼付!$A$5:$A$2004,"&lt;"&amp;H$4+1,CSV貼付!$B$5:$B$2004,$B32))</f>
        <v/>
      </c>
      <c r="I32" s="35" t="str">
        <f aca="false">IF(OR($B32="",I$4=""),"",SUMIFS(CSV貼付!$C$5:$C$2004,CSV貼付!$A$5:$A$2004,"&gt;="&amp;I$4,CSV貼付!$A$5:$A$2004,"&lt;"&amp;I$4+1,CSV貼付!$B$5:$B$2004,$B32))</f>
        <v/>
      </c>
      <c r="J32" s="69" t="str">
        <f aca="false">IF($B32="","",SUM(C32:I32))</f>
        <v/>
      </c>
      <c r="K32" s="70"/>
    </row>
    <row r="33" customFormat="false" ht="25.5" hidden="false" customHeight="true" outlineLevel="0" collapsed="false">
      <c r="A33" s="71" t="s">
        <v>89</v>
      </c>
      <c r="B33" s="71"/>
      <c r="C33" s="71"/>
      <c r="D33" s="71"/>
      <c r="E33" s="71"/>
      <c r="F33" s="71"/>
      <c r="G33" s="71"/>
      <c r="H33" s="71"/>
      <c r="I33" s="71"/>
      <c r="J33" s="71"/>
      <c r="K33" s="71"/>
    </row>
  </sheetData>
  <mergeCells count="5">
    <mergeCell ref="A1:K1"/>
    <mergeCell ref="C2:D2"/>
    <mergeCell ref="F2:K2"/>
    <mergeCell ref="K7:K10"/>
    <mergeCell ref="A33:K33"/>
  </mergeCells>
  <conditionalFormatting sqref="C7:I10">
    <cfRule type="expression" priority="2" aboveAverage="0" equalAverage="0" bottom="0" percent="0" rank="0" text="" dxfId="1">
      <formula>AND(COUNT(C$7:C$10)=4,SUM(C$7:C$10)&lt;&gt;C$6)</formula>
    </cfRule>
  </conditionalFormatting>
  <conditionalFormatting sqref="C4:I5">
    <cfRule type="expression" priority="3" aboveAverage="0" equalAverage="0" bottom="0" percent="0" rank="0" text="" dxfId="2">
      <formula>WEEKDAY(C$4)=1</formula>
    </cfRule>
    <cfRule type="expression" priority="4" aboveAverage="0" equalAverage="0" bottom="0" percent="0" rank="0" text="" dxfId="3">
      <formula>WEEKDAY(C$4)=7</formula>
    </cfRule>
  </conditionalFormatting>
  <conditionalFormatting sqref="C11:I11">
    <cfRule type="expression" priority="5" aboveAverage="0" equalAverage="0" bottom="0" percent="0" rank="0" text="" dxfId="4">
      <formula>C$11="✔"</formula>
    </cfRule>
    <cfRule type="expression" priority="6" aboveAverage="0" equalAverage="0" bottom="0" percent="0" rank="0" text="" dxfId="5">
      <formula>ISNUMBER(SEARCH("⚠",C$11))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A13B"/>
    <pageSetUpPr fitToPage="true"/>
  </sheetPr>
  <dimension ref="A1:L2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7" min="6" style="0" width="10"/>
    <col collapsed="false" customWidth="true" hidden="false" outlineLevel="0" max="8" min="8" style="0" width="2.5"/>
    <col collapsed="false" customWidth="true" hidden="false" outlineLevel="0" max="9" min="9" style="0" width="15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9"/>
  </cols>
  <sheetData>
    <row r="1" customFormat="false" ht="33.75" hidden="false" customHeight="true" outlineLevel="0" collapsed="false">
      <c r="A1" s="1" t="s">
        <v>90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0" hidden="false" customHeight="true" outlineLevel="0" collapsed="false">
      <c r="A2" s="72" t="s">
        <v>91</v>
      </c>
      <c r="B2" s="72"/>
      <c r="C2" s="72"/>
      <c r="D2" s="72"/>
      <c r="E2" s="72"/>
      <c r="F2" s="72"/>
      <c r="G2" s="72"/>
      <c r="K2" s="73" t="s">
        <v>92</v>
      </c>
      <c r="L2" s="74" t="n">
        <f aca="false">COUNTA($A$5:$A$2004)</f>
        <v>336</v>
      </c>
    </row>
    <row r="3" customFormat="false" ht="18" hidden="false" customHeight="true" outlineLevel="0" collapsed="false">
      <c r="K3" s="73" t="s">
        <v>93</v>
      </c>
      <c r="L3" s="74" t="n">
        <f aca="false">SUMPRODUCT(($B$5:$B$2004&lt;&gt;"")*ISNA(MATCH($B$5:$B$2004,日別データ!$B$13:$B$32,0)))</f>
        <v>0</v>
      </c>
    </row>
    <row r="4" customFormat="false" ht="21.75" hidden="false" customHeight="true" outlineLevel="0" collapsed="false">
      <c r="A4" s="65" t="s">
        <v>94</v>
      </c>
      <c r="B4" s="65" t="s">
        <v>48</v>
      </c>
      <c r="C4" s="65" t="s">
        <v>95</v>
      </c>
      <c r="D4" s="65" t="s">
        <v>96</v>
      </c>
      <c r="E4" s="65" t="s">
        <v>97</v>
      </c>
      <c r="F4" s="65" t="s">
        <v>98</v>
      </c>
      <c r="G4" s="65" t="s">
        <v>98</v>
      </c>
      <c r="I4" s="65" t="s">
        <v>99</v>
      </c>
      <c r="J4" s="65" t="s">
        <v>100</v>
      </c>
    </row>
    <row r="5" customFormat="false" ht="15" hidden="false" customHeight="false" outlineLevel="0" collapsed="false">
      <c r="A5" s="75" t="n">
        <v>46253</v>
      </c>
      <c r="B5" s="76" t="s">
        <v>101</v>
      </c>
      <c r="C5" s="77" t="n">
        <v>45</v>
      </c>
      <c r="D5" s="78" t="n">
        <v>0.4375</v>
      </c>
      <c r="E5" s="77" t="n">
        <v>24750</v>
      </c>
      <c r="F5" s="76"/>
      <c r="G5" s="76"/>
      <c r="I5" s="79" t="str">
        <f aca="false">IF($B5="","",IF(ISNUMBER(MATCH($B5,日別データ!$B$13:$B$32,0)),"✔ OK","⚠ 未登録"))</f>
        <v>✔ OK</v>
      </c>
      <c r="J5" s="80" t="str">
        <f aca="false">IF($B5="","",IF($D5="","－",IF(ISNUMBER($D5),IF(AND($D5&gt;=1,MOD($D5,1)=0),"－",IF(MOD($D5,1)&lt;$L$6,"朝",IF(MOD($D5,1)&lt;$L$7,"昼",IF(MOD($D5,1)&lt;$L$8,"夕方","夜")))),IF(OR($D5="朝",$D5="昼",$D5="夕方",$D5="夜"),$D5,"⚠ 不明"))))</f>
        <v>朝</v>
      </c>
      <c r="K5" s="81" t="s">
        <v>102</v>
      </c>
      <c r="L5" s="81"/>
    </row>
    <row r="6" customFormat="false" ht="15" hidden="false" customHeight="false" outlineLevel="0" collapsed="false">
      <c r="A6" s="75" t="n">
        <v>46253</v>
      </c>
      <c r="B6" s="76" t="s">
        <v>101</v>
      </c>
      <c r="C6" s="77" t="n">
        <v>107</v>
      </c>
      <c r="D6" s="78" t="n">
        <v>0.541666666666667</v>
      </c>
      <c r="E6" s="77" t="n">
        <v>58850</v>
      </c>
      <c r="F6" s="76"/>
      <c r="G6" s="76"/>
      <c r="I6" s="79" t="str">
        <f aca="false">IF($B6="","",IF(ISNUMBER(MATCH($B6,日別データ!$B$13:$B$32,0)),"✔ OK","⚠ 未登録"))</f>
        <v>✔ OK</v>
      </c>
      <c r="J6" s="80" t="str">
        <f aca="false">IF($B6="","",IF($D6="","－",IF(ISNUMBER($D6),IF(AND($D6&gt;=1,MOD($D6,1)=0),"－",IF(MOD($D6,1)&lt;$L$6,"朝",IF(MOD($D6,1)&lt;$L$7,"昼",IF(MOD($D6,1)&lt;$L$8,"夕方","夜")))),IF(OR($D6="朝",$D6="昼",$D6="夕方",$D6="夜"),$D6,"⚠ 不明"))))</f>
        <v>昼</v>
      </c>
      <c r="K6" s="49" t="s">
        <v>103</v>
      </c>
      <c r="L6" s="82" t="n">
        <v>0.458333333333333</v>
      </c>
    </row>
    <row r="7" customFormat="false" ht="15" hidden="false" customHeight="false" outlineLevel="0" collapsed="false">
      <c r="A7" s="75" t="n">
        <v>46253</v>
      </c>
      <c r="B7" s="76" t="s">
        <v>101</v>
      </c>
      <c r="C7" s="77" t="n">
        <v>78</v>
      </c>
      <c r="D7" s="78" t="n">
        <v>0.6875</v>
      </c>
      <c r="E7" s="77" t="n">
        <v>42900</v>
      </c>
      <c r="F7" s="76"/>
      <c r="G7" s="76"/>
      <c r="I7" s="79" t="str">
        <f aca="false">IF($B7="","",IF(ISNUMBER(MATCH($B7,日別データ!$B$13:$B$32,0)),"✔ OK","⚠ 未登録"))</f>
        <v>✔ OK</v>
      </c>
      <c r="J7" s="80" t="str">
        <f aca="false">IF($B7="","",IF($D7="","－",IF(ISNUMBER($D7),IF(AND($D7&gt;=1,MOD($D7,1)=0),"－",IF(MOD($D7,1)&lt;$L$6,"朝",IF(MOD($D7,1)&lt;$L$7,"昼",IF(MOD($D7,1)&lt;$L$8,"夕方","夜")))),IF(OR($D7="朝",$D7="昼",$D7="夕方",$D7="夜"),$D7,"⚠ 不明"))))</f>
        <v>夕方</v>
      </c>
      <c r="K7" s="49" t="s">
        <v>104</v>
      </c>
      <c r="L7" s="82" t="n">
        <v>0.625</v>
      </c>
    </row>
    <row r="8" customFormat="false" ht="15" hidden="false" customHeight="false" outlineLevel="0" collapsed="false">
      <c r="A8" s="75" t="n">
        <v>46253</v>
      </c>
      <c r="B8" s="76" t="s">
        <v>101</v>
      </c>
      <c r="C8" s="77" t="n">
        <v>83</v>
      </c>
      <c r="D8" s="78" t="n">
        <v>0.8125</v>
      </c>
      <c r="E8" s="77" t="n">
        <v>45650</v>
      </c>
      <c r="F8" s="76"/>
      <c r="G8" s="76"/>
      <c r="I8" s="79" t="str">
        <f aca="false">IF($B8="","",IF(ISNUMBER(MATCH($B8,日別データ!$B$13:$B$32,0)),"✔ OK","⚠ 未登録"))</f>
        <v>✔ OK</v>
      </c>
      <c r="J8" s="80" t="str">
        <f aca="false">IF($B8="","",IF($D8="","－",IF(ISNUMBER($D8),IF(AND($D8&gt;=1,MOD($D8,1)=0),"－",IF(MOD($D8,1)&lt;$L$6,"朝",IF(MOD($D8,1)&lt;$L$7,"昼",IF(MOD($D8,1)&lt;$L$8,"夕方","夜")))),IF(OR($D8="朝",$D8="昼",$D8="夕方",$D8="夜"),$D8,"⚠ 不明"))))</f>
        <v>夜</v>
      </c>
      <c r="K8" s="49" t="s">
        <v>105</v>
      </c>
      <c r="L8" s="82" t="n">
        <v>0.75</v>
      </c>
    </row>
    <row r="9" customFormat="false" ht="15" hidden="false" customHeight="false" outlineLevel="0" collapsed="false">
      <c r="A9" s="75" t="n">
        <v>46253</v>
      </c>
      <c r="B9" s="76" t="s">
        <v>106</v>
      </c>
      <c r="C9" s="77" t="n">
        <v>28</v>
      </c>
      <c r="D9" s="78" t="n">
        <v>0.4375</v>
      </c>
      <c r="E9" s="77" t="n">
        <v>15960</v>
      </c>
      <c r="F9" s="76"/>
      <c r="G9" s="76"/>
      <c r="I9" s="79" t="str">
        <f aca="false">IF($B9="","",IF(ISNUMBER(MATCH($B9,日別データ!$B$13:$B$32,0)),"✔ OK","⚠ 未登録"))</f>
        <v>✔ OK</v>
      </c>
      <c r="J9" s="80" t="str">
        <f aca="false">IF($B9="","",IF($D9="","－",IF(ISNUMBER($D9),IF(AND($D9&gt;=1,MOD($D9,1)=0),"－",IF(MOD($D9,1)&lt;$L$6,"朝",IF(MOD($D9,1)&lt;$L$7,"昼",IF(MOD($D9,1)&lt;$L$8,"夕方","夜")))),IF(OR($D9="朝",$D9="昼",$D9="夕方",$D9="夜"),$D9,"⚠ 不明"))))</f>
        <v>朝</v>
      </c>
    </row>
    <row r="10" customFormat="false" ht="15" hidden="false" customHeight="false" outlineLevel="0" collapsed="false">
      <c r="A10" s="75" t="n">
        <v>46253</v>
      </c>
      <c r="B10" s="76" t="s">
        <v>106</v>
      </c>
      <c r="C10" s="77" t="n">
        <v>60</v>
      </c>
      <c r="D10" s="78" t="n">
        <v>0.541666666666667</v>
      </c>
      <c r="E10" s="77" t="n">
        <v>34200</v>
      </c>
      <c r="F10" s="76"/>
      <c r="G10" s="76"/>
      <c r="I10" s="79" t="str">
        <f aca="false">IF($B10="","",IF(ISNUMBER(MATCH($B10,日別データ!$B$13:$B$32,0)),"✔ OK","⚠ 未登録"))</f>
        <v>✔ OK</v>
      </c>
      <c r="J10" s="80" t="str">
        <f aca="false">IF($B10="","",IF($D10="","－",IF(ISNUMBER($D10),IF(AND($D10&gt;=1,MOD($D10,1)=0),"－",IF(MOD($D10,1)&lt;$L$6,"朝",IF(MOD($D10,1)&lt;$L$7,"昼",IF(MOD($D10,1)&lt;$L$8,"夕方","夜")))),IF(OR($D10="朝",$D10="昼",$D10="夕方",$D10="夜"),$D10,"⚠ 不明"))))</f>
        <v>昼</v>
      </c>
    </row>
    <row r="11" customFormat="false" ht="15" hidden="false" customHeight="false" outlineLevel="0" collapsed="false">
      <c r="A11" s="75" t="n">
        <v>46253</v>
      </c>
      <c r="B11" s="76" t="s">
        <v>106</v>
      </c>
      <c r="C11" s="77" t="n">
        <v>46</v>
      </c>
      <c r="D11" s="78" t="n">
        <v>0.6875</v>
      </c>
      <c r="E11" s="77" t="n">
        <v>26220</v>
      </c>
      <c r="F11" s="76"/>
      <c r="G11" s="76"/>
      <c r="I11" s="79" t="str">
        <f aca="false">IF($B11="","",IF(ISNUMBER(MATCH($B11,日別データ!$B$13:$B$32,0)),"✔ OK","⚠ 未登録"))</f>
        <v>✔ OK</v>
      </c>
      <c r="J11" s="80" t="str">
        <f aca="false">IF($B11="","",IF($D11="","－",IF(ISNUMBER($D11),IF(AND($D11&gt;=1,MOD($D11,1)=0),"－",IF(MOD($D11,1)&lt;$L$6,"朝",IF(MOD($D11,1)&lt;$L$7,"昼",IF(MOD($D11,1)&lt;$L$8,"夕方","夜")))),IF(OR($D11="朝",$D11="昼",$D11="夕方",$D11="夜"),$D11,"⚠ 不明"))))</f>
        <v>夕方</v>
      </c>
    </row>
    <row r="12" customFormat="false" ht="15" hidden="false" customHeight="false" outlineLevel="0" collapsed="false">
      <c r="A12" s="75" t="n">
        <v>46253</v>
      </c>
      <c r="B12" s="76" t="s">
        <v>106</v>
      </c>
      <c r="C12" s="77" t="n">
        <v>84</v>
      </c>
      <c r="D12" s="78" t="n">
        <v>0.8125</v>
      </c>
      <c r="E12" s="77" t="n">
        <v>47880</v>
      </c>
      <c r="F12" s="76"/>
      <c r="G12" s="76"/>
      <c r="I12" s="79" t="str">
        <f aca="false">IF($B12="","",IF(ISNUMBER(MATCH($B12,日別データ!$B$13:$B$32,0)),"✔ OK","⚠ 未登録"))</f>
        <v>✔ OK</v>
      </c>
      <c r="J12" s="80" t="str">
        <f aca="false">IF($B12="","",IF($D12="","－",IF(ISNUMBER($D12),IF(AND($D12&gt;=1,MOD($D12,1)=0),"－",IF(MOD($D12,1)&lt;$L$6,"朝",IF(MOD($D12,1)&lt;$L$7,"昼",IF(MOD($D12,1)&lt;$L$8,"夕方","夜")))),IF(OR($D12="朝",$D12="昼",$D12="夕方",$D12="夜"),$D12,"⚠ 不明"))))</f>
        <v>夜</v>
      </c>
    </row>
    <row r="13" customFormat="false" ht="15" hidden="false" customHeight="false" outlineLevel="0" collapsed="false">
      <c r="A13" s="75" t="n">
        <v>46253</v>
      </c>
      <c r="B13" s="76" t="s">
        <v>79</v>
      </c>
      <c r="C13" s="77" t="n">
        <v>23</v>
      </c>
      <c r="D13" s="78" t="n">
        <v>0.4375</v>
      </c>
      <c r="E13" s="77" t="n">
        <v>13800</v>
      </c>
      <c r="F13" s="76"/>
      <c r="G13" s="76"/>
      <c r="I13" s="79" t="str">
        <f aca="false">IF($B13="","",IF(ISNUMBER(MATCH($B13,日別データ!$B$13:$B$32,0)),"✔ OK","⚠ 未登録"))</f>
        <v>✔ OK</v>
      </c>
      <c r="J13" s="80" t="str">
        <f aca="false">IF($B13="","",IF($D13="","－",IF(ISNUMBER($D13),IF(AND($D13&gt;=1,MOD($D13,1)=0),"－",IF(MOD($D13,1)&lt;$L$6,"朝",IF(MOD($D13,1)&lt;$L$7,"昼",IF(MOD($D13,1)&lt;$L$8,"夕方","夜")))),IF(OR($D13="朝",$D13="昼",$D13="夕方",$D13="夜"),$D13,"⚠ 不明"))))</f>
        <v>朝</v>
      </c>
    </row>
    <row r="14" customFormat="false" ht="15" hidden="false" customHeight="false" outlineLevel="0" collapsed="false">
      <c r="A14" s="75" t="n">
        <v>46253</v>
      </c>
      <c r="B14" s="76" t="s">
        <v>79</v>
      </c>
      <c r="C14" s="77" t="n">
        <v>42</v>
      </c>
      <c r="D14" s="78" t="n">
        <v>0.541666666666667</v>
      </c>
      <c r="E14" s="77" t="n">
        <v>25200</v>
      </c>
      <c r="F14" s="76"/>
      <c r="G14" s="76"/>
      <c r="I14" s="79" t="str">
        <f aca="false">IF($B14="","",IF(ISNUMBER(MATCH($B14,日別データ!$B$13:$B$32,0)),"✔ OK","⚠ 未登録"))</f>
        <v>✔ OK</v>
      </c>
      <c r="J14" s="80" t="str">
        <f aca="false">IF($B14="","",IF($D14="","－",IF(ISNUMBER($D14),IF(AND($D14&gt;=1,MOD($D14,1)=0),"－",IF(MOD($D14,1)&lt;$L$6,"朝",IF(MOD($D14,1)&lt;$L$7,"昼",IF(MOD($D14,1)&lt;$L$8,"夕方","夜")))),IF(OR($D14="朝",$D14="昼",$D14="夕方",$D14="夜"),$D14,"⚠ 不明"))))</f>
        <v>昼</v>
      </c>
    </row>
    <row r="15" customFormat="false" ht="15" hidden="false" customHeight="false" outlineLevel="0" collapsed="false">
      <c r="A15" s="75" t="n">
        <v>46253</v>
      </c>
      <c r="B15" s="76" t="s">
        <v>79</v>
      </c>
      <c r="C15" s="77" t="n">
        <v>31</v>
      </c>
      <c r="D15" s="78" t="n">
        <v>0.6875</v>
      </c>
      <c r="E15" s="77" t="n">
        <v>18600</v>
      </c>
      <c r="F15" s="76"/>
      <c r="G15" s="76"/>
      <c r="I15" s="79" t="str">
        <f aca="false">IF($B15="","",IF(ISNUMBER(MATCH($B15,日別データ!$B$13:$B$32,0)),"✔ OK","⚠ 未登録"))</f>
        <v>✔ OK</v>
      </c>
      <c r="J15" s="80" t="str">
        <f aca="false">IF($B15="","",IF($D15="","－",IF(ISNUMBER($D15),IF(AND($D15&gt;=1,MOD($D15,1)=0),"－",IF(MOD($D15,1)&lt;$L$6,"朝",IF(MOD($D15,1)&lt;$L$7,"昼",IF(MOD($D15,1)&lt;$L$8,"夕方","夜")))),IF(OR($D15="朝",$D15="昼",$D15="夕方",$D15="夜"),$D15,"⚠ 不明"))))</f>
        <v>夕方</v>
      </c>
    </row>
    <row r="16" customFormat="false" ht="15" hidden="false" customHeight="false" outlineLevel="0" collapsed="false">
      <c r="A16" s="75" t="n">
        <v>46253</v>
      </c>
      <c r="B16" s="76" t="s">
        <v>79</v>
      </c>
      <c r="C16" s="77" t="n">
        <v>52</v>
      </c>
      <c r="D16" s="78" t="n">
        <v>0.8125</v>
      </c>
      <c r="E16" s="77" t="n">
        <v>31200</v>
      </c>
      <c r="F16" s="76"/>
      <c r="G16" s="76"/>
      <c r="I16" s="79" t="str">
        <f aca="false">IF($B16="","",IF(ISNUMBER(MATCH($B16,日別データ!$B$13:$B$32,0)),"✔ OK","⚠ 未登録"))</f>
        <v>✔ OK</v>
      </c>
      <c r="J16" s="80" t="str">
        <f aca="false">IF($B16="","",IF($D16="","－",IF(ISNUMBER($D16),IF(AND($D16&gt;=1,MOD($D16,1)=0),"－",IF(MOD($D16,1)&lt;$L$6,"朝",IF(MOD($D16,1)&lt;$L$7,"昼",IF(MOD($D16,1)&lt;$L$8,"夕方","夜")))),IF(OR($D16="朝",$D16="昼",$D16="夕方",$D16="夜"),$D16,"⚠ 不明"))))</f>
        <v>夜</v>
      </c>
    </row>
    <row r="17" customFormat="false" ht="15" hidden="false" customHeight="false" outlineLevel="0" collapsed="false">
      <c r="A17" s="75" t="n">
        <v>46253</v>
      </c>
      <c r="B17" s="76" t="s">
        <v>107</v>
      </c>
      <c r="C17" s="77" t="n">
        <v>22</v>
      </c>
      <c r="D17" s="78" t="n">
        <v>0.4375</v>
      </c>
      <c r="E17" s="77" t="n">
        <v>7480</v>
      </c>
      <c r="F17" s="76"/>
      <c r="G17" s="76"/>
      <c r="I17" s="79" t="str">
        <f aca="false">IF($B17="","",IF(ISNUMBER(MATCH($B17,日別データ!$B$13:$B$32,0)),"✔ OK","⚠ 未登録"))</f>
        <v>✔ OK</v>
      </c>
      <c r="J17" s="80" t="str">
        <f aca="false">IF($B17="","",IF($D17="","－",IF(ISNUMBER($D17),IF(AND($D17&gt;=1,MOD($D17,1)=0),"－",IF(MOD($D17,1)&lt;$L$6,"朝",IF(MOD($D17,1)&lt;$L$7,"昼",IF(MOD($D17,1)&lt;$L$8,"夕方","夜")))),IF(OR($D17="朝",$D17="昼",$D17="夕方",$D17="夜"),$D17,"⚠ 不明"))))</f>
        <v>朝</v>
      </c>
    </row>
    <row r="18" customFormat="false" ht="15" hidden="false" customHeight="false" outlineLevel="0" collapsed="false">
      <c r="A18" s="75" t="n">
        <v>46253</v>
      </c>
      <c r="B18" s="76" t="s">
        <v>107</v>
      </c>
      <c r="C18" s="77" t="n">
        <v>46</v>
      </c>
      <c r="D18" s="78" t="n">
        <v>0.541666666666667</v>
      </c>
      <c r="E18" s="77" t="n">
        <v>15640</v>
      </c>
      <c r="F18" s="76"/>
      <c r="G18" s="76"/>
      <c r="I18" s="79" t="str">
        <f aca="false">IF($B18="","",IF(ISNUMBER(MATCH($B18,日別データ!$B$13:$B$32,0)),"✔ OK","⚠ 未登録"))</f>
        <v>✔ OK</v>
      </c>
      <c r="J18" s="80" t="str">
        <f aca="false">IF($B18="","",IF($D18="","－",IF(ISNUMBER($D18),IF(AND($D18&gt;=1,MOD($D18,1)=0),"－",IF(MOD($D18,1)&lt;$L$6,"朝",IF(MOD($D18,1)&lt;$L$7,"昼",IF(MOD($D18,1)&lt;$L$8,"夕方","夜")))),IF(OR($D18="朝",$D18="昼",$D18="夕方",$D18="夜"),$D18,"⚠ 不明"))))</f>
        <v>昼</v>
      </c>
    </row>
    <row r="19" customFormat="false" ht="15" hidden="false" customHeight="false" outlineLevel="0" collapsed="false">
      <c r="A19" s="75" t="n">
        <v>46253</v>
      </c>
      <c r="B19" s="76" t="s">
        <v>107</v>
      </c>
      <c r="C19" s="77" t="n">
        <v>34</v>
      </c>
      <c r="D19" s="78" t="n">
        <v>0.6875</v>
      </c>
      <c r="E19" s="77" t="n">
        <v>11560</v>
      </c>
      <c r="F19" s="76"/>
      <c r="G19" s="76"/>
      <c r="I19" s="79" t="str">
        <f aca="false">IF($B19="","",IF(ISNUMBER(MATCH($B19,日別データ!$B$13:$B$32,0)),"✔ OK","⚠ 未登録"))</f>
        <v>✔ OK</v>
      </c>
      <c r="J19" s="80" t="str">
        <f aca="false">IF($B19="","",IF($D19="","－",IF(ISNUMBER($D19),IF(AND($D19&gt;=1,MOD($D19,1)=0),"－",IF(MOD($D19,1)&lt;$L$6,"朝",IF(MOD($D19,1)&lt;$L$7,"昼",IF(MOD($D19,1)&lt;$L$8,"夕方","夜")))),IF(OR($D19="朝",$D19="昼",$D19="夕方",$D19="夜"),$D19,"⚠ 不明"))))</f>
        <v>夕方</v>
      </c>
    </row>
    <row r="20" customFormat="false" ht="15" hidden="false" customHeight="false" outlineLevel="0" collapsed="false">
      <c r="A20" s="75" t="n">
        <v>46253</v>
      </c>
      <c r="B20" s="76" t="s">
        <v>107</v>
      </c>
      <c r="C20" s="77" t="n">
        <v>60</v>
      </c>
      <c r="D20" s="78" t="n">
        <v>0.8125</v>
      </c>
      <c r="E20" s="77" t="n">
        <v>20400</v>
      </c>
      <c r="F20" s="76"/>
      <c r="G20" s="76"/>
      <c r="I20" s="79" t="str">
        <f aca="false">IF($B20="","",IF(ISNUMBER(MATCH($B20,日別データ!$B$13:$B$32,0)),"✔ OK","⚠ 未登録"))</f>
        <v>✔ OK</v>
      </c>
      <c r="J20" s="80" t="str">
        <f aca="false">IF($B20="","",IF($D20="","－",IF(ISNUMBER($D20),IF(AND($D20&gt;=1,MOD($D20,1)=0),"－",IF(MOD($D20,1)&lt;$L$6,"朝",IF(MOD($D20,1)&lt;$L$7,"昼",IF(MOD($D20,1)&lt;$L$8,"夕方","夜")))),IF(OR($D20="朝",$D20="昼",$D20="夕方",$D20="夜"),$D20,"⚠ 不明"))))</f>
        <v>夜</v>
      </c>
    </row>
    <row r="21" customFormat="false" ht="15" hidden="false" customHeight="false" outlineLevel="0" collapsed="false">
      <c r="A21" s="75" t="n">
        <v>46253</v>
      </c>
      <c r="B21" s="76" t="s">
        <v>108</v>
      </c>
      <c r="C21" s="77" t="n">
        <v>63</v>
      </c>
      <c r="D21" s="78" t="n">
        <v>0.4375</v>
      </c>
      <c r="E21" s="77" t="n">
        <v>25200</v>
      </c>
      <c r="F21" s="76"/>
      <c r="G21" s="76"/>
      <c r="I21" s="79" t="str">
        <f aca="false">IF($B21="","",IF(ISNUMBER(MATCH($B21,日別データ!$B$13:$B$32,0)),"✔ OK","⚠ 未登録"))</f>
        <v>✔ OK</v>
      </c>
      <c r="J21" s="80" t="str">
        <f aca="false">IF($B21="","",IF($D21="","－",IF(ISNUMBER($D21),IF(AND($D21&gt;=1,MOD($D21,1)=0),"－",IF(MOD($D21,1)&lt;$L$6,"朝",IF(MOD($D21,1)&lt;$L$7,"昼",IF(MOD($D21,1)&lt;$L$8,"夕方","夜")))),IF(OR($D21="朝",$D21="昼",$D21="夕方",$D21="夜"),$D21,"⚠ 不明"))))</f>
        <v>朝</v>
      </c>
    </row>
    <row r="22" customFormat="false" ht="15" hidden="false" customHeight="false" outlineLevel="0" collapsed="false">
      <c r="A22" s="75" t="n">
        <v>46253</v>
      </c>
      <c r="B22" s="76" t="s">
        <v>108</v>
      </c>
      <c r="C22" s="77" t="n">
        <v>144</v>
      </c>
      <c r="D22" s="78" t="n">
        <v>0.541666666666667</v>
      </c>
      <c r="E22" s="77" t="n">
        <v>57600</v>
      </c>
      <c r="F22" s="76"/>
      <c r="G22" s="76"/>
      <c r="I22" s="79" t="str">
        <f aca="false">IF($B22="","",IF(ISNUMBER(MATCH($B22,日別データ!$B$13:$B$32,0)),"✔ OK","⚠ 未登録"))</f>
        <v>✔ OK</v>
      </c>
      <c r="J22" s="80" t="str">
        <f aca="false">IF($B22="","",IF($D22="","－",IF(ISNUMBER($D22),IF(AND($D22&gt;=1,MOD($D22,1)=0),"－",IF(MOD($D22,1)&lt;$L$6,"朝",IF(MOD($D22,1)&lt;$L$7,"昼",IF(MOD($D22,1)&lt;$L$8,"夕方","夜")))),IF(OR($D22="朝",$D22="昼",$D22="夕方",$D22="夜"),$D22,"⚠ 不明"))))</f>
        <v>昼</v>
      </c>
    </row>
    <row r="23" customFormat="false" ht="15" hidden="false" customHeight="false" outlineLevel="0" collapsed="false">
      <c r="A23" s="75" t="n">
        <v>46253</v>
      </c>
      <c r="B23" s="76" t="s">
        <v>108</v>
      </c>
      <c r="C23" s="77" t="n">
        <v>103</v>
      </c>
      <c r="D23" s="78" t="n">
        <v>0.6875</v>
      </c>
      <c r="E23" s="77" t="n">
        <v>41200</v>
      </c>
      <c r="F23" s="76"/>
      <c r="G23" s="76"/>
      <c r="I23" s="79" t="str">
        <f aca="false">IF($B23="","",IF(ISNUMBER(MATCH($B23,日別データ!$B$13:$B$32,0)),"✔ OK","⚠ 未登録"))</f>
        <v>✔ OK</v>
      </c>
      <c r="J23" s="80" t="str">
        <f aca="false">IF($B23="","",IF($D23="","－",IF(ISNUMBER($D23),IF(AND($D23&gt;=1,MOD($D23,1)=0),"－",IF(MOD($D23,1)&lt;$L$6,"朝",IF(MOD($D23,1)&lt;$L$7,"昼",IF(MOD($D23,1)&lt;$L$8,"夕方","夜")))),IF(OR($D23="朝",$D23="昼",$D23="夕方",$D23="夜"),$D23,"⚠ 不明"))))</f>
        <v>夕方</v>
      </c>
    </row>
    <row r="24" customFormat="false" ht="15" hidden="false" customHeight="false" outlineLevel="0" collapsed="false">
      <c r="A24" s="75" t="n">
        <v>46253</v>
      </c>
      <c r="B24" s="76" t="s">
        <v>108</v>
      </c>
      <c r="C24" s="77" t="n">
        <v>119</v>
      </c>
      <c r="D24" s="78" t="n">
        <v>0.8125</v>
      </c>
      <c r="E24" s="77" t="n">
        <v>47600</v>
      </c>
      <c r="F24" s="76"/>
      <c r="G24" s="76"/>
      <c r="I24" s="79" t="str">
        <f aca="false">IF($B24="","",IF(ISNUMBER(MATCH($B24,日別データ!$B$13:$B$32,0)),"✔ OK","⚠ 未登録"))</f>
        <v>✔ OK</v>
      </c>
      <c r="J24" s="80" t="str">
        <f aca="false">IF($B24="","",IF($D24="","－",IF(ISNUMBER($D24),IF(AND($D24&gt;=1,MOD($D24,1)=0),"－",IF(MOD($D24,1)&lt;$L$6,"朝",IF(MOD($D24,1)&lt;$L$7,"昼",IF(MOD($D24,1)&lt;$L$8,"夕方","夜")))),IF(OR($D24="朝",$D24="昼",$D24="夕方",$D24="夜"),$D24,"⚠ 不明"))))</f>
        <v>夜</v>
      </c>
    </row>
    <row r="25" customFormat="false" ht="15" hidden="false" customHeight="false" outlineLevel="0" collapsed="false">
      <c r="A25" s="75" t="n">
        <v>46253</v>
      </c>
      <c r="B25" s="76" t="s">
        <v>109</v>
      </c>
      <c r="C25" s="77" t="n">
        <v>19</v>
      </c>
      <c r="D25" s="78" t="n">
        <v>0.4375</v>
      </c>
      <c r="E25" s="77" t="n">
        <v>8740</v>
      </c>
      <c r="F25" s="76"/>
      <c r="G25" s="76"/>
      <c r="I25" s="79" t="str">
        <f aca="false">IF($B25="","",IF(ISNUMBER(MATCH($B25,日別データ!$B$13:$B$32,0)),"✔ OK","⚠ 未登録"))</f>
        <v>✔ OK</v>
      </c>
      <c r="J25" s="80" t="str">
        <f aca="false">IF($B25="","",IF($D25="","－",IF(ISNUMBER($D25),IF(AND($D25&gt;=1,MOD($D25,1)=0),"－",IF(MOD($D25,1)&lt;$L$6,"朝",IF(MOD($D25,1)&lt;$L$7,"昼",IF(MOD($D25,1)&lt;$L$8,"夕方","夜")))),IF(OR($D25="朝",$D25="昼",$D25="夕方",$D25="夜"),$D25,"⚠ 不明"))))</f>
        <v>朝</v>
      </c>
    </row>
    <row r="26" customFormat="false" ht="15" hidden="false" customHeight="false" outlineLevel="0" collapsed="false">
      <c r="A26" s="75" t="n">
        <v>46253</v>
      </c>
      <c r="B26" s="76" t="s">
        <v>109</v>
      </c>
      <c r="C26" s="77" t="n">
        <v>41</v>
      </c>
      <c r="D26" s="78" t="n">
        <v>0.541666666666667</v>
      </c>
      <c r="E26" s="77" t="n">
        <v>18860</v>
      </c>
      <c r="F26" s="76"/>
      <c r="G26" s="76"/>
      <c r="I26" s="79" t="str">
        <f aca="false">IF($B26="","",IF(ISNUMBER(MATCH($B26,日別データ!$B$13:$B$32,0)),"✔ OK","⚠ 未登録"))</f>
        <v>✔ OK</v>
      </c>
      <c r="J26" s="80" t="str">
        <f aca="false">IF($B26="","",IF($D26="","－",IF(ISNUMBER($D26),IF(AND($D26&gt;=1,MOD($D26,1)=0),"－",IF(MOD($D26,1)&lt;$L$6,"朝",IF(MOD($D26,1)&lt;$L$7,"昼",IF(MOD($D26,1)&lt;$L$8,"夕方","夜")))),IF(OR($D26="朝",$D26="昼",$D26="夕方",$D26="夜"),$D26,"⚠ 不明"))))</f>
        <v>昼</v>
      </c>
    </row>
    <row r="27" customFormat="false" ht="15" hidden="false" customHeight="false" outlineLevel="0" collapsed="false">
      <c r="A27" s="75" t="n">
        <v>46253</v>
      </c>
      <c r="B27" s="76" t="s">
        <v>109</v>
      </c>
      <c r="C27" s="77" t="n">
        <v>26</v>
      </c>
      <c r="D27" s="78" t="n">
        <v>0.6875</v>
      </c>
      <c r="E27" s="77" t="n">
        <v>11960</v>
      </c>
      <c r="F27" s="76"/>
      <c r="G27" s="76"/>
      <c r="I27" s="79" t="str">
        <f aca="false">IF($B27="","",IF(ISNUMBER(MATCH($B27,日別データ!$B$13:$B$32,0)),"✔ OK","⚠ 未登録"))</f>
        <v>✔ OK</v>
      </c>
      <c r="J27" s="80" t="str">
        <f aca="false">IF($B27="","",IF($D27="","－",IF(ISNUMBER($D27),IF(AND($D27&gt;=1,MOD($D27,1)=0),"－",IF(MOD($D27,1)&lt;$L$6,"朝",IF(MOD($D27,1)&lt;$L$7,"昼",IF(MOD($D27,1)&lt;$L$8,"夕方","夜")))),IF(OR($D27="朝",$D27="昼",$D27="夕方",$D27="夜"),$D27,"⚠ 不明"))))</f>
        <v>夕方</v>
      </c>
    </row>
    <row r="28" customFormat="false" ht="15" hidden="false" customHeight="false" outlineLevel="0" collapsed="false">
      <c r="A28" s="75" t="n">
        <v>46253</v>
      </c>
      <c r="B28" s="76" t="s">
        <v>109</v>
      </c>
      <c r="C28" s="77" t="n">
        <v>37</v>
      </c>
      <c r="D28" s="78" t="n">
        <v>0.8125</v>
      </c>
      <c r="E28" s="77" t="n">
        <v>17020</v>
      </c>
      <c r="F28" s="76"/>
      <c r="G28" s="76"/>
      <c r="I28" s="79" t="str">
        <f aca="false">IF($B28="","",IF(ISNUMBER(MATCH($B28,日別データ!$B$13:$B$32,0)),"✔ OK","⚠ 未登録"))</f>
        <v>✔ OK</v>
      </c>
      <c r="J28" s="80" t="str">
        <f aca="false">IF($B28="","",IF($D28="","－",IF(ISNUMBER($D28),IF(AND($D28&gt;=1,MOD($D28,1)=0),"－",IF(MOD($D28,1)&lt;$L$6,"朝",IF(MOD($D28,1)&lt;$L$7,"昼",IF(MOD($D28,1)&lt;$L$8,"夕方","夜")))),IF(OR($D28="朝",$D28="昼",$D28="夕方",$D28="夜"),$D28,"⚠ 不明"))))</f>
        <v>夜</v>
      </c>
    </row>
    <row r="29" customFormat="false" ht="15" hidden="false" customHeight="false" outlineLevel="0" collapsed="false">
      <c r="A29" s="75" t="n">
        <v>46253</v>
      </c>
      <c r="B29" s="76" t="s">
        <v>83</v>
      </c>
      <c r="C29" s="77" t="n">
        <v>19</v>
      </c>
      <c r="D29" s="78" t="n">
        <v>0.4375</v>
      </c>
      <c r="E29" s="77" t="n">
        <v>7220</v>
      </c>
      <c r="F29" s="76"/>
      <c r="G29" s="76"/>
      <c r="I29" s="79" t="str">
        <f aca="false">IF($B29="","",IF(ISNUMBER(MATCH($B29,日別データ!$B$13:$B$32,0)),"✔ OK","⚠ 未登録"))</f>
        <v>✔ OK</v>
      </c>
      <c r="J29" s="80" t="str">
        <f aca="false">IF($B29="","",IF($D29="","－",IF(ISNUMBER($D29),IF(AND($D29&gt;=1,MOD($D29,1)=0),"－",IF(MOD($D29,1)&lt;$L$6,"朝",IF(MOD($D29,1)&lt;$L$7,"昼",IF(MOD($D29,1)&lt;$L$8,"夕方","夜")))),IF(OR($D29="朝",$D29="昼",$D29="夕方",$D29="夜"),$D29,"⚠ 不明"))))</f>
        <v>朝</v>
      </c>
    </row>
    <row r="30" customFormat="false" ht="15" hidden="false" customHeight="false" outlineLevel="0" collapsed="false">
      <c r="A30" s="75" t="n">
        <v>46253</v>
      </c>
      <c r="B30" s="76" t="s">
        <v>83</v>
      </c>
      <c r="C30" s="77" t="n">
        <v>40</v>
      </c>
      <c r="D30" s="78" t="n">
        <v>0.541666666666667</v>
      </c>
      <c r="E30" s="77" t="n">
        <v>15200</v>
      </c>
      <c r="F30" s="76"/>
      <c r="G30" s="76"/>
      <c r="I30" s="79" t="str">
        <f aca="false">IF($B30="","",IF(ISNUMBER(MATCH($B30,日別データ!$B$13:$B$32,0)),"✔ OK","⚠ 未登録"))</f>
        <v>✔ OK</v>
      </c>
      <c r="J30" s="80" t="str">
        <f aca="false">IF($B30="","",IF($D30="","－",IF(ISNUMBER($D30),IF(AND($D30&gt;=1,MOD($D30,1)=0),"－",IF(MOD($D30,1)&lt;$L$6,"朝",IF(MOD($D30,1)&lt;$L$7,"昼",IF(MOD($D30,1)&lt;$L$8,"夕方","夜")))),IF(OR($D30="朝",$D30="昼",$D30="夕方",$D30="夜"),$D30,"⚠ 不明"))))</f>
        <v>昼</v>
      </c>
    </row>
    <row r="31" customFormat="false" ht="15" hidden="false" customHeight="false" outlineLevel="0" collapsed="false">
      <c r="A31" s="75" t="n">
        <v>46253</v>
      </c>
      <c r="B31" s="76" t="s">
        <v>83</v>
      </c>
      <c r="C31" s="77" t="n">
        <v>28</v>
      </c>
      <c r="D31" s="78" t="n">
        <v>0.6875</v>
      </c>
      <c r="E31" s="77" t="n">
        <v>10640</v>
      </c>
      <c r="F31" s="76"/>
      <c r="G31" s="76"/>
      <c r="I31" s="79" t="str">
        <f aca="false">IF($B31="","",IF(ISNUMBER(MATCH($B31,日別データ!$B$13:$B$32,0)),"✔ OK","⚠ 未登録"))</f>
        <v>✔ OK</v>
      </c>
      <c r="J31" s="80" t="str">
        <f aca="false">IF($B31="","",IF($D31="","－",IF(ISNUMBER($D31),IF(AND($D31&gt;=1,MOD($D31,1)=0),"－",IF(MOD($D31,1)&lt;$L$6,"朝",IF(MOD($D31,1)&lt;$L$7,"昼",IF(MOD($D31,1)&lt;$L$8,"夕方","夜")))),IF(OR($D31="朝",$D31="昼",$D31="夕方",$D31="夜"),$D31,"⚠ 不明"))))</f>
        <v>夕方</v>
      </c>
    </row>
    <row r="32" customFormat="false" ht="15" hidden="false" customHeight="false" outlineLevel="0" collapsed="false">
      <c r="A32" s="75" t="n">
        <v>46253</v>
      </c>
      <c r="B32" s="76" t="s">
        <v>83</v>
      </c>
      <c r="C32" s="77" t="n">
        <v>40</v>
      </c>
      <c r="D32" s="78" t="n">
        <v>0.8125</v>
      </c>
      <c r="E32" s="77" t="n">
        <v>15200</v>
      </c>
      <c r="F32" s="76"/>
      <c r="G32" s="76"/>
      <c r="I32" s="79" t="str">
        <f aca="false">IF($B32="","",IF(ISNUMBER(MATCH($B32,日別データ!$B$13:$B$32,0)),"✔ OK","⚠ 未登録"))</f>
        <v>✔ OK</v>
      </c>
      <c r="J32" s="80" t="str">
        <f aca="false">IF($B32="","",IF($D32="","－",IF(ISNUMBER($D32),IF(AND($D32&gt;=1,MOD($D32,1)=0),"－",IF(MOD($D32,1)&lt;$L$6,"朝",IF(MOD($D32,1)&lt;$L$7,"昼",IF(MOD($D32,1)&lt;$L$8,"夕方","夜")))),IF(OR($D32="朝",$D32="昼",$D32="夕方",$D32="夜"),$D32,"⚠ 不明"))))</f>
        <v>夜</v>
      </c>
    </row>
    <row r="33" customFormat="false" ht="15" hidden="false" customHeight="false" outlineLevel="0" collapsed="false">
      <c r="A33" s="75" t="n">
        <v>46253</v>
      </c>
      <c r="B33" s="76" t="s">
        <v>84</v>
      </c>
      <c r="C33" s="77" t="n">
        <v>16</v>
      </c>
      <c r="D33" s="78" t="n">
        <v>0.4375</v>
      </c>
      <c r="E33" s="77" t="n">
        <v>8000</v>
      </c>
      <c r="F33" s="76"/>
      <c r="G33" s="76"/>
      <c r="I33" s="79" t="str">
        <f aca="false">IF($B33="","",IF(ISNUMBER(MATCH($B33,日別データ!$B$13:$B$32,0)),"✔ OK","⚠ 未登録"))</f>
        <v>✔ OK</v>
      </c>
      <c r="J33" s="80" t="str">
        <f aca="false">IF($B33="","",IF($D33="","－",IF(ISNUMBER($D33),IF(AND($D33&gt;=1,MOD($D33,1)=0),"－",IF(MOD($D33,1)&lt;$L$6,"朝",IF(MOD($D33,1)&lt;$L$7,"昼",IF(MOD($D33,1)&lt;$L$8,"夕方","夜")))),IF(OR($D33="朝",$D33="昼",$D33="夕方",$D33="夜"),$D33,"⚠ 不明"))))</f>
        <v>朝</v>
      </c>
    </row>
    <row r="34" customFormat="false" ht="15" hidden="false" customHeight="false" outlineLevel="0" collapsed="false">
      <c r="A34" s="75" t="n">
        <v>46253</v>
      </c>
      <c r="B34" s="76" t="s">
        <v>84</v>
      </c>
      <c r="C34" s="77" t="n">
        <v>36</v>
      </c>
      <c r="D34" s="78" t="n">
        <v>0.541666666666667</v>
      </c>
      <c r="E34" s="77" t="n">
        <v>18000</v>
      </c>
      <c r="F34" s="76"/>
      <c r="G34" s="76"/>
      <c r="I34" s="79" t="str">
        <f aca="false">IF($B34="","",IF(ISNUMBER(MATCH($B34,日別データ!$B$13:$B$32,0)),"✔ OK","⚠ 未登録"))</f>
        <v>✔ OK</v>
      </c>
      <c r="J34" s="80" t="str">
        <f aca="false">IF($B34="","",IF($D34="","－",IF(ISNUMBER($D34),IF(AND($D34&gt;=1,MOD($D34,1)=0),"－",IF(MOD($D34,1)&lt;$L$6,"朝",IF(MOD($D34,1)&lt;$L$7,"昼",IF(MOD($D34,1)&lt;$L$8,"夕方","夜")))),IF(OR($D34="朝",$D34="昼",$D34="夕方",$D34="夜"),$D34,"⚠ 不明"))))</f>
        <v>昼</v>
      </c>
    </row>
    <row r="35" customFormat="false" ht="15" hidden="false" customHeight="false" outlineLevel="0" collapsed="false">
      <c r="A35" s="75" t="n">
        <v>46253</v>
      </c>
      <c r="B35" s="76" t="s">
        <v>84</v>
      </c>
      <c r="C35" s="77" t="n">
        <v>24</v>
      </c>
      <c r="D35" s="78" t="n">
        <v>0.6875</v>
      </c>
      <c r="E35" s="77" t="n">
        <v>12000</v>
      </c>
      <c r="F35" s="76"/>
      <c r="G35" s="76"/>
      <c r="I35" s="79" t="str">
        <f aca="false">IF($B35="","",IF(ISNUMBER(MATCH($B35,日別データ!$B$13:$B$32,0)),"✔ OK","⚠ 未登録"))</f>
        <v>✔ OK</v>
      </c>
      <c r="J35" s="80" t="str">
        <f aca="false">IF($B35="","",IF($D35="","－",IF(ISNUMBER($D35),IF(AND($D35&gt;=1,MOD($D35,1)=0),"－",IF(MOD($D35,1)&lt;$L$6,"朝",IF(MOD($D35,1)&lt;$L$7,"昼",IF(MOD($D35,1)&lt;$L$8,"夕方","夜")))),IF(OR($D35="朝",$D35="昼",$D35="夕方",$D35="夜"),$D35,"⚠ 不明"))))</f>
        <v>夕方</v>
      </c>
    </row>
    <row r="36" customFormat="false" ht="15" hidden="false" customHeight="false" outlineLevel="0" collapsed="false">
      <c r="A36" s="75" t="n">
        <v>46253</v>
      </c>
      <c r="B36" s="76" t="s">
        <v>84</v>
      </c>
      <c r="C36" s="77" t="n">
        <v>30</v>
      </c>
      <c r="D36" s="78" t="n">
        <v>0.8125</v>
      </c>
      <c r="E36" s="77" t="n">
        <v>15000</v>
      </c>
      <c r="F36" s="76"/>
      <c r="G36" s="76"/>
      <c r="I36" s="79" t="str">
        <f aca="false">IF($B36="","",IF(ISNUMBER(MATCH($B36,日別データ!$B$13:$B$32,0)),"✔ OK","⚠ 未登録"))</f>
        <v>✔ OK</v>
      </c>
      <c r="J36" s="80" t="str">
        <f aca="false">IF($B36="","",IF($D36="","－",IF(ISNUMBER($D36),IF(AND($D36&gt;=1,MOD($D36,1)=0),"－",IF(MOD($D36,1)&lt;$L$6,"朝",IF(MOD($D36,1)&lt;$L$7,"昼",IF(MOD($D36,1)&lt;$L$8,"夕方","夜")))),IF(OR($D36="朝",$D36="昼",$D36="夕方",$D36="夜"),$D36,"⚠ 不明"))))</f>
        <v>夜</v>
      </c>
    </row>
    <row r="37" customFormat="false" ht="15" hidden="false" customHeight="false" outlineLevel="0" collapsed="false">
      <c r="A37" s="75" t="n">
        <v>46253</v>
      </c>
      <c r="B37" s="76" t="s">
        <v>85</v>
      </c>
      <c r="C37" s="77" t="n">
        <v>11</v>
      </c>
      <c r="D37" s="78" t="n">
        <v>0.4375</v>
      </c>
      <c r="E37" s="77" t="n">
        <v>5280</v>
      </c>
      <c r="F37" s="76"/>
      <c r="G37" s="76"/>
      <c r="I37" s="79" t="str">
        <f aca="false">IF($B37="","",IF(ISNUMBER(MATCH($B37,日別データ!$B$13:$B$32,0)),"✔ OK","⚠ 未登録"))</f>
        <v>✔ OK</v>
      </c>
      <c r="J37" s="80" t="str">
        <f aca="false">IF($B37="","",IF($D37="","－",IF(ISNUMBER($D37),IF(AND($D37&gt;=1,MOD($D37,1)=0),"－",IF(MOD($D37,1)&lt;$L$6,"朝",IF(MOD($D37,1)&lt;$L$7,"昼",IF(MOD($D37,1)&lt;$L$8,"夕方","夜")))),IF(OR($D37="朝",$D37="昼",$D37="夕方",$D37="夜"),$D37,"⚠ 不明"))))</f>
        <v>朝</v>
      </c>
    </row>
    <row r="38" customFormat="false" ht="15" hidden="false" customHeight="false" outlineLevel="0" collapsed="false">
      <c r="A38" s="75" t="n">
        <v>46253</v>
      </c>
      <c r="B38" s="76" t="s">
        <v>85</v>
      </c>
      <c r="C38" s="77" t="n">
        <v>20</v>
      </c>
      <c r="D38" s="78" t="n">
        <v>0.541666666666667</v>
      </c>
      <c r="E38" s="77" t="n">
        <v>9600</v>
      </c>
      <c r="F38" s="76"/>
      <c r="G38" s="76"/>
      <c r="I38" s="79" t="str">
        <f aca="false">IF($B38="","",IF(ISNUMBER(MATCH($B38,日別データ!$B$13:$B$32,0)),"✔ OK","⚠ 未登録"))</f>
        <v>✔ OK</v>
      </c>
      <c r="J38" s="80" t="str">
        <f aca="false">IF($B38="","",IF($D38="","－",IF(ISNUMBER($D38),IF(AND($D38&gt;=1,MOD($D38,1)=0),"－",IF(MOD($D38,1)&lt;$L$6,"朝",IF(MOD($D38,1)&lt;$L$7,"昼",IF(MOD($D38,1)&lt;$L$8,"夕方","夜")))),IF(OR($D38="朝",$D38="昼",$D38="夕方",$D38="夜"),$D38,"⚠ 不明"))))</f>
        <v>昼</v>
      </c>
    </row>
    <row r="39" customFormat="false" ht="15" hidden="false" customHeight="false" outlineLevel="0" collapsed="false">
      <c r="A39" s="75" t="n">
        <v>46253</v>
      </c>
      <c r="B39" s="76" t="s">
        <v>85</v>
      </c>
      <c r="C39" s="77" t="n">
        <v>16</v>
      </c>
      <c r="D39" s="78" t="n">
        <v>0.6875</v>
      </c>
      <c r="E39" s="77" t="n">
        <v>7680</v>
      </c>
      <c r="F39" s="76"/>
      <c r="G39" s="76"/>
      <c r="I39" s="79" t="str">
        <f aca="false">IF($B39="","",IF(ISNUMBER(MATCH($B39,日別データ!$B$13:$B$32,0)),"✔ OK","⚠ 未登録"))</f>
        <v>✔ OK</v>
      </c>
      <c r="J39" s="80" t="str">
        <f aca="false">IF($B39="","",IF($D39="","－",IF(ISNUMBER($D39),IF(AND($D39&gt;=1,MOD($D39,1)=0),"－",IF(MOD($D39,1)&lt;$L$6,"朝",IF(MOD($D39,1)&lt;$L$7,"昼",IF(MOD($D39,1)&lt;$L$8,"夕方","夜")))),IF(OR($D39="朝",$D39="昼",$D39="夕方",$D39="夜"),$D39,"⚠ 不明"))))</f>
        <v>夕方</v>
      </c>
    </row>
    <row r="40" customFormat="false" ht="15" hidden="false" customHeight="false" outlineLevel="0" collapsed="false">
      <c r="A40" s="75" t="n">
        <v>46253</v>
      </c>
      <c r="B40" s="76" t="s">
        <v>85</v>
      </c>
      <c r="C40" s="77" t="n">
        <v>21</v>
      </c>
      <c r="D40" s="78" t="n">
        <v>0.8125</v>
      </c>
      <c r="E40" s="77" t="n">
        <v>10080</v>
      </c>
      <c r="F40" s="76"/>
      <c r="G40" s="76"/>
      <c r="I40" s="79" t="str">
        <f aca="false">IF($B40="","",IF(ISNUMBER(MATCH($B40,日別データ!$B$13:$B$32,0)),"✔ OK","⚠ 未登録"))</f>
        <v>✔ OK</v>
      </c>
      <c r="J40" s="80" t="str">
        <f aca="false">IF($B40="","",IF($D40="","－",IF(ISNUMBER($D40),IF(AND($D40&gt;=1,MOD($D40,1)=0),"－",IF(MOD($D40,1)&lt;$L$6,"朝",IF(MOD($D40,1)&lt;$L$7,"昼",IF(MOD($D40,1)&lt;$L$8,"夕方","夜")))),IF(OR($D40="朝",$D40="昼",$D40="夕方",$D40="夜"),$D40,"⚠ 不明"))))</f>
        <v>夜</v>
      </c>
    </row>
    <row r="41" customFormat="false" ht="15" hidden="false" customHeight="false" outlineLevel="0" collapsed="false">
      <c r="A41" s="75" t="n">
        <v>46253</v>
      </c>
      <c r="B41" s="76" t="s">
        <v>86</v>
      </c>
      <c r="C41" s="77" t="n">
        <v>15</v>
      </c>
      <c r="D41" s="78" t="n">
        <v>0.4375</v>
      </c>
      <c r="E41" s="77" t="n">
        <v>6300</v>
      </c>
      <c r="F41" s="76"/>
      <c r="G41" s="76"/>
      <c r="I41" s="79" t="str">
        <f aca="false">IF($B41="","",IF(ISNUMBER(MATCH($B41,日別データ!$B$13:$B$32,0)),"✔ OK","⚠ 未登録"))</f>
        <v>✔ OK</v>
      </c>
      <c r="J41" s="80" t="str">
        <f aca="false">IF($B41="","",IF($D41="","－",IF(ISNUMBER($D41),IF(AND($D41&gt;=1,MOD($D41,1)=0),"－",IF(MOD($D41,1)&lt;$L$6,"朝",IF(MOD($D41,1)&lt;$L$7,"昼",IF(MOD($D41,1)&lt;$L$8,"夕方","夜")))),IF(OR($D41="朝",$D41="昼",$D41="夕方",$D41="夜"),$D41,"⚠ 不明"))))</f>
        <v>朝</v>
      </c>
    </row>
    <row r="42" customFormat="false" ht="15" hidden="false" customHeight="false" outlineLevel="0" collapsed="false">
      <c r="A42" s="75" t="n">
        <v>46253</v>
      </c>
      <c r="B42" s="76" t="s">
        <v>86</v>
      </c>
      <c r="C42" s="77" t="n">
        <v>37</v>
      </c>
      <c r="D42" s="78" t="n">
        <v>0.541666666666667</v>
      </c>
      <c r="E42" s="77" t="n">
        <v>15540</v>
      </c>
      <c r="F42" s="76"/>
      <c r="G42" s="76"/>
      <c r="I42" s="79" t="str">
        <f aca="false">IF($B42="","",IF(ISNUMBER(MATCH($B42,日別データ!$B$13:$B$32,0)),"✔ OK","⚠ 未登録"))</f>
        <v>✔ OK</v>
      </c>
      <c r="J42" s="80" t="str">
        <f aca="false">IF($B42="","",IF($D42="","－",IF(ISNUMBER($D42),IF(AND($D42&gt;=1,MOD($D42,1)=0),"－",IF(MOD($D42,1)&lt;$L$6,"朝",IF(MOD($D42,1)&lt;$L$7,"昼",IF(MOD($D42,1)&lt;$L$8,"夕方","夜")))),IF(OR($D42="朝",$D42="昼",$D42="夕方",$D42="夜"),$D42,"⚠ 不明"))))</f>
        <v>昼</v>
      </c>
    </row>
    <row r="43" customFormat="false" ht="15" hidden="false" customHeight="false" outlineLevel="0" collapsed="false">
      <c r="A43" s="75" t="n">
        <v>46253</v>
      </c>
      <c r="B43" s="76" t="s">
        <v>86</v>
      </c>
      <c r="C43" s="77" t="n">
        <v>29</v>
      </c>
      <c r="D43" s="78" t="n">
        <v>0.6875</v>
      </c>
      <c r="E43" s="77" t="n">
        <v>12180</v>
      </c>
      <c r="F43" s="76"/>
      <c r="G43" s="76"/>
      <c r="I43" s="79" t="str">
        <f aca="false">IF($B43="","",IF(ISNUMBER(MATCH($B43,日別データ!$B$13:$B$32,0)),"✔ OK","⚠ 未登録"))</f>
        <v>✔ OK</v>
      </c>
      <c r="J43" s="80" t="str">
        <f aca="false">IF($B43="","",IF($D43="","－",IF(ISNUMBER($D43),IF(AND($D43&gt;=1,MOD($D43,1)=0),"－",IF(MOD($D43,1)&lt;$L$6,"朝",IF(MOD($D43,1)&lt;$L$7,"昼",IF(MOD($D43,1)&lt;$L$8,"夕方","夜")))),IF(OR($D43="朝",$D43="昼",$D43="夕方",$D43="夜"),$D43,"⚠ 不明"))))</f>
        <v>夕方</v>
      </c>
    </row>
    <row r="44" customFormat="false" ht="15" hidden="false" customHeight="false" outlineLevel="0" collapsed="false">
      <c r="A44" s="75" t="n">
        <v>46253</v>
      </c>
      <c r="B44" s="76" t="s">
        <v>86</v>
      </c>
      <c r="C44" s="77" t="n">
        <v>29</v>
      </c>
      <c r="D44" s="78" t="n">
        <v>0.8125</v>
      </c>
      <c r="E44" s="77" t="n">
        <v>12180</v>
      </c>
      <c r="F44" s="76"/>
      <c r="G44" s="76"/>
      <c r="I44" s="79" t="str">
        <f aca="false">IF($B44="","",IF(ISNUMBER(MATCH($B44,日別データ!$B$13:$B$32,0)),"✔ OK","⚠ 未登録"))</f>
        <v>✔ OK</v>
      </c>
      <c r="J44" s="80" t="str">
        <f aca="false">IF($B44="","",IF($D44="","－",IF(ISNUMBER($D44),IF(AND($D44&gt;=1,MOD($D44,1)=0),"－",IF(MOD($D44,1)&lt;$L$6,"朝",IF(MOD($D44,1)&lt;$L$7,"昼",IF(MOD($D44,1)&lt;$L$8,"夕方","夜")))),IF(OR($D44="朝",$D44="昼",$D44="夕方",$D44="夜"),$D44,"⚠ 不明"))))</f>
        <v>夜</v>
      </c>
    </row>
    <row r="45" customFormat="false" ht="15" hidden="false" customHeight="false" outlineLevel="0" collapsed="false">
      <c r="A45" s="75" t="n">
        <v>46253</v>
      </c>
      <c r="B45" s="76" t="s">
        <v>87</v>
      </c>
      <c r="C45" s="77" t="n">
        <v>10</v>
      </c>
      <c r="D45" s="78" t="n">
        <v>0.4375</v>
      </c>
      <c r="E45" s="77" t="n">
        <v>4500</v>
      </c>
      <c r="F45" s="76"/>
      <c r="G45" s="76"/>
      <c r="I45" s="79" t="str">
        <f aca="false">IF($B45="","",IF(ISNUMBER(MATCH($B45,日別データ!$B$13:$B$32,0)),"✔ OK","⚠ 未登録"))</f>
        <v>✔ OK</v>
      </c>
      <c r="J45" s="80" t="str">
        <f aca="false">IF($B45="","",IF($D45="","－",IF(ISNUMBER($D45),IF(AND($D45&gt;=1,MOD($D45,1)=0),"－",IF(MOD($D45,1)&lt;$L$6,"朝",IF(MOD($D45,1)&lt;$L$7,"昼",IF(MOD($D45,1)&lt;$L$8,"夕方","夜")))),IF(OR($D45="朝",$D45="昼",$D45="夕方",$D45="夜"),$D45,"⚠ 不明"))))</f>
        <v>朝</v>
      </c>
    </row>
    <row r="46" customFormat="false" ht="15" hidden="false" customHeight="false" outlineLevel="0" collapsed="false">
      <c r="A46" s="75" t="n">
        <v>46253</v>
      </c>
      <c r="B46" s="76" t="s">
        <v>87</v>
      </c>
      <c r="C46" s="77" t="n">
        <v>24</v>
      </c>
      <c r="D46" s="78" t="n">
        <v>0.541666666666667</v>
      </c>
      <c r="E46" s="77" t="n">
        <v>10800</v>
      </c>
      <c r="F46" s="76"/>
      <c r="G46" s="76"/>
      <c r="I46" s="79" t="str">
        <f aca="false">IF($B46="","",IF(ISNUMBER(MATCH($B46,日別データ!$B$13:$B$32,0)),"✔ OK","⚠ 未登録"))</f>
        <v>✔ OK</v>
      </c>
      <c r="J46" s="80" t="str">
        <f aca="false">IF($B46="","",IF($D46="","－",IF(ISNUMBER($D46),IF(AND($D46&gt;=1,MOD($D46,1)=0),"－",IF(MOD($D46,1)&lt;$L$6,"朝",IF(MOD($D46,1)&lt;$L$7,"昼",IF(MOD($D46,1)&lt;$L$8,"夕方","夜")))),IF(OR($D46="朝",$D46="昼",$D46="夕方",$D46="夜"),$D46,"⚠ 不明"))))</f>
        <v>昼</v>
      </c>
    </row>
    <row r="47" customFormat="false" ht="15" hidden="false" customHeight="false" outlineLevel="0" collapsed="false">
      <c r="A47" s="75" t="n">
        <v>46253</v>
      </c>
      <c r="B47" s="76" t="s">
        <v>87</v>
      </c>
      <c r="C47" s="77" t="n">
        <v>16</v>
      </c>
      <c r="D47" s="78" t="n">
        <v>0.6875</v>
      </c>
      <c r="E47" s="77" t="n">
        <v>7200</v>
      </c>
      <c r="F47" s="76"/>
      <c r="G47" s="76"/>
      <c r="I47" s="79" t="str">
        <f aca="false">IF($B47="","",IF(ISNUMBER(MATCH($B47,日別データ!$B$13:$B$32,0)),"✔ OK","⚠ 未登録"))</f>
        <v>✔ OK</v>
      </c>
      <c r="J47" s="80" t="str">
        <f aca="false">IF($B47="","",IF($D47="","－",IF(ISNUMBER($D47),IF(AND($D47&gt;=1,MOD($D47,1)=0),"－",IF(MOD($D47,1)&lt;$L$6,"朝",IF(MOD($D47,1)&lt;$L$7,"昼",IF(MOD($D47,1)&lt;$L$8,"夕方","夜")))),IF(OR($D47="朝",$D47="昼",$D47="夕方",$D47="夜"),$D47,"⚠ 不明"))))</f>
        <v>夕方</v>
      </c>
    </row>
    <row r="48" customFormat="false" ht="15" hidden="false" customHeight="false" outlineLevel="0" collapsed="false">
      <c r="A48" s="75" t="n">
        <v>46253</v>
      </c>
      <c r="B48" s="76" t="s">
        <v>87</v>
      </c>
      <c r="C48" s="77" t="n">
        <v>21</v>
      </c>
      <c r="D48" s="78" t="n">
        <v>0.8125</v>
      </c>
      <c r="E48" s="77" t="n">
        <v>9450</v>
      </c>
      <c r="F48" s="76"/>
      <c r="G48" s="76"/>
      <c r="I48" s="79" t="str">
        <f aca="false">IF($B48="","",IF(ISNUMBER(MATCH($B48,日別データ!$B$13:$B$32,0)),"✔ OK","⚠ 未登録"))</f>
        <v>✔ OK</v>
      </c>
      <c r="J48" s="80" t="str">
        <f aca="false">IF($B48="","",IF($D48="","－",IF(ISNUMBER($D48),IF(AND($D48&gt;=1,MOD($D48,1)=0),"－",IF(MOD($D48,1)&lt;$L$6,"朝",IF(MOD($D48,1)&lt;$L$7,"昼",IF(MOD($D48,1)&lt;$L$8,"夕方","夜")))),IF(OR($D48="朝",$D48="昼",$D48="夕方",$D48="夜"),$D48,"⚠ 不明"))))</f>
        <v>夜</v>
      </c>
    </row>
    <row r="49" customFormat="false" ht="15" hidden="false" customHeight="false" outlineLevel="0" collapsed="false">
      <c r="A49" s="75" t="n">
        <v>46253</v>
      </c>
      <c r="B49" s="76" t="s">
        <v>88</v>
      </c>
      <c r="C49" s="77" t="n">
        <v>8</v>
      </c>
      <c r="D49" s="78" t="n">
        <v>0.4375</v>
      </c>
      <c r="E49" s="77" t="n">
        <v>2800</v>
      </c>
      <c r="F49" s="76"/>
      <c r="G49" s="76"/>
      <c r="I49" s="79" t="str">
        <f aca="false">IF($B49="","",IF(ISNUMBER(MATCH($B49,日別データ!$B$13:$B$32,0)),"✔ OK","⚠ 未登録"))</f>
        <v>✔ OK</v>
      </c>
      <c r="J49" s="80" t="str">
        <f aca="false">IF($B49="","",IF($D49="","－",IF(ISNUMBER($D49),IF(AND($D49&gt;=1,MOD($D49,1)=0),"－",IF(MOD($D49,1)&lt;$L$6,"朝",IF(MOD($D49,1)&lt;$L$7,"昼",IF(MOD($D49,1)&lt;$L$8,"夕方","夜")))),IF(OR($D49="朝",$D49="昼",$D49="夕方",$D49="夜"),$D49,"⚠ 不明"))))</f>
        <v>朝</v>
      </c>
    </row>
    <row r="50" customFormat="false" ht="15" hidden="false" customHeight="false" outlineLevel="0" collapsed="false">
      <c r="A50" s="75" t="n">
        <v>46253</v>
      </c>
      <c r="B50" s="76" t="s">
        <v>88</v>
      </c>
      <c r="C50" s="77" t="n">
        <v>21</v>
      </c>
      <c r="D50" s="78" t="n">
        <v>0.541666666666667</v>
      </c>
      <c r="E50" s="77" t="n">
        <v>7350</v>
      </c>
      <c r="F50" s="76"/>
      <c r="G50" s="76"/>
      <c r="I50" s="79" t="str">
        <f aca="false">IF($B50="","",IF(ISNUMBER(MATCH($B50,日別データ!$B$13:$B$32,0)),"✔ OK","⚠ 未登録"))</f>
        <v>✔ OK</v>
      </c>
      <c r="J50" s="80" t="str">
        <f aca="false">IF($B50="","",IF($D50="","－",IF(ISNUMBER($D50),IF(AND($D50&gt;=1,MOD($D50,1)=0),"－",IF(MOD($D50,1)&lt;$L$6,"朝",IF(MOD($D50,1)&lt;$L$7,"昼",IF(MOD($D50,1)&lt;$L$8,"夕方","夜")))),IF(OR($D50="朝",$D50="昼",$D50="夕方",$D50="夜"),$D50,"⚠ 不明"))))</f>
        <v>昼</v>
      </c>
    </row>
    <row r="51" customFormat="false" ht="15" hidden="false" customHeight="false" outlineLevel="0" collapsed="false">
      <c r="A51" s="75" t="n">
        <v>46253</v>
      </c>
      <c r="B51" s="76" t="s">
        <v>88</v>
      </c>
      <c r="C51" s="77" t="n">
        <v>13</v>
      </c>
      <c r="D51" s="78" t="n">
        <v>0.6875</v>
      </c>
      <c r="E51" s="77" t="n">
        <v>4550</v>
      </c>
      <c r="F51" s="76"/>
      <c r="G51" s="76"/>
      <c r="I51" s="79" t="str">
        <f aca="false">IF($B51="","",IF(ISNUMBER(MATCH($B51,日別データ!$B$13:$B$32,0)),"✔ OK","⚠ 未登録"))</f>
        <v>✔ OK</v>
      </c>
      <c r="J51" s="80" t="str">
        <f aca="false">IF($B51="","",IF($D51="","－",IF(ISNUMBER($D51),IF(AND($D51&gt;=1,MOD($D51,1)=0),"－",IF(MOD($D51,1)&lt;$L$6,"朝",IF(MOD($D51,1)&lt;$L$7,"昼",IF(MOD($D51,1)&lt;$L$8,"夕方","夜")))),IF(OR($D51="朝",$D51="昼",$D51="夕方",$D51="夜"),$D51,"⚠ 不明"))))</f>
        <v>夕方</v>
      </c>
    </row>
    <row r="52" customFormat="false" ht="15" hidden="false" customHeight="false" outlineLevel="0" collapsed="false">
      <c r="A52" s="75" t="n">
        <v>46253</v>
      </c>
      <c r="B52" s="76" t="s">
        <v>88</v>
      </c>
      <c r="C52" s="77" t="n">
        <v>18</v>
      </c>
      <c r="D52" s="78" t="n">
        <v>0.8125</v>
      </c>
      <c r="E52" s="77" t="n">
        <v>6300</v>
      </c>
      <c r="F52" s="76"/>
      <c r="G52" s="76"/>
      <c r="I52" s="79" t="str">
        <f aca="false">IF($B52="","",IF(ISNUMBER(MATCH($B52,日別データ!$B$13:$B$32,0)),"✔ OK","⚠ 未登録"))</f>
        <v>✔ OK</v>
      </c>
      <c r="J52" s="80" t="str">
        <f aca="false">IF($B52="","",IF($D52="","－",IF(ISNUMBER($D52),IF(AND($D52&gt;=1,MOD($D52,1)=0),"－",IF(MOD($D52,1)&lt;$L$6,"朝",IF(MOD($D52,1)&lt;$L$7,"昼",IF(MOD($D52,1)&lt;$L$8,"夕方","夜")))),IF(OR($D52="朝",$D52="昼",$D52="夕方",$D52="夜"),$D52,"⚠ 不明"))))</f>
        <v>夜</v>
      </c>
    </row>
    <row r="53" customFormat="false" ht="15" hidden="false" customHeight="false" outlineLevel="0" collapsed="false">
      <c r="A53" s="75" t="n">
        <v>46254</v>
      </c>
      <c r="B53" s="76" t="s">
        <v>101</v>
      </c>
      <c r="C53" s="77" t="n">
        <v>41</v>
      </c>
      <c r="D53" s="78" t="n">
        <v>0.4375</v>
      </c>
      <c r="E53" s="77" t="n">
        <v>22550</v>
      </c>
      <c r="F53" s="76"/>
      <c r="G53" s="76"/>
      <c r="I53" s="79" t="str">
        <f aca="false">IF($B53="","",IF(ISNUMBER(MATCH($B53,日別データ!$B$13:$B$32,0)),"✔ OK","⚠ 未登録"))</f>
        <v>✔ OK</v>
      </c>
      <c r="J53" s="80" t="str">
        <f aca="false">IF($B53="","",IF($D53="","－",IF(ISNUMBER($D53),IF(AND($D53&gt;=1,MOD($D53,1)=0),"－",IF(MOD($D53,1)&lt;$L$6,"朝",IF(MOD($D53,1)&lt;$L$7,"昼",IF(MOD($D53,1)&lt;$L$8,"夕方","夜")))),IF(OR($D53="朝",$D53="昼",$D53="夕方",$D53="夜"),$D53,"⚠ 不明"))))</f>
        <v>朝</v>
      </c>
    </row>
    <row r="54" customFormat="false" ht="15" hidden="false" customHeight="false" outlineLevel="0" collapsed="false">
      <c r="A54" s="75" t="n">
        <v>46254</v>
      </c>
      <c r="B54" s="76" t="s">
        <v>101</v>
      </c>
      <c r="C54" s="77" t="n">
        <v>91</v>
      </c>
      <c r="D54" s="78" t="n">
        <v>0.541666666666667</v>
      </c>
      <c r="E54" s="77" t="n">
        <v>50050</v>
      </c>
      <c r="F54" s="76"/>
      <c r="G54" s="76"/>
      <c r="I54" s="79" t="str">
        <f aca="false">IF($B54="","",IF(ISNUMBER(MATCH($B54,日別データ!$B$13:$B$32,0)),"✔ OK","⚠ 未登録"))</f>
        <v>✔ OK</v>
      </c>
      <c r="J54" s="80" t="str">
        <f aca="false">IF($B54="","",IF($D54="","－",IF(ISNUMBER($D54),IF(AND($D54&gt;=1,MOD($D54,1)=0),"－",IF(MOD($D54,1)&lt;$L$6,"朝",IF(MOD($D54,1)&lt;$L$7,"昼",IF(MOD($D54,1)&lt;$L$8,"夕方","夜")))),IF(OR($D54="朝",$D54="昼",$D54="夕方",$D54="夜"),$D54,"⚠ 不明"))))</f>
        <v>昼</v>
      </c>
    </row>
    <row r="55" customFormat="false" ht="15" hidden="false" customHeight="false" outlineLevel="0" collapsed="false">
      <c r="A55" s="75" t="n">
        <v>46254</v>
      </c>
      <c r="B55" s="76" t="s">
        <v>101</v>
      </c>
      <c r="C55" s="77" t="n">
        <v>59</v>
      </c>
      <c r="D55" s="78" t="n">
        <v>0.6875</v>
      </c>
      <c r="E55" s="77" t="n">
        <v>32450</v>
      </c>
      <c r="F55" s="76"/>
      <c r="G55" s="76"/>
      <c r="I55" s="79" t="str">
        <f aca="false">IF($B55="","",IF(ISNUMBER(MATCH($B55,日別データ!$B$13:$B$32,0)),"✔ OK","⚠ 未登録"))</f>
        <v>✔ OK</v>
      </c>
      <c r="J55" s="80" t="str">
        <f aca="false">IF($B55="","",IF($D55="","－",IF(ISNUMBER($D55),IF(AND($D55&gt;=1,MOD($D55,1)=0),"－",IF(MOD($D55,1)&lt;$L$6,"朝",IF(MOD($D55,1)&lt;$L$7,"昼",IF(MOD($D55,1)&lt;$L$8,"夕方","夜")))),IF(OR($D55="朝",$D55="昼",$D55="夕方",$D55="夜"),$D55,"⚠ 不明"))))</f>
        <v>夕方</v>
      </c>
    </row>
    <row r="56" customFormat="false" ht="15" hidden="false" customHeight="false" outlineLevel="0" collapsed="false">
      <c r="A56" s="75" t="n">
        <v>46254</v>
      </c>
      <c r="B56" s="76" t="s">
        <v>101</v>
      </c>
      <c r="C56" s="77" t="n">
        <v>92</v>
      </c>
      <c r="D56" s="78" t="n">
        <v>0.8125</v>
      </c>
      <c r="E56" s="77" t="n">
        <v>50600</v>
      </c>
      <c r="F56" s="76"/>
      <c r="G56" s="76"/>
      <c r="I56" s="79" t="str">
        <f aca="false">IF($B56="","",IF(ISNUMBER(MATCH($B56,日別データ!$B$13:$B$32,0)),"✔ OK","⚠ 未登録"))</f>
        <v>✔ OK</v>
      </c>
      <c r="J56" s="80" t="str">
        <f aca="false">IF($B56="","",IF($D56="","－",IF(ISNUMBER($D56),IF(AND($D56&gt;=1,MOD($D56,1)=0),"－",IF(MOD($D56,1)&lt;$L$6,"朝",IF(MOD($D56,1)&lt;$L$7,"昼",IF(MOD($D56,1)&lt;$L$8,"夕方","夜")))),IF(OR($D56="朝",$D56="昼",$D56="夕方",$D56="夜"),$D56,"⚠ 不明"))))</f>
        <v>夜</v>
      </c>
    </row>
    <row r="57" customFormat="false" ht="15" hidden="false" customHeight="false" outlineLevel="0" collapsed="false">
      <c r="A57" s="75" t="n">
        <v>46254</v>
      </c>
      <c r="B57" s="76" t="s">
        <v>106</v>
      </c>
      <c r="C57" s="77" t="n">
        <v>30</v>
      </c>
      <c r="D57" s="78" t="n">
        <v>0.4375</v>
      </c>
      <c r="E57" s="77" t="n">
        <v>17100</v>
      </c>
      <c r="F57" s="76"/>
      <c r="G57" s="76"/>
      <c r="I57" s="79" t="str">
        <f aca="false">IF($B57="","",IF(ISNUMBER(MATCH($B57,日別データ!$B$13:$B$32,0)),"✔ OK","⚠ 未登録"))</f>
        <v>✔ OK</v>
      </c>
      <c r="J57" s="80" t="str">
        <f aca="false">IF($B57="","",IF($D57="","－",IF(ISNUMBER($D57),IF(AND($D57&gt;=1,MOD($D57,1)=0),"－",IF(MOD($D57,1)&lt;$L$6,"朝",IF(MOD($D57,1)&lt;$L$7,"昼",IF(MOD($D57,1)&lt;$L$8,"夕方","夜")))),IF(OR($D57="朝",$D57="昼",$D57="夕方",$D57="夜"),$D57,"⚠ 不明"))))</f>
        <v>朝</v>
      </c>
    </row>
    <row r="58" customFormat="false" ht="15" hidden="false" customHeight="false" outlineLevel="0" collapsed="false">
      <c r="A58" s="75" t="n">
        <v>46254</v>
      </c>
      <c r="B58" s="76" t="s">
        <v>106</v>
      </c>
      <c r="C58" s="77" t="n">
        <v>61</v>
      </c>
      <c r="D58" s="78" t="n">
        <v>0.541666666666667</v>
      </c>
      <c r="E58" s="77" t="n">
        <v>34770</v>
      </c>
      <c r="F58" s="76"/>
      <c r="G58" s="76"/>
      <c r="I58" s="79" t="str">
        <f aca="false">IF($B58="","",IF(ISNUMBER(MATCH($B58,日別データ!$B$13:$B$32,0)),"✔ OK","⚠ 未登録"))</f>
        <v>✔ OK</v>
      </c>
      <c r="J58" s="80" t="str">
        <f aca="false">IF($B58="","",IF($D58="","－",IF(ISNUMBER($D58),IF(AND($D58&gt;=1,MOD($D58,1)=0),"－",IF(MOD($D58,1)&lt;$L$6,"朝",IF(MOD($D58,1)&lt;$L$7,"昼",IF(MOD($D58,1)&lt;$L$8,"夕方","夜")))),IF(OR($D58="朝",$D58="昼",$D58="夕方",$D58="夜"),$D58,"⚠ 不明"))))</f>
        <v>昼</v>
      </c>
    </row>
    <row r="59" customFormat="false" ht="15" hidden="false" customHeight="false" outlineLevel="0" collapsed="false">
      <c r="A59" s="75" t="n">
        <v>46254</v>
      </c>
      <c r="B59" s="76" t="s">
        <v>106</v>
      </c>
      <c r="C59" s="77" t="n">
        <v>44</v>
      </c>
      <c r="D59" s="78" t="n">
        <v>0.6875</v>
      </c>
      <c r="E59" s="77" t="n">
        <v>25080</v>
      </c>
      <c r="F59" s="76"/>
      <c r="G59" s="76"/>
      <c r="I59" s="79" t="str">
        <f aca="false">IF($B59="","",IF(ISNUMBER(MATCH($B59,日別データ!$B$13:$B$32,0)),"✔ OK","⚠ 未登録"))</f>
        <v>✔ OK</v>
      </c>
      <c r="J59" s="80" t="str">
        <f aca="false">IF($B59="","",IF($D59="","－",IF(ISNUMBER($D59),IF(AND($D59&gt;=1,MOD($D59,1)=0),"－",IF(MOD($D59,1)&lt;$L$6,"朝",IF(MOD($D59,1)&lt;$L$7,"昼",IF(MOD($D59,1)&lt;$L$8,"夕方","夜")))),IF(OR($D59="朝",$D59="昼",$D59="夕方",$D59="夜"),$D59,"⚠ 不明"))))</f>
        <v>夕方</v>
      </c>
    </row>
    <row r="60" customFormat="false" ht="15" hidden="false" customHeight="false" outlineLevel="0" collapsed="false">
      <c r="A60" s="75" t="n">
        <v>46254</v>
      </c>
      <c r="B60" s="76" t="s">
        <v>106</v>
      </c>
      <c r="C60" s="77" t="n">
        <v>66</v>
      </c>
      <c r="D60" s="78" t="n">
        <v>0.8125</v>
      </c>
      <c r="E60" s="77" t="n">
        <v>37620</v>
      </c>
      <c r="F60" s="76"/>
      <c r="G60" s="76"/>
      <c r="I60" s="79" t="str">
        <f aca="false">IF($B60="","",IF(ISNUMBER(MATCH($B60,日別データ!$B$13:$B$32,0)),"✔ OK","⚠ 未登録"))</f>
        <v>✔ OK</v>
      </c>
      <c r="J60" s="80" t="str">
        <f aca="false">IF($B60="","",IF($D60="","－",IF(ISNUMBER($D60),IF(AND($D60&gt;=1,MOD($D60,1)=0),"－",IF(MOD($D60,1)&lt;$L$6,"朝",IF(MOD($D60,1)&lt;$L$7,"昼",IF(MOD($D60,1)&lt;$L$8,"夕方","夜")))),IF(OR($D60="朝",$D60="昼",$D60="夕方",$D60="夜"),$D60,"⚠ 不明"))))</f>
        <v>夜</v>
      </c>
    </row>
    <row r="61" customFormat="false" ht="15" hidden="false" customHeight="false" outlineLevel="0" collapsed="false">
      <c r="A61" s="75" t="n">
        <v>46254</v>
      </c>
      <c r="B61" s="76" t="s">
        <v>79</v>
      </c>
      <c r="C61" s="77" t="n">
        <v>23</v>
      </c>
      <c r="D61" s="78" t="n">
        <v>0.4375</v>
      </c>
      <c r="E61" s="77" t="n">
        <v>13800</v>
      </c>
      <c r="F61" s="76"/>
      <c r="G61" s="76"/>
      <c r="I61" s="79" t="str">
        <f aca="false">IF($B61="","",IF(ISNUMBER(MATCH($B61,日別データ!$B$13:$B$32,0)),"✔ OK","⚠ 未登録"))</f>
        <v>✔ OK</v>
      </c>
      <c r="J61" s="80" t="str">
        <f aca="false">IF($B61="","",IF($D61="","－",IF(ISNUMBER($D61),IF(AND($D61&gt;=1,MOD($D61,1)=0),"－",IF(MOD($D61,1)&lt;$L$6,"朝",IF(MOD($D61,1)&lt;$L$7,"昼",IF(MOD($D61,1)&lt;$L$8,"夕方","夜")))),IF(OR($D61="朝",$D61="昼",$D61="夕方",$D61="夜"),$D61,"⚠ 不明"))))</f>
        <v>朝</v>
      </c>
    </row>
    <row r="62" customFormat="false" ht="15" hidden="false" customHeight="false" outlineLevel="0" collapsed="false">
      <c r="A62" s="75" t="n">
        <v>46254</v>
      </c>
      <c r="B62" s="76" t="s">
        <v>79</v>
      </c>
      <c r="C62" s="77" t="n">
        <v>44</v>
      </c>
      <c r="D62" s="78" t="n">
        <v>0.541666666666667</v>
      </c>
      <c r="E62" s="77" t="n">
        <v>26400</v>
      </c>
      <c r="F62" s="76"/>
      <c r="G62" s="76"/>
      <c r="I62" s="79" t="str">
        <f aca="false">IF($B62="","",IF(ISNUMBER(MATCH($B62,日別データ!$B$13:$B$32,0)),"✔ OK","⚠ 未登録"))</f>
        <v>✔ OK</v>
      </c>
      <c r="J62" s="80" t="str">
        <f aca="false">IF($B62="","",IF($D62="","－",IF(ISNUMBER($D62),IF(AND($D62&gt;=1,MOD($D62,1)=0),"－",IF(MOD($D62,1)&lt;$L$6,"朝",IF(MOD($D62,1)&lt;$L$7,"昼",IF(MOD($D62,1)&lt;$L$8,"夕方","夜")))),IF(OR($D62="朝",$D62="昼",$D62="夕方",$D62="夜"),$D62,"⚠ 不明"))))</f>
        <v>昼</v>
      </c>
    </row>
    <row r="63" customFormat="false" ht="15" hidden="false" customHeight="false" outlineLevel="0" collapsed="false">
      <c r="A63" s="75" t="n">
        <v>46254</v>
      </c>
      <c r="B63" s="76" t="s">
        <v>79</v>
      </c>
      <c r="C63" s="77" t="n">
        <v>44</v>
      </c>
      <c r="D63" s="78" t="n">
        <v>0.6875</v>
      </c>
      <c r="E63" s="77" t="n">
        <v>26400</v>
      </c>
      <c r="F63" s="76"/>
      <c r="G63" s="76"/>
      <c r="I63" s="79" t="str">
        <f aca="false">IF($B63="","",IF(ISNUMBER(MATCH($B63,日別データ!$B$13:$B$32,0)),"✔ OK","⚠ 未登録"))</f>
        <v>✔ OK</v>
      </c>
      <c r="J63" s="80" t="str">
        <f aca="false">IF($B63="","",IF($D63="","－",IF(ISNUMBER($D63),IF(AND($D63&gt;=1,MOD($D63,1)=0),"－",IF(MOD($D63,1)&lt;$L$6,"朝",IF(MOD($D63,1)&lt;$L$7,"昼",IF(MOD($D63,1)&lt;$L$8,"夕方","夜")))),IF(OR($D63="朝",$D63="昼",$D63="夕方",$D63="夜"),$D63,"⚠ 不明"))))</f>
        <v>夕方</v>
      </c>
    </row>
    <row r="64" customFormat="false" ht="15" hidden="false" customHeight="false" outlineLevel="0" collapsed="false">
      <c r="A64" s="75" t="n">
        <v>46254</v>
      </c>
      <c r="B64" s="76" t="s">
        <v>79</v>
      </c>
      <c r="C64" s="77" t="n">
        <v>55</v>
      </c>
      <c r="D64" s="78" t="n">
        <v>0.8125</v>
      </c>
      <c r="E64" s="77" t="n">
        <v>33000</v>
      </c>
      <c r="F64" s="76"/>
      <c r="G64" s="76"/>
      <c r="I64" s="79" t="str">
        <f aca="false">IF($B64="","",IF(ISNUMBER(MATCH($B64,日別データ!$B$13:$B$32,0)),"✔ OK","⚠ 未登録"))</f>
        <v>✔ OK</v>
      </c>
      <c r="J64" s="80" t="str">
        <f aca="false">IF($B64="","",IF($D64="","－",IF(ISNUMBER($D64),IF(AND($D64&gt;=1,MOD($D64,1)=0),"－",IF(MOD($D64,1)&lt;$L$6,"朝",IF(MOD($D64,1)&lt;$L$7,"昼",IF(MOD($D64,1)&lt;$L$8,"夕方","夜")))),IF(OR($D64="朝",$D64="昼",$D64="夕方",$D64="夜"),$D64,"⚠ 不明"))))</f>
        <v>夜</v>
      </c>
    </row>
    <row r="65" customFormat="false" ht="15" hidden="false" customHeight="false" outlineLevel="0" collapsed="false">
      <c r="A65" s="75" t="n">
        <v>46254</v>
      </c>
      <c r="B65" s="76" t="s">
        <v>107</v>
      </c>
      <c r="C65" s="77" t="n">
        <v>23</v>
      </c>
      <c r="D65" s="78" t="n">
        <v>0.4375</v>
      </c>
      <c r="E65" s="77" t="n">
        <v>7820</v>
      </c>
      <c r="F65" s="76"/>
      <c r="G65" s="76"/>
      <c r="I65" s="79" t="str">
        <f aca="false">IF($B65="","",IF(ISNUMBER(MATCH($B65,日別データ!$B$13:$B$32,0)),"✔ OK","⚠ 未登録"))</f>
        <v>✔ OK</v>
      </c>
      <c r="J65" s="80" t="str">
        <f aca="false">IF($B65="","",IF($D65="","－",IF(ISNUMBER($D65),IF(AND($D65&gt;=1,MOD($D65,1)=0),"－",IF(MOD($D65,1)&lt;$L$6,"朝",IF(MOD($D65,1)&lt;$L$7,"昼",IF(MOD($D65,1)&lt;$L$8,"夕方","夜")))),IF(OR($D65="朝",$D65="昼",$D65="夕方",$D65="夜"),$D65,"⚠ 不明"))))</f>
        <v>朝</v>
      </c>
    </row>
    <row r="66" customFormat="false" ht="15" hidden="false" customHeight="false" outlineLevel="0" collapsed="false">
      <c r="A66" s="75" t="n">
        <v>46254</v>
      </c>
      <c r="B66" s="76" t="s">
        <v>107</v>
      </c>
      <c r="C66" s="77" t="n">
        <v>58</v>
      </c>
      <c r="D66" s="78" t="n">
        <v>0.541666666666667</v>
      </c>
      <c r="E66" s="77" t="n">
        <v>19720</v>
      </c>
      <c r="F66" s="76"/>
      <c r="G66" s="76"/>
      <c r="I66" s="79" t="str">
        <f aca="false">IF($B66="","",IF(ISNUMBER(MATCH($B66,日別データ!$B$13:$B$32,0)),"✔ OK","⚠ 未登録"))</f>
        <v>✔ OK</v>
      </c>
      <c r="J66" s="80" t="str">
        <f aca="false">IF($B66="","",IF($D66="","－",IF(ISNUMBER($D66),IF(AND($D66&gt;=1,MOD($D66,1)=0),"－",IF(MOD($D66,1)&lt;$L$6,"朝",IF(MOD($D66,1)&lt;$L$7,"昼",IF(MOD($D66,1)&lt;$L$8,"夕方","夜")))),IF(OR($D66="朝",$D66="昼",$D66="夕方",$D66="夜"),$D66,"⚠ 不明"))))</f>
        <v>昼</v>
      </c>
    </row>
    <row r="67" customFormat="false" ht="15" hidden="false" customHeight="false" outlineLevel="0" collapsed="false">
      <c r="A67" s="75" t="n">
        <v>46254</v>
      </c>
      <c r="B67" s="76" t="s">
        <v>107</v>
      </c>
      <c r="C67" s="77" t="n">
        <v>46</v>
      </c>
      <c r="D67" s="78" t="n">
        <v>0.6875</v>
      </c>
      <c r="E67" s="77" t="n">
        <v>15640</v>
      </c>
      <c r="F67" s="76"/>
      <c r="G67" s="76"/>
      <c r="I67" s="79" t="str">
        <f aca="false">IF($B67="","",IF(ISNUMBER(MATCH($B67,日別データ!$B$13:$B$32,0)),"✔ OK","⚠ 未登録"))</f>
        <v>✔ OK</v>
      </c>
      <c r="J67" s="80" t="str">
        <f aca="false">IF($B67="","",IF($D67="","－",IF(ISNUMBER($D67),IF(AND($D67&gt;=1,MOD($D67,1)=0),"－",IF(MOD($D67,1)&lt;$L$6,"朝",IF(MOD($D67,1)&lt;$L$7,"昼",IF(MOD($D67,1)&lt;$L$8,"夕方","夜")))),IF(OR($D67="朝",$D67="昼",$D67="夕方",$D67="夜"),$D67,"⚠ 不明"))))</f>
        <v>夕方</v>
      </c>
    </row>
    <row r="68" customFormat="false" ht="15" hidden="false" customHeight="false" outlineLevel="0" collapsed="false">
      <c r="A68" s="75" t="n">
        <v>46254</v>
      </c>
      <c r="B68" s="76" t="s">
        <v>107</v>
      </c>
      <c r="C68" s="77" t="n">
        <v>47</v>
      </c>
      <c r="D68" s="78" t="n">
        <v>0.8125</v>
      </c>
      <c r="E68" s="77" t="n">
        <v>15980</v>
      </c>
      <c r="F68" s="76"/>
      <c r="G68" s="76"/>
      <c r="I68" s="79" t="str">
        <f aca="false">IF($B68="","",IF(ISNUMBER(MATCH($B68,日別データ!$B$13:$B$32,0)),"✔ OK","⚠ 未登録"))</f>
        <v>✔ OK</v>
      </c>
      <c r="J68" s="80" t="str">
        <f aca="false">IF($B68="","",IF($D68="","－",IF(ISNUMBER($D68),IF(AND($D68&gt;=1,MOD($D68,1)=0),"－",IF(MOD($D68,1)&lt;$L$6,"朝",IF(MOD($D68,1)&lt;$L$7,"昼",IF(MOD($D68,1)&lt;$L$8,"夕方","夜")))),IF(OR($D68="朝",$D68="昼",$D68="夕方",$D68="夜"),$D68,"⚠ 不明"))))</f>
        <v>夜</v>
      </c>
    </row>
    <row r="69" customFormat="false" ht="15" hidden="false" customHeight="false" outlineLevel="0" collapsed="false">
      <c r="A69" s="75" t="n">
        <v>46254</v>
      </c>
      <c r="B69" s="76" t="s">
        <v>108</v>
      </c>
      <c r="C69" s="77" t="n">
        <v>46</v>
      </c>
      <c r="D69" s="78" t="n">
        <v>0.4375</v>
      </c>
      <c r="E69" s="77" t="n">
        <v>18400</v>
      </c>
      <c r="F69" s="76"/>
      <c r="G69" s="76"/>
      <c r="I69" s="79" t="str">
        <f aca="false">IF($B69="","",IF(ISNUMBER(MATCH($B69,日別データ!$B$13:$B$32,0)),"✔ OK","⚠ 未登録"))</f>
        <v>✔ OK</v>
      </c>
      <c r="J69" s="80" t="str">
        <f aca="false">IF($B69="","",IF($D69="","－",IF(ISNUMBER($D69),IF(AND($D69&gt;=1,MOD($D69,1)=0),"－",IF(MOD($D69,1)&lt;$L$6,"朝",IF(MOD($D69,1)&lt;$L$7,"昼",IF(MOD($D69,1)&lt;$L$8,"夕方","夜")))),IF(OR($D69="朝",$D69="昼",$D69="夕方",$D69="夜"),$D69,"⚠ 不明"))))</f>
        <v>朝</v>
      </c>
    </row>
    <row r="70" customFormat="false" ht="15" hidden="false" customHeight="false" outlineLevel="0" collapsed="false">
      <c r="A70" s="75" t="n">
        <v>46254</v>
      </c>
      <c r="B70" s="76" t="s">
        <v>108</v>
      </c>
      <c r="C70" s="77" t="n">
        <v>107</v>
      </c>
      <c r="D70" s="78" t="n">
        <v>0.541666666666667</v>
      </c>
      <c r="E70" s="77" t="n">
        <v>42800</v>
      </c>
      <c r="F70" s="76"/>
      <c r="G70" s="76"/>
      <c r="I70" s="79" t="str">
        <f aca="false">IF($B70="","",IF(ISNUMBER(MATCH($B70,日別データ!$B$13:$B$32,0)),"✔ OK","⚠ 未登録"))</f>
        <v>✔ OK</v>
      </c>
      <c r="J70" s="80" t="str">
        <f aca="false">IF($B70="","",IF($D70="","－",IF(ISNUMBER($D70),IF(AND($D70&gt;=1,MOD($D70,1)=0),"－",IF(MOD($D70,1)&lt;$L$6,"朝",IF(MOD($D70,1)&lt;$L$7,"昼",IF(MOD($D70,1)&lt;$L$8,"夕方","夜")))),IF(OR($D70="朝",$D70="昼",$D70="夕方",$D70="夜"),$D70,"⚠ 不明"))))</f>
        <v>昼</v>
      </c>
    </row>
    <row r="71" customFormat="false" ht="15" hidden="false" customHeight="false" outlineLevel="0" collapsed="false">
      <c r="A71" s="75" t="n">
        <v>46254</v>
      </c>
      <c r="B71" s="76" t="s">
        <v>108</v>
      </c>
      <c r="C71" s="77" t="n">
        <v>77</v>
      </c>
      <c r="D71" s="78" t="n">
        <v>0.6875</v>
      </c>
      <c r="E71" s="77" t="n">
        <v>30800</v>
      </c>
      <c r="F71" s="76"/>
      <c r="G71" s="76"/>
      <c r="I71" s="79" t="str">
        <f aca="false">IF($B71="","",IF(ISNUMBER(MATCH($B71,日別データ!$B$13:$B$32,0)),"✔ OK","⚠ 未登録"))</f>
        <v>✔ OK</v>
      </c>
      <c r="J71" s="80" t="str">
        <f aca="false">IF($B71="","",IF($D71="","－",IF(ISNUMBER($D71),IF(AND($D71&gt;=1,MOD($D71,1)=0),"－",IF(MOD($D71,1)&lt;$L$6,"朝",IF(MOD($D71,1)&lt;$L$7,"昼",IF(MOD($D71,1)&lt;$L$8,"夕方","夜")))),IF(OR($D71="朝",$D71="昼",$D71="夕方",$D71="夜"),$D71,"⚠ 不明"))))</f>
        <v>夕方</v>
      </c>
    </row>
    <row r="72" customFormat="false" ht="15" hidden="false" customHeight="false" outlineLevel="0" collapsed="false">
      <c r="A72" s="75" t="n">
        <v>46254</v>
      </c>
      <c r="B72" s="76" t="s">
        <v>108</v>
      </c>
      <c r="C72" s="77" t="n">
        <v>93</v>
      </c>
      <c r="D72" s="78" t="n">
        <v>0.8125</v>
      </c>
      <c r="E72" s="77" t="n">
        <v>37200</v>
      </c>
      <c r="F72" s="76"/>
      <c r="G72" s="76"/>
      <c r="I72" s="79" t="str">
        <f aca="false">IF($B72="","",IF(ISNUMBER(MATCH($B72,日別データ!$B$13:$B$32,0)),"✔ OK","⚠ 未登録"))</f>
        <v>✔ OK</v>
      </c>
      <c r="J72" s="80" t="str">
        <f aca="false">IF($B72="","",IF($D72="","－",IF(ISNUMBER($D72),IF(AND($D72&gt;=1,MOD($D72,1)=0),"－",IF(MOD($D72,1)&lt;$L$6,"朝",IF(MOD($D72,1)&lt;$L$7,"昼",IF(MOD($D72,1)&lt;$L$8,"夕方","夜")))),IF(OR($D72="朝",$D72="昼",$D72="夕方",$D72="夜"),$D72,"⚠ 不明"))))</f>
        <v>夜</v>
      </c>
    </row>
    <row r="73" customFormat="false" ht="15" hidden="false" customHeight="false" outlineLevel="0" collapsed="false">
      <c r="A73" s="75" t="n">
        <v>46254</v>
      </c>
      <c r="B73" s="76" t="s">
        <v>109</v>
      </c>
      <c r="C73" s="77" t="n">
        <v>17</v>
      </c>
      <c r="D73" s="78" t="n">
        <v>0.4375</v>
      </c>
      <c r="E73" s="77" t="n">
        <v>7820</v>
      </c>
      <c r="F73" s="76"/>
      <c r="G73" s="76"/>
      <c r="I73" s="79" t="str">
        <f aca="false">IF($B73="","",IF(ISNUMBER(MATCH($B73,日別データ!$B$13:$B$32,0)),"✔ OK","⚠ 未登録"))</f>
        <v>✔ OK</v>
      </c>
      <c r="J73" s="80" t="str">
        <f aca="false">IF($B73="","",IF($D73="","－",IF(ISNUMBER($D73),IF(AND($D73&gt;=1,MOD($D73,1)=0),"－",IF(MOD($D73,1)&lt;$L$6,"朝",IF(MOD($D73,1)&lt;$L$7,"昼",IF(MOD($D73,1)&lt;$L$8,"夕方","夜")))),IF(OR($D73="朝",$D73="昼",$D73="夕方",$D73="夜"),$D73,"⚠ 不明"))))</f>
        <v>朝</v>
      </c>
    </row>
    <row r="74" customFormat="false" ht="15" hidden="false" customHeight="false" outlineLevel="0" collapsed="false">
      <c r="A74" s="75" t="n">
        <v>46254</v>
      </c>
      <c r="B74" s="76" t="s">
        <v>109</v>
      </c>
      <c r="C74" s="77" t="n">
        <v>34</v>
      </c>
      <c r="D74" s="78" t="n">
        <v>0.541666666666667</v>
      </c>
      <c r="E74" s="77" t="n">
        <v>15640</v>
      </c>
      <c r="F74" s="76"/>
      <c r="G74" s="76"/>
      <c r="I74" s="79" t="str">
        <f aca="false">IF($B74="","",IF(ISNUMBER(MATCH($B74,日別データ!$B$13:$B$32,0)),"✔ OK","⚠ 未登録"))</f>
        <v>✔ OK</v>
      </c>
      <c r="J74" s="80" t="str">
        <f aca="false">IF($B74="","",IF($D74="","－",IF(ISNUMBER($D74),IF(AND($D74&gt;=1,MOD($D74,1)=0),"－",IF(MOD($D74,1)&lt;$L$6,"朝",IF(MOD($D74,1)&lt;$L$7,"昼",IF(MOD($D74,1)&lt;$L$8,"夕方","夜")))),IF(OR($D74="朝",$D74="昼",$D74="夕方",$D74="夜"),$D74,"⚠ 不明"))))</f>
        <v>昼</v>
      </c>
    </row>
    <row r="75" customFormat="false" ht="15" hidden="false" customHeight="false" outlineLevel="0" collapsed="false">
      <c r="A75" s="75" t="n">
        <v>46254</v>
      </c>
      <c r="B75" s="76" t="s">
        <v>109</v>
      </c>
      <c r="C75" s="77" t="n">
        <v>31</v>
      </c>
      <c r="D75" s="78" t="n">
        <v>0.6875</v>
      </c>
      <c r="E75" s="77" t="n">
        <v>14260</v>
      </c>
      <c r="F75" s="76"/>
      <c r="G75" s="76"/>
      <c r="I75" s="79" t="str">
        <f aca="false">IF($B75="","",IF(ISNUMBER(MATCH($B75,日別データ!$B$13:$B$32,0)),"✔ OK","⚠ 未登録"))</f>
        <v>✔ OK</v>
      </c>
      <c r="J75" s="80" t="str">
        <f aca="false">IF($B75="","",IF($D75="","－",IF(ISNUMBER($D75),IF(AND($D75&gt;=1,MOD($D75,1)=0),"－",IF(MOD($D75,1)&lt;$L$6,"朝",IF(MOD($D75,1)&lt;$L$7,"昼",IF(MOD($D75,1)&lt;$L$8,"夕方","夜")))),IF(OR($D75="朝",$D75="昼",$D75="夕方",$D75="夜"),$D75,"⚠ 不明"))))</f>
        <v>夕方</v>
      </c>
    </row>
    <row r="76" customFormat="false" ht="15" hidden="false" customHeight="false" outlineLevel="0" collapsed="false">
      <c r="A76" s="75" t="n">
        <v>46254</v>
      </c>
      <c r="B76" s="76" t="s">
        <v>109</v>
      </c>
      <c r="C76" s="77" t="n">
        <v>34</v>
      </c>
      <c r="D76" s="78" t="n">
        <v>0.8125</v>
      </c>
      <c r="E76" s="77" t="n">
        <v>15640</v>
      </c>
      <c r="F76" s="76"/>
      <c r="G76" s="76"/>
      <c r="I76" s="79" t="str">
        <f aca="false">IF($B76="","",IF(ISNUMBER(MATCH($B76,日別データ!$B$13:$B$32,0)),"✔ OK","⚠ 未登録"))</f>
        <v>✔ OK</v>
      </c>
      <c r="J76" s="80" t="str">
        <f aca="false">IF($B76="","",IF($D76="","－",IF(ISNUMBER($D76),IF(AND($D76&gt;=1,MOD($D76,1)=0),"－",IF(MOD($D76,1)&lt;$L$6,"朝",IF(MOD($D76,1)&lt;$L$7,"昼",IF(MOD($D76,1)&lt;$L$8,"夕方","夜")))),IF(OR($D76="朝",$D76="昼",$D76="夕方",$D76="夜"),$D76,"⚠ 不明"))))</f>
        <v>夜</v>
      </c>
    </row>
    <row r="77" customFormat="false" ht="15" hidden="false" customHeight="false" outlineLevel="0" collapsed="false">
      <c r="A77" s="75" t="n">
        <v>46254</v>
      </c>
      <c r="B77" s="76" t="s">
        <v>83</v>
      </c>
      <c r="C77" s="77" t="n">
        <v>15</v>
      </c>
      <c r="D77" s="78" t="n">
        <v>0.4375</v>
      </c>
      <c r="E77" s="77" t="n">
        <v>5700</v>
      </c>
      <c r="F77" s="76"/>
      <c r="G77" s="76"/>
      <c r="I77" s="79" t="str">
        <f aca="false">IF($B77="","",IF(ISNUMBER(MATCH($B77,日別データ!$B$13:$B$32,0)),"✔ OK","⚠ 未登録"))</f>
        <v>✔ OK</v>
      </c>
      <c r="J77" s="80" t="str">
        <f aca="false">IF($B77="","",IF($D77="","－",IF(ISNUMBER($D77),IF(AND($D77&gt;=1,MOD($D77,1)=0),"－",IF(MOD($D77,1)&lt;$L$6,"朝",IF(MOD($D77,1)&lt;$L$7,"昼",IF(MOD($D77,1)&lt;$L$8,"夕方","夜")))),IF(OR($D77="朝",$D77="昼",$D77="夕方",$D77="夜"),$D77,"⚠ 不明"))))</f>
        <v>朝</v>
      </c>
    </row>
    <row r="78" customFormat="false" ht="15" hidden="false" customHeight="false" outlineLevel="0" collapsed="false">
      <c r="A78" s="75" t="n">
        <v>46254</v>
      </c>
      <c r="B78" s="76" t="s">
        <v>83</v>
      </c>
      <c r="C78" s="77" t="n">
        <v>28</v>
      </c>
      <c r="D78" s="78" t="n">
        <v>0.541666666666667</v>
      </c>
      <c r="E78" s="77" t="n">
        <v>10640</v>
      </c>
      <c r="F78" s="76"/>
      <c r="G78" s="76"/>
      <c r="I78" s="79" t="str">
        <f aca="false">IF($B78="","",IF(ISNUMBER(MATCH($B78,日別データ!$B$13:$B$32,0)),"✔ OK","⚠ 未登録"))</f>
        <v>✔ OK</v>
      </c>
      <c r="J78" s="80" t="str">
        <f aca="false">IF($B78="","",IF($D78="","－",IF(ISNUMBER($D78),IF(AND($D78&gt;=1,MOD($D78,1)=0),"－",IF(MOD($D78,1)&lt;$L$6,"朝",IF(MOD($D78,1)&lt;$L$7,"昼",IF(MOD($D78,1)&lt;$L$8,"夕方","夜")))),IF(OR($D78="朝",$D78="昼",$D78="夕方",$D78="夜"),$D78,"⚠ 不明"))))</f>
        <v>昼</v>
      </c>
    </row>
    <row r="79" customFormat="false" ht="15" hidden="false" customHeight="false" outlineLevel="0" collapsed="false">
      <c r="A79" s="75" t="n">
        <v>46254</v>
      </c>
      <c r="B79" s="76" t="s">
        <v>83</v>
      </c>
      <c r="C79" s="77" t="n">
        <v>25</v>
      </c>
      <c r="D79" s="78" t="n">
        <v>0.6875</v>
      </c>
      <c r="E79" s="77" t="n">
        <v>9500</v>
      </c>
      <c r="F79" s="76"/>
      <c r="G79" s="76"/>
      <c r="I79" s="79" t="str">
        <f aca="false">IF($B79="","",IF(ISNUMBER(MATCH($B79,日別データ!$B$13:$B$32,0)),"✔ OK","⚠ 未登録"))</f>
        <v>✔ OK</v>
      </c>
      <c r="J79" s="80" t="str">
        <f aca="false">IF($B79="","",IF($D79="","－",IF(ISNUMBER($D79),IF(AND($D79&gt;=1,MOD($D79,1)=0),"－",IF(MOD($D79,1)&lt;$L$6,"朝",IF(MOD($D79,1)&lt;$L$7,"昼",IF(MOD($D79,1)&lt;$L$8,"夕方","夜")))),IF(OR($D79="朝",$D79="昼",$D79="夕方",$D79="夜"),$D79,"⚠ 不明"))))</f>
        <v>夕方</v>
      </c>
    </row>
    <row r="80" customFormat="false" ht="15" hidden="false" customHeight="false" outlineLevel="0" collapsed="false">
      <c r="A80" s="75" t="n">
        <v>46254</v>
      </c>
      <c r="B80" s="76" t="s">
        <v>83</v>
      </c>
      <c r="C80" s="77" t="n">
        <v>26</v>
      </c>
      <c r="D80" s="78" t="n">
        <v>0.8125</v>
      </c>
      <c r="E80" s="77" t="n">
        <v>9880</v>
      </c>
      <c r="F80" s="76"/>
      <c r="G80" s="76"/>
      <c r="I80" s="79" t="str">
        <f aca="false">IF($B80="","",IF(ISNUMBER(MATCH($B80,日別データ!$B$13:$B$32,0)),"✔ OK","⚠ 未登録"))</f>
        <v>✔ OK</v>
      </c>
      <c r="J80" s="80" t="str">
        <f aca="false">IF($B80="","",IF($D80="","－",IF(ISNUMBER($D80),IF(AND($D80&gt;=1,MOD($D80,1)=0),"－",IF(MOD($D80,1)&lt;$L$6,"朝",IF(MOD($D80,1)&lt;$L$7,"昼",IF(MOD($D80,1)&lt;$L$8,"夕方","夜")))),IF(OR($D80="朝",$D80="昼",$D80="夕方",$D80="夜"),$D80,"⚠ 不明"))))</f>
        <v>夜</v>
      </c>
    </row>
    <row r="81" customFormat="false" ht="15" hidden="false" customHeight="false" outlineLevel="0" collapsed="false">
      <c r="A81" s="75" t="n">
        <v>46254</v>
      </c>
      <c r="B81" s="76" t="s">
        <v>84</v>
      </c>
      <c r="C81" s="77" t="n">
        <v>10</v>
      </c>
      <c r="D81" s="78" t="n">
        <v>0.4375</v>
      </c>
      <c r="E81" s="77" t="n">
        <v>5000</v>
      </c>
      <c r="F81" s="76"/>
      <c r="G81" s="76"/>
      <c r="I81" s="79" t="str">
        <f aca="false">IF($B81="","",IF(ISNUMBER(MATCH($B81,日別データ!$B$13:$B$32,0)),"✔ OK","⚠ 未登録"))</f>
        <v>✔ OK</v>
      </c>
      <c r="J81" s="80" t="str">
        <f aca="false">IF($B81="","",IF($D81="","－",IF(ISNUMBER($D81),IF(AND($D81&gt;=1,MOD($D81,1)=0),"－",IF(MOD($D81,1)&lt;$L$6,"朝",IF(MOD($D81,1)&lt;$L$7,"昼",IF(MOD($D81,1)&lt;$L$8,"夕方","夜")))),IF(OR($D81="朝",$D81="昼",$D81="夕方",$D81="夜"),$D81,"⚠ 不明"))))</f>
        <v>朝</v>
      </c>
    </row>
    <row r="82" customFormat="false" ht="15" hidden="false" customHeight="false" outlineLevel="0" collapsed="false">
      <c r="A82" s="75" t="n">
        <v>46254</v>
      </c>
      <c r="B82" s="76" t="s">
        <v>84</v>
      </c>
      <c r="C82" s="77" t="n">
        <v>23</v>
      </c>
      <c r="D82" s="78" t="n">
        <v>0.541666666666667</v>
      </c>
      <c r="E82" s="77" t="n">
        <v>11500</v>
      </c>
      <c r="F82" s="76"/>
      <c r="G82" s="76"/>
      <c r="I82" s="79" t="str">
        <f aca="false">IF($B82="","",IF(ISNUMBER(MATCH($B82,日別データ!$B$13:$B$32,0)),"✔ OK","⚠ 未登録"))</f>
        <v>✔ OK</v>
      </c>
      <c r="J82" s="80" t="str">
        <f aca="false">IF($B82="","",IF($D82="","－",IF(ISNUMBER($D82),IF(AND($D82&gt;=1,MOD($D82,1)=0),"－",IF(MOD($D82,1)&lt;$L$6,"朝",IF(MOD($D82,1)&lt;$L$7,"昼",IF(MOD($D82,1)&lt;$L$8,"夕方","夜")))),IF(OR($D82="朝",$D82="昼",$D82="夕方",$D82="夜"),$D82,"⚠ 不明"))))</f>
        <v>昼</v>
      </c>
    </row>
    <row r="83" customFormat="false" ht="15" hidden="false" customHeight="false" outlineLevel="0" collapsed="false">
      <c r="A83" s="75" t="n">
        <v>46254</v>
      </c>
      <c r="B83" s="76" t="s">
        <v>84</v>
      </c>
      <c r="C83" s="77" t="n">
        <v>21</v>
      </c>
      <c r="D83" s="78" t="n">
        <v>0.6875</v>
      </c>
      <c r="E83" s="77" t="n">
        <v>10500</v>
      </c>
      <c r="F83" s="76"/>
      <c r="G83" s="76"/>
      <c r="I83" s="79" t="str">
        <f aca="false">IF($B83="","",IF(ISNUMBER(MATCH($B83,日別データ!$B$13:$B$32,0)),"✔ OK","⚠ 未登録"))</f>
        <v>✔ OK</v>
      </c>
      <c r="J83" s="80" t="str">
        <f aca="false">IF($B83="","",IF($D83="","－",IF(ISNUMBER($D83),IF(AND($D83&gt;=1,MOD($D83,1)=0),"－",IF(MOD($D83,1)&lt;$L$6,"朝",IF(MOD($D83,1)&lt;$L$7,"昼",IF(MOD($D83,1)&lt;$L$8,"夕方","夜")))),IF(OR($D83="朝",$D83="昼",$D83="夕方",$D83="夜"),$D83,"⚠ 不明"))))</f>
        <v>夕方</v>
      </c>
    </row>
    <row r="84" customFormat="false" ht="15" hidden="false" customHeight="false" outlineLevel="0" collapsed="false">
      <c r="A84" s="75" t="n">
        <v>46254</v>
      </c>
      <c r="B84" s="76" t="s">
        <v>84</v>
      </c>
      <c r="C84" s="77" t="n">
        <v>25</v>
      </c>
      <c r="D84" s="78" t="n">
        <v>0.8125</v>
      </c>
      <c r="E84" s="77" t="n">
        <v>12500</v>
      </c>
      <c r="F84" s="76"/>
      <c r="G84" s="76"/>
      <c r="I84" s="79" t="str">
        <f aca="false">IF($B84="","",IF(ISNUMBER(MATCH($B84,日別データ!$B$13:$B$32,0)),"✔ OK","⚠ 未登録"))</f>
        <v>✔ OK</v>
      </c>
      <c r="J84" s="80" t="str">
        <f aca="false">IF($B84="","",IF($D84="","－",IF(ISNUMBER($D84),IF(AND($D84&gt;=1,MOD($D84,1)=0),"－",IF(MOD($D84,1)&lt;$L$6,"朝",IF(MOD($D84,1)&lt;$L$7,"昼",IF(MOD($D84,1)&lt;$L$8,"夕方","夜")))),IF(OR($D84="朝",$D84="昼",$D84="夕方",$D84="夜"),$D84,"⚠ 不明"))))</f>
        <v>夜</v>
      </c>
    </row>
    <row r="85" customFormat="false" ht="15" hidden="false" customHeight="false" outlineLevel="0" collapsed="false">
      <c r="A85" s="75" t="n">
        <v>46254</v>
      </c>
      <c r="B85" s="76" t="s">
        <v>85</v>
      </c>
      <c r="C85" s="77" t="n">
        <v>8</v>
      </c>
      <c r="D85" s="78" t="n">
        <v>0.4375</v>
      </c>
      <c r="E85" s="77" t="n">
        <v>3840</v>
      </c>
      <c r="F85" s="76"/>
      <c r="G85" s="76"/>
      <c r="I85" s="79" t="str">
        <f aca="false">IF($B85="","",IF(ISNUMBER(MATCH($B85,日別データ!$B$13:$B$32,0)),"✔ OK","⚠ 未登録"))</f>
        <v>✔ OK</v>
      </c>
      <c r="J85" s="80" t="str">
        <f aca="false">IF($B85="","",IF($D85="","－",IF(ISNUMBER($D85),IF(AND($D85&gt;=1,MOD($D85,1)=0),"－",IF(MOD($D85,1)&lt;$L$6,"朝",IF(MOD($D85,1)&lt;$L$7,"昼",IF(MOD($D85,1)&lt;$L$8,"夕方","夜")))),IF(OR($D85="朝",$D85="昼",$D85="夕方",$D85="夜"),$D85,"⚠ 不明"))))</f>
        <v>朝</v>
      </c>
    </row>
    <row r="86" customFormat="false" ht="15" hidden="false" customHeight="false" outlineLevel="0" collapsed="false">
      <c r="A86" s="75" t="n">
        <v>46254</v>
      </c>
      <c r="B86" s="76" t="s">
        <v>85</v>
      </c>
      <c r="C86" s="77" t="n">
        <v>18</v>
      </c>
      <c r="D86" s="78" t="n">
        <v>0.541666666666667</v>
      </c>
      <c r="E86" s="77" t="n">
        <v>8640</v>
      </c>
      <c r="F86" s="76"/>
      <c r="G86" s="76"/>
      <c r="I86" s="79" t="str">
        <f aca="false">IF($B86="","",IF(ISNUMBER(MATCH($B86,日別データ!$B$13:$B$32,0)),"✔ OK","⚠ 未登録"))</f>
        <v>✔ OK</v>
      </c>
      <c r="J86" s="80" t="str">
        <f aca="false">IF($B86="","",IF($D86="","－",IF(ISNUMBER($D86),IF(AND($D86&gt;=1,MOD($D86,1)=0),"－",IF(MOD($D86,1)&lt;$L$6,"朝",IF(MOD($D86,1)&lt;$L$7,"昼",IF(MOD($D86,1)&lt;$L$8,"夕方","夜")))),IF(OR($D86="朝",$D86="昼",$D86="夕方",$D86="夜"),$D86,"⚠ 不明"))))</f>
        <v>昼</v>
      </c>
    </row>
    <row r="87" customFormat="false" ht="15" hidden="false" customHeight="false" outlineLevel="0" collapsed="false">
      <c r="A87" s="75" t="n">
        <v>46254</v>
      </c>
      <c r="B87" s="76" t="s">
        <v>85</v>
      </c>
      <c r="C87" s="77" t="n">
        <v>14</v>
      </c>
      <c r="D87" s="78" t="n">
        <v>0.6875</v>
      </c>
      <c r="E87" s="77" t="n">
        <v>6720</v>
      </c>
      <c r="F87" s="76"/>
      <c r="G87" s="76"/>
      <c r="I87" s="79" t="str">
        <f aca="false">IF($B87="","",IF(ISNUMBER(MATCH($B87,日別データ!$B$13:$B$32,0)),"✔ OK","⚠ 未登録"))</f>
        <v>✔ OK</v>
      </c>
      <c r="J87" s="80" t="str">
        <f aca="false">IF($B87="","",IF($D87="","－",IF(ISNUMBER($D87),IF(AND($D87&gt;=1,MOD($D87,1)=0),"－",IF(MOD($D87,1)&lt;$L$6,"朝",IF(MOD($D87,1)&lt;$L$7,"昼",IF(MOD($D87,1)&lt;$L$8,"夕方","夜")))),IF(OR($D87="朝",$D87="昼",$D87="夕方",$D87="夜"),$D87,"⚠ 不明"))))</f>
        <v>夕方</v>
      </c>
    </row>
    <row r="88" customFormat="false" ht="15" hidden="false" customHeight="false" outlineLevel="0" collapsed="false">
      <c r="A88" s="75" t="n">
        <v>46254</v>
      </c>
      <c r="B88" s="76" t="s">
        <v>85</v>
      </c>
      <c r="C88" s="77" t="n">
        <v>23</v>
      </c>
      <c r="D88" s="78" t="n">
        <v>0.8125</v>
      </c>
      <c r="E88" s="77" t="n">
        <v>11040</v>
      </c>
      <c r="F88" s="76"/>
      <c r="G88" s="76"/>
      <c r="I88" s="79" t="str">
        <f aca="false">IF($B88="","",IF(ISNUMBER(MATCH($B88,日別データ!$B$13:$B$32,0)),"✔ OK","⚠ 未登録"))</f>
        <v>✔ OK</v>
      </c>
      <c r="J88" s="80" t="str">
        <f aca="false">IF($B88="","",IF($D88="","－",IF(ISNUMBER($D88),IF(AND($D88&gt;=1,MOD($D88,1)=0),"－",IF(MOD($D88,1)&lt;$L$6,"朝",IF(MOD($D88,1)&lt;$L$7,"昼",IF(MOD($D88,1)&lt;$L$8,"夕方","夜")))),IF(OR($D88="朝",$D88="昼",$D88="夕方",$D88="夜"),$D88,"⚠ 不明"))))</f>
        <v>夜</v>
      </c>
    </row>
    <row r="89" customFormat="false" ht="15" hidden="false" customHeight="false" outlineLevel="0" collapsed="false">
      <c r="A89" s="75" t="n">
        <v>46254</v>
      </c>
      <c r="B89" s="76" t="s">
        <v>86</v>
      </c>
      <c r="C89" s="77" t="n">
        <v>16</v>
      </c>
      <c r="D89" s="78" t="n">
        <v>0.4375</v>
      </c>
      <c r="E89" s="77" t="n">
        <v>6720</v>
      </c>
      <c r="F89" s="76"/>
      <c r="G89" s="76"/>
      <c r="I89" s="79" t="str">
        <f aca="false">IF($B89="","",IF(ISNUMBER(MATCH($B89,日別データ!$B$13:$B$32,0)),"✔ OK","⚠ 未登録"))</f>
        <v>✔ OK</v>
      </c>
      <c r="J89" s="80" t="str">
        <f aca="false">IF($B89="","",IF($D89="","－",IF(ISNUMBER($D89),IF(AND($D89&gt;=1,MOD($D89,1)=0),"－",IF(MOD($D89,1)&lt;$L$6,"朝",IF(MOD($D89,1)&lt;$L$7,"昼",IF(MOD($D89,1)&lt;$L$8,"夕方","夜")))),IF(OR($D89="朝",$D89="昼",$D89="夕方",$D89="夜"),$D89,"⚠ 不明"))))</f>
        <v>朝</v>
      </c>
    </row>
    <row r="90" customFormat="false" ht="15" hidden="false" customHeight="false" outlineLevel="0" collapsed="false">
      <c r="A90" s="75" t="n">
        <v>46254</v>
      </c>
      <c r="B90" s="76" t="s">
        <v>86</v>
      </c>
      <c r="C90" s="77" t="n">
        <v>37</v>
      </c>
      <c r="D90" s="78" t="n">
        <v>0.541666666666667</v>
      </c>
      <c r="E90" s="77" t="n">
        <v>15540</v>
      </c>
      <c r="F90" s="76"/>
      <c r="G90" s="76"/>
      <c r="I90" s="79" t="str">
        <f aca="false">IF($B90="","",IF(ISNUMBER(MATCH($B90,日別データ!$B$13:$B$32,0)),"✔ OK","⚠ 未登録"))</f>
        <v>✔ OK</v>
      </c>
      <c r="J90" s="80" t="str">
        <f aca="false">IF($B90="","",IF($D90="","－",IF(ISNUMBER($D90),IF(AND($D90&gt;=1,MOD($D90,1)=0),"－",IF(MOD($D90,1)&lt;$L$6,"朝",IF(MOD($D90,1)&lt;$L$7,"昼",IF(MOD($D90,1)&lt;$L$8,"夕方","夜")))),IF(OR($D90="朝",$D90="昼",$D90="夕方",$D90="夜"),$D90,"⚠ 不明"))))</f>
        <v>昼</v>
      </c>
    </row>
    <row r="91" customFormat="false" ht="15" hidden="false" customHeight="false" outlineLevel="0" collapsed="false">
      <c r="A91" s="75" t="n">
        <v>46254</v>
      </c>
      <c r="B91" s="76" t="s">
        <v>86</v>
      </c>
      <c r="C91" s="77" t="n">
        <v>28</v>
      </c>
      <c r="D91" s="78" t="n">
        <v>0.6875</v>
      </c>
      <c r="E91" s="77" t="n">
        <v>11760</v>
      </c>
      <c r="F91" s="76"/>
      <c r="G91" s="76"/>
      <c r="I91" s="79" t="str">
        <f aca="false">IF($B91="","",IF(ISNUMBER(MATCH($B91,日別データ!$B$13:$B$32,0)),"✔ OK","⚠ 未登録"))</f>
        <v>✔ OK</v>
      </c>
      <c r="J91" s="80" t="str">
        <f aca="false">IF($B91="","",IF($D91="","－",IF(ISNUMBER($D91),IF(AND($D91&gt;=1,MOD($D91,1)=0),"－",IF(MOD($D91,1)&lt;$L$6,"朝",IF(MOD($D91,1)&lt;$L$7,"昼",IF(MOD($D91,1)&lt;$L$8,"夕方","夜")))),IF(OR($D91="朝",$D91="昼",$D91="夕方",$D91="夜"),$D91,"⚠ 不明"))))</f>
        <v>夕方</v>
      </c>
    </row>
    <row r="92" customFormat="false" ht="15" hidden="false" customHeight="false" outlineLevel="0" collapsed="false">
      <c r="A92" s="75" t="n">
        <v>46254</v>
      </c>
      <c r="B92" s="76" t="s">
        <v>86</v>
      </c>
      <c r="C92" s="77" t="n">
        <v>33</v>
      </c>
      <c r="D92" s="78" t="n">
        <v>0.8125</v>
      </c>
      <c r="E92" s="77" t="n">
        <v>13860</v>
      </c>
      <c r="F92" s="76"/>
      <c r="G92" s="76"/>
      <c r="I92" s="79" t="str">
        <f aca="false">IF($B92="","",IF(ISNUMBER(MATCH($B92,日別データ!$B$13:$B$32,0)),"✔ OK","⚠ 未登録"))</f>
        <v>✔ OK</v>
      </c>
      <c r="J92" s="80" t="str">
        <f aca="false">IF($B92="","",IF($D92="","－",IF(ISNUMBER($D92),IF(AND($D92&gt;=1,MOD($D92,1)=0),"－",IF(MOD($D92,1)&lt;$L$6,"朝",IF(MOD($D92,1)&lt;$L$7,"昼",IF(MOD($D92,1)&lt;$L$8,"夕方","夜")))),IF(OR($D92="朝",$D92="昼",$D92="夕方",$D92="夜"),$D92,"⚠ 不明"))))</f>
        <v>夜</v>
      </c>
    </row>
    <row r="93" customFormat="false" ht="15" hidden="false" customHeight="false" outlineLevel="0" collapsed="false">
      <c r="A93" s="75" t="n">
        <v>46254</v>
      </c>
      <c r="B93" s="76" t="s">
        <v>87</v>
      </c>
      <c r="C93" s="77" t="n">
        <v>9</v>
      </c>
      <c r="D93" s="78" t="n">
        <v>0.4375</v>
      </c>
      <c r="E93" s="77" t="n">
        <v>4050</v>
      </c>
      <c r="F93" s="76"/>
      <c r="G93" s="76"/>
      <c r="I93" s="79" t="str">
        <f aca="false">IF($B93="","",IF(ISNUMBER(MATCH($B93,日別データ!$B$13:$B$32,0)),"✔ OK","⚠ 未登録"))</f>
        <v>✔ OK</v>
      </c>
      <c r="J93" s="80" t="str">
        <f aca="false">IF($B93="","",IF($D93="","－",IF(ISNUMBER($D93),IF(AND($D93&gt;=1,MOD($D93,1)=0),"－",IF(MOD($D93,1)&lt;$L$6,"朝",IF(MOD($D93,1)&lt;$L$7,"昼",IF(MOD($D93,1)&lt;$L$8,"夕方","夜")))),IF(OR($D93="朝",$D93="昼",$D93="夕方",$D93="夜"),$D93,"⚠ 不明"))))</f>
        <v>朝</v>
      </c>
    </row>
    <row r="94" customFormat="false" ht="15" hidden="false" customHeight="false" outlineLevel="0" collapsed="false">
      <c r="A94" s="75" t="n">
        <v>46254</v>
      </c>
      <c r="B94" s="76" t="s">
        <v>87</v>
      </c>
      <c r="C94" s="77" t="n">
        <v>19</v>
      </c>
      <c r="D94" s="78" t="n">
        <v>0.541666666666667</v>
      </c>
      <c r="E94" s="77" t="n">
        <v>8550</v>
      </c>
      <c r="F94" s="76"/>
      <c r="G94" s="76"/>
      <c r="I94" s="79" t="str">
        <f aca="false">IF($B94="","",IF(ISNUMBER(MATCH($B94,日別データ!$B$13:$B$32,0)),"✔ OK","⚠ 未登録"))</f>
        <v>✔ OK</v>
      </c>
      <c r="J94" s="80" t="str">
        <f aca="false">IF($B94="","",IF($D94="","－",IF(ISNUMBER($D94),IF(AND($D94&gt;=1,MOD($D94,1)=0),"－",IF(MOD($D94,1)&lt;$L$6,"朝",IF(MOD($D94,1)&lt;$L$7,"昼",IF(MOD($D94,1)&lt;$L$8,"夕方","夜")))),IF(OR($D94="朝",$D94="昼",$D94="夕方",$D94="夜"),$D94,"⚠ 不明"))))</f>
        <v>昼</v>
      </c>
    </row>
    <row r="95" customFormat="false" ht="15" hidden="false" customHeight="false" outlineLevel="0" collapsed="false">
      <c r="A95" s="75" t="n">
        <v>46254</v>
      </c>
      <c r="B95" s="76" t="s">
        <v>87</v>
      </c>
      <c r="C95" s="77" t="n">
        <v>15</v>
      </c>
      <c r="D95" s="78" t="n">
        <v>0.6875</v>
      </c>
      <c r="E95" s="77" t="n">
        <v>6750</v>
      </c>
      <c r="F95" s="76"/>
      <c r="G95" s="76"/>
      <c r="I95" s="79" t="str">
        <f aca="false">IF($B95="","",IF(ISNUMBER(MATCH($B95,日別データ!$B$13:$B$32,0)),"✔ OK","⚠ 未登録"))</f>
        <v>✔ OK</v>
      </c>
      <c r="J95" s="80" t="str">
        <f aca="false">IF($B95="","",IF($D95="","－",IF(ISNUMBER($D95),IF(AND($D95&gt;=1,MOD($D95,1)=0),"－",IF(MOD($D95,1)&lt;$L$6,"朝",IF(MOD($D95,1)&lt;$L$7,"昼",IF(MOD($D95,1)&lt;$L$8,"夕方","夜")))),IF(OR($D95="朝",$D95="昼",$D95="夕方",$D95="夜"),$D95,"⚠ 不明"))))</f>
        <v>夕方</v>
      </c>
    </row>
    <row r="96" customFormat="false" ht="15" hidden="false" customHeight="false" outlineLevel="0" collapsed="false">
      <c r="A96" s="75" t="n">
        <v>46254</v>
      </c>
      <c r="B96" s="76" t="s">
        <v>87</v>
      </c>
      <c r="C96" s="77" t="n">
        <v>12</v>
      </c>
      <c r="D96" s="78" t="n">
        <v>0.8125</v>
      </c>
      <c r="E96" s="77" t="n">
        <v>5400</v>
      </c>
      <c r="F96" s="76"/>
      <c r="G96" s="76"/>
      <c r="I96" s="79" t="str">
        <f aca="false">IF($B96="","",IF(ISNUMBER(MATCH($B96,日別データ!$B$13:$B$32,0)),"✔ OK","⚠ 未登録"))</f>
        <v>✔ OK</v>
      </c>
      <c r="J96" s="80" t="str">
        <f aca="false">IF($B96="","",IF($D96="","－",IF(ISNUMBER($D96),IF(AND($D96&gt;=1,MOD($D96,1)=0),"－",IF(MOD($D96,1)&lt;$L$6,"朝",IF(MOD($D96,1)&lt;$L$7,"昼",IF(MOD($D96,1)&lt;$L$8,"夕方","夜")))),IF(OR($D96="朝",$D96="昼",$D96="夕方",$D96="夜"),$D96,"⚠ 不明"))))</f>
        <v>夜</v>
      </c>
    </row>
    <row r="97" customFormat="false" ht="15" hidden="false" customHeight="false" outlineLevel="0" collapsed="false">
      <c r="A97" s="75" t="n">
        <v>46254</v>
      </c>
      <c r="B97" s="76" t="s">
        <v>88</v>
      </c>
      <c r="C97" s="77" t="n">
        <v>7</v>
      </c>
      <c r="D97" s="78" t="n">
        <v>0.4375</v>
      </c>
      <c r="E97" s="77" t="n">
        <v>2450</v>
      </c>
      <c r="F97" s="76"/>
      <c r="G97" s="76"/>
      <c r="I97" s="79" t="str">
        <f aca="false">IF($B97="","",IF(ISNUMBER(MATCH($B97,日別データ!$B$13:$B$32,0)),"✔ OK","⚠ 未登録"))</f>
        <v>✔ OK</v>
      </c>
      <c r="J97" s="80" t="str">
        <f aca="false">IF($B97="","",IF($D97="","－",IF(ISNUMBER($D97),IF(AND($D97&gt;=1,MOD($D97,1)=0),"－",IF(MOD($D97,1)&lt;$L$6,"朝",IF(MOD($D97,1)&lt;$L$7,"昼",IF(MOD($D97,1)&lt;$L$8,"夕方","夜")))),IF(OR($D97="朝",$D97="昼",$D97="夕方",$D97="夜"),$D97,"⚠ 不明"))))</f>
        <v>朝</v>
      </c>
    </row>
    <row r="98" customFormat="false" ht="15" hidden="false" customHeight="false" outlineLevel="0" collapsed="false">
      <c r="A98" s="75" t="n">
        <v>46254</v>
      </c>
      <c r="B98" s="76" t="s">
        <v>88</v>
      </c>
      <c r="C98" s="77" t="n">
        <v>13</v>
      </c>
      <c r="D98" s="78" t="n">
        <v>0.541666666666667</v>
      </c>
      <c r="E98" s="77" t="n">
        <v>4550</v>
      </c>
      <c r="F98" s="76"/>
      <c r="G98" s="76"/>
      <c r="I98" s="79" t="str">
        <f aca="false">IF($B98="","",IF(ISNUMBER(MATCH($B98,日別データ!$B$13:$B$32,0)),"✔ OK","⚠ 未登録"))</f>
        <v>✔ OK</v>
      </c>
      <c r="J98" s="80" t="str">
        <f aca="false">IF($B98="","",IF($D98="","－",IF(ISNUMBER($D98),IF(AND($D98&gt;=1,MOD($D98,1)=0),"－",IF(MOD($D98,1)&lt;$L$6,"朝",IF(MOD($D98,1)&lt;$L$7,"昼",IF(MOD($D98,1)&lt;$L$8,"夕方","夜")))),IF(OR($D98="朝",$D98="昼",$D98="夕方",$D98="夜"),$D98,"⚠ 不明"))))</f>
        <v>昼</v>
      </c>
    </row>
    <row r="99" customFormat="false" ht="15" hidden="false" customHeight="false" outlineLevel="0" collapsed="false">
      <c r="A99" s="75" t="n">
        <v>46254</v>
      </c>
      <c r="B99" s="76" t="s">
        <v>88</v>
      </c>
      <c r="C99" s="77" t="n">
        <v>13</v>
      </c>
      <c r="D99" s="78" t="n">
        <v>0.6875</v>
      </c>
      <c r="E99" s="77" t="n">
        <v>4550</v>
      </c>
      <c r="F99" s="76"/>
      <c r="G99" s="76"/>
      <c r="I99" s="79" t="str">
        <f aca="false">IF($B99="","",IF(ISNUMBER(MATCH($B99,日別データ!$B$13:$B$32,0)),"✔ OK","⚠ 未登録"))</f>
        <v>✔ OK</v>
      </c>
      <c r="J99" s="80" t="str">
        <f aca="false">IF($B99="","",IF($D99="","－",IF(ISNUMBER($D99),IF(AND($D99&gt;=1,MOD($D99,1)=0),"－",IF(MOD($D99,1)&lt;$L$6,"朝",IF(MOD($D99,1)&lt;$L$7,"昼",IF(MOD($D99,1)&lt;$L$8,"夕方","夜")))),IF(OR($D99="朝",$D99="昼",$D99="夕方",$D99="夜"),$D99,"⚠ 不明"))))</f>
        <v>夕方</v>
      </c>
    </row>
    <row r="100" customFormat="false" ht="15" hidden="false" customHeight="false" outlineLevel="0" collapsed="false">
      <c r="A100" s="75" t="n">
        <v>46254</v>
      </c>
      <c r="B100" s="76" t="s">
        <v>88</v>
      </c>
      <c r="C100" s="77" t="n">
        <v>17</v>
      </c>
      <c r="D100" s="78" t="n">
        <v>0.8125</v>
      </c>
      <c r="E100" s="77" t="n">
        <v>5950</v>
      </c>
      <c r="F100" s="76"/>
      <c r="G100" s="76"/>
      <c r="I100" s="79" t="str">
        <f aca="false">IF($B100="","",IF(ISNUMBER(MATCH($B100,日別データ!$B$13:$B$32,0)),"✔ OK","⚠ 未登録"))</f>
        <v>✔ OK</v>
      </c>
      <c r="J100" s="80" t="str">
        <f aca="false">IF($B100="","",IF($D100="","－",IF(ISNUMBER($D100),IF(AND($D100&gt;=1,MOD($D100,1)=0),"－",IF(MOD($D100,1)&lt;$L$6,"朝",IF(MOD($D100,1)&lt;$L$7,"昼",IF(MOD($D100,1)&lt;$L$8,"夕方","夜")))),IF(OR($D100="朝",$D100="昼",$D100="夕方",$D100="夜"),$D100,"⚠ 不明"))))</f>
        <v>夜</v>
      </c>
    </row>
    <row r="101" customFormat="false" ht="15" hidden="false" customHeight="false" outlineLevel="0" collapsed="false">
      <c r="A101" s="75" t="n">
        <v>46255</v>
      </c>
      <c r="B101" s="76" t="s">
        <v>101</v>
      </c>
      <c r="C101" s="77" t="n">
        <v>48</v>
      </c>
      <c r="D101" s="78" t="n">
        <v>0.4375</v>
      </c>
      <c r="E101" s="77" t="n">
        <v>26400</v>
      </c>
      <c r="F101" s="76"/>
      <c r="G101" s="76"/>
      <c r="I101" s="79" t="str">
        <f aca="false">IF($B101="","",IF(ISNUMBER(MATCH($B101,日別データ!$B$13:$B$32,0)),"✔ OK","⚠ 未登録"))</f>
        <v>✔ OK</v>
      </c>
      <c r="J101" s="80" t="str">
        <f aca="false">IF($B101="","",IF($D101="","－",IF(ISNUMBER($D101),IF(AND($D101&gt;=1,MOD($D101,1)=0),"－",IF(MOD($D101,1)&lt;$L$6,"朝",IF(MOD($D101,1)&lt;$L$7,"昼",IF(MOD($D101,1)&lt;$L$8,"夕方","夜")))),IF(OR($D101="朝",$D101="昼",$D101="夕方",$D101="夜"),$D101,"⚠ 不明"))))</f>
        <v>朝</v>
      </c>
    </row>
    <row r="102" customFormat="false" ht="15" hidden="false" customHeight="false" outlineLevel="0" collapsed="false">
      <c r="A102" s="75" t="n">
        <v>46255</v>
      </c>
      <c r="B102" s="76" t="s">
        <v>101</v>
      </c>
      <c r="C102" s="77" t="n">
        <v>100</v>
      </c>
      <c r="D102" s="78" t="n">
        <v>0.541666666666667</v>
      </c>
      <c r="E102" s="77" t="n">
        <v>55000</v>
      </c>
      <c r="F102" s="76"/>
      <c r="G102" s="76"/>
      <c r="I102" s="79" t="str">
        <f aca="false">IF($B102="","",IF(ISNUMBER(MATCH($B102,日別データ!$B$13:$B$32,0)),"✔ OK","⚠ 未登録"))</f>
        <v>✔ OK</v>
      </c>
      <c r="J102" s="80" t="str">
        <f aca="false">IF($B102="","",IF($D102="","－",IF(ISNUMBER($D102),IF(AND($D102&gt;=1,MOD($D102,1)=0),"－",IF(MOD($D102,1)&lt;$L$6,"朝",IF(MOD($D102,1)&lt;$L$7,"昼",IF(MOD($D102,1)&lt;$L$8,"夕方","夜")))),IF(OR($D102="朝",$D102="昼",$D102="夕方",$D102="夜"),$D102,"⚠ 不明"))))</f>
        <v>昼</v>
      </c>
    </row>
    <row r="103" customFormat="false" ht="15" hidden="false" customHeight="false" outlineLevel="0" collapsed="false">
      <c r="A103" s="75" t="n">
        <v>46255</v>
      </c>
      <c r="B103" s="76" t="s">
        <v>101</v>
      </c>
      <c r="C103" s="77" t="n">
        <v>88</v>
      </c>
      <c r="D103" s="78" t="n">
        <v>0.6875</v>
      </c>
      <c r="E103" s="77" t="n">
        <v>48400</v>
      </c>
      <c r="F103" s="76"/>
      <c r="G103" s="76"/>
      <c r="I103" s="79" t="str">
        <f aca="false">IF($B103="","",IF(ISNUMBER(MATCH($B103,日別データ!$B$13:$B$32,0)),"✔ OK","⚠ 未登録"))</f>
        <v>✔ OK</v>
      </c>
      <c r="J103" s="80" t="str">
        <f aca="false">IF($B103="","",IF($D103="","－",IF(ISNUMBER($D103),IF(AND($D103&gt;=1,MOD($D103,1)=0),"－",IF(MOD($D103,1)&lt;$L$6,"朝",IF(MOD($D103,1)&lt;$L$7,"昼",IF(MOD($D103,1)&lt;$L$8,"夕方","夜")))),IF(OR($D103="朝",$D103="昼",$D103="夕方",$D103="夜"),$D103,"⚠ 不明"))))</f>
        <v>夕方</v>
      </c>
    </row>
    <row r="104" customFormat="false" ht="15" hidden="false" customHeight="false" outlineLevel="0" collapsed="false">
      <c r="A104" s="75" t="n">
        <v>46255</v>
      </c>
      <c r="B104" s="76" t="s">
        <v>101</v>
      </c>
      <c r="C104" s="77" t="n">
        <v>103</v>
      </c>
      <c r="D104" s="78" t="n">
        <v>0.8125</v>
      </c>
      <c r="E104" s="77" t="n">
        <v>56650</v>
      </c>
      <c r="F104" s="76"/>
      <c r="G104" s="76"/>
      <c r="I104" s="79" t="str">
        <f aca="false">IF($B104="","",IF(ISNUMBER(MATCH($B104,日別データ!$B$13:$B$32,0)),"✔ OK","⚠ 未登録"))</f>
        <v>✔ OK</v>
      </c>
      <c r="J104" s="80" t="str">
        <f aca="false">IF($B104="","",IF($D104="","－",IF(ISNUMBER($D104),IF(AND($D104&gt;=1,MOD($D104,1)=0),"－",IF(MOD($D104,1)&lt;$L$6,"朝",IF(MOD($D104,1)&lt;$L$7,"昼",IF(MOD($D104,1)&lt;$L$8,"夕方","夜")))),IF(OR($D104="朝",$D104="昼",$D104="夕方",$D104="夜"),$D104,"⚠ 不明"))))</f>
        <v>夜</v>
      </c>
    </row>
    <row r="105" customFormat="false" ht="15" hidden="false" customHeight="false" outlineLevel="0" collapsed="false">
      <c r="A105" s="75" t="n">
        <v>46255</v>
      </c>
      <c r="B105" s="76" t="s">
        <v>106</v>
      </c>
      <c r="C105" s="77" t="n">
        <v>39</v>
      </c>
      <c r="D105" s="78" t="n">
        <v>0.4375</v>
      </c>
      <c r="E105" s="77" t="n">
        <v>22230</v>
      </c>
      <c r="F105" s="76"/>
      <c r="G105" s="76"/>
      <c r="I105" s="79" t="str">
        <f aca="false">IF($B105="","",IF(ISNUMBER(MATCH($B105,日別データ!$B$13:$B$32,0)),"✔ OK","⚠ 未登録"))</f>
        <v>✔ OK</v>
      </c>
      <c r="J105" s="80" t="str">
        <f aca="false">IF($B105="","",IF($D105="","－",IF(ISNUMBER($D105),IF(AND($D105&gt;=1,MOD($D105,1)=0),"－",IF(MOD($D105,1)&lt;$L$6,"朝",IF(MOD($D105,1)&lt;$L$7,"昼",IF(MOD($D105,1)&lt;$L$8,"夕方","夜")))),IF(OR($D105="朝",$D105="昼",$D105="夕方",$D105="夜"),$D105,"⚠ 不明"))))</f>
        <v>朝</v>
      </c>
    </row>
    <row r="106" customFormat="false" ht="15" hidden="false" customHeight="false" outlineLevel="0" collapsed="false">
      <c r="A106" s="75" t="n">
        <v>46255</v>
      </c>
      <c r="B106" s="76" t="s">
        <v>106</v>
      </c>
      <c r="C106" s="77" t="n">
        <v>85</v>
      </c>
      <c r="D106" s="78" t="n">
        <v>0.541666666666667</v>
      </c>
      <c r="E106" s="77" t="n">
        <v>48450</v>
      </c>
      <c r="F106" s="76"/>
      <c r="G106" s="76"/>
      <c r="I106" s="79" t="str">
        <f aca="false">IF($B106="","",IF(ISNUMBER(MATCH($B106,日別データ!$B$13:$B$32,0)),"✔ OK","⚠ 未登録"))</f>
        <v>✔ OK</v>
      </c>
      <c r="J106" s="80" t="str">
        <f aca="false">IF($B106="","",IF($D106="","－",IF(ISNUMBER($D106),IF(AND($D106&gt;=1,MOD($D106,1)=0),"－",IF(MOD($D106,1)&lt;$L$6,"朝",IF(MOD($D106,1)&lt;$L$7,"昼",IF(MOD($D106,1)&lt;$L$8,"夕方","夜")))),IF(OR($D106="朝",$D106="昼",$D106="夕方",$D106="夜"),$D106,"⚠ 不明"))))</f>
        <v>昼</v>
      </c>
    </row>
    <row r="107" customFormat="false" ht="15" hidden="false" customHeight="false" outlineLevel="0" collapsed="false">
      <c r="A107" s="75" t="n">
        <v>46255</v>
      </c>
      <c r="B107" s="76" t="s">
        <v>106</v>
      </c>
      <c r="C107" s="77" t="n">
        <v>60</v>
      </c>
      <c r="D107" s="78" t="n">
        <v>0.6875</v>
      </c>
      <c r="E107" s="77" t="n">
        <v>34200</v>
      </c>
      <c r="F107" s="76"/>
      <c r="G107" s="76"/>
      <c r="I107" s="79" t="str">
        <f aca="false">IF($B107="","",IF(ISNUMBER(MATCH($B107,日別データ!$B$13:$B$32,0)),"✔ OK","⚠ 未登録"))</f>
        <v>✔ OK</v>
      </c>
      <c r="J107" s="80" t="str">
        <f aca="false">IF($B107="","",IF($D107="","－",IF(ISNUMBER($D107),IF(AND($D107&gt;=1,MOD($D107,1)=0),"－",IF(MOD($D107,1)&lt;$L$6,"朝",IF(MOD($D107,1)&lt;$L$7,"昼",IF(MOD($D107,1)&lt;$L$8,"夕方","夜")))),IF(OR($D107="朝",$D107="昼",$D107="夕方",$D107="夜"),$D107,"⚠ 不明"))))</f>
        <v>夕方</v>
      </c>
    </row>
    <row r="108" customFormat="false" ht="15" hidden="false" customHeight="false" outlineLevel="0" collapsed="false">
      <c r="A108" s="75" t="n">
        <v>46255</v>
      </c>
      <c r="B108" s="76" t="s">
        <v>106</v>
      </c>
      <c r="C108" s="77" t="n">
        <v>76</v>
      </c>
      <c r="D108" s="78" t="n">
        <v>0.8125</v>
      </c>
      <c r="E108" s="77" t="n">
        <v>43320</v>
      </c>
      <c r="F108" s="76"/>
      <c r="G108" s="76"/>
      <c r="I108" s="79" t="str">
        <f aca="false">IF($B108="","",IF(ISNUMBER(MATCH($B108,日別データ!$B$13:$B$32,0)),"✔ OK","⚠ 未登録"))</f>
        <v>✔ OK</v>
      </c>
      <c r="J108" s="80" t="str">
        <f aca="false">IF($B108="","",IF($D108="","－",IF(ISNUMBER($D108),IF(AND($D108&gt;=1,MOD($D108,1)=0),"－",IF(MOD($D108,1)&lt;$L$6,"朝",IF(MOD($D108,1)&lt;$L$7,"昼",IF(MOD($D108,1)&lt;$L$8,"夕方","夜")))),IF(OR($D108="朝",$D108="昼",$D108="夕方",$D108="夜"),$D108,"⚠ 不明"))))</f>
        <v>夜</v>
      </c>
    </row>
    <row r="109" customFormat="false" ht="15" hidden="false" customHeight="false" outlineLevel="0" collapsed="false">
      <c r="A109" s="75" t="n">
        <v>46255</v>
      </c>
      <c r="B109" s="76" t="s">
        <v>79</v>
      </c>
      <c r="C109" s="77" t="n">
        <v>31</v>
      </c>
      <c r="D109" s="78" t="n">
        <v>0.4375</v>
      </c>
      <c r="E109" s="77" t="n">
        <v>18600</v>
      </c>
      <c r="F109" s="76"/>
      <c r="G109" s="76"/>
      <c r="I109" s="79" t="str">
        <f aca="false">IF($B109="","",IF(ISNUMBER(MATCH($B109,日別データ!$B$13:$B$32,0)),"✔ OK","⚠ 未登録"))</f>
        <v>✔ OK</v>
      </c>
      <c r="J109" s="80" t="str">
        <f aca="false">IF($B109="","",IF($D109="","－",IF(ISNUMBER($D109),IF(AND($D109&gt;=1,MOD($D109,1)=0),"－",IF(MOD($D109,1)&lt;$L$6,"朝",IF(MOD($D109,1)&lt;$L$7,"昼",IF(MOD($D109,1)&lt;$L$8,"夕方","夜")))),IF(OR($D109="朝",$D109="昼",$D109="夕方",$D109="夜"),$D109,"⚠ 不明"))))</f>
        <v>朝</v>
      </c>
    </row>
    <row r="110" customFormat="false" ht="15" hidden="false" customHeight="false" outlineLevel="0" collapsed="false">
      <c r="A110" s="75" t="n">
        <v>46255</v>
      </c>
      <c r="B110" s="76" t="s">
        <v>79</v>
      </c>
      <c r="C110" s="77" t="n">
        <v>67</v>
      </c>
      <c r="D110" s="78" t="n">
        <v>0.541666666666667</v>
      </c>
      <c r="E110" s="77" t="n">
        <v>40200</v>
      </c>
      <c r="F110" s="76"/>
      <c r="G110" s="76"/>
      <c r="I110" s="79" t="str">
        <f aca="false">IF($B110="","",IF(ISNUMBER(MATCH($B110,日別データ!$B$13:$B$32,0)),"✔ OK","⚠ 未登録"))</f>
        <v>✔ OK</v>
      </c>
      <c r="J110" s="80" t="str">
        <f aca="false">IF($B110="","",IF($D110="","－",IF(ISNUMBER($D110),IF(AND($D110&gt;=1,MOD($D110,1)=0),"－",IF(MOD($D110,1)&lt;$L$6,"朝",IF(MOD($D110,1)&lt;$L$7,"昼",IF(MOD($D110,1)&lt;$L$8,"夕方","夜")))),IF(OR($D110="朝",$D110="昼",$D110="夕方",$D110="夜"),$D110,"⚠ 不明"))))</f>
        <v>昼</v>
      </c>
    </row>
    <row r="111" customFormat="false" ht="15" hidden="false" customHeight="false" outlineLevel="0" collapsed="false">
      <c r="A111" s="75" t="n">
        <v>46255</v>
      </c>
      <c r="B111" s="76" t="s">
        <v>79</v>
      </c>
      <c r="C111" s="77" t="n">
        <v>55</v>
      </c>
      <c r="D111" s="78" t="n">
        <v>0.6875</v>
      </c>
      <c r="E111" s="77" t="n">
        <v>33000</v>
      </c>
      <c r="F111" s="76"/>
      <c r="G111" s="76"/>
      <c r="I111" s="79" t="str">
        <f aca="false">IF($B111="","",IF(ISNUMBER(MATCH($B111,日別データ!$B$13:$B$32,0)),"✔ OK","⚠ 未登録"))</f>
        <v>✔ OK</v>
      </c>
      <c r="J111" s="80" t="str">
        <f aca="false">IF($B111="","",IF($D111="","－",IF(ISNUMBER($D111),IF(AND($D111&gt;=1,MOD($D111,1)=0),"－",IF(MOD($D111,1)&lt;$L$6,"朝",IF(MOD($D111,1)&lt;$L$7,"昼",IF(MOD($D111,1)&lt;$L$8,"夕方","夜")))),IF(OR($D111="朝",$D111="昼",$D111="夕方",$D111="夜"),$D111,"⚠ 不明"))))</f>
        <v>夕方</v>
      </c>
    </row>
    <row r="112" customFormat="false" ht="15" hidden="false" customHeight="false" outlineLevel="0" collapsed="false">
      <c r="A112" s="75" t="n">
        <v>46255</v>
      </c>
      <c r="B112" s="76" t="s">
        <v>79</v>
      </c>
      <c r="C112" s="77" t="n">
        <v>52</v>
      </c>
      <c r="D112" s="78" t="n">
        <v>0.8125</v>
      </c>
      <c r="E112" s="77" t="n">
        <v>31200</v>
      </c>
      <c r="F112" s="76"/>
      <c r="G112" s="76"/>
      <c r="I112" s="79" t="str">
        <f aca="false">IF($B112="","",IF(ISNUMBER(MATCH($B112,日別データ!$B$13:$B$32,0)),"✔ OK","⚠ 未登録"))</f>
        <v>✔ OK</v>
      </c>
      <c r="J112" s="80" t="str">
        <f aca="false">IF($B112="","",IF($D112="","－",IF(ISNUMBER($D112),IF(AND($D112&gt;=1,MOD($D112,1)=0),"－",IF(MOD($D112,1)&lt;$L$6,"朝",IF(MOD($D112,1)&lt;$L$7,"昼",IF(MOD($D112,1)&lt;$L$8,"夕方","夜")))),IF(OR($D112="朝",$D112="昼",$D112="夕方",$D112="夜"),$D112,"⚠ 不明"))))</f>
        <v>夜</v>
      </c>
    </row>
    <row r="113" customFormat="false" ht="15" hidden="false" customHeight="false" outlineLevel="0" collapsed="false">
      <c r="A113" s="75" t="n">
        <v>46255</v>
      </c>
      <c r="B113" s="76" t="s">
        <v>107</v>
      </c>
      <c r="C113" s="77" t="n">
        <v>39</v>
      </c>
      <c r="D113" s="78" t="n">
        <v>0.4375</v>
      </c>
      <c r="E113" s="77" t="n">
        <v>13260</v>
      </c>
      <c r="F113" s="76"/>
      <c r="G113" s="76"/>
      <c r="I113" s="79" t="str">
        <f aca="false">IF($B113="","",IF(ISNUMBER(MATCH($B113,日別データ!$B$13:$B$32,0)),"✔ OK","⚠ 未登録"))</f>
        <v>✔ OK</v>
      </c>
      <c r="J113" s="80" t="str">
        <f aca="false">IF($B113="","",IF($D113="","－",IF(ISNUMBER($D113),IF(AND($D113&gt;=1,MOD($D113,1)=0),"－",IF(MOD($D113,1)&lt;$L$6,"朝",IF(MOD($D113,1)&lt;$L$7,"昼",IF(MOD($D113,1)&lt;$L$8,"夕方","夜")))),IF(OR($D113="朝",$D113="昼",$D113="夕方",$D113="夜"),$D113,"⚠ 不明"))))</f>
        <v>朝</v>
      </c>
    </row>
    <row r="114" customFormat="false" ht="15" hidden="false" customHeight="false" outlineLevel="0" collapsed="false">
      <c r="A114" s="75" t="n">
        <v>46255</v>
      </c>
      <c r="B114" s="76" t="s">
        <v>107</v>
      </c>
      <c r="C114" s="77" t="n">
        <v>70</v>
      </c>
      <c r="D114" s="78" t="n">
        <v>0.541666666666667</v>
      </c>
      <c r="E114" s="77" t="n">
        <v>23800</v>
      </c>
      <c r="F114" s="76"/>
      <c r="G114" s="76"/>
      <c r="I114" s="79" t="str">
        <f aca="false">IF($B114="","",IF(ISNUMBER(MATCH($B114,日別データ!$B$13:$B$32,0)),"✔ OK","⚠ 未登録"))</f>
        <v>✔ OK</v>
      </c>
      <c r="J114" s="80" t="str">
        <f aca="false">IF($B114="","",IF($D114="","－",IF(ISNUMBER($D114),IF(AND($D114&gt;=1,MOD($D114,1)=0),"－",IF(MOD($D114,1)&lt;$L$6,"朝",IF(MOD($D114,1)&lt;$L$7,"昼",IF(MOD($D114,1)&lt;$L$8,"夕方","夜")))),IF(OR($D114="朝",$D114="昼",$D114="夕方",$D114="夜"),$D114,"⚠ 不明"))))</f>
        <v>昼</v>
      </c>
    </row>
    <row r="115" customFormat="false" ht="15" hidden="false" customHeight="false" outlineLevel="0" collapsed="false">
      <c r="A115" s="75" t="n">
        <v>46255</v>
      </c>
      <c r="B115" s="76" t="s">
        <v>107</v>
      </c>
      <c r="C115" s="77" t="n">
        <v>59</v>
      </c>
      <c r="D115" s="78" t="n">
        <v>0.6875</v>
      </c>
      <c r="E115" s="77" t="n">
        <v>20060</v>
      </c>
      <c r="F115" s="76"/>
      <c r="G115" s="76"/>
      <c r="I115" s="79" t="str">
        <f aca="false">IF($B115="","",IF(ISNUMBER(MATCH($B115,日別データ!$B$13:$B$32,0)),"✔ OK","⚠ 未登録"))</f>
        <v>✔ OK</v>
      </c>
      <c r="J115" s="80" t="str">
        <f aca="false">IF($B115="","",IF($D115="","－",IF(ISNUMBER($D115),IF(AND($D115&gt;=1,MOD($D115,1)=0),"－",IF(MOD($D115,1)&lt;$L$6,"朝",IF(MOD($D115,1)&lt;$L$7,"昼",IF(MOD($D115,1)&lt;$L$8,"夕方","夜")))),IF(OR($D115="朝",$D115="昼",$D115="夕方",$D115="夜"),$D115,"⚠ 不明"))))</f>
        <v>夕方</v>
      </c>
    </row>
    <row r="116" customFormat="false" ht="15" hidden="false" customHeight="false" outlineLevel="0" collapsed="false">
      <c r="A116" s="75" t="n">
        <v>46255</v>
      </c>
      <c r="B116" s="76" t="s">
        <v>107</v>
      </c>
      <c r="C116" s="77" t="n">
        <v>76</v>
      </c>
      <c r="D116" s="78" t="n">
        <v>0.8125</v>
      </c>
      <c r="E116" s="77" t="n">
        <v>25840</v>
      </c>
      <c r="F116" s="76"/>
      <c r="G116" s="76"/>
      <c r="I116" s="79" t="str">
        <f aca="false">IF($B116="","",IF(ISNUMBER(MATCH($B116,日別データ!$B$13:$B$32,0)),"✔ OK","⚠ 未登録"))</f>
        <v>✔ OK</v>
      </c>
      <c r="J116" s="80" t="str">
        <f aca="false">IF($B116="","",IF($D116="","－",IF(ISNUMBER($D116),IF(AND($D116&gt;=1,MOD($D116,1)=0),"－",IF(MOD($D116,1)&lt;$L$6,"朝",IF(MOD($D116,1)&lt;$L$7,"昼",IF(MOD($D116,1)&lt;$L$8,"夕方","夜")))),IF(OR($D116="朝",$D116="昼",$D116="夕方",$D116="夜"),$D116,"⚠ 不明"))))</f>
        <v>夜</v>
      </c>
    </row>
    <row r="117" customFormat="false" ht="15" hidden="false" customHeight="false" outlineLevel="0" collapsed="false">
      <c r="A117" s="75" t="n">
        <v>46255</v>
      </c>
      <c r="B117" s="76" t="s">
        <v>108</v>
      </c>
      <c r="C117" s="77" t="n">
        <v>62</v>
      </c>
      <c r="D117" s="78" t="n">
        <v>0.4375</v>
      </c>
      <c r="E117" s="77" t="n">
        <v>24800</v>
      </c>
      <c r="F117" s="76"/>
      <c r="G117" s="76"/>
      <c r="I117" s="79" t="str">
        <f aca="false">IF($B117="","",IF(ISNUMBER(MATCH($B117,日別データ!$B$13:$B$32,0)),"✔ OK","⚠ 未登録"))</f>
        <v>✔ OK</v>
      </c>
      <c r="J117" s="80" t="str">
        <f aca="false">IF($B117="","",IF($D117="","－",IF(ISNUMBER($D117),IF(AND($D117&gt;=1,MOD($D117,1)=0),"－",IF(MOD($D117,1)&lt;$L$6,"朝",IF(MOD($D117,1)&lt;$L$7,"昼",IF(MOD($D117,1)&lt;$L$8,"夕方","夜")))),IF(OR($D117="朝",$D117="昼",$D117="夕方",$D117="夜"),$D117,"⚠ 不明"))))</f>
        <v>朝</v>
      </c>
    </row>
    <row r="118" customFormat="false" ht="15" hidden="false" customHeight="false" outlineLevel="0" collapsed="false">
      <c r="A118" s="75" t="n">
        <v>46255</v>
      </c>
      <c r="B118" s="76" t="s">
        <v>108</v>
      </c>
      <c r="C118" s="77" t="n">
        <v>145</v>
      </c>
      <c r="D118" s="78" t="n">
        <v>0.541666666666667</v>
      </c>
      <c r="E118" s="77" t="n">
        <v>58000</v>
      </c>
      <c r="F118" s="76"/>
      <c r="G118" s="76"/>
      <c r="I118" s="79" t="str">
        <f aca="false">IF($B118="","",IF(ISNUMBER(MATCH($B118,日別データ!$B$13:$B$32,0)),"✔ OK","⚠ 未登録"))</f>
        <v>✔ OK</v>
      </c>
      <c r="J118" s="80" t="str">
        <f aca="false">IF($B118="","",IF($D118="","－",IF(ISNUMBER($D118),IF(AND($D118&gt;=1,MOD($D118,1)=0),"－",IF(MOD($D118,1)&lt;$L$6,"朝",IF(MOD($D118,1)&lt;$L$7,"昼",IF(MOD($D118,1)&lt;$L$8,"夕方","夜")))),IF(OR($D118="朝",$D118="昼",$D118="夕方",$D118="夜"),$D118,"⚠ 不明"))))</f>
        <v>昼</v>
      </c>
    </row>
    <row r="119" customFormat="false" ht="15" hidden="false" customHeight="false" outlineLevel="0" collapsed="false">
      <c r="A119" s="75" t="n">
        <v>46255</v>
      </c>
      <c r="B119" s="76" t="s">
        <v>108</v>
      </c>
      <c r="C119" s="77" t="n">
        <v>111</v>
      </c>
      <c r="D119" s="78" t="n">
        <v>0.6875</v>
      </c>
      <c r="E119" s="77" t="n">
        <v>44400</v>
      </c>
      <c r="F119" s="76"/>
      <c r="G119" s="76"/>
      <c r="I119" s="79" t="str">
        <f aca="false">IF($B119="","",IF(ISNUMBER(MATCH($B119,日別データ!$B$13:$B$32,0)),"✔ OK","⚠ 未登録"))</f>
        <v>✔ OK</v>
      </c>
      <c r="J119" s="80" t="str">
        <f aca="false">IF($B119="","",IF($D119="","－",IF(ISNUMBER($D119),IF(AND($D119&gt;=1,MOD($D119,1)=0),"－",IF(MOD($D119,1)&lt;$L$6,"朝",IF(MOD($D119,1)&lt;$L$7,"昼",IF(MOD($D119,1)&lt;$L$8,"夕方","夜")))),IF(OR($D119="朝",$D119="昼",$D119="夕方",$D119="夜"),$D119,"⚠ 不明"))))</f>
        <v>夕方</v>
      </c>
    </row>
    <row r="120" customFormat="false" ht="15" hidden="false" customHeight="false" outlineLevel="0" collapsed="false">
      <c r="A120" s="75" t="n">
        <v>46255</v>
      </c>
      <c r="B120" s="76" t="s">
        <v>108</v>
      </c>
      <c r="C120" s="77" t="n">
        <v>177</v>
      </c>
      <c r="D120" s="78" t="n">
        <v>0.8125</v>
      </c>
      <c r="E120" s="77" t="n">
        <v>70800</v>
      </c>
      <c r="F120" s="76"/>
      <c r="G120" s="76"/>
      <c r="I120" s="79" t="str">
        <f aca="false">IF($B120="","",IF(ISNUMBER(MATCH($B120,日別データ!$B$13:$B$32,0)),"✔ OK","⚠ 未登録"))</f>
        <v>✔ OK</v>
      </c>
      <c r="J120" s="80" t="str">
        <f aca="false">IF($B120="","",IF($D120="","－",IF(ISNUMBER($D120),IF(AND($D120&gt;=1,MOD($D120,1)=0),"－",IF(MOD($D120,1)&lt;$L$6,"朝",IF(MOD($D120,1)&lt;$L$7,"昼",IF(MOD($D120,1)&lt;$L$8,"夕方","夜")))),IF(OR($D120="朝",$D120="昼",$D120="夕方",$D120="夜"),$D120,"⚠ 不明"))))</f>
        <v>夜</v>
      </c>
    </row>
    <row r="121" customFormat="false" ht="15" hidden="false" customHeight="false" outlineLevel="0" collapsed="false">
      <c r="A121" s="75" t="n">
        <v>46255</v>
      </c>
      <c r="B121" s="76" t="s">
        <v>109</v>
      </c>
      <c r="C121" s="77" t="n">
        <v>20</v>
      </c>
      <c r="D121" s="78" t="n">
        <v>0.4375</v>
      </c>
      <c r="E121" s="77" t="n">
        <v>9200</v>
      </c>
      <c r="F121" s="76"/>
      <c r="G121" s="76"/>
      <c r="I121" s="79" t="str">
        <f aca="false">IF($B121="","",IF(ISNUMBER(MATCH($B121,日別データ!$B$13:$B$32,0)),"✔ OK","⚠ 未登録"))</f>
        <v>✔ OK</v>
      </c>
      <c r="J121" s="80" t="str">
        <f aca="false">IF($B121="","",IF($D121="","－",IF(ISNUMBER($D121),IF(AND($D121&gt;=1,MOD($D121,1)=0),"－",IF(MOD($D121,1)&lt;$L$6,"朝",IF(MOD($D121,1)&lt;$L$7,"昼",IF(MOD($D121,1)&lt;$L$8,"夕方","夜")))),IF(OR($D121="朝",$D121="昼",$D121="夕方",$D121="夜"),$D121,"⚠ 不明"))))</f>
        <v>朝</v>
      </c>
    </row>
    <row r="122" customFormat="false" ht="15" hidden="false" customHeight="false" outlineLevel="0" collapsed="false">
      <c r="A122" s="75" t="n">
        <v>46255</v>
      </c>
      <c r="B122" s="76" t="s">
        <v>109</v>
      </c>
      <c r="C122" s="77" t="n">
        <v>50</v>
      </c>
      <c r="D122" s="78" t="n">
        <v>0.541666666666667</v>
      </c>
      <c r="E122" s="77" t="n">
        <v>23000</v>
      </c>
      <c r="F122" s="76"/>
      <c r="G122" s="76"/>
      <c r="I122" s="79" t="str">
        <f aca="false">IF($B122="","",IF(ISNUMBER(MATCH($B122,日別データ!$B$13:$B$32,0)),"✔ OK","⚠ 未登録"))</f>
        <v>✔ OK</v>
      </c>
      <c r="J122" s="80" t="str">
        <f aca="false">IF($B122="","",IF($D122="","－",IF(ISNUMBER($D122),IF(AND($D122&gt;=1,MOD($D122,1)=0),"－",IF(MOD($D122,1)&lt;$L$6,"朝",IF(MOD($D122,1)&lt;$L$7,"昼",IF(MOD($D122,1)&lt;$L$8,"夕方","夜")))),IF(OR($D122="朝",$D122="昼",$D122="夕方",$D122="夜"),$D122,"⚠ 不明"))))</f>
        <v>昼</v>
      </c>
    </row>
    <row r="123" customFormat="false" ht="15" hidden="false" customHeight="false" outlineLevel="0" collapsed="false">
      <c r="A123" s="75" t="n">
        <v>46255</v>
      </c>
      <c r="B123" s="76" t="s">
        <v>109</v>
      </c>
      <c r="C123" s="77" t="n">
        <v>34</v>
      </c>
      <c r="D123" s="78" t="n">
        <v>0.6875</v>
      </c>
      <c r="E123" s="77" t="n">
        <v>15640</v>
      </c>
      <c r="F123" s="76"/>
      <c r="G123" s="76"/>
      <c r="I123" s="79" t="str">
        <f aca="false">IF($B123="","",IF(ISNUMBER(MATCH($B123,日別データ!$B$13:$B$32,0)),"✔ OK","⚠ 未登録"))</f>
        <v>✔ OK</v>
      </c>
      <c r="J123" s="80" t="str">
        <f aca="false">IF($B123="","",IF($D123="","－",IF(ISNUMBER($D123),IF(AND($D123&gt;=1,MOD($D123,1)=0),"－",IF(MOD($D123,1)&lt;$L$6,"朝",IF(MOD($D123,1)&lt;$L$7,"昼",IF(MOD($D123,1)&lt;$L$8,"夕方","夜")))),IF(OR($D123="朝",$D123="昼",$D123="夕方",$D123="夜"),$D123,"⚠ 不明"))))</f>
        <v>夕方</v>
      </c>
    </row>
    <row r="124" customFormat="false" ht="15" hidden="false" customHeight="false" outlineLevel="0" collapsed="false">
      <c r="A124" s="75" t="n">
        <v>46255</v>
      </c>
      <c r="B124" s="76" t="s">
        <v>109</v>
      </c>
      <c r="C124" s="77" t="n">
        <v>61</v>
      </c>
      <c r="D124" s="78" t="n">
        <v>0.8125</v>
      </c>
      <c r="E124" s="77" t="n">
        <v>28060</v>
      </c>
      <c r="F124" s="76"/>
      <c r="G124" s="76"/>
      <c r="I124" s="79" t="str">
        <f aca="false">IF($B124="","",IF(ISNUMBER(MATCH($B124,日別データ!$B$13:$B$32,0)),"✔ OK","⚠ 未登録"))</f>
        <v>✔ OK</v>
      </c>
      <c r="J124" s="80" t="str">
        <f aca="false">IF($B124="","",IF($D124="","－",IF(ISNUMBER($D124),IF(AND($D124&gt;=1,MOD($D124,1)=0),"－",IF(MOD($D124,1)&lt;$L$6,"朝",IF(MOD($D124,1)&lt;$L$7,"昼",IF(MOD($D124,1)&lt;$L$8,"夕方","夜")))),IF(OR($D124="朝",$D124="昼",$D124="夕方",$D124="夜"),$D124,"⚠ 不明"))))</f>
        <v>夜</v>
      </c>
    </row>
    <row r="125" customFormat="false" ht="15" hidden="false" customHeight="false" outlineLevel="0" collapsed="false">
      <c r="A125" s="75" t="n">
        <v>46255</v>
      </c>
      <c r="B125" s="76" t="s">
        <v>83</v>
      </c>
      <c r="C125" s="77" t="n">
        <v>20</v>
      </c>
      <c r="D125" s="78" t="n">
        <v>0.4375</v>
      </c>
      <c r="E125" s="77" t="n">
        <v>7600</v>
      </c>
      <c r="F125" s="76"/>
      <c r="G125" s="76"/>
      <c r="I125" s="79" t="str">
        <f aca="false">IF($B125="","",IF(ISNUMBER(MATCH($B125,日別データ!$B$13:$B$32,0)),"✔ OK","⚠ 未登録"))</f>
        <v>✔ OK</v>
      </c>
      <c r="J125" s="80" t="str">
        <f aca="false">IF($B125="","",IF($D125="","－",IF(ISNUMBER($D125),IF(AND($D125&gt;=1,MOD($D125,1)=0),"－",IF(MOD($D125,1)&lt;$L$6,"朝",IF(MOD($D125,1)&lt;$L$7,"昼",IF(MOD($D125,1)&lt;$L$8,"夕方","夜")))),IF(OR($D125="朝",$D125="昼",$D125="夕方",$D125="夜"),$D125,"⚠ 不明"))))</f>
        <v>朝</v>
      </c>
    </row>
    <row r="126" customFormat="false" ht="15" hidden="false" customHeight="false" outlineLevel="0" collapsed="false">
      <c r="A126" s="75" t="n">
        <v>46255</v>
      </c>
      <c r="B126" s="76" t="s">
        <v>83</v>
      </c>
      <c r="C126" s="77" t="n">
        <v>40</v>
      </c>
      <c r="D126" s="78" t="n">
        <v>0.541666666666667</v>
      </c>
      <c r="E126" s="77" t="n">
        <v>15200</v>
      </c>
      <c r="F126" s="76"/>
      <c r="G126" s="76"/>
      <c r="I126" s="79" t="str">
        <f aca="false">IF($B126="","",IF(ISNUMBER(MATCH($B126,日別データ!$B$13:$B$32,0)),"✔ OK","⚠ 未登録"))</f>
        <v>✔ OK</v>
      </c>
      <c r="J126" s="80" t="str">
        <f aca="false">IF($B126="","",IF($D126="","－",IF(ISNUMBER($D126),IF(AND($D126&gt;=1,MOD($D126,1)=0),"－",IF(MOD($D126,1)&lt;$L$6,"朝",IF(MOD($D126,1)&lt;$L$7,"昼",IF(MOD($D126,1)&lt;$L$8,"夕方","夜")))),IF(OR($D126="朝",$D126="昼",$D126="夕方",$D126="夜"),$D126,"⚠ 不明"))))</f>
        <v>昼</v>
      </c>
    </row>
    <row r="127" customFormat="false" ht="15" hidden="false" customHeight="false" outlineLevel="0" collapsed="false">
      <c r="A127" s="75" t="n">
        <v>46255</v>
      </c>
      <c r="B127" s="76" t="s">
        <v>83</v>
      </c>
      <c r="C127" s="77" t="n">
        <v>35</v>
      </c>
      <c r="D127" s="78" t="n">
        <v>0.6875</v>
      </c>
      <c r="E127" s="77" t="n">
        <v>13300</v>
      </c>
      <c r="F127" s="76"/>
      <c r="G127" s="76"/>
      <c r="I127" s="79" t="str">
        <f aca="false">IF($B127="","",IF(ISNUMBER(MATCH($B127,日別データ!$B$13:$B$32,0)),"✔ OK","⚠ 未登録"))</f>
        <v>✔ OK</v>
      </c>
      <c r="J127" s="80" t="str">
        <f aca="false">IF($B127="","",IF($D127="","－",IF(ISNUMBER($D127),IF(AND($D127&gt;=1,MOD($D127,1)=0),"－",IF(MOD($D127,1)&lt;$L$6,"朝",IF(MOD($D127,1)&lt;$L$7,"昼",IF(MOD($D127,1)&lt;$L$8,"夕方","夜")))),IF(OR($D127="朝",$D127="昼",$D127="夕方",$D127="夜"),$D127,"⚠ 不明"))))</f>
        <v>夕方</v>
      </c>
    </row>
    <row r="128" customFormat="false" ht="15" hidden="false" customHeight="false" outlineLevel="0" collapsed="false">
      <c r="A128" s="75" t="n">
        <v>46255</v>
      </c>
      <c r="B128" s="76" t="s">
        <v>83</v>
      </c>
      <c r="C128" s="77" t="n">
        <v>45</v>
      </c>
      <c r="D128" s="78" t="n">
        <v>0.8125</v>
      </c>
      <c r="E128" s="77" t="n">
        <v>17100</v>
      </c>
      <c r="F128" s="76"/>
      <c r="G128" s="76"/>
      <c r="I128" s="79" t="str">
        <f aca="false">IF($B128="","",IF(ISNUMBER(MATCH($B128,日別データ!$B$13:$B$32,0)),"✔ OK","⚠ 未登録"))</f>
        <v>✔ OK</v>
      </c>
      <c r="J128" s="80" t="str">
        <f aca="false">IF($B128="","",IF($D128="","－",IF(ISNUMBER($D128),IF(AND($D128&gt;=1,MOD($D128,1)=0),"－",IF(MOD($D128,1)&lt;$L$6,"朝",IF(MOD($D128,1)&lt;$L$7,"昼",IF(MOD($D128,1)&lt;$L$8,"夕方","夜")))),IF(OR($D128="朝",$D128="昼",$D128="夕方",$D128="夜"),$D128,"⚠ 不明"))))</f>
        <v>夜</v>
      </c>
    </row>
    <row r="129" customFormat="false" ht="15" hidden="false" customHeight="false" outlineLevel="0" collapsed="false">
      <c r="A129" s="75" t="n">
        <v>46255</v>
      </c>
      <c r="B129" s="76" t="s">
        <v>84</v>
      </c>
      <c r="C129" s="77" t="n">
        <v>13</v>
      </c>
      <c r="D129" s="78" t="n">
        <v>0.4375</v>
      </c>
      <c r="E129" s="77" t="n">
        <v>6500</v>
      </c>
      <c r="F129" s="76"/>
      <c r="G129" s="76"/>
      <c r="I129" s="79" t="str">
        <f aca="false">IF($B129="","",IF(ISNUMBER(MATCH($B129,日別データ!$B$13:$B$32,0)),"✔ OK","⚠ 未登録"))</f>
        <v>✔ OK</v>
      </c>
      <c r="J129" s="80" t="str">
        <f aca="false">IF($B129="","",IF($D129="","－",IF(ISNUMBER($D129),IF(AND($D129&gt;=1,MOD($D129,1)=0),"－",IF(MOD($D129,1)&lt;$L$6,"朝",IF(MOD($D129,1)&lt;$L$7,"昼",IF(MOD($D129,1)&lt;$L$8,"夕方","夜")))),IF(OR($D129="朝",$D129="昼",$D129="夕方",$D129="夜"),$D129,"⚠ 不明"))))</f>
        <v>朝</v>
      </c>
    </row>
    <row r="130" customFormat="false" ht="15" hidden="false" customHeight="false" outlineLevel="0" collapsed="false">
      <c r="A130" s="75" t="n">
        <v>46255</v>
      </c>
      <c r="B130" s="76" t="s">
        <v>84</v>
      </c>
      <c r="C130" s="77" t="n">
        <v>30</v>
      </c>
      <c r="D130" s="78" t="n">
        <v>0.541666666666667</v>
      </c>
      <c r="E130" s="77" t="n">
        <v>15000</v>
      </c>
      <c r="F130" s="76"/>
      <c r="G130" s="76"/>
      <c r="I130" s="79" t="str">
        <f aca="false">IF($B130="","",IF(ISNUMBER(MATCH($B130,日別データ!$B$13:$B$32,0)),"✔ OK","⚠ 未登録"))</f>
        <v>✔ OK</v>
      </c>
      <c r="J130" s="80" t="str">
        <f aca="false">IF($B130="","",IF($D130="","－",IF(ISNUMBER($D130),IF(AND($D130&gt;=1,MOD($D130,1)=0),"－",IF(MOD($D130,1)&lt;$L$6,"朝",IF(MOD($D130,1)&lt;$L$7,"昼",IF(MOD($D130,1)&lt;$L$8,"夕方","夜")))),IF(OR($D130="朝",$D130="昼",$D130="夕方",$D130="夜"),$D130,"⚠ 不明"))))</f>
        <v>昼</v>
      </c>
    </row>
    <row r="131" customFormat="false" ht="15" hidden="false" customHeight="false" outlineLevel="0" collapsed="false">
      <c r="A131" s="75" t="n">
        <v>46255</v>
      </c>
      <c r="B131" s="76" t="s">
        <v>84</v>
      </c>
      <c r="C131" s="77" t="n">
        <v>26</v>
      </c>
      <c r="D131" s="78" t="n">
        <v>0.6875</v>
      </c>
      <c r="E131" s="77" t="n">
        <v>13000</v>
      </c>
      <c r="F131" s="76"/>
      <c r="G131" s="76"/>
      <c r="I131" s="79" t="str">
        <f aca="false">IF($B131="","",IF(ISNUMBER(MATCH($B131,日別データ!$B$13:$B$32,0)),"✔ OK","⚠ 未登録"))</f>
        <v>✔ OK</v>
      </c>
      <c r="J131" s="80" t="str">
        <f aca="false">IF($B131="","",IF($D131="","－",IF(ISNUMBER($D131),IF(AND($D131&gt;=1,MOD($D131,1)=0),"－",IF(MOD($D131,1)&lt;$L$6,"朝",IF(MOD($D131,1)&lt;$L$7,"昼",IF(MOD($D131,1)&lt;$L$8,"夕方","夜")))),IF(OR($D131="朝",$D131="昼",$D131="夕方",$D131="夜"),$D131,"⚠ 不明"))))</f>
        <v>夕方</v>
      </c>
    </row>
    <row r="132" customFormat="false" ht="15" hidden="false" customHeight="false" outlineLevel="0" collapsed="false">
      <c r="A132" s="75" t="n">
        <v>46255</v>
      </c>
      <c r="B132" s="76" t="s">
        <v>84</v>
      </c>
      <c r="C132" s="77" t="n">
        <v>27</v>
      </c>
      <c r="D132" s="78" t="n">
        <v>0.8125</v>
      </c>
      <c r="E132" s="77" t="n">
        <v>13500</v>
      </c>
      <c r="F132" s="76"/>
      <c r="G132" s="76"/>
      <c r="I132" s="79" t="str">
        <f aca="false">IF($B132="","",IF(ISNUMBER(MATCH($B132,日別データ!$B$13:$B$32,0)),"✔ OK","⚠ 未登録"))</f>
        <v>✔ OK</v>
      </c>
      <c r="J132" s="80" t="str">
        <f aca="false">IF($B132="","",IF($D132="","－",IF(ISNUMBER($D132),IF(AND($D132&gt;=1,MOD($D132,1)=0),"－",IF(MOD($D132,1)&lt;$L$6,"朝",IF(MOD($D132,1)&lt;$L$7,"昼",IF(MOD($D132,1)&lt;$L$8,"夕方","夜")))),IF(OR($D132="朝",$D132="昼",$D132="夕方",$D132="夜"),$D132,"⚠ 不明"))))</f>
        <v>夜</v>
      </c>
    </row>
    <row r="133" customFormat="false" ht="15" hidden="false" customHeight="false" outlineLevel="0" collapsed="false">
      <c r="A133" s="75" t="n">
        <v>46255</v>
      </c>
      <c r="B133" s="76" t="s">
        <v>85</v>
      </c>
      <c r="C133" s="77" t="n">
        <v>10</v>
      </c>
      <c r="D133" s="78" t="n">
        <v>0.4375</v>
      </c>
      <c r="E133" s="77" t="n">
        <v>4800</v>
      </c>
      <c r="F133" s="76"/>
      <c r="G133" s="76"/>
      <c r="I133" s="79" t="str">
        <f aca="false">IF($B133="","",IF(ISNUMBER(MATCH($B133,日別データ!$B$13:$B$32,0)),"✔ OK","⚠ 未登録"))</f>
        <v>✔ OK</v>
      </c>
      <c r="J133" s="80" t="str">
        <f aca="false">IF($B133="","",IF($D133="","－",IF(ISNUMBER($D133),IF(AND($D133&gt;=1,MOD($D133,1)=0),"－",IF(MOD($D133,1)&lt;$L$6,"朝",IF(MOD($D133,1)&lt;$L$7,"昼",IF(MOD($D133,1)&lt;$L$8,"夕方","夜")))),IF(OR($D133="朝",$D133="昼",$D133="夕方",$D133="夜"),$D133,"⚠ 不明"))))</f>
        <v>朝</v>
      </c>
    </row>
    <row r="134" customFormat="false" ht="15" hidden="false" customHeight="false" outlineLevel="0" collapsed="false">
      <c r="A134" s="75" t="n">
        <v>46255</v>
      </c>
      <c r="B134" s="76" t="s">
        <v>85</v>
      </c>
      <c r="C134" s="77" t="n">
        <v>24</v>
      </c>
      <c r="D134" s="78" t="n">
        <v>0.541666666666667</v>
      </c>
      <c r="E134" s="77" t="n">
        <v>11520</v>
      </c>
      <c r="F134" s="76"/>
      <c r="G134" s="76"/>
      <c r="I134" s="79" t="str">
        <f aca="false">IF($B134="","",IF(ISNUMBER(MATCH($B134,日別データ!$B$13:$B$32,0)),"✔ OK","⚠ 未登録"))</f>
        <v>✔ OK</v>
      </c>
      <c r="J134" s="80" t="str">
        <f aca="false">IF($B134="","",IF($D134="","－",IF(ISNUMBER($D134),IF(AND($D134&gt;=1,MOD($D134,1)=0),"－",IF(MOD($D134,1)&lt;$L$6,"朝",IF(MOD($D134,1)&lt;$L$7,"昼",IF(MOD($D134,1)&lt;$L$8,"夕方","夜")))),IF(OR($D134="朝",$D134="昼",$D134="夕方",$D134="夜"),$D134,"⚠ 不明"))))</f>
        <v>昼</v>
      </c>
    </row>
    <row r="135" customFormat="false" ht="15" hidden="false" customHeight="false" outlineLevel="0" collapsed="false">
      <c r="A135" s="75" t="n">
        <v>46255</v>
      </c>
      <c r="B135" s="76" t="s">
        <v>85</v>
      </c>
      <c r="C135" s="77" t="n">
        <v>18</v>
      </c>
      <c r="D135" s="78" t="n">
        <v>0.6875</v>
      </c>
      <c r="E135" s="77" t="n">
        <v>8640</v>
      </c>
      <c r="F135" s="76"/>
      <c r="G135" s="76"/>
      <c r="I135" s="79" t="str">
        <f aca="false">IF($B135="","",IF(ISNUMBER(MATCH($B135,日別データ!$B$13:$B$32,0)),"✔ OK","⚠ 未登録"))</f>
        <v>✔ OK</v>
      </c>
      <c r="J135" s="80" t="str">
        <f aca="false">IF($B135="","",IF($D135="","－",IF(ISNUMBER($D135),IF(AND($D135&gt;=1,MOD($D135,1)=0),"－",IF(MOD($D135,1)&lt;$L$6,"朝",IF(MOD($D135,1)&lt;$L$7,"昼",IF(MOD($D135,1)&lt;$L$8,"夕方","夜")))),IF(OR($D135="朝",$D135="昼",$D135="夕方",$D135="夜"),$D135,"⚠ 不明"))))</f>
        <v>夕方</v>
      </c>
    </row>
    <row r="136" customFormat="false" ht="15" hidden="false" customHeight="false" outlineLevel="0" collapsed="false">
      <c r="A136" s="75" t="n">
        <v>46255</v>
      </c>
      <c r="B136" s="76" t="s">
        <v>85</v>
      </c>
      <c r="C136" s="77" t="n">
        <v>22</v>
      </c>
      <c r="D136" s="78" t="n">
        <v>0.8125</v>
      </c>
      <c r="E136" s="77" t="n">
        <v>10560</v>
      </c>
      <c r="F136" s="76"/>
      <c r="G136" s="76"/>
      <c r="I136" s="79" t="str">
        <f aca="false">IF($B136="","",IF(ISNUMBER(MATCH($B136,日別データ!$B$13:$B$32,0)),"✔ OK","⚠ 未登録"))</f>
        <v>✔ OK</v>
      </c>
      <c r="J136" s="80" t="str">
        <f aca="false">IF($B136="","",IF($D136="","－",IF(ISNUMBER($D136),IF(AND($D136&gt;=1,MOD($D136,1)=0),"－",IF(MOD($D136,1)&lt;$L$6,"朝",IF(MOD($D136,1)&lt;$L$7,"昼",IF(MOD($D136,1)&lt;$L$8,"夕方","夜")))),IF(OR($D136="朝",$D136="昼",$D136="夕方",$D136="夜"),$D136,"⚠ 不明"))))</f>
        <v>夜</v>
      </c>
    </row>
    <row r="137" customFormat="false" ht="15" hidden="false" customHeight="false" outlineLevel="0" collapsed="false">
      <c r="A137" s="75" t="n">
        <v>46255</v>
      </c>
      <c r="B137" s="76" t="s">
        <v>86</v>
      </c>
      <c r="C137" s="77" t="n">
        <v>20</v>
      </c>
      <c r="D137" s="78" t="n">
        <v>0.4375</v>
      </c>
      <c r="E137" s="77" t="n">
        <v>8400</v>
      </c>
      <c r="F137" s="76"/>
      <c r="G137" s="76"/>
      <c r="I137" s="79" t="str">
        <f aca="false">IF($B137="","",IF(ISNUMBER(MATCH($B137,日別データ!$B$13:$B$32,0)),"✔ OK","⚠ 未登録"))</f>
        <v>✔ OK</v>
      </c>
      <c r="J137" s="80" t="str">
        <f aca="false">IF($B137="","",IF($D137="","－",IF(ISNUMBER($D137),IF(AND($D137&gt;=1,MOD($D137,1)=0),"－",IF(MOD($D137,1)&lt;$L$6,"朝",IF(MOD($D137,1)&lt;$L$7,"昼",IF(MOD($D137,1)&lt;$L$8,"夕方","夜")))),IF(OR($D137="朝",$D137="昼",$D137="夕方",$D137="夜"),$D137,"⚠ 不明"))))</f>
        <v>朝</v>
      </c>
    </row>
    <row r="138" customFormat="false" ht="15" hidden="false" customHeight="false" outlineLevel="0" collapsed="false">
      <c r="A138" s="75" t="n">
        <v>46255</v>
      </c>
      <c r="B138" s="76" t="s">
        <v>86</v>
      </c>
      <c r="C138" s="77" t="n">
        <v>36</v>
      </c>
      <c r="D138" s="78" t="n">
        <v>0.541666666666667</v>
      </c>
      <c r="E138" s="77" t="n">
        <v>15120</v>
      </c>
      <c r="F138" s="76"/>
      <c r="G138" s="76"/>
      <c r="I138" s="79" t="str">
        <f aca="false">IF($B138="","",IF(ISNUMBER(MATCH($B138,日別データ!$B$13:$B$32,0)),"✔ OK","⚠ 未登録"))</f>
        <v>✔ OK</v>
      </c>
      <c r="J138" s="80" t="str">
        <f aca="false">IF($B138="","",IF($D138="","－",IF(ISNUMBER($D138),IF(AND($D138&gt;=1,MOD($D138,1)=0),"－",IF(MOD($D138,1)&lt;$L$6,"朝",IF(MOD($D138,1)&lt;$L$7,"昼",IF(MOD($D138,1)&lt;$L$8,"夕方","夜")))),IF(OR($D138="朝",$D138="昼",$D138="夕方",$D138="夜"),$D138,"⚠ 不明"))))</f>
        <v>昼</v>
      </c>
    </row>
    <row r="139" customFormat="false" ht="15" hidden="false" customHeight="false" outlineLevel="0" collapsed="false">
      <c r="A139" s="75" t="n">
        <v>46255</v>
      </c>
      <c r="B139" s="76" t="s">
        <v>86</v>
      </c>
      <c r="C139" s="77" t="n">
        <v>29</v>
      </c>
      <c r="D139" s="78" t="n">
        <v>0.6875</v>
      </c>
      <c r="E139" s="77" t="n">
        <v>12180</v>
      </c>
      <c r="F139" s="76"/>
      <c r="G139" s="76"/>
      <c r="I139" s="79" t="str">
        <f aca="false">IF($B139="","",IF(ISNUMBER(MATCH($B139,日別データ!$B$13:$B$32,0)),"✔ OK","⚠ 未登録"))</f>
        <v>✔ OK</v>
      </c>
      <c r="J139" s="80" t="str">
        <f aca="false">IF($B139="","",IF($D139="","－",IF(ISNUMBER($D139),IF(AND($D139&gt;=1,MOD($D139,1)=0),"－",IF(MOD($D139,1)&lt;$L$6,"朝",IF(MOD($D139,1)&lt;$L$7,"昼",IF(MOD($D139,1)&lt;$L$8,"夕方","夜")))),IF(OR($D139="朝",$D139="昼",$D139="夕方",$D139="夜"),$D139,"⚠ 不明"))))</f>
        <v>夕方</v>
      </c>
    </row>
    <row r="140" customFormat="false" ht="15" hidden="false" customHeight="false" outlineLevel="0" collapsed="false">
      <c r="A140" s="75" t="n">
        <v>46255</v>
      </c>
      <c r="B140" s="76" t="s">
        <v>86</v>
      </c>
      <c r="C140" s="77" t="n">
        <v>49</v>
      </c>
      <c r="D140" s="78" t="n">
        <v>0.8125</v>
      </c>
      <c r="E140" s="77" t="n">
        <v>20580</v>
      </c>
      <c r="F140" s="76"/>
      <c r="G140" s="76"/>
      <c r="I140" s="79" t="str">
        <f aca="false">IF($B140="","",IF(ISNUMBER(MATCH($B140,日別データ!$B$13:$B$32,0)),"✔ OK","⚠ 未登録"))</f>
        <v>✔ OK</v>
      </c>
      <c r="J140" s="80" t="str">
        <f aca="false">IF($B140="","",IF($D140="","－",IF(ISNUMBER($D140),IF(AND($D140&gt;=1,MOD($D140,1)=0),"－",IF(MOD($D140,1)&lt;$L$6,"朝",IF(MOD($D140,1)&lt;$L$7,"昼",IF(MOD($D140,1)&lt;$L$8,"夕方","夜")))),IF(OR($D140="朝",$D140="昼",$D140="夕方",$D140="夜"),$D140,"⚠ 不明"))))</f>
        <v>夜</v>
      </c>
    </row>
    <row r="141" customFormat="false" ht="15" hidden="false" customHeight="false" outlineLevel="0" collapsed="false">
      <c r="A141" s="75" t="n">
        <v>46255</v>
      </c>
      <c r="B141" s="76" t="s">
        <v>87</v>
      </c>
      <c r="C141" s="77" t="n">
        <v>11</v>
      </c>
      <c r="D141" s="78" t="n">
        <v>0.4375</v>
      </c>
      <c r="E141" s="77" t="n">
        <v>4950</v>
      </c>
      <c r="F141" s="76"/>
      <c r="G141" s="76"/>
      <c r="I141" s="79" t="str">
        <f aca="false">IF($B141="","",IF(ISNUMBER(MATCH($B141,日別データ!$B$13:$B$32,0)),"✔ OK","⚠ 未登録"))</f>
        <v>✔ OK</v>
      </c>
      <c r="J141" s="80" t="str">
        <f aca="false">IF($B141="","",IF($D141="","－",IF(ISNUMBER($D141),IF(AND($D141&gt;=1,MOD($D141,1)=0),"－",IF(MOD($D141,1)&lt;$L$6,"朝",IF(MOD($D141,1)&lt;$L$7,"昼",IF(MOD($D141,1)&lt;$L$8,"夕方","夜")))),IF(OR($D141="朝",$D141="昼",$D141="夕方",$D141="夜"),$D141,"⚠ 不明"))))</f>
        <v>朝</v>
      </c>
    </row>
    <row r="142" customFormat="false" ht="15" hidden="false" customHeight="false" outlineLevel="0" collapsed="false">
      <c r="A142" s="75" t="n">
        <v>46255</v>
      </c>
      <c r="B142" s="76" t="s">
        <v>87</v>
      </c>
      <c r="C142" s="77" t="n">
        <v>24</v>
      </c>
      <c r="D142" s="78" t="n">
        <v>0.541666666666667</v>
      </c>
      <c r="E142" s="77" t="n">
        <v>10800</v>
      </c>
      <c r="F142" s="76"/>
      <c r="G142" s="76"/>
      <c r="I142" s="79" t="str">
        <f aca="false">IF($B142="","",IF(ISNUMBER(MATCH($B142,日別データ!$B$13:$B$32,0)),"✔ OK","⚠ 未登録"))</f>
        <v>✔ OK</v>
      </c>
      <c r="J142" s="80" t="str">
        <f aca="false">IF($B142="","",IF($D142="","－",IF(ISNUMBER($D142),IF(AND($D142&gt;=1,MOD($D142,1)=0),"－",IF(MOD($D142,1)&lt;$L$6,"朝",IF(MOD($D142,1)&lt;$L$7,"昼",IF(MOD($D142,1)&lt;$L$8,"夕方","夜")))),IF(OR($D142="朝",$D142="昼",$D142="夕方",$D142="夜"),$D142,"⚠ 不明"))))</f>
        <v>昼</v>
      </c>
    </row>
    <row r="143" customFormat="false" ht="15" hidden="false" customHeight="false" outlineLevel="0" collapsed="false">
      <c r="A143" s="75" t="n">
        <v>46255</v>
      </c>
      <c r="B143" s="76" t="s">
        <v>87</v>
      </c>
      <c r="C143" s="77" t="n">
        <v>15</v>
      </c>
      <c r="D143" s="78" t="n">
        <v>0.6875</v>
      </c>
      <c r="E143" s="77" t="n">
        <v>6750</v>
      </c>
      <c r="F143" s="76"/>
      <c r="G143" s="76"/>
      <c r="I143" s="79" t="str">
        <f aca="false">IF($B143="","",IF(ISNUMBER(MATCH($B143,日別データ!$B$13:$B$32,0)),"✔ OK","⚠ 未登録"))</f>
        <v>✔ OK</v>
      </c>
      <c r="J143" s="80" t="str">
        <f aca="false">IF($B143="","",IF($D143="","－",IF(ISNUMBER($D143),IF(AND($D143&gt;=1,MOD($D143,1)=0),"－",IF(MOD($D143,1)&lt;$L$6,"朝",IF(MOD($D143,1)&lt;$L$7,"昼",IF(MOD($D143,1)&lt;$L$8,"夕方","夜")))),IF(OR($D143="朝",$D143="昼",$D143="夕方",$D143="夜"),$D143,"⚠ 不明"))))</f>
        <v>夕方</v>
      </c>
    </row>
    <row r="144" customFormat="false" ht="15" hidden="false" customHeight="false" outlineLevel="0" collapsed="false">
      <c r="A144" s="75" t="n">
        <v>46255</v>
      </c>
      <c r="B144" s="76" t="s">
        <v>87</v>
      </c>
      <c r="C144" s="77" t="n">
        <v>21</v>
      </c>
      <c r="D144" s="78" t="n">
        <v>0.8125</v>
      </c>
      <c r="E144" s="77" t="n">
        <v>9450</v>
      </c>
      <c r="F144" s="76"/>
      <c r="G144" s="76"/>
      <c r="I144" s="79" t="str">
        <f aca="false">IF($B144="","",IF(ISNUMBER(MATCH($B144,日別データ!$B$13:$B$32,0)),"✔ OK","⚠ 未登録"))</f>
        <v>✔ OK</v>
      </c>
      <c r="J144" s="80" t="str">
        <f aca="false">IF($B144="","",IF($D144="","－",IF(ISNUMBER($D144),IF(AND($D144&gt;=1,MOD($D144,1)=0),"－",IF(MOD($D144,1)&lt;$L$6,"朝",IF(MOD($D144,1)&lt;$L$7,"昼",IF(MOD($D144,1)&lt;$L$8,"夕方","夜")))),IF(OR($D144="朝",$D144="昼",$D144="夕方",$D144="夜"),$D144,"⚠ 不明"))))</f>
        <v>夜</v>
      </c>
    </row>
    <row r="145" customFormat="false" ht="15" hidden="false" customHeight="false" outlineLevel="0" collapsed="false">
      <c r="A145" s="75" t="n">
        <v>46255</v>
      </c>
      <c r="B145" s="76" t="s">
        <v>88</v>
      </c>
      <c r="C145" s="77" t="n">
        <v>10</v>
      </c>
      <c r="D145" s="78" t="n">
        <v>0.4375</v>
      </c>
      <c r="E145" s="77" t="n">
        <v>3500</v>
      </c>
      <c r="F145" s="76"/>
      <c r="G145" s="76"/>
      <c r="I145" s="79" t="str">
        <f aca="false">IF($B145="","",IF(ISNUMBER(MATCH($B145,日別データ!$B$13:$B$32,0)),"✔ OK","⚠ 未登録"))</f>
        <v>✔ OK</v>
      </c>
      <c r="J145" s="80" t="str">
        <f aca="false">IF($B145="","",IF($D145="","－",IF(ISNUMBER($D145),IF(AND($D145&gt;=1,MOD($D145,1)=0),"－",IF(MOD($D145,1)&lt;$L$6,"朝",IF(MOD($D145,1)&lt;$L$7,"昼",IF(MOD($D145,1)&lt;$L$8,"夕方","夜")))),IF(OR($D145="朝",$D145="昼",$D145="夕方",$D145="夜"),$D145,"⚠ 不明"))))</f>
        <v>朝</v>
      </c>
    </row>
    <row r="146" customFormat="false" ht="15" hidden="false" customHeight="false" outlineLevel="0" collapsed="false">
      <c r="A146" s="75" t="n">
        <v>46255</v>
      </c>
      <c r="B146" s="76" t="s">
        <v>88</v>
      </c>
      <c r="C146" s="77" t="n">
        <v>21</v>
      </c>
      <c r="D146" s="78" t="n">
        <v>0.541666666666667</v>
      </c>
      <c r="E146" s="77" t="n">
        <v>7350</v>
      </c>
      <c r="F146" s="76"/>
      <c r="G146" s="76"/>
      <c r="I146" s="79" t="str">
        <f aca="false">IF($B146="","",IF(ISNUMBER(MATCH($B146,日別データ!$B$13:$B$32,0)),"✔ OK","⚠ 未登録"))</f>
        <v>✔ OK</v>
      </c>
      <c r="J146" s="80" t="str">
        <f aca="false">IF($B146="","",IF($D146="","－",IF(ISNUMBER($D146),IF(AND($D146&gt;=1,MOD($D146,1)=0),"－",IF(MOD($D146,1)&lt;$L$6,"朝",IF(MOD($D146,1)&lt;$L$7,"昼",IF(MOD($D146,1)&lt;$L$8,"夕方","夜")))),IF(OR($D146="朝",$D146="昼",$D146="夕方",$D146="夜"),$D146,"⚠ 不明"))))</f>
        <v>昼</v>
      </c>
    </row>
    <row r="147" customFormat="false" ht="15" hidden="false" customHeight="false" outlineLevel="0" collapsed="false">
      <c r="A147" s="75" t="n">
        <v>46255</v>
      </c>
      <c r="B147" s="76" t="s">
        <v>88</v>
      </c>
      <c r="C147" s="77" t="n">
        <v>18</v>
      </c>
      <c r="D147" s="78" t="n">
        <v>0.6875</v>
      </c>
      <c r="E147" s="77" t="n">
        <v>6300</v>
      </c>
      <c r="F147" s="76"/>
      <c r="G147" s="76"/>
      <c r="I147" s="79" t="str">
        <f aca="false">IF($B147="","",IF(ISNUMBER(MATCH($B147,日別データ!$B$13:$B$32,0)),"✔ OK","⚠ 未登録"))</f>
        <v>✔ OK</v>
      </c>
      <c r="J147" s="80" t="str">
        <f aca="false">IF($B147="","",IF($D147="","－",IF(ISNUMBER($D147),IF(AND($D147&gt;=1,MOD($D147,1)=0),"－",IF(MOD($D147,1)&lt;$L$6,"朝",IF(MOD($D147,1)&lt;$L$7,"昼",IF(MOD($D147,1)&lt;$L$8,"夕方","夜")))),IF(OR($D147="朝",$D147="昼",$D147="夕方",$D147="夜"),$D147,"⚠ 不明"))))</f>
        <v>夕方</v>
      </c>
    </row>
    <row r="148" customFormat="false" ht="15" hidden="false" customHeight="false" outlineLevel="0" collapsed="false">
      <c r="A148" s="75" t="n">
        <v>46255</v>
      </c>
      <c r="B148" s="76" t="s">
        <v>88</v>
      </c>
      <c r="C148" s="77" t="n">
        <v>23</v>
      </c>
      <c r="D148" s="78" t="n">
        <v>0.8125</v>
      </c>
      <c r="E148" s="77" t="n">
        <v>8050</v>
      </c>
      <c r="F148" s="76"/>
      <c r="G148" s="76"/>
      <c r="I148" s="79" t="str">
        <f aca="false">IF($B148="","",IF(ISNUMBER(MATCH($B148,日別データ!$B$13:$B$32,0)),"✔ OK","⚠ 未登録"))</f>
        <v>✔ OK</v>
      </c>
      <c r="J148" s="80" t="str">
        <f aca="false">IF($B148="","",IF($D148="","－",IF(ISNUMBER($D148),IF(AND($D148&gt;=1,MOD($D148,1)=0),"－",IF(MOD($D148,1)&lt;$L$6,"朝",IF(MOD($D148,1)&lt;$L$7,"昼",IF(MOD($D148,1)&lt;$L$8,"夕方","夜")))),IF(OR($D148="朝",$D148="昼",$D148="夕方",$D148="夜"),$D148,"⚠ 不明"))))</f>
        <v>夜</v>
      </c>
    </row>
    <row r="149" customFormat="false" ht="15" hidden="false" customHeight="false" outlineLevel="0" collapsed="false">
      <c r="A149" s="75" t="n">
        <v>46256</v>
      </c>
      <c r="B149" s="76" t="s">
        <v>101</v>
      </c>
      <c r="C149" s="77" t="n">
        <v>85</v>
      </c>
      <c r="D149" s="78" t="n">
        <v>0.4375</v>
      </c>
      <c r="E149" s="77" t="n">
        <v>46750</v>
      </c>
      <c r="F149" s="76"/>
      <c r="G149" s="76"/>
      <c r="I149" s="79" t="str">
        <f aca="false">IF($B149="","",IF(ISNUMBER(MATCH($B149,日別データ!$B$13:$B$32,0)),"✔ OK","⚠ 未登録"))</f>
        <v>✔ OK</v>
      </c>
      <c r="J149" s="80" t="str">
        <f aca="false">IF($B149="","",IF($D149="","－",IF(ISNUMBER($D149),IF(AND($D149&gt;=1,MOD($D149,1)=0),"－",IF(MOD($D149,1)&lt;$L$6,"朝",IF(MOD($D149,1)&lt;$L$7,"昼",IF(MOD($D149,1)&lt;$L$8,"夕方","夜")))),IF(OR($D149="朝",$D149="昼",$D149="夕方",$D149="夜"),$D149,"⚠ 不明"))))</f>
        <v>朝</v>
      </c>
    </row>
    <row r="150" customFormat="false" ht="15" hidden="false" customHeight="false" outlineLevel="0" collapsed="false">
      <c r="A150" s="75" t="n">
        <v>46256</v>
      </c>
      <c r="B150" s="76" t="s">
        <v>101</v>
      </c>
      <c r="C150" s="77" t="n">
        <v>238</v>
      </c>
      <c r="D150" s="78" t="n">
        <v>0.541666666666667</v>
      </c>
      <c r="E150" s="77" t="n">
        <v>130900</v>
      </c>
      <c r="F150" s="76"/>
      <c r="G150" s="76"/>
      <c r="I150" s="79" t="str">
        <f aca="false">IF($B150="","",IF(ISNUMBER(MATCH($B150,日別データ!$B$13:$B$32,0)),"✔ OK","⚠ 未登録"))</f>
        <v>✔ OK</v>
      </c>
      <c r="J150" s="80" t="str">
        <f aca="false">IF($B150="","",IF($D150="","－",IF(ISNUMBER($D150),IF(AND($D150&gt;=1,MOD($D150,1)=0),"－",IF(MOD($D150,1)&lt;$L$6,"朝",IF(MOD($D150,1)&lt;$L$7,"昼",IF(MOD($D150,1)&lt;$L$8,"夕方","夜")))),IF(OR($D150="朝",$D150="昼",$D150="夕方",$D150="夜"),$D150,"⚠ 不明"))))</f>
        <v>昼</v>
      </c>
    </row>
    <row r="151" customFormat="false" ht="15" hidden="false" customHeight="false" outlineLevel="0" collapsed="false">
      <c r="A151" s="75" t="n">
        <v>46256</v>
      </c>
      <c r="B151" s="76" t="s">
        <v>101</v>
      </c>
      <c r="C151" s="77" t="n">
        <v>155</v>
      </c>
      <c r="D151" s="78" t="n">
        <v>0.6875</v>
      </c>
      <c r="E151" s="77" t="n">
        <v>85250</v>
      </c>
      <c r="F151" s="76"/>
      <c r="G151" s="76"/>
      <c r="I151" s="79" t="str">
        <f aca="false">IF($B151="","",IF(ISNUMBER(MATCH($B151,日別データ!$B$13:$B$32,0)),"✔ OK","⚠ 未登録"))</f>
        <v>✔ OK</v>
      </c>
      <c r="J151" s="80" t="str">
        <f aca="false">IF($B151="","",IF($D151="","－",IF(ISNUMBER($D151),IF(AND($D151&gt;=1,MOD($D151,1)=0),"－",IF(MOD($D151,1)&lt;$L$6,"朝",IF(MOD($D151,1)&lt;$L$7,"昼",IF(MOD($D151,1)&lt;$L$8,"夕方","夜")))),IF(OR($D151="朝",$D151="昼",$D151="夕方",$D151="夜"),$D151,"⚠ 不明"))))</f>
        <v>夕方</v>
      </c>
    </row>
    <row r="152" customFormat="false" ht="15" hidden="false" customHeight="false" outlineLevel="0" collapsed="false">
      <c r="A152" s="75" t="n">
        <v>46256</v>
      </c>
      <c r="B152" s="76" t="s">
        <v>101</v>
      </c>
      <c r="C152" s="77" t="n">
        <v>192</v>
      </c>
      <c r="D152" s="78" t="n">
        <v>0.8125</v>
      </c>
      <c r="E152" s="77" t="n">
        <v>105600</v>
      </c>
      <c r="F152" s="76"/>
      <c r="G152" s="76"/>
      <c r="I152" s="79" t="str">
        <f aca="false">IF($B152="","",IF(ISNUMBER(MATCH($B152,日別データ!$B$13:$B$32,0)),"✔ OK","⚠ 未登録"))</f>
        <v>✔ OK</v>
      </c>
      <c r="J152" s="80" t="str">
        <f aca="false">IF($B152="","",IF($D152="","－",IF(ISNUMBER($D152),IF(AND($D152&gt;=1,MOD($D152,1)=0),"－",IF(MOD($D152,1)&lt;$L$6,"朝",IF(MOD($D152,1)&lt;$L$7,"昼",IF(MOD($D152,1)&lt;$L$8,"夕方","夜")))),IF(OR($D152="朝",$D152="昼",$D152="夕方",$D152="夜"),$D152,"⚠ 不明"))))</f>
        <v>夜</v>
      </c>
    </row>
    <row r="153" customFormat="false" ht="15" hidden="false" customHeight="false" outlineLevel="0" collapsed="false">
      <c r="A153" s="75" t="n">
        <v>46256</v>
      </c>
      <c r="B153" s="76" t="s">
        <v>106</v>
      </c>
      <c r="C153" s="77" t="n">
        <v>64</v>
      </c>
      <c r="D153" s="78" t="n">
        <v>0.4375</v>
      </c>
      <c r="E153" s="77" t="n">
        <v>36480</v>
      </c>
      <c r="F153" s="76"/>
      <c r="G153" s="76"/>
      <c r="I153" s="79" t="str">
        <f aca="false">IF($B153="","",IF(ISNUMBER(MATCH($B153,日別データ!$B$13:$B$32,0)),"✔ OK","⚠ 未登録"))</f>
        <v>✔ OK</v>
      </c>
      <c r="J153" s="80" t="str">
        <f aca="false">IF($B153="","",IF($D153="","－",IF(ISNUMBER($D153),IF(AND($D153&gt;=1,MOD($D153,1)=0),"－",IF(MOD($D153,1)&lt;$L$6,"朝",IF(MOD($D153,1)&lt;$L$7,"昼",IF(MOD($D153,1)&lt;$L$8,"夕方","夜")))),IF(OR($D153="朝",$D153="昼",$D153="夕方",$D153="夜"),$D153,"⚠ 不明"))))</f>
        <v>朝</v>
      </c>
    </row>
    <row r="154" customFormat="false" ht="15" hidden="false" customHeight="false" outlineLevel="0" collapsed="false">
      <c r="A154" s="75" t="n">
        <v>46256</v>
      </c>
      <c r="B154" s="76" t="s">
        <v>106</v>
      </c>
      <c r="C154" s="77" t="n">
        <v>168</v>
      </c>
      <c r="D154" s="78" t="n">
        <v>0.541666666666667</v>
      </c>
      <c r="E154" s="77" t="n">
        <v>95760</v>
      </c>
      <c r="F154" s="76"/>
      <c r="G154" s="76"/>
      <c r="I154" s="79" t="str">
        <f aca="false">IF($B154="","",IF(ISNUMBER(MATCH($B154,日別データ!$B$13:$B$32,0)),"✔ OK","⚠ 未登録"))</f>
        <v>✔ OK</v>
      </c>
      <c r="J154" s="80" t="str">
        <f aca="false">IF($B154="","",IF($D154="","－",IF(ISNUMBER($D154),IF(AND($D154&gt;=1,MOD($D154,1)=0),"－",IF(MOD($D154,1)&lt;$L$6,"朝",IF(MOD($D154,1)&lt;$L$7,"昼",IF(MOD($D154,1)&lt;$L$8,"夕方","夜")))),IF(OR($D154="朝",$D154="昼",$D154="夕方",$D154="夜"),$D154,"⚠ 不明"))))</f>
        <v>昼</v>
      </c>
    </row>
    <row r="155" customFormat="false" ht="15" hidden="false" customHeight="false" outlineLevel="0" collapsed="false">
      <c r="A155" s="75" t="n">
        <v>46256</v>
      </c>
      <c r="B155" s="76" t="s">
        <v>106</v>
      </c>
      <c r="C155" s="77" t="n">
        <v>126</v>
      </c>
      <c r="D155" s="78" t="n">
        <v>0.6875</v>
      </c>
      <c r="E155" s="77" t="n">
        <v>71820</v>
      </c>
      <c r="F155" s="76"/>
      <c r="G155" s="76"/>
      <c r="I155" s="79" t="str">
        <f aca="false">IF($B155="","",IF(ISNUMBER(MATCH($B155,日別データ!$B$13:$B$32,0)),"✔ OK","⚠ 未登録"))</f>
        <v>✔ OK</v>
      </c>
      <c r="J155" s="80" t="str">
        <f aca="false">IF($B155="","",IF($D155="","－",IF(ISNUMBER($D155),IF(AND($D155&gt;=1,MOD($D155,1)=0),"－",IF(MOD($D155,1)&lt;$L$6,"朝",IF(MOD($D155,1)&lt;$L$7,"昼",IF(MOD($D155,1)&lt;$L$8,"夕方","夜")))),IF(OR($D155="朝",$D155="昼",$D155="夕方",$D155="夜"),$D155,"⚠ 不明"))))</f>
        <v>夕方</v>
      </c>
    </row>
    <row r="156" customFormat="false" ht="15" hidden="false" customHeight="false" outlineLevel="0" collapsed="false">
      <c r="A156" s="75" t="n">
        <v>46256</v>
      </c>
      <c r="B156" s="76" t="s">
        <v>106</v>
      </c>
      <c r="C156" s="77" t="n">
        <v>126</v>
      </c>
      <c r="D156" s="78" t="n">
        <v>0.8125</v>
      </c>
      <c r="E156" s="77" t="n">
        <v>71820</v>
      </c>
      <c r="F156" s="76"/>
      <c r="G156" s="76"/>
      <c r="I156" s="79" t="str">
        <f aca="false">IF($B156="","",IF(ISNUMBER(MATCH($B156,日別データ!$B$13:$B$32,0)),"✔ OK","⚠ 未登録"))</f>
        <v>✔ OK</v>
      </c>
      <c r="J156" s="80" t="str">
        <f aca="false">IF($B156="","",IF($D156="","－",IF(ISNUMBER($D156),IF(AND($D156&gt;=1,MOD($D156,1)=0),"－",IF(MOD($D156,1)&lt;$L$6,"朝",IF(MOD($D156,1)&lt;$L$7,"昼",IF(MOD($D156,1)&lt;$L$8,"夕方","夜")))),IF(OR($D156="朝",$D156="昼",$D156="夕方",$D156="夜"),$D156,"⚠ 不明"))))</f>
        <v>夜</v>
      </c>
    </row>
    <row r="157" customFormat="false" ht="15" hidden="false" customHeight="false" outlineLevel="0" collapsed="false">
      <c r="A157" s="75" t="n">
        <v>46256</v>
      </c>
      <c r="B157" s="76" t="s">
        <v>79</v>
      </c>
      <c r="C157" s="77" t="n">
        <v>44</v>
      </c>
      <c r="D157" s="78" t="n">
        <v>0.4375</v>
      </c>
      <c r="E157" s="77" t="n">
        <v>26400</v>
      </c>
      <c r="F157" s="76"/>
      <c r="G157" s="76"/>
      <c r="I157" s="79" t="str">
        <f aca="false">IF($B157="","",IF(ISNUMBER(MATCH($B157,日別データ!$B$13:$B$32,0)),"✔ OK","⚠ 未登録"))</f>
        <v>✔ OK</v>
      </c>
      <c r="J157" s="80" t="str">
        <f aca="false">IF($B157="","",IF($D157="","－",IF(ISNUMBER($D157),IF(AND($D157&gt;=1,MOD($D157,1)=0),"－",IF(MOD($D157,1)&lt;$L$6,"朝",IF(MOD($D157,1)&lt;$L$7,"昼",IF(MOD($D157,1)&lt;$L$8,"夕方","夜")))),IF(OR($D157="朝",$D157="昼",$D157="夕方",$D157="夜"),$D157,"⚠ 不明"))))</f>
        <v>朝</v>
      </c>
    </row>
    <row r="158" customFormat="false" ht="15" hidden="false" customHeight="false" outlineLevel="0" collapsed="false">
      <c r="A158" s="75" t="n">
        <v>46256</v>
      </c>
      <c r="B158" s="76" t="s">
        <v>79</v>
      </c>
      <c r="C158" s="77" t="n">
        <v>88</v>
      </c>
      <c r="D158" s="78" t="n">
        <v>0.541666666666667</v>
      </c>
      <c r="E158" s="77" t="n">
        <v>52800</v>
      </c>
      <c r="F158" s="76"/>
      <c r="G158" s="76"/>
      <c r="I158" s="79" t="str">
        <f aca="false">IF($B158="","",IF(ISNUMBER(MATCH($B158,日別データ!$B$13:$B$32,0)),"✔ OK","⚠ 未登録"))</f>
        <v>✔ OK</v>
      </c>
      <c r="J158" s="80" t="str">
        <f aca="false">IF($B158="","",IF($D158="","－",IF(ISNUMBER($D158),IF(AND($D158&gt;=1,MOD($D158,1)=0),"－",IF(MOD($D158,1)&lt;$L$6,"朝",IF(MOD($D158,1)&lt;$L$7,"昼",IF(MOD($D158,1)&lt;$L$8,"夕方","夜")))),IF(OR($D158="朝",$D158="昼",$D158="夕方",$D158="夜"),$D158,"⚠ 不明"))))</f>
        <v>昼</v>
      </c>
    </row>
    <row r="159" customFormat="false" ht="15" hidden="false" customHeight="false" outlineLevel="0" collapsed="false">
      <c r="A159" s="75" t="n">
        <v>46256</v>
      </c>
      <c r="B159" s="76" t="s">
        <v>79</v>
      </c>
      <c r="C159" s="77" t="n">
        <v>81</v>
      </c>
      <c r="D159" s="78" t="n">
        <v>0.6875</v>
      </c>
      <c r="E159" s="77" t="n">
        <v>48600</v>
      </c>
      <c r="F159" s="76"/>
      <c r="G159" s="76"/>
      <c r="I159" s="79" t="str">
        <f aca="false">IF($B159="","",IF(ISNUMBER(MATCH($B159,日別データ!$B$13:$B$32,0)),"✔ OK","⚠ 未登録"))</f>
        <v>✔ OK</v>
      </c>
      <c r="J159" s="80" t="str">
        <f aca="false">IF($B159="","",IF($D159="","－",IF(ISNUMBER($D159),IF(AND($D159&gt;=1,MOD($D159,1)=0),"－",IF(MOD($D159,1)&lt;$L$6,"朝",IF(MOD($D159,1)&lt;$L$7,"昼",IF(MOD($D159,1)&lt;$L$8,"夕方","夜")))),IF(OR($D159="朝",$D159="昼",$D159="夕方",$D159="夜"),$D159,"⚠ 不明"))))</f>
        <v>夕方</v>
      </c>
    </row>
    <row r="160" customFormat="false" ht="15" hidden="false" customHeight="false" outlineLevel="0" collapsed="false">
      <c r="A160" s="75" t="n">
        <v>46256</v>
      </c>
      <c r="B160" s="76" t="s">
        <v>79</v>
      </c>
      <c r="C160" s="77" t="n">
        <v>107</v>
      </c>
      <c r="D160" s="78" t="n">
        <v>0.8125</v>
      </c>
      <c r="E160" s="77" t="n">
        <v>64200</v>
      </c>
      <c r="F160" s="76"/>
      <c r="G160" s="76"/>
      <c r="I160" s="79" t="str">
        <f aca="false">IF($B160="","",IF(ISNUMBER(MATCH($B160,日別データ!$B$13:$B$32,0)),"✔ OK","⚠ 未登録"))</f>
        <v>✔ OK</v>
      </c>
      <c r="J160" s="80" t="str">
        <f aca="false">IF($B160="","",IF($D160="","－",IF(ISNUMBER($D160),IF(AND($D160&gt;=1,MOD($D160,1)=0),"－",IF(MOD($D160,1)&lt;$L$6,"朝",IF(MOD($D160,1)&lt;$L$7,"昼",IF(MOD($D160,1)&lt;$L$8,"夕方","夜")))),IF(OR($D160="朝",$D160="昼",$D160="夕方",$D160="夜"),$D160,"⚠ 不明"))))</f>
        <v>夜</v>
      </c>
    </row>
    <row r="161" customFormat="false" ht="15" hidden="false" customHeight="false" outlineLevel="0" collapsed="false">
      <c r="A161" s="75" t="n">
        <v>46256</v>
      </c>
      <c r="B161" s="76" t="s">
        <v>107</v>
      </c>
      <c r="C161" s="77" t="n">
        <v>68</v>
      </c>
      <c r="D161" s="78" t="n">
        <v>0.4375</v>
      </c>
      <c r="E161" s="77" t="n">
        <v>23120</v>
      </c>
      <c r="F161" s="76"/>
      <c r="G161" s="76"/>
      <c r="I161" s="79" t="str">
        <f aca="false">IF($B161="","",IF(ISNUMBER(MATCH($B161,日別データ!$B$13:$B$32,0)),"✔ OK","⚠ 未登録"))</f>
        <v>✔ OK</v>
      </c>
      <c r="J161" s="80" t="str">
        <f aca="false">IF($B161="","",IF($D161="","－",IF(ISNUMBER($D161),IF(AND($D161&gt;=1,MOD($D161,1)=0),"－",IF(MOD($D161,1)&lt;$L$6,"朝",IF(MOD($D161,1)&lt;$L$7,"昼",IF(MOD($D161,1)&lt;$L$8,"夕方","夜")))),IF(OR($D161="朝",$D161="昼",$D161="夕方",$D161="夜"),$D161,"⚠ 不明"))))</f>
        <v>朝</v>
      </c>
    </row>
    <row r="162" customFormat="false" ht="15" hidden="false" customHeight="false" outlineLevel="0" collapsed="false">
      <c r="A162" s="75" t="n">
        <v>46256</v>
      </c>
      <c r="B162" s="76" t="s">
        <v>107</v>
      </c>
      <c r="C162" s="77" t="n">
        <v>126</v>
      </c>
      <c r="D162" s="78" t="n">
        <v>0.541666666666667</v>
      </c>
      <c r="E162" s="77" t="n">
        <v>42840</v>
      </c>
      <c r="F162" s="76"/>
      <c r="G162" s="76"/>
      <c r="I162" s="79" t="str">
        <f aca="false">IF($B162="","",IF(ISNUMBER(MATCH($B162,日別データ!$B$13:$B$32,0)),"✔ OK","⚠ 未登録"))</f>
        <v>✔ OK</v>
      </c>
      <c r="J162" s="80" t="str">
        <f aca="false">IF($B162="","",IF($D162="","－",IF(ISNUMBER($D162),IF(AND($D162&gt;=1,MOD($D162,1)=0),"－",IF(MOD($D162,1)&lt;$L$6,"朝",IF(MOD($D162,1)&lt;$L$7,"昼",IF(MOD($D162,1)&lt;$L$8,"夕方","夜")))),IF(OR($D162="朝",$D162="昼",$D162="夕方",$D162="夜"),$D162,"⚠ 不明"))))</f>
        <v>昼</v>
      </c>
    </row>
    <row r="163" customFormat="false" ht="15" hidden="false" customHeight="false" outlineLevel="0" collapsed="false">
      <c r="A163" s="75" t="n">
        <v>46256</v>
      </c>
      <c r="B163" s="76" t="s">
        <v>107</v>
      </c>
      <c r="C163" s="77" t="n">
        <v>106</v>
      </c>
      <c r="D163" s="78" t="n">
        <v>0.6875</v>
      </c>
      <c r="E163" s="77" t="n">
        <v>36040</v>
      </c>
      <c r="F163" s="76"/>
      <c r="G163" s="76"/>
      <c r="I163" s="79" t="str">
        <f aca="false">IF($B163="","",IF(ISNUMBER(MATCH($B163,日別データ!$B$13:$B$32,0)),"✔ OK","⚠ 未登録"))</f>
        <v>✔ OK</v>
      </c>
      <c r="J163" s="80" t="str">
        <f aca="false">IF($B163="","",IF($D163="","－",IF(ISNUMBER($D163),IF(AND($D163&gt;=1,MOD($D163,1)=0),"－",IF(MOD($D163,1)&lt;$L$6,"朝",IF(MOD($D163,1)&lt;$L$7,"昼",IF(MOD($D163,1)&lt;$L$8,"夕方","夜")))),IF(OR($D163="朝",$D163="昼",$D163="夕方",$D163="夜"),$D163,"⚠ 不明"))))</f>
        <v>夕方</v>
      </c>
    </row>
    <row r="164" customFormat="false" ht="15" hidden="false" customHeight="false" outlineLevel="0" collapsed="false">
      <c r="A164" s="75" t="n">
        <v>46256</v>
      </c>
      <c r="B164" s="76" t="s">
        <v>107</v>
      </c>
      <c r="C164" s="77" t="n">
        <v>147</v>
      </c>
      <c r="D164" s="78" t="n">
        <v>0.8125</v>
      </c>
      <c r="E164" s="77" t="n">
        <v>49980</v>
      </c>
      <c r="F164" s="76"/>
      <c r="G164" s="76"/>
      <c r="I164" s="79" t="str">
        <f aca="false">IF($B164="","",IF(ISNUMBER(MATCH($B164,日別データ!$B$13:$B$32,0)),"✔ OK","⚠ 未登録"))</f>
        <v>✔ OK</v>
      </c>
      <c r="J164" s="80" t="str">
        <f aca="false">IF($B164="","",IF($D164="","－",IF(ISNUMBER($D164),IF(AND($D164&gt;=1,MOD($D164,1)=0),"－",IF(MOD($D164,1)&lt;$L$6,"朝",IF(MOD($D164,1)&lt;$L$7,"昼",IF(MOD($D164,1)&lt;$L$8,"夕方","夜")))),IF(OR($D164="朝",$D164="昼",$D164="夕方",$D164="夜"),$D164,"⚠ 不明"))))</f>
        <v>夜</v>
      </c>
    </row>
    <row r="165" customFormat="false" ht="15" hidden="false" customHeight="false" outlineLevel="0" collapsed="false">
      <c r="A165" s="75" t="n">
        <v>46256</v>
      </c>
      <c r="B165" s="76" t="s">
        <v>108</v>
      </c>
      <c r="C165" s="77" t="n">
        <v>106</v>
      </c>
      <c r="D165" s="78" t="n">
        <v>0.4375</v>
      </c>
      <c r="E165" s="77" t="n">
        <v>42400</v>
      </c>
      <c r="F165" s="76"/>
      <c r="G165" s="76"/>
      <c r="I165" s="79" t="str">
        <f aca="false">IF($B165="","",IF(ISNUMBER(MATCH($B165,日別データ!$B$13:$B$32,0)),"✔ OK","⚠ 未登録"))</f>
        <v>✔ OK</v>
      </c>
      <c r="J165" s="80" t="str">
        <f aca="false">IF($B165="","",IF($D165="","－",IF(ISNUMBER($D165),IF(AND($D165&gt;=1,MOD($D165,1)=0),"－",IF(MOD($D165,1)&lt;$L$6,"朝",IF(MOD($D165,1)&lt;$L$7,"昼",IF(MOD($D165,1)&lt;$L$8,"夕方","夜")))),IF(OR($D165="朝",$D165="昼",$D165="夕方",$D165="夜"),$D165,"⚠ 不明"))))</f>
        <v>朝</v>
      </c>
    </row>
    <row r="166" customFormat="false" ht="15" hidden="false" customHeight="false" outlineLevel="0" collapsed="false">
      <c r="A166" s="75" t="n">
        <v>46256</v>
      </c>
      <c r="B166" s="76" t="s">
        <v>108</v>
      </c>
      <c r="C166" s="77" t="n">
        <v>284</v>
      </c>
      <c r="D166" s="78" t="n">
        <v>0.541666666666667</v>
      </c>
      <c r="E166" s="77" t="n">
        <v>113600</v>
      </c>
      <c r="F166" s="76"/>
      <c r="G166" s="76"/>
      <c r="I166" s="79" t="str">
        <f aca="false">IF($B166="","",IF(ISNUMBER(MATCH($B166,日別データ!$B$13:$B$32,0)),"✔ OK","⚠ 未登録"))</f>
        <v>✔ OK</v>
      </c>
      <c r="J166" s="80" t="str">
        <f aca="false">IF($B166="","",IF($D166="","－",IF(ISNUMBER($D166),IF(AND($D166&gt;=1,MOD($D166,1)=0),"－",IF(MOD($D166,1)&lt;$L$6,"朝",IF(MOD($D166,1)&lt;$L$7,"昼",IF(MOD($D166,1)&lt;$L$8,"夕方","夜")))),IF(OR($D166="朝",$D166="昼",$D166="夕方",$D166="夜"),$D166,"⚠ 不明"))))</f>
        <v>昼</v>
      </c>
    </row>
    <row r="167" customFormat="false" ht="15" hidden="false" customHeight="false" outlineLevel="0" collapsed="false">
      <c r="A167" s="75" t="n">
        <v>46256</v>
      </c>
      <c r="B167" s="76" t="s">
        <v>108</v>
      </c>
      <c r="C167" s="77" t="n">
        <v>194</v>
      </c>
      <c r="D167" s="78" t="n">
        <v>0.6875</v>
      </c>
      <c r="E167" s="77" t="n">
        <v>77600</v>
      </c>
      <c r="F167" s="76"/>
      <c r="G167" s="76"/>
      <c r="I167" s="79" t="str">
        <f aca="false">IF($B167="","",IF(ISNUMBER(MATCH($B167,日別データ!$B$13:$B$32,0)),"✔ OK","⚠ 未登録"))</f>
        <v>✔ OK</v>
      </c>
      <c r="J167" s="80" t="str">
        <f aca="false">IF($B167="","",IF($D167="","－",IF(ISNUMBER($D167),IF(AND($D167&gt;=1,MOD($D167,1)=0),"－",IF(MOD($D167,1)&lt;$L$6,"朝",IF(MOD($D167,1)&lt;$L$7,"昼",IF(MOD($D167,1)&lt;$L$8,"夕方","夜")))),IF(OR($D167="朝",$D167="昼",$D167="夕方",$D167="夜"),$D167,"⚠ 不明"))))</f>
        <v>夕方</v>
      </c>
    </row>
    <row r="168" customFormat="false" ht="15" hidden="false" customHeight="false" outlineLevel="0" collapsed="false">
      <c r="A168" s="75" t="n">
        <v>46256</v>
      </c>
      <c r="B168" s="76" t="s">
        <v>108</v>
      </c>
      <c r="C168" s="77" t="n">
        <v>264</v>
      </c>
      <c r="D168" s="78" t="n">
        <v>0.8125</v>
      </c>
      <c r="E168" s="77" t="n">
        <v>105600</v>
      </c>
      <c r="F168" s="76"/>
      <c r="G168" s="76"/>
      <c r="I168" s="79" t="str">
        <f aca="false">IF($B168="","",IF(ISNUMBER(MATCH($B168,日別データ!$B$13:$B$32,0)),"✔ OK","⚠ 未登録"))</f>
        <v>✔ OK</v>
      </c>
      <c r="J168" s="80" t="str">
        <f aca="false">IF($B168="","",IF($D168="","－",IF(ISNUMBER($D168),IF(AND($D168&gt;=1,MOD($D168,1)=0),"－",IF(MOD($D168,1)&lt;$L$6,"朝",IF(MOD($D168,1)&lt;$L$7,"昼",IF(MOD($D168,1)&lt;$L$8,"夕方","夜")))),IF(OR($D168="朝",$D168="昼",$D168="夕方",$D168="夜"),$D168,"⚠ 不明"))))</f>
        <v>夜</v>
      </c>
    </row>
    <row r="169" customFormat="false" ht="15" hidden="false" customHeight="false" outlineLevel="0" collapsed="false">
      <c r="A169" s="75" t="n">
        <v>46256</v>
      </c>
      <c r="B169" s="76" t="s">
        <v>109</v>
      </c>
      <c r="C169" s="77" t="n">
        <v>35</v>
      </c>
      <c r="D169" s="78" t="n">
        <v>0.4375</v>
      </c>
      <c r="E169" s="77" t="n">
        <v>16100</v>
      </c>
      <c r="F169" s="76"/>
      <c r="G169" s="76"/>
      <c r="I169" s="79" t="str">
        <f aca="false">IF($B169="","",IF(ISNUMBER(MATCH($B169,日別データ!$B$13:$B$32,0)),"✔ OK","⚠ 未登録"))</f>
        <v>✔ OK</v>
      </c>
      <c r="J169" s="80" t="str">
        <f aca="false">IF($B169="","",IF($D169="","－",IF(ISNUMBER($D169),IF(AND($D169&gt;=1,MOD($D169,1)=0),"－",IF(MOD($D169,1)&lt;$L$6,"朝",IF(MOD($D169,1)&lt;$L$7,"昼",IF(MOD($D169,1)&lt;$L$8,"夕方","夜")))),IF(OR($D169="朝",$D169="昼",$D169="夕方",$D169="夜"),$D169,"⚠ 不明"))))</f>
        <v>朝</v>
      </c>
    </row>
    <row r="170" customFormat="false" ht="15" hidden="false" customHeight="false" outlineLevel="0" collapsed="false">
      <c r="A170" s="75" t="n">
        <v>46256</v>
      </c>
      <c r="B170" s="76" t="s">
        <v>109</v>
      </c>
      <c r="C170" s="77" t="n">
        <v>76</v>
      </c>
      <c r="D170" s="78" t="n">
        <v>0.541666666666667</v>
      </c>
      <c r="E170" s="77" t="n">
        <v>34960</v>
      </c>
      <c r="F170" s="76"/>
      <c r="G170" s="76"/>
      <c r="I170" s="79" t="str">
        <f aca="false">IF($B170="","",IF(ISNUMBER(MATCH($B170,日別データ!$B$13:$B$32,0)),"✔ OK","⚠ 未登録"))</f>
        <v>✔ OK</v>
      </c>
      <c r="J170" s="80" t="str">
        <f aca="false">IF($B170="","",IF($D170="","－",IF(ISNUMBER($D170),IF(AND($D170&gt;=1,MOD($D170,1)=0),"－",IF(MOD($D170,1)&lt;$L$6,"朝",IF(MOD($D170,1)&lt;$L$7,"昼",IF(MOD($D170,1)&lt;$L$8,"夕方","夜")))),IF(OR($D170="朝",$D170="昼",$D170="夕方",$D170="夜"),$D170,"⚠ 不明"))))</f>
        <v>昼</v>
      </c>
    </row>
    <row r="171" customFormat="false" ht="15" hidden="false" customHeight="false" outlineLevel="0" collapsed="false">
      <c r="A171" s="75" t="n">
        <v>46256</v>
      </c>
      <c r="B171" s="76" t="s">
        <v>109</v>
      </c>
      <c r="C171" s="77" t="n">
        <v>73</v>
      </c>
      <c r="D171" s="78" t="n">
        <v>0.6875</v>
      </c>
      <c r="E171" s="77" t="n">
        <v>33580</v>
      </c>
      <c r="F171" s="76"/>
      <c r="G171" s="76"/>
      <c r="I171" s="79" t="str">
        <f aca="false">IF($B171="","",IF(ISNUMBER(MATCH($B171,日別データ!$B$13:$B$32,0)),"✔ OK","⚠ 未登録"))</f>
        <v>✔ OK</v>
      </c>
      <c r="J171" s="80" t="str">
        <f aca="false">IF($B171="","",IF($D171="","－",IF(ISNUMBER($D171),IF(AND($D171&gt;=1,MOD($D171,1)=0),"－",IF(MOD($D171,1)&lt;$L$6,"朝",IF(MOD($D171,1)&lt;$L$7,"昼",IF(MOD($D171,1)&lt;$L$8,"夕方","夜")))),IF(OR($D171="朝",$D171="昼",$D171="夕方",$D171="夜"),$D171,"⚠ 不明"))))</f>
        <v>夕方</v>
      </c>
    </row>
    <row r="172" customFormat="false" ht="15" hidden="false" customHeight="false" outlineLevel="0" collapsed="false">
      <c r="A172" s="75" t="n">
        <v>46256</v>
      </c>
      <c r="B172" s="76" t="s">
        <v>109</v>
      </c>
      <c r="C172" s="77" t="n">
        <v>88</v>
      </c>
      <c r="D172" s="78" t="n">
        <v>0.8125</v>
      </c>
      <c r="E172" s="77" t="n">
        <v>40480</v>
      </c>
      <c r="F172" s="76"/>
      <c r="G172" s="76"/>
      <c r="I172" s="79" t="str">
        <f aca="false">IF($B172="","",IF(ISNUMBER(MATCH($B172,日別データ!$B$13:$B$32,0)),"✔ OK","⚠ 未登録"))</f>
        <v>✔ OK</v>
      </c>
      <c r="J172" s="80" t="str">
        <f aca="false">IF($B172="","",IF($D172="","－",IF(ISNUMBER($D172),IF(AND($D172&gt;=1,MOD($D172,1)=0),"－",IF(MOD($D172,1)&lt;$L$6,"朝",IF(MOD($D172,1)&lt;$L$7,"昼",IF(MOD($D172,1)&lt;$L$8,"夕方","夜")))),IF(OR($D172="朝",$D172="昼",$D172="夕方",$D172="夜"),$D172,"⚠ 不明"))))</f>
        <v>夜</v>
      </c>
    </row>
    <row r="173" customFormat="false" ht="15" hidden="false" customHeight="false" outlineLevel="0" collapsed="false">
      <c r="A173" s="75" t="n">
        <v>46256</v>
      </c>
      <c r="B173" s="76" t="s">
        <v>83</v>
      </c>
      <c r="C173" s="77" t="n">
        <v>40</v>
      </c>
      <c r="D173" s="78" t="n">
        <v>0.4375</v>
      </c>
      <c r="E173" s="77" t="n">
        <v>15200</v>
      </c>
      <c r="F173" s="76"/>
      <c r="G173" s="76"/>
      <c r="I173" s="79" t="str">
        <f aca="false">IF($B173="","",IF(ISNUMBER(MATCH($B173,日別データ!$B$13:$B$32,0)),"✔ OK","⚠ 未登録"))</f>
        <v>✔ OK</v>
      </c>
      <c r="J173" s="80" t="str">
        <f aca="false">IF($B173="","",IF($D173="","－",IF(ISNUMBER($D173),IF(AND($D173&gt;=1,MOD($D173,1)=0),"－",IF(MOD($D173,1)&lt;$L$6,"朝",IF(MOD($D173,1)&lt;$L$7,"昼",IF(MOD($D173,1)&lt;$L$8,"夕方","夜")))),IF(OR($D173="朝",$D173="昼",$D173="夕方",$D173="夜"),$D173,"⚠ 不明"))))</f>
        <v>朝</v>
      </c>
    </row>
    <row r="174" customFormat="false" ht="15" hidden="false" customHeight="false" outlineLevel="0" collapsed="false">
      <c r="A174" s="75" t="n">
        <v>46256</v>
      </c>
      <c r="B174" s="76" t="s">
        <v>83</v>
      </c>
      <c r="C174" s="77" t="n">
        <v>78</v>
      </c>
      <c r="D174" s="78" t="n">
        <v>0.541666666666667</v>
      </c>
      <c r="E174" s="77" t="n">
        <v>29640</v>
      </c>
      <c r="F174" s="76"/>
      <c r="G174" s="76"/>
      <c r="I174" s="79" t="str">
        <f aca="false">IF($B174="","",IF(ISNUMBER(MATCH($B174,日別データ!$B$13:$B$32,0)),"✔ OK","⚠ 未登録"))</f>
        <v>✔ OK</v>
      </c>
      <c r="J174" s="80" t="str">
        <f aca="false">IF($B174="","",IF($D174="","－",IF(ISNUMBER($D174),IF(AND($D174&gt;=1,MOD($D174,1)=0),"－",IF(MOD($D174,1)&lt;$L$6,"朝",IF(MOD($D174,1)&lt;$L$7,"昼",IF(MOD($D174,1)&lt;$L$8,"夕方","夜")))),IF(OR($D174="朝",$D174="昼",$D174="夕方",$D174="夜"),$D174,"⚠ 不明"))))</f>
        <v>昼</v>
      </c>
    </row>
    <row r="175" customFormat="false" ht="15" hidden="false" customHeight="false" outlineLevel="0" collapsed="false">
      <c r="A175" s="75" t="n">
        <v>46256</v>
      </c>
      <c r="B175" s="76" t="s">
        <v>83</v>
      </c>
      <c r="C175" s="77" t="n">
        <v>61</v>
      </c>
      <c r="D175" s="78" t="n">
        <v>0.6875</v>
      </c>
      <c r="E175" s="77" t="n">
        <v>23180</v>
      </c>
      <c r="F175" s="76"/>
      <c r="G175" s="76"/>
      <c r="I175" s="79" t="str">
        <f aca="false">IF($B175="","",IF(ISNUMBER(MATCH($B175,日別データ!$B$13:$B$32,0)),"✔ OK","⚠ 未登録"))</f>
        <v>✔ OK</v>
      </c>
      <c r="J175" s="80" t="str">
        <f aca="false">IF($B175="","",IF($D175="","－",IF(ISNUMBER($D175),IF(AND($D175&gt;=1,MOD($D175,1)=0),"－",IF(MOD($D175,1)&lt;$L$6,"朝",IF(MOD($D175,1)&lt;$L$7,"昼",IF(MOD($D175,1)&lt;$L$8,"夕方","夜")))),IF(OR($D175="朝",$D175="昼",$D175="夕方",$D175="夜"),$D175,"⚠ 不明"))))</f>
        <v>夕方</v>
      </c>
    </row>
    <row r="176" customFormat="false" ht="15" hidden="false" customHeight="false" outlineLevel="0" collapsed="false">
      <c r="A176" s="75" t="n">
        <v>46256</v>
      </c>
      <c r="B176" s="76" t="s">
        <v>83</v>
      </c>
      <c r="C176" s="77" t="n">
        <v>80</v>
      </c>
      <c r="D176" s="78" t="n">
        <v>0.8125</v>
      </c>
      <c r="E176" s="77" t="n">
        <v>30400</v>
      </c>
      <c r="F176" s="76"/>
      <c r="G176" s="76"/>
      <c r="I176" s="79" t="str">
        <f aca="false">IF($B176="","",IF(ISNUMBER(MATCH($B176,日別データ!$B$13:$B$32,0)),"✔ OK","⚠ 未登録"))</f>
        <v>✔ OK</v>
      </c>
      <c r="J176" s="80" t="str">
        <f aca="false">IF($B176="","",IF($D176="","－",IF(ISNUMBER($D176),IF(AND($D176&gt;=1,MOD($D176,1)=0),"－",IF(MOD($D176,1)&lt;$L$6,"朝",IF(MOD($D176,1)&lt;$L$7,"昼",IF(MOD($D176,1)&lt;$L$8,"夕方","夜")))),IF(OR($D176="朝",$D176="昼",$D176="夕方",$D176="夜"),$D176,"⚠ 不明"))))</f>
        <v>夜</v>
      </c>
    </row>
    <row r="177" customFormat="false" ht="15" hidden="false" customHeight="false" outlineLevel="0" collapsed="false">
      <c r="A177" s="75" t="n">
        <v>46256</v>
      </c>
      <c r="B177" s="76" t="s">
        <v>84</v>
      </c>
      <c r="C177" s="77" t="n">
        <v>28</v>
      </c>
      <c r="D177" s="78" t="n">
        <v>0.4375</v>
      </c>
      <c r="E177" s="77" t="n">
        <v>14000</v>
      </c>
      <c r="F177" s="76"/>
      <c r="G177" s="76"/>
      <c r="I177" s="79" t="str">
        <f aca="false">IF($B177="","",IF(ISNUMBER(MATCH($B177,日別データ!$B$13:$B$32,0)),"✔ OK","⚠ 未登録"))</f>
        <v>✔ OK</v>
      </c>
      <c r="J177" s="80" t="str">
        <f aca="false">IF($B177="","",IF($D177="","－",IF(ISNUMBER($D177),IF(AND($D177&gt;=1,MOD($D177,1)=0),"－",IF(MOD($D177,1)&lt;$L$6,"朝",IF(MOD($D177,1)&lt;$L$7,"昼",IF(MOD($D177,1)&lt;$L$8,"夕方","夜")))),IF(OR($D177="朝",$D177="昼",$D177="夕方",$D177="夜"),$D177,"⚠ 不明"))))</f>
        <v>朝</v>
      </c>
    </row>
    <row r="178" customFormat="false" ht="15" hidden="false" customHeight="false" outlineLevel="0" collapsed="false">
      <c r="A178" s="75" t="n">
        <v>46256</v>
      </c>
      <c r="B178" s="76" t="s">
        <v>84</v>
      </c>
      <c r="C178" s="77" t="n">
        <v>64</v>
      </c>
      <c r="D178" s="78" t="n">
        <v>0.541666666666667</v>
      </c>
      <c r="E178" s="77" t="n">
        <v>32000</v>
      </c>
      <c r="F178" s="76"/>
      <c r="G178" s="76"/>
      <c r="I178" s="79" t="str">
        <f aca="false">IF($B178="","",IF(ISNUMBER(MATCH($B178,日別データ!$B$13:$B$32,0)),"✔ OK","⚠ 未登録"))</f>
        <v>✔ OK</v>
      </c>
      <c r="J178" s="80" t="str">
        <f aca="false">IF($B178="","",IF($D178="","－",IF(ISNUMBER($D178),IF(AND($D178&gt;=1,MOD($D178,1)=0),"－",IF(MOD($D178,1)&lt;$L$6,"朝",IF(MOD($D178,1)&lt;$L$7,"昼",IF(MOD($D178,1)&lt;$L$8,"夕方","夜")))),IF(OR($D178="朝",$D178="昼",$D178="夕方",$D178="夜"),$D178,"⚠ 不明"))))</f>
        <v>昼</v>
      </c>
    </row>
    <row r="179" customFormat="false" ht="15" hidden="false" customHeight="false" outlineLevel="0" collapsed="false">
      <c r="A179" s="75" t="n">
        <v>46256</v>
      </c>
      <c r="B179" s="76" t="s">
        <v>84</v>
      </c>
      <c r="C179" s="77" t="n">
        <v>58</v>
      </c>
      <c r="D179" s="78" t="n">
        <v>0.6875</v>
      </c>
      <c r="E179" s="77" t="n">
        <v>29000</v>
      </c>
      <c r="F179" s="76"/>
      <c r="G179" s="76"/>
      <c r="I179" s="79" t="str">
        <f aca="false">IF($B179="","",IF(ISNUMBER(MATCH($B179,日別データ!$B$13:$B$32,0)),"✔ OK","⚠ 未登録"))</f>
        <v>✔ OK</v>
      </c>
      <c r="J179" s="80" t="str">
        <f aca="false">IF($B179="","",IF($D179="","－",IF(ISNUMBER($D179),IF(AND($D179&gt;=1,MOD($D179,1)=0),"－",IF(MOD($D179,1)&lt;$L$6,"朝",IF(MOD($D179,1)&lt;$L$7,"昼",IF(MOD($D179,1)&lt;$L$8,"夕方","夜")))),IF(OR($D179="朝",$D179="昼",$D179="夕方",$D179="夜"),$D179,"⚠ 不明"))))</f>
        <v>夕方</v>
      </c>
    </row>
    <row r="180" customFormat="false" ht="15" hidden="false" customHeight="false" outlineLevel="0" collapsed="false">
      <c r="A180" s="75" t="n">
        <v>46256</v>
      </c>
      <c r="B180" s="76" t="s">
        <v>84</v>
      </c>
      <c r="C180" s="77" t="n">
        <v>77</v>
      </c>
      <c r="D180" s="78" t="n">
        <v>0.8125</v>
      </c>
      <c r="E180" s="77" t="n">
        <v>38500</v>
      </c>
      <c r="F180" s="76"/>
      <c r="G180" s="76"/>
      <c r="I180" s="79" t="str">
        <f aca="false">IF($B180="","",IF(ISNUMBER(MATCH($B180,日別データ!$B$13:$B$32,0)),"✔ OK","⚠ 未登録"))</f>
        <v>✔ OK</v>
      </c>
      <c r="J180" s="80" t="str">
        <f aca="false">IF($B180="","",IF($D180="","－",IF(ISNUMBER($D180),IF(AND($D180&gt;=1,MOD($D180,1)=0),"－",IF(MOD($D180,1)&lt;$L$6,"朝",IF(MOD($D180,1)&lt;$L$7,"昼",IF(MOD($D180,1)&lt;$L$8,"夕方","夜")))),IF(OR($D180="朝",$D180="昼",$D180="夕方",$D180="夜"),$D180,"⚠ 不明"))))</f>
        <v>夜</v>
      </c>
    </row>
    <row r="181" customFormat="false" ht="15" hidden="false" customHeight="false" outlineLevel="0" collapsed="false">
      <c r="A181" s="75" t="n">
        <v>46256</v>
      </c>
      <c r="B181" s="76" t="s">
        <v>85</v>
      </c>
      <c r="C181" s="77" t="n">
        <v>24</v>
      </c>
      <c r="D181" s="78" t="n">
        <v>0.4375</v>
      </c>
      <c r="E181" s="77" t="n">
        <v>11520</v>
      </c>
      <c r="F181" s="76"/>
      <c r="G181" s="76"/>
      <c r="I181" s="79" t="str">
        <f aca="false">IF($B181="","",IF(ISNUMBER(MATCH($B181,日別データ!$B$13:$B$32,0)),"✔ OK","⚠ 未登録"))</f>
        <v>✔ OK</v>
      </c>
      <c r="J181" s="80" t="str">
        <f aca="false">IF($B181="","",IF($D181="","－",IF(ISNUMBER($D181),IF(AND($D181&gt;=1,MOD($D181,1)=0),"－",IF(MOD($D181,1)&lt;$L$6,"朝",IF(MOD($D181,1)&lt;$L$7,"昼",IF(MOD($D181,1)&lt;$L$8,"夕方","夜")))),IF(OR($D181="朝",$D181="昼",$D181="夕方",$D181="夜"),$D181,"⚠ 不明"))))</f>
        <v>朝</v>
      </c>
    </row>
    <row r="182" customFormat="false" ht="15" hidden="false" customHeight="false" outlineLevel="0" collapsed="false">
      <c r="A182" s="75" t="n">
        <v>46256</v>
      </c>
      <c r="B182" s="76" t="s">
        <v>85</v>
      </c>
      <c r="C182" s="77" t="n">
        <v>56</v>
      </c>
      <c r="D182" s="78" t="n">
        <v>0.541666666666667</v>
      </c>
      <c r="E182" s="77" t="n">
        <v>26880</v>
      </c>
      <c r="F182" s="76"/>
      <c r="G182" s="76"/>
      <c r="I182" s="79" t="str">
        <f aca="false">IF($B182="","",IF(ISNUMBER(MATCH($B182,日別データ!$B$13:$B$32,0)),"✔ OK","⚠ 未登録"))</f>
        <v>✔ OK</v>
      </c>
      <c r="J182" s="80" t="str">
        <f aca="false">IF($B182="","",IF($D182="","－",IF(ISNUMBER($D182),IF(AND($D182&gt;=1,MOD($D182,1)=0),"－",IF(MOD($D182,1)&lt;$L$6,"朝",IF(MOD($D182,1)&lt;$L$7,"昼",IF(MOD($D182,1)&lt;$L$8,"夕方","夜")))),IF(OR($D182="朝",$D182="昼",$D182="夕方",$D182="夜"),$D182,"⚠ 不明"))))</f>
        <v>昼</v>
      </c>
    </row>
    <row r="183" customFormat="false" ht="15" hidden="false" customHeight="false" outlineLevel="0" collapsed="false">
      <c r="A183" s="75" t="n">
        <v>46256</v>
      </c>
      <c r="B183" s="76" t="s">
        <v>85</v>
      </c>
      <c r="C183" s="77" t="n">
        <v>33</v>
      </c>
      <c r="D183" s="78" t="n">
        <v>0.6875</v>
      </c>
      <c r="E183" s="77" t="n">
        <v>15840</v>
      </c>
      <c r="F183" s="76"/>
      <c r="G183" s="76"/>
      <c r="I183" s="79" t="str">
        <f aca="false">IF($B183="","",IF(ISNUMBER(MATCH($B183,日別データ!$B$13:$B$32,0)),"✔ OK","⚠ 未登録"))</f>
        <v>✔ OK</v>
      </c>
      <c r="J183" s="80" t="str">
        <f aca="false">IF($B183="","",IF($D183="","－",IF(ISNUMBER($D183),IF(AND($D183&gt;=1,MOD($D183,1)=0),"－",IF(MOD($D183,1)&lt;$L$6,"朝",IF(MOD($D183,1)&lt;$L$7,"昼",IF(MOD($D183,1)&lt;$L$8,"夕方","夜")))),IF(OR($D183="朝",$D183="昼",$D183="夕方",$D183="夜"),$D183,"⚠ 不明"))))</f>
        <v>夕方</v>
      </c>
    </row>
    <row r="184" customFormat="false" ht="15" hidden="false" customHeight="false" outlineLevel="0" collapsed="false">
      <c r="A184" s="75" t="n">
        <v>46256</v>
      </c>
      <c r="B184" s="76" t="s">
        <v>85</v>
      </c>
      <c r="C184" s="77" t="n">
        <v>47</v>
      </c>
      <c r="D184" s="78" t="n">
        <v>0.8125</v>
      </c>
      <c r="E184" s="77" t="n">
        <v>22560</v>
      </c>
      <c r="F184" s="76"/>
      <c r="G184" s="76"/>
      <c r="I184" s="79" t="str">
        <f aca="false">IF($B184="","",IF(ISNUMBER(MATCH($B184,日別データ!$B$13:$B$32,0)),"✔ OK","⚠ 未登録"))</f>
        <v>✔ OK</v>
      </c>
      <c r="J184" s="80" t="str">
        <f aca="false">IF($B184="","",IF($D184="","－",IF(ISNUMBER($D184),IF(AND($D184&gt;=1,MOD($D184,1)=0),"－",IF(MOD($D184,1)&lt;$L$6,"朝",IF(MOD($D184,1)&lt;$L$7,"昼",IF(MOD($D184,1)&lt;$L$8,"夕方","夜")))),IF(OR($D184="朝",$D184="昼",$D184="夕方",$D184="夜"),$D184,"⚠ 不明"))))</f>
        <v>夜</v>
      </c>
    </row>
    <row r="185" customFormat="false" ht="15" hidden="false" customHeight="false" outlineLevel="0" collapsed="false">
      <c r="A185" s="75" t="n">
        <v>46256</v>
      </c>
      <c r="B185" s="76" t="s">
        <v>86</v>
      </c>
      <c r="C185" s="77" t="n">
        <v>26</v>
      </c>
      <c r="D185" s="78" t="n">
        <v>0.4375</v>
      </c>
      <c r="E185" s="77" t="n">
        <v>10920</v>
      </c>
      <c r="F185" s="76"/>
      <c r="G185" s="76"/>
      <c r="I185" s="79" t="str">
        <f aca="false">IF($B185="","",IF(ISNUMBER(MATCH($B185,日別データ!$B$13:$B$32,0)),"✔ OK","⚠ 未登録"))</f>
        <v>✔ OK</v>
      </c>
      <c r="J185" s="80" t="str">
        <f aca="false">IF($B185="","",IF($D185="","－",IF(ISNUMBER($D185),IF(AND($D185&gt;=1,MOD($D185,1)=0),"－",IF(MOD($D185,1)&lt;$L$6,"朝",IF(MOD($D185,1)&lt;$L$7,"昼",IF(MOD($D185,1)&lt;$L$8,"夕方","夜")))),IF(OR($D185="朝",$D185="昼",$D185="夕方",$D185="夜"),$D185,"⚠ 不明"))))</f>
        <v>朝</v>
      </c>
    </row>
    <row r="186" customFormat="false" ht="15" hidden="false" customHeight="false" outlineLevel="0" collapsed="false">
      <c r="A186" s="75" t="n">
        <v>46256</v>
      </c>
      <c r="B186" s="76" t="s">
        <v>86</v>
      </c>
      <c r="C186" s="77" t="n">
        <v>57</v>
      </c>
      <c r="D186" s="78" t="n">
        <v>0.541666666666667</v>
      </c>
      <c r="E186" s="77" t="n">
        <v>23940</v>
      </c>
      <c r="F186" s="76"/>
      <c r="G186" s="76"/>
      <c r="I186" s="79" t="str">
        <f aca="false">IF($B186="","",IF(ISNUMBER(MATCH($B186,日別データ!$B$13:$B$32,0)),"✔ OK","⚠ 未登録"))</f>
        <v>✔ OK</v>
      </c>
      <c r="J186" s="80" t="str">
        <f aca="false">IF($B186="","",IF($D186="","－",IF(ISNUMBER($D186),IF(AND($D186&gt;=1,MOD($D186,1)=0),"－",IF(MOD($D186,1)&lt;$L$6,"朝",IF(MOD($D186,1)&lt;$L$7,"昼",IF(MOD($D186,1)&lt;$L$8,"夕方","夜")))),IF(OR($D186="朝",$D186="昼",$D186="夕方",$D186="夜"),$D186,"⚠ 不明"))))</f>
        <v>昼</v>
      </c>
    </row>
    <row r="187" customFormat="false" ht="15" hidden="false" customHeight="false" outlineLevel="0" collapsed="false">
      <c r="A187" s="75" t="n">
        <v>46256</v>
      </c>
      <c r="B187" s="76" t="s">
        <v>86</v>
      </c>
      <c r="C187" s="77" t="n">
        <v>51</v>
      </c>
      <c r="D187" s="78" t="n">
        <v>0.6875</v>
      </c>
      <c r="E187" s="77" t="n">
        <v>21420</v>
      </c>
      <c r="F187" s="76"/>
      <c r="G187" s="76"/>
      <c r="I187" s="79" t="str">
        <f aca="false">IF($B187="","",IF(ISNUMBER(MATCH($B187,日別データ!$B$13:$B$32,0)),"✔ OK","⚠ 未登録"))</f>
        <v>✔ OK</v>
      </c>
      <c r="J187" s="80" t="str">
        <f aca="false">IF($B187="","",IF($D187="","－",IF(ISNUMBER($D187),IF(AND($D187&gt;=1,MOD($D187,1)=0),"－",IF(MOD($D187,1)&lt;$L$6,"朝",IF(MOD($D187,1)&lt;$L$7,"昼",IF(MOD($D187,1)&lt;$L$8,"夕方","夜")))),IF(OR($D187="朝",$D187="昼",$D187="夕方",$D187="夜"),$D187,"⚠ 不明"))))</f>
        <v>夕方</v>
      </c>
    </row>
    <row r="188" customFormat="false" ht="15" hidden="false" customHeight="false" outlineLevel="0" collapsed="false">
      <c r="A188" s="75" t="n">
        <v>46256</v>
      </c>
      <c r="B188" s="76" t="s">
        <v>86</v>
      </c>
      <c r="C188" s="77" t="n">
        <v>70</v>
      </c>
      <c r="D188" s="78" t="n">
        <v>0.8125</v>
      </c>
      <c r="E188" s="77" t="n">
        <v>29400</v>
      </c>
      <c r="F188" s="76"/>
      <c r="G188" s="76"/>
      <c r="I188" s="79" t="str">
        <f aca="false">IF($B188="","",IF(ISNUMBER(MATCH($B188,日別データ!$B$13:$B$32,0)),"✔ OK","⚠ 未登録"))</f>
        <v>✔ OK</v>
      </c>
      <c r="J188" s="80" t="str">
        <f aca="false">IF($B188="","",IF($D188="","－",IF(ISNUMBER($D188),IF(AND($D188&gt;=1,MOD($D188,1)=0),"－",IF(MOD($D188,1)&lt;$L$6,"朝",IF(MOD($D188,1)&lt;$L$7,"昼",IF(MOD($D188,1)&lt;$L$8,"夕方","夜")))),IF(OR($D188="朝",$D188="昼",$D188="夕方",$D188="夜"),$D188,"⚠ 不明"))))</f>
        <v>夜</v>
      </c>
    </row>
    <row r="189" customFormat="false" ht="15" hidden="false" customHeight="false" outlineLevel="0" collapsed="false">
      <c r="A189" s="75" t="n">
        <v>46256</v>
      </c>
      <c r="B189" s="76" t="s">
        <v>87</v>
      </c>
      <c r="C189" s="77" t="n">
        <v>15</v>
      </c>
      <c r="D189" s="78" t="n">
        <v>0.4375</v>
      </c>
      <c r="E189" s="77" t="n">
        <v>6750</v>
      </c>
      <c r="F189" s="76"/>
      <c r="G189" s="76"/>
      <c r="I189" s="79" t="str">
        <f aca="false">IF($B189="","",IF(ISNUMBER(MATCH($B189,日別データ!$B$13:$B$32,0)),"✔ OK","⚠ 未登録"))</f>
        <v>✔ OK</v>
      </c>
      <c r="J189" s="80" t="str">
        <f aca="false">IF($B189="","",IF($D189="","－",IF(ISNUMBER($D189),IF(AND($D189&gt;=1,MOD($D189,1)=0),"－",IF(MOD($D189,1)&lt;$L$6,"朝",IF(MOD($D189,1)&lt;$L$7,"昼",IF(MOD($D189,1)&lt;$L$8,"夕方","夜")))),IF(OR($D189="朝",$D189="昼",$D189="夕方",$D189="夜"),$D189,"⚠ 不明"))))</f>
        <v>朝</v>
      </c>
    </row>
    <row r="190" customFormat="false" ht="15" hidden="false" customHeight="false" outlineLevel="0" collapsed="false">
      <c r="A190" s="75" t="n">
        <v>46256</v>
      </c>
      <c r="B190" s="76" t="s">
        <v>87</v>
      </c>
      <c r="C190" s="77" t="n">
        <v>38</v>
      </c>
      <c r="D190" s="78" t="n">
        <v>0.541666666666667</v>
      </c>
      <c r="E190" s="77" t="n">
        <v>17100</v>
      </c>
      <c r="F190" s="76"/>
      <c r="G190" s="76"/>
      <c r="I190" s="79" t="str">
        <f aca="false">IF($B190="","",IF(ISNUMBER(MATCH($B190,日別データ!$B$13:$B$32,0)),"✔ OK","⚠ 未登録"))</f>
        <v>✔ OK</v>
      </c>
      <c r="J190" s="80" t="str">
        <f aca="false">IF($B190="","",IF($D190="","－",IF(ISNUMBER($D190),IF(AND($D190&gt;=1,MOD($D190,1)=0),"－",IF(MOD($D190,1)&lt;$L$6,"朝",IF(MOD($D190,1)&lt;$L$7,"昼",IF(MOD($D190,1)&lt;$L$8,"夕方","夜")))),IF(OR($D190="朝",$D190="昼",$D190="夕方",$D190="夜"),$D190,"⚠ 不明"))))</f>
        <v>昼</v>
      </c>
    </row>
    <row r="191" customFormat="false" ht="15" hidden="false" customHeight="false" outlineLevel="0" collapsed="false">
      <c r="A191" s="75" t="n">
        <v>46256</v>
      </c>
      <c r="B191" s="76" t="s">
        <v>87</v>
      </c>
      <c r="C191" s="77" t="n">
        <v>25</v>
      </c>
      <c r="D191" s="78" t="n">
        <v>0.6875</v>
      </c>
      <c r="E191" s="77" t="n">
        <v>11250</v>
      </c>
      <c r="F191" s="76"/>
      <c r="G191" s="76"/>
      <c r="I191" s="79" t="str">
        <f aca="false">IF($B191="","",IF(ISNUMBER(MATCH($B191,日別データ!$B$13:$B$32,0)),"✔ OK","⚠ 未登録"))</f>
        <v>✔ OK</v>
      </c>
      <c r="J191" s="80" t="str">
        <f aca="false">IF($B191="","",IF($D191="","－",IF(ISNUMBER($D191),IF(AND($D191&gt;=1,MOD($D191,1)=0),"－",IF(MOD($D191,1)&lt;$L$6,"朝",IF(MOD($D191,1)&lt;$L$7,"昼",IF(MOD($D191,1)&lt;$L$8,"夕方","夜")))),IF(OR($D191="朝",$D191="昼",$D191="夕方",$D191="夜"),$D191,"⚠ 不明"))))</f>
        <v>夕方</v>
      </c>
    </row>
    <row r="192" customFormat="false" ht="15" hidden="false" customHeight="false" outlineLevel="0" collapsed="false">
      <c r="A192" s="75" t="n">
        <v>46256</v>
      </c>
      <c r="B192" s="76" t="s">
        <v>87</v>
      </c>
      <c r="C192" s="77" t="n">
        <v>42</v>
      </c>
      <c r="D192" s="78" t="n">
        <v>0.8125</v>
      </c>
      <c r="E192" s="77" t="n">
        <v>18900</v>
      </c>
      <c r="F192" s="76"/>
      <c r="G192" s="76"/>
      <c r="I192" s="79" t="str">
        <f aca="false">IF($B192="","",IF(ISNUMBER(MATCH($B192,日別データ!$B$13:$B$32,0)),"✔ OK","⚠ 未登録"))</f>
        <v>✔ OK</v>
      </c>
      <c r="J192" s="80" t="str">
        <f aca="false">IF($B192="","",IF($D192="","－",IF(ISNUMBER($D192),IF(AND($D192&gt;=1,MOD($D192,1)=0),"－",IF(MOD($D192,1)&lt;$L$6,"朝",IF(MOD($D192,1)&lt;$L$7,"昼",IF(MOD($D192,1)&lt;$L$8,"夕方","夜")))),IF(OR($D192="朝",$D192="昼",$D192="夕方",$D192="夜"),$D192,"⚠ 不明"))))</f>
        <v>夜</v>
      </c>
    </row>
    <row r="193" customFormat="false" ht="15" hidden="false" customHeight="false" outlineLevel="0" collapsed="false">
      <c r="A193" s="75" t="n">
        <v>46256</v>
      </c>
      <c r="B193" s="76" t="s">
        <v>88</v>
      </c>
      <c r="C193" s="77" t="n">
        <v>17</v>
      </c>
      <c r="D193" s="78" t="n">
        <v>0.4375</v>
      </c>
      <c r="E193" s="77" t="n">
        <v>5950</v>
      </c>
      <c r="F193" s="76"/>
      <c r="G193" s="76"/>
      <c r="I193" s="79" t="str">
        <f aca="false">IF($B193="","",IF(ISNUMBER(MATCH($B193,日別データ!$B$13:$B$32,0)),"✔ OK","⚠ 未登録"))</f>
        <v>✔ OK</v>
      </c>
      <c r="J193" s="80" t="str">
        <f aca="false">IF($B193="","",IF($D193="","－",IF(ISNUMBER($D193),IF(AND($D193&gt;=1,MOD($D193,1)=0),"－",IF(MOD($D193,1)&lt;$L$6,"朝",IF(MOD($D193,1)&lt;$L$7,"昼",IF(MOD($D193,1)&lt;$L$8,"夕方","夜")))),IF(OR($D193="朝",$D193="昼",$D193="夕方",$D193="夜"),$D193,"⚠ 不明"))))</f>
        <v>朝</v>
      </c>
    </row>
    <row r="194" customFormat="false" ht="15" hidden="false" customHeight="false" outlineLevel="0" collapsed="false">
      <c r="A194" s="75" t="n">
        <v>46256</v>
      </c>
      <c r="B194" s="76" t="s">
        <v>88</v>
      </c>
      <c r="C194" s="77" t="n">
        <v>44</v>
      </c>
      <c r="D194" s="78" t="n">
        <v>0.541666666666667</v>
      </c>
      <c r="E194" s="77" t="n">
        <v>15400</v>
      </c>
      <c r="F194" s="76"/>
      <c r="G194" s="76"/>
      <c r="I194" s="79" t="str">
        <f aca="false">IF($B194="","",IF(ISNUMBER(MATCH($B194,日別データ!$B$13:$B$32,0)),"✔ OK","⚠ 未登録"))</f>
        <v>✔ OK</v>
      </c>
      <c r="J194" s="80" t="str">
        <f aca="false">IF($B194="","",IF($D194="","－",IF(ISNUMBER($D194),IF(AND($D194&gt;=1,MOD($D194,1)=0),"－",IF(MOD($D194,1)&lt;$L$6,"朝",IF(MOD($D194,1)&lt;$L$7,"昼",IF(MOD($D194,1)&lt;$L$8,"夕方","夜")))),IF(OR($D194="朝",$D194="昼",$D194="夕方",$D194="夜"),$D194,"⚠ 不明"))))</f>
        <v>昼</v>
      </c>
    </row>
    <row r="195" customFormat="false" ht="15" hidden="false" customHeight="false" outlineLevel="0" collapsed="false">
      <c r="A195" s="75" t="n">
        <v>46256</v>
      </c>
      <c r="B195" s="76" t="s">
        <v>88</v>
      </c>
      <c r="C195" s="77" t="n">
        <v>31</v>
      </c>
      <c r="D195" s="78" t="n">
        <v>0.6875</v>
      </c>
      <c r="E195" s="77" t="n">
        <v>10850</v>
      </c>
      <c r="F195" s="76"/>
      <c r="G195" s="76"/>
      <c r="I195" s="79" t="str">
        <f aca="false">IF($B195="","",IF(ISNUMBER(MATCH($B195,日別データ!$B$13:$B$32,0)),"✔ OK","⚠ 未登録"))</f>
        <v>✔ OK</v>
      </c>
      <c r="J195" s="80" t="str">
        <f aca="false">IF($B195="","",IF($D195="","－",IF(ISNUMBER($D195),IF(AND($D195&gt;=1,MOD($D195,1)=0),"－",IF(MOD($D195,1)&lt;$L$6,"朝",IF(MOD($D195,1)&lt;$L$7,"昼",IF(MOD($D195,1)&lt;$L$8,"夕方","夜")))),IF(OR($D195="朝",$D195="昼",$D195="夕方",$D195="夜"),$D195,"⚠ 不明"))))</f>
        <v>夕方</v>
      </c>
    </row>
    <row r="196" customFormat="false" ht="15" hidden="false" customHeight="false" outlineLevel="0" collapsed="false">
      <c r="A196" s="75" t="n">
        <v>46256</v>
      </c>
      <c r="B196" s="76" t="s">
        <v>88</v>
      </c>
      <c r="C196" s="77" t="n">
        <v>37</v>
      </c>
      <c r="D196" s="78" t="n">
        <v>0.8125</v>
      </c>
      <c r="E196" s="77" t="n">
        <v>12950</v>
      </c>
      <c r="F196" s="76"/>
      <c r="G196" s="76"/>
      <c r="I196" s="79" t="str">
        <f aca="false">IF($B196="","",IF(ISNUMBER(MATCH($B196,日別データ!$B$13:$B$32,0)),"✔ OK","⚠ 未登録"))</f>
        <v>✔ OK</v>
      </c>
      <c r="J196" s="80" t="str">
        <f aca="false">IF($B196="","",IF($D196="","－",IF(ISNUMBER($D196),IF(AND($D196&gt;=1,MOD($D196,1)=0),"－",IF(MOD($D196,1)&lt;$L$6,"朝",IF(MOD($D196,1)&lt;$L$7,"昼",IF(MOD($D196,1)&lt;$L$8,"夕方","夜")))),IF(OR($D196="朝",$D196="昼",$D196="夕方",$D196="夜"),$D196,"⚠ 不明"))))</f>
        <v>夜</v>
      </c>
    </row>
    <row r="197" customFormat="false" ht="15" hidden="false" customHeight="false" outlineLevel="0" collapsed="false">
      <c r="A197" s="75" t="n">
        <v>46257</v>
      </c>
      <c r="B197" s="76" t="s">
        <v>101</v>
      </c>
      <c r="C197" s="77" t="n">
        <v>74</v>
      </c>
      <c r="D197" s="78" t="n">
        <v>0.4375</v>
      </c>
      <c r="E197" s="77" t="n">
        <v>40700</v>
      </c>
      <c r="F197" s="76"/>
      <c r="G197" s="76"/>
      <c r="I197" s="79" t="str">
        <f aca="false">IF($B197="","",IF(ISNUMBER(MATCH($B197,日別データ!$B$13:$B$32,0)),"✔ OK","⚠ 未登録"))</f>
        <v>✔ OK</v>
      </c>
      <c r="J197" s="80" t="str">
        <f aca="false">IF($B197="","",IF($D197="","－",IF(ISNUMBER($D197),IF(AND($D197&gt;=1,MOD($D197,1)=0),"－",IF(MOD($D197,1)&lt;$L$6,"朝",IF(MOD($D197,1)&lt;$L$7,"昼",IF(MOD($D197,1)&lt;$L$8,"夕方","夜")))),IF(OR($D197="朝",$D197="昼",$D197="夕方",$D197="夜"),$D197,"⚠ 不明"))))</f>
        <v>朝</v>
      </c>
    </row>
    <row r="198" customFormat="false" ht="15" hidden="false" customHeight="false" outlineLevel="0" collapsed="false">
      <c r="A198" s="75" t="n">
        <v>46257</v>
      </c>
      <c r="B198" s="76" t="s">
        <v>101</v>
      </c>
      <c r="C198" s="77" t="n">
        <v>206</v>
      </c>
      <c r="D198" s="78" t="n">
        <v>0.541666666666667</v>
      </c>
      <c r="E198" s="77" t="n">
        <v>113300</v>
      </c>
      <c r="F198" s="76"/>
      <c r="G198" s="76"/>
      <c r="I198" s="79" t="str">
        <f aca="false">IF($B198="","",IF(ISNUMBER(MATCH($B198,日別データ!$B$13:$B$32,0)),"✔ OK","⚠ 未登録"))</f>
        <v>✔ OK</v>
      </c>
      <c r="J198" s="80" t="str">
        <f aca="false">IF($B198="","",IF($D198="","－",IF(ISNUMBER($D198),IF(AND($D198&gt;=1,MOD($D198,1)=0),"－",IF(MOD($D198,1)&lt;$L$6,"朝",IF(MOD($D198,1)&lt;$L$7,"昼",IF(MOD($D198,1)&lt;$L$8,"夕方","夜")))),IF(OR($D198="朝",$D198="昼",$D198="夕方",$D198="夜"),$D198,"⚠ 不明"))))</f>
        <v>昼</v>
      </c>
    </row>
    <row r="199" customFormat="false" ht="15" hidden="false" customHeight="false" outlineLevel="0" collapsed="false">
      <c r="A199" s="75" t="n">
        <v>46257</v>
      </c>
      <c r="B199" s="76" t="s">
        <v>101</v>
      </c>
      <c r="C199" s="77" t="n">
        <v>163</v>
      </c>
      <c r="D199" s="78" t="n">
        <v>0.6875</v>
      </c>
      <c r="E199" s="77" t="n">
        <v>89650</v>
      </c>
      <c r="F199" s="76"/>
      <c r="G199" s="76"/>
      <c r="I199" s="79" t="str">
        <f aca="false">IF($B199="","",IF(ISNUMBER(MATCH($B199,日別データ!$B$13:$B$32,0)),"✔ OK","⚠ 未登録"))</f>
        <v>✔ OK</v>
      </c>
      <c r="J199" s="80" t="str">
        <f aca="false">IF($B199="","",IF($D199="","－",IF(ISNUMBER($D199),IF(AND($D199&gt;=1,MOD($D199,1)=0),"－",IF(MOD($D199,1)&lt;$L$6,"朝",IF(MOD($D199,1)&lt;$L$7,"昼",IF(MOD($D199,1)&lt;$L$8,"夕方","夜")))),IF(OR($D199="朝",$D199="昼",$D199="夕方",$D199="夜"),$D199,"⚠ 不明"))))</f>
        <v>夕方</v>
      </c>
    </row>
    <row r="200" customFormat="false" ht="15" hidden="false" customHeight="false" outlineLevel="0" collapsed="false">
      <c r="A200" s="75" t="n">
        <v>46257</v>
      </c>
      <c r="B200" s="76" t="s">
        <v>101</v>
      </c>
      <c r="C200" s="77" t="n">
        <v>170</v>
      </c>
      <c r="D200" s="78" t="n">
        <v>0.8125</v>
      </c>
      <c r="E200" s="77" t="n">
        <v>93500</v>
      </c>
      <c r="F200" s="76"/>
      <c r="G200" s="76"/>
      <c r="I200" s="79" t="str">
        <f aca="false">IF($B200="","",IF(ISNUMBER(MATCH($B200,日別データ!$B$13:$B$32,0)),"✔ OK","⚠ 未登録"))</f>
        <v>✔ OK</v>
      </c>
      <c r="J200" s="80" t="str">
        <f aca="false">IF($B200="","",IF($D200="","－",IF(ISNUMBER($D200),IF(AND($D200&gt;=1,MOD($D200,1)=0),"－",IF(MOD($D200,1)&lt;$L$6,"朝",IF(MOD($D200,1)&lt;$L$7,"昼",IF(MOD($D200,1)&lt;$L$8,"夕方","夜")))),IF(OR($D200="朝",$D200="昼",$D200="夕方",$D200="夜"),$D200,"⚠ 不明"))))</f>
        <v>夜</v>
      </c>
    </row>
    <row r="201" customFormat="false" ht="15" hidden="false" customHeight="false" outlineLevel="0" collapsed="false">
      <c r="A201" s="75" t="n">
        <v>46257</v>
      </c>
      <c r="B201" s="76" t="s">
        <v>106</v>
      </c>
      <c r="C201" s="77" t="n">
        <v>62</v>
      </c>
      <c r="D201" s="78" t="n">
        <v>0.4375</v>
      </c>
      <c r="E201" s="77" t="n">
        <v>35340</v>
      </c>
      <c r="F201" s="76"/>
      <c r="G201" s="76"/>
      <c r="I201" s="79" t="str">
        <f aca="false">IF($B201="","",IF(ISNUMBER(MATCH($B201,日別データ!$B$13:$B$32,0)),"✔ OK","⚠ 未登録"))</f>
        <v>✔ OK</v>
      </c>
      <c r="J201" s="80" t="str">
        <f aca="false">IF($B201="","",IF($D201="","－",IF(ISNUMBER($D201),IF(AND($D201&gt;=1,MOD($D201,1)=0),"－",IF(MOD($D201,1)&lt;$L$6,"朝",IF(MOD($D201,1)&lt;$L$7,"昼",IF(MOD($D201,1)&lt;$L$8,"夕方","夜")))),IF(OR($D201="朝",$D201="昼",$D201="夕方",$D201="夜"),$D201,"⚠ 不明"))))</f>
        <v>朝</v>
      </c>
    </row>
    <row r="202" customFormat="false" ht="15" hidden="false" customHeight="false" outlineLevel="0" collapsed="false">
      <c r="A202" s="75" t="n">
        <v>46257</v>
      </c>
      <c r="B202" s="76" t="s">
        <v>106</v>
      </c>
      <c r="C202" s="77" t="n">
        <v>119</v>
      </c>
      <c r="D202" s="78" t="n">
        <v>0.541666666666667</v>
      </c>
      <c r="E202" s="77" t="n">
        <v>67830</v>
      </c>
      <c r="F202" s="76"/>
      <c r="G202" s="76"/>
      <c r="I202" s="79" t="str">
        <f aca="false">IF($B202="","",IF(ISNUMBER(MATCH($B202,日別データ!$B$13:$B$32,0)),"✔ OK","⚠ 未登録"))</f>
        <v>✔ OK</v>
      </c>
      <c r="J202" s="80" t="str">
        <f aca="false">IF($B202="","",IF($D202="","－",IF(ISNUMBER($D202),IF(AND($D202&gt;=1,MOD($D202,1)=0),"－",IF(MOD($D202,1)&lt;$L$6,"朝",IF(MOD($D202,1)&lt;$L$7,"昼",IF(MOD($D202,1)&lt;$L$8,"夕方","夜")))),IF(OR($D202="朝",$D202="昼",$D202="夕方",$D202="夜"),$D202,"⚠ 不明"))))</f>
        <v>昼</v>
      </c>
    </row>
    <row r="203" customFormat="false" ht="15" hidden="false" customHeight="false" outlineLevel="0" collapsed="false">
      <c r="A203" s="75" t="n">
        <v>46257</v>
      </c>
      <c r="B203" s="76" t="s">
        <v>106</v>
      </c>
      <c r="C203" s="77" t="n">
        <v>115</v>
      </c>
      <c r="D203" s="78" t="n">
        <v>0.6875</v>
      </c>
      <c r="E203" s="77" t="n">
        <v>65550</v>
      </c>
      <c r="F203" s="76"/>
      <c r="G203" s="76"/>
      <c r="I203" s="79" t="str">
        <f aca="false">IF($B203="","",IF(ISNUMBER(MATCH($B203,日別データ!$B$13:$B$32,0)),"✔ OK","⚠ 未登録"))</f>
        <v>✔ OK</v>
      </c>
      <c r="J203" s="80" t="str">
        <f aca="false">IF($B203="","",IF($D203="","－",IF(ISNUMBER($D203),IF(AND($D203&gt;=1,MOD($D203,1)=0),"－",IF(MOD($D203,1)&lt;$L$6,"朝",IF(MOD($D203,1)&lt;$L$7,"昼",IF(MOD($D203,1)&lt;$L$8,"夕方","夜")))),IF(OR($D203="朝",$D203="昼",$D203="夕方",$D203="夜"),$D203,"⚠ 不明"))))</f>
        <v>夕方</v>
      </c>
    </row>
    <row r="204" customFormat="false" ht="15" hidden="false" customHeight="false" outlineLevel="0" collapsed="false">
      <c r="A204" s="75" t="n">
        <v>46257</v>
      </c>
      <c r="B204" s="76" t="s">
        <v>106</v>
      </c>
      <c r="C204" s="77" t="n">
        <v>148</v>
      </c>
      <c r="D204" s="78" t="n">
        <v>0.8125</v>
      </c>
      <c r="E204" s="77" t="n">
        <v>84360</v>
      </c>
      <c r="F204" s="76"/>
      <c r="G204" s="76"/>
      <c r="I204" s="79" t="str">
        <f aca="false">IF($B204="","",IF(ISNUMBER(MATCH($B204,日別データ!$B$13:$B$32,0)),"✔ OK","⚠ 未登録"))</f>
        <v>✔ OK</v>
      </c>
      <c r="J204" s="80" t="str">
        <f aca="false">IF($B204="","",IF($D204="","－",IF(ISNUMBER($D204),IF(AND($D204&gt;=1,MOD($D204,1)=0),"－",IF(MOD($D204,1)&lt;$L$6,"朝",IF(MOD($D204,1)&lt;$L$7,"昼",IF(MOD($D204,1)&lt;$L$8,"夕方","夜")))),IF(OR($D204="朝",$D204="昼",$D204="夕方",$D204="夜"),$D204,"⚠ 不明"))))</f>
        <v>夜</v>
      </c>
    </row>
    <row r="205" customFormat="false" ht="15" hidden="false" customHeight="false" outlineLevel="0" collapsed="false">
      <c r="A205" s="75" t="n">
        <v>46257</v>
      </c>
      <c r="B205" s="76" t="s">
        <v>79</v>
      </c>
      <c r="C205" s="77" t="n">
        <v>53</v>
      </c>
      <c r="D205" s="78" t="n">
        <v>0.4375</v>
      </c>
      <c r="E205" s="77" t="n">
        <v>31800</v>
      </c>
      <c r="F205" s="76"/>
      <c r="G205" s="76"/>
      <c r="I205" s="79" t="str">
        <f aca="false">IF($B205="","",IF(ISNUMBER(MATCH($B205,日別データ!$B$13:$B$32,0)),"✔ OK","⚠ 未登録"))</f>
        <v>✔ OK</v>
      </c>
      <c r="J205" s="80" t="str">
        <f aca="false">IF($B205="","",IF($D205="","－",IF(ISNUMBER($D205),IF(AND($D205&gt;=1,MOD($D205,1)=0),"－",IF(MOD($D205,1)&lt;$L$6,"朝",IF(MOD($D205,1)&lt;$L$7,"昼",IF(MOD($D205,1)&lt;$L$8,"夕方","夜")))),IF(OR($D205="朝",$D205="昼",$D205="夕方",$D205="夜"),$D205,"⚠ 不明"))))</f>
        <v>朝</v>
      </c>
    </row>
    <row r="206" customFormat="false" ht="15" hidden="false" customHeight="false" outlineLevel="0" collapsed="false">
      <c r="A206" s="75" t="n">
        <v>46257</v>
      </c>
      <c r="B206" s="76" t="s">
        <v>79</v>
      </c>
      <c r="C206" s="77" t="n">
        <v>127</v>
      </c>
      <c r="D206" s="78" t="n">
        <v>0.541666666666667</v>
      </c>
      <c r="E206" s="77" t="n">
        <v>76200</v>
      </c>
      <c r="F206" s="76"/>
      <c r="G206" s="76"/>
      <c r="I206" s="79" t="str">
        <f aca="false">IF($B206="","",IF(ISNUMBER(MATCH($B206,日別データ!$B$13:$B$32,0)),"✔ OK","⚠ 未登録"))</f>
        <v>✔ OK</v>
      </c>
      <c r="J206" s="80" t="str">
        <f aca="false">IF($B206="","",IF($D206="","－",IF(ISNUMBER($D206),IF(AND($D206&gt;=1,MOD($D206,1)=0),"－",IF(MOD($D206,1)&lt;$L$6,"朝",IF(MOD($D206,1)&lt;$L$7,"昼",IF(MOD($D206,1)&lt;$L$8,"夕方","夜")))),IF(OR($D206="朝",$D206="昼",$D206="夕方",$D206="夜"),$D206,"⚠ 不明"))))</f>
        <v>昼</v>
      </c>
    </row>
    <row r="207" customFormat="false" ht="15" hidden="false" customHeight="false" outlineLevel="0" collapsed="false">
      <c r="A207" s="75" t="n">
        <v>46257</v>
      </c>
      <c r="B207" s="76" t="s">
        <v>79</v>
      </c>
      <c r="C207" s="77" t="n">
        <v>103</v>
      </c>
      <c r="D207" s="78" t="n">
        <v>0.6875</v>
      </c>
      <c r="E207" s="77" t="n">
        <v>61800</v>
      </c>
      <c r="F207" s="76"/>
      <c r="G207" s="76"/>
      <c r="I207" s="79" t="str">
        <f aca="false">IF($B207="","",IF(ISNUMBER(MATCH($B207,日別データ!$B$13:$B$32,0)),"✔ OK","⚠ 未登録"))</f>
        <v>✔ OK</v>
      </c>
      <c r="J207" s="80" t="str">
        <f aca="false">IF($B207="","",IF($D207="","－",IF(ISNUMBER($D207),IF(AND($D207&gt;=1,MOD($D207,1)=0),"－",IF(MOD($D207,1)&lt;$L$6,"朝",IF(MOD($D207,1)&lt;$L$7,"昼",IF(MOD($D207,1)&lt;$L$8,"夕方","夜")))),IF(OR($D207="朝",$D207="昼",$D207="夕方",$D207="夜"),$D207,"⚠ 不明"))))</f>
        <v>夕方</v>
      </c>
    </row>
    <row r="208" customFormat="false" ht="15" hidden="false" customHeight="false" outlineLevel="0" collapsed="false">
      <c r="A208" s="75" t="n">
        <v>46257</v>
      </c>
      <c r="B208" s="76" t="s">
        <v>79</v>
      </c>
      <c r="C208" s="77" t="n">
        <v>91</v>
      </c>
      <c r="D208" s="78" t="n">
        <v>0.8125</v>
      </c>
      <c r="E208" s="77" t="n">
        <v>54600</v>
      </c>
      <c r="F208" s="76"/>
      <c r="G208" s="76"/>
      <c r="I208" s="79" t="str">
        <f aca="false">IF($B208="","",IF(ISNUMBER(MATCH($B208,日別データ!$B$13:$B$32,0)),"✔ OK","⚠ 未登録"))</f>
        <v>✔ OK</v>
      </c>
      <c r="J208" s="80" t="str">
        <f aca="false">IF($B208="","",IF($D208="","－",IF(ISNUMBER($D208),IF(AND($D208&gt;=1,MOD($D208,1)=0),"－",IF(MOD($D208,1)&lt;$L$6,"朝",IF(MOD($D208,1)&lt;$L$7,"昼",IF(MOD($D208,1)&lt;$L$8,"夕方","夜")))),IF(OR($D208="朝",$D208="昼",$D208="夕方",$D208="夜"),$D208,"⚠ 不明"))))</f>
        <v>夜</v>
      </c>
    </row>
    <row r="209" customFormat="false" ht="15" hidden="false" customHeight="false" outlineLevel="0" collapsed="false">
      <c r="A209" s="75" t="n">
        <v>46257</v>
      </c>
      <c r="B209" s="76" t="s">
        <v>107</v>
      </c>
      <c r="C209" s="77" t="n">
        <v>46</v>
      </c>
      <c r="D209" s="78" t="n">
        <v>0.4375</v>
      </c>
      <c r="E209" s="77" t="n">
        <v>15640</v>
      </c>
      <c r="F209" s="76"/>
      <c r="G209" s="76"/>
      <c r="I209" s="79" t="str">
        <f aca="false">IF($B209="","",IF(ISNUMBER(MATCH($B209,日別データ!$B$13:$B$32,0)),"✔ OK","⚠ 未登録"))</f>
        <v>✔ OK</v>
      </c>
      <c r="J209" s="80" t="str">
        <f aca="false">IF($B209="","",IF($D209="","－",IF(ISNUMBER($D209),IF(AND($D209&gt;=1,MOD($D209,1)=0),"－",IF(MOD($D209,1)&lt;$L$6,"朝",IF(MOD($D209,1)&lt;$L$7,"昼",IF(MOD($D209,1)&lt;$L$8,"夕方","夜")))),IF(OR($D209="朝",$D209="昼",$D209="夕方",$D209="夜"),$D209,"⚠ 不明"))))</f>
        <v>朝</v>
      </c>
    </row>
    <row r="210" customFormat="false" ht="15" hidden="false" customHeight="false" outlineLevel="0" collapsed="false">
      <c r="A210" s="75" t="n">
        <v>46257</v>
      </c>
      <c r="B210" s="76" t="s">
        <v>107</v>
      </c>
      <c r="C210" s="77" t="n">
        <v>87</v>
      </c>
      <c r="D210" s="78" t="n">
        <v>0.541666666666667</v>
      </c>
      <c r="E210" s="77" t="n">
        <v>29580</v>
      </c>
      <c r="F210" s="76"/>
      <c r="G210" s="76"/>
      <c r="I210" s="79" t="str">
        <f aca="false">IF($B210="","",IF(ISNUMBER(MATCH($B210,日別データ!$B$13:$B$32,0)),"✔ OK","⚠ 未登録"))</f>
        <v>✔ OK</v>
      </c>
      <c r="J210" s="80" t="str">
        <f aca="false">IF($B210="","",IF($D210="","－",IF(ISNUMBER($D210),IF(AND($D210&gt;=1,MOD($D210,1)=0),"－",IF(MOD($D210,1)&lt;$L$6,"朝",IF(MOD($D210,1)&lt;$L$7,"昼",IF(MOD($D210,1)&lt;$L$8,"夕方","夜")))),IF(OR($D210="朝",$D210="昼",$D210="夕方",$D210="夜"),$D210,"⚠ 不明"))))</f>
        <v>昼</v>
      </c>
    </row>
    <row r="211" customFormat="false" ht="15" hidden="false" customHeight="false" outlineLevel="0" collapsed="false">
      <c r="A211" s="75" t="n">
        <v>46257</v>
      </c>
      <c r="B211" s="76" t="s">
        <v>107</v>
      </c>
      <c r="C211" s="77" t="n">
        <v>69</v>
      </c>
      <c r="D211" s="78" t="n">
        <v>0.6875</v>
      </c>
      <c r="E211" s="77" t="n">
        <v>23460</v>
      </c>
      <c r="F211" s="76"/>
      <c r="G211" s="76"/>
      <c r="I211" s="79" t="str">
        <f aca="false">IF($B211="","",IF(ISNUMBER(MATCH($B211,日別データ!$B$13:$B$32,0)),"✔ OK","⚠ 未登録"))</f>
        <v>✔ OK</v>
      </c>
      <c r="J211" s="80" t="str">
        <f aca="false">IF($B211="","",IF($D211="","－",IF(ISNUMBER($D211),IF(AND($D211&gt;=1,MOD($D211,1)=0),"－",IF(MOD($D211,1)&lt;$L$6,"朝",IF(MOD($D211,1)&lt;$L$7,"昼",IF(MOD($D211,1)&lt;$L$8,"夕方","夜")))),IF(OR($D211="朝",$D211="昼",$D211="夕方",$D211="夜"),$D211,"⚠ 不明"))))</f>
        <v>夕方</v>
      </c>
    </row>
    <row r="212" customFormat="false" ht="15" hidden="false" customHeight="false" outlineLevel="0" collapsed="false">
      <c r="A212" s="75" t="n">
        <v>46257</v>
      </c>
      <c r="B212" s="76" t="s">
        <v>107</v>
      </c>
      <c r="C212" s="77" t="n">
        <v>122</v>
      </c>
      <c r="D212" s="78" t="n">
        <v>0.8125</v>
      </c>
      <c r="E212" s="77" t="n">
        <v>41480</v>
      </c>
      <c r="F212" s="76"/>
      <c r="G212" s="76"/>
      <c r="I212" s="79" t="str">
        <f aca="false">IF($B212="","",IF(ISNUMBER(MATCH($B212,日別データ!$B$13:$B$32,0)),"✔ OK","⚠ 未登録"))</f>
        <v>✔ OK</v>
      </c>
      <c r="J212" s="80" t="str">
        <f aca="false">IF($B212="","",IF($D212="","－",IF(ISNUMBER($D212),IF(AND($D212&gt;=1,MOD($D212,1)=0),"－",IF(MOD($D212,1)&lt;$L$6,"朝",IF(MOD($D212,1)&lt;$L$7,"昼",IF(MOD($D212,1)&lt;$L$8,"夕方","夜")))),IF(OR($D212="朝",$D212="昼",$D212="夕方",$D212="夜"),$D212,"⚠ 不明"))))</f>
        <v>夜</v>
      </c>
    </row>
    <row r="213" customFormat="false" ht="15" hidden="false" customHeight="false" outlineLevel="0" collapsed="false">
      <c r="A213" s="75" t="n">
        <v>46257</v>
      </c>
      <c r="B213" s="76" t="s">
        <v>108</v>
      </c>
      <c r="C213" s="77" t="n">
        <v>116</v>
      </c>
      <c r="D213" s="78" t="n">
        <v>0.4375</v>
      </c>
      <c r="E213" s="77" t="n">
        <v>46400</v>
      </c>
      <c r="F213" s="76"/>
      <c r="G213" s="76"/>
      <c r="I213" s="79" t="str">
        <f aca="false">IF($B213="","",IF(ISNUMBER(MATCH($B213,日別データ!$B$13:$B$32,0)),"✔ OK","⚠ 未登録"))</f>
        <v>✔ OK</v>
      </c>
      <c r="J213" s="80" t="str">
        <f aca="false">IF($B213="","",IF($D213="","－",IF(ISNUMBER($D213),IF(AND($D213&gt;=1,MOD($D213,1)=0),"－",IF(MOD($D213,1)&lt;$L$6,"朝",IF(MOD($D213,1)&lt;$L$7,"昼",IF(MOD($D213,1)&lt;$L$8,"夕方","夜")))),IF(OR($D213="朝",$D213="昼",$D213="夕方",$D213="夜"),$D213,"⚠ 不明"))))</f>
        <v>朝</v>
      </c>
    </row>
    <row r="214" customFormat="false" ht="15" hidden="false" customHeight="false" outlineLevel="0" collapsed="false">
      <c r="A214" s="75" t="n">
        <v>46257</v>
      </c>
      <c r="B214" s="76" t="s">
        <v>108</v>
      </c>
      <c r="C214" s="77" t="n">
        <v>281</v>
      </c>
      <c r="D214" s="78" t="n">
        <v>0.541666666666667</v>
      </c>
      <c r="E214" s="77" t="n">
        <v>112400</v>
      </c>
      <c r="F214" s="76"/>
      <c r="G214" s="76"/>
      <c r="I214" s="79" t="str">
        <f aca="false">IF($B214="","",IF(ISNUMBER(MATCH($B214,日別データ!$B$13:$B$32,0)),"✔ OK","⚠ 未登録"))</f>
        <v>✔ OK</v>
      </c>
      <c r="J214" s="80" t="str">
        <f aca="false">IF($B214="","",IF($D214="","－",IF(ISNUMBER($D214),IF(AND($D214&gt;=1,MOD($D214,1)=0),"－",IF(MOD($D214,1)&lt;$L$6,"朝",IF(MOD($D214,1)&lt;$L$7,"昼",IF(MOD($D214,1)&lt;$L$8,"夕方","夜")))),IF(OR($D214="朝",$D214="昼",$D214="夕方",$D214="夜"),$D214,"⚠ 不明"))))</f>
        <v>昼</v>
      </c>
    </row>
    <row r="215" customFormat="false" ht="15" hidden="false" customHeight="false" outlineLevel="0" collapsed="false">
      <c r="A215" s="75" t="n">
        <v>46257</v>
      </c>
      <c r="B215" s="76" t="s">
        <v>108</v>
      </c>
      <c r="C215" s="77" t="n">
        <v>211</v>
      </c>
      <c r="D215" s="78" t="n">
        <v>0.6875</v>
      </c>
      <c r="E215" s="77" t="n">
        <v>84400</v>
      </c>
      <c r="F215" s="76"/>
      <c r="G215" s="76"/>
      <c r="I215" s="79" t="str">
        <f aca="false">IF($B215="","",IF(ISNUMBER(MATCH($B215,日別データ!$B$13:$B$32,0)),"✔ OK","⚠ 未登録"))</f>
        <v>✔ OK</v>
      </c>
      <c r="J215" s="80" t="str">
        <f aca="false">IF($B215="","",IF($D215="","－",IF(ISNUMBER($D215),IF(AND($D215&gt;=1,MOD($D215,1)=0),"－",IF(MOD($D215,1)&lt;$L$6,"朝",IF(MOD($D215,1)&lt;$L$7,"昼",IF(MOD($D215,1)&lt;$L$8,"夕方","夜")))),IF(OR($D215="朝",$D215="昼",$D215="夕方",$D215="夜"),$D215,"⚠ 不明"))))</f>
        <v>夕方</v>
      </c>
    </row>
    <row r="216" customFormat="false" ht="15" hidden="false" customHeight="false" outlineLevel="0" collapsed="false">
      <c r="A216" s="75" t="n">
        <v>46257</v>
      </c>
      <c r="B216" s="76" t="s">
        <v>108</v>
      </c>
      <c r="C216" s="77" t="n">
        <v>237</v>
      </c>
      <c r="D216" s="78" t="n">
        <v>0.8125</v>
      </c>
      <c r="E216" s="77" t="n">
        <v>94800</v>
      </c>
      <c r="F216" s="76"/>
      <c r="G216" s="76"/>
      <c r="I216" s="79" t="str">
        <f aca="false">IF($B216="","",IF(ISNUMBER(MATCH($B216,日別データ!$B$13:$B$32,0)),"✔ OK","⚠ 未登録"))</f>
        <v>✔ OK</v>
      </c>
      <c r="J216" s="80" t="str">
        <f aca="false">IF($B216="","",IF($D216="","－",IF(ISNUMBER($D216),IF(AND($D216&gt;=1,MOD($D216,1)=0),"－",IF(MOD($D216,1)&lt;$L$6,"朝",IF(MOD($D216,1)&lt;$L$7,"昼",IF(MOD($D216,1)&lt;$L$8,"夕方","夜")))),IF(OR($D216="朝",$D216="昼",$D216="夕方",$D216="夜"),$D216,"⚠ 不明"))))</f>
        <v>夜</v>
      </c>
    </row>
    <row r="217" customFormat="false" ht="15" hidden="false" customHeight="false" outlineLevel="0" collapsed="false">
      <c r="A217" s="75" t="n">
        <v>46257</v>
      </c>
      <c r="B217" s="76" t="s">
        <v>109</v>
      </c>
      <c r="C217" s="77" t="n">
        <v>41</v>
      </c>
      <c r="D217" s="78" t="n">
        <v>0.4375</v>
      </c>
      <c r="E217" s="77" t="n">
        <v>18860</v>
      </c>
      <c r="F217" s="76"/>
      <c r="G217" s="76"/>
      <c r="I217" s="79" t="str">
        <f aca="false">IF($B217="","",IF(ISNUMBER(MATCH($B217,日別データ!$B$13:$B$32,0)),"✔ OK","⚠ 未登録"))</f>
        <v>✔ OK</v>
      </c>
      <c r="J217" s="80" t="str">
        <f aca="false">IF($B217="","",IF($D217="","－",IF(ISNUMBER($D217),IF(AND($D217&gt;=1,MOD($D217,1)=0),"－",IF(MOD($D217,1)&lt;$L$6,"朝",IF(MOD($D217,1)&lt;$L$7,"昼",IF(MOD($D217,1)&lt;$L$8,"夕方","夜")))),IF(OR($D217="朝",$D217="昼",$D217="夕方",$D217="夜"),$D217,"⚠ 不明"))))</f>
        <v>朝</v>
      </c>
    </row>
    <row r="218" customFormat="false" ht="15" hidden="false" customHeight="false" outlineLevel="0" collapsed="false">
      <c r="A218" s="75" t="n">
        <v>46257</v>
      </c>
      <c r="B218" s="76" t="s">
        <v>109</v>
      </c>
      <c r="C218" s="77" t="n">
        <v>99</v>
      </c>
      <c r="D218" s="78" t="n">
        <v>0.541666666666667</v>
      </c>
      <c r="E218" s="77" t="n">
        <v>45540</v>
      </c>
      <c r="F218" s="76"/>
      <c r="G218" s="76"/>
      <c r="I218" s="79" t="str">
        <f aca="false">IF($B218="","",IF(ISNUMBER(MATCH($B218,日別データ!$B$13:$B$32,0)),"✔ OK","⚠ 未登録"))</f>
        <v>✔ OK</v>
      </c>
      <c r="J218" s="80" t="str">
        <f aca="false">IF($B218="","",IF($D218="","－",IF(ISNUMBER($D218),IF(AND($D218&gt;=1,MOD($D218,1)=0),"－",IF(MOD($D218,1)&lt;$L$6,"朝",IF(MOD($D218,1)&lt;$L$7,"昼",IF(MOD($D218,1)&lt;$L$8,"夕方","夜")))),IF(OR($D218="朝",$D218="昼",$D218="夕方",$D218="夜"),$D218,"⚠ 不明"))))</f>
        <v>昼</v>
      </c>
    </row>
    <row r="219" customFormat="false" ht="15" hidden="false" customHeight="false" outlineLevel="0" collapsed="false">
      <c r="A219" s="75" t="n">
        <v>46257</v>
      </c>
      <c r="B219" s="76" t="s">
        <v>109</v>
      </c>
      <c r="C219" s="77" t="n">
        <v>71</v>
      </c>
      <c r="D219" s="78" t="n">
        <v>0.6875</v>
      </c>
      <c r="E219" s="77" t="n">
        <v>32660</v>
      </c>
      <c r="F219" s="76"/>
      <c r="G219" s="76"/>
      <c r="I219" s="79" t="str">
        <f aca="false">IF($B219="","",IF(ISNUMBER(MATCH($B219,日別データ!$B$13:$B$32,0)),"✔ OK","⚠ 未登録"))</f>
        <v>✔ OK</v>
      </c>
      <c r="J219" s="80" t="str">
        <f aca="false">IF($B219="","",IF($D219="","－",IF(ISNUMBER($D219),IF(AND($D219&gt;=1,MOD($D219,1)=0),"－",IF(MOD($D219,1)&lt;$L$6,"朝",IF(MOD($D219,1)&lt;$L$7,"昼",IF(MOD($D219,1)&lt;$L$8,"夕方","夜")))),IF(OR($D219="朝",$D219="昼",$D219="夕方",$D219="夜"),$D219,"⚠ 不明"))))</f>
        <v>夕方</v>
      </c>
    </row>
    <row r="220" customFormat="false" ht="15" hidden="false" customHeight="false" outlineLevel="0" collapsed="false">
      <c r="A220" s="75" t="n">
        <v>46257</v>
      </c>
      <c r="B220" s="76" t="s">
        <v>109</v>
      </c>
      <c r="C220" s="77" t="n">
        <v>74</v>
      </c>
      <c r="D220" s="78" t="n">
        <v>0.8125</v>
      </c>
      <c r="E220" s="77" t="n">
        <v>34040</v>
      </c>
      <c r="F220" s="76"/>
      <c r="G220" s="76"/>
      <c r="I220" s="79" t="str">
        <f aca="false">IF($B220="","",IF(ISNUMBER(MATCH($B220,日別データ!$B$13:$B$32,0)),"✔ OK","⚠ 未登録"))</f>
        <v>✔ OK</v>
      </c>
      <c r="J220" s="80" t="str">
        <f aca="false">IF($B220="","",IF($D220="","－",IF(ISNUMBER($D220),IF(AND($D220&gt;=1,MOD($D220,1)=0),"－",IF(MOD($D220,1)&lt;$L$6,"朝",IF(MOD($D220,1)&lt;$L$7,"昼",IF(MOD($D220,1)&lt;$L$8,"夕方","夜")))),IF(OR($D220="朝",$D220="昼",$D220="夕方",$D220="夜"),$D220,"⚠ 不明"))))</f>
        <v>夜</v>
      </c>
    </row>
    <row r="221" customFormat="false" ht="15" hidden="false" customHeight="false" outlineLevel="0" collapsed="false">
      <c r="A221" s="75" t="n">
        <v>46257</v>
      </c>
      <c r="B221" s="76" t="s">
        <v>83</v>
      </c>
      <c r="C221" s="77" t="n">
        <v>41</v>
      </c>
      <c r="D221" s="78" t="n">
        <v>0.4375</v>
      </c>
      <c r="E221" s="77" t="n">
        <v>15580</v>
      </c>
      <c r="F221" s="76"/>
      <c r="G221" s="76"/>
      <c r="I221" s="79" t="str">
        <f aca="false">IF($B221="","",IF(ISNUMBER(MATCH($B221,日別データ!$B$13:$B$32,0)),"✔ OK","⚠ 未登録"))</f>
        <v>✔ OK</v>
      </c>
      <c r="J221" s="80" t="str">
        <f aca="false">IF($B221="","",IF($D221="","－",IF(ISNUMBER($D221),IF(AND($D221&gt;=1,MOD($D221,1)=0),"－",IF(MOD($D221,1)&lt;$L$6,"朝",IF(MOD($D221,1)&lt;$L$7,"昼",IF(MOD($D221,1)&lt;$L$8,"夕方","夜")))),IF(OR($D221="朝",$D221="昼",$D221="夕方",$D221="夜"),$D221,"⚠ 不明"))))</f>
        <v>朝</v>
      </c>
    </row>
    <row r="222" customFormat="false" ht="15" hidden="false" customHeight="false" outlineLevel="0" collapsed="false">
      <c r="A222" s="75" t="n">
        <v>46257</v>
      </c>
      <c r="B222" s="76" t="s">
        <v>83</v>
      </c>
      <c r="C222" s="77" t="n">
        <v>77</v>
      </c>
      <c r="D222" s="78" t="n">
        <v>0.541666666666667</v>
      </c>
      <c r="E222" s="77" t="n">
        <v>29260</v>
      </c>
      <c r="F222" s="76"/>
      <c r="G222" s="76"/>
      <c r="I222" s="79" t="str">
        <f aca="false">IF($B222="","",IF(ISNUMBER(MATCH($B222,日別データ!$B$13:$B$32,0)),"✔ OK","⚠ 未登録"))</f>
        <v>✔ OK</v>
      </c>
      <c r="J222" s="80" t="str">
        <f aca="false">IF($B222="","",IF($D222="","－",IF(ISNUMBER($D222),IF(AND($D222&gt;=1,MOD($D222,1)=0),"－",IF(MOD($D222,1)&lt;$L$6,"朝",IF(MOD($D222,1)&lt;$L$7,"昼",IF(MOD($D222,1)&lt;$L$8,"夕方","夜")))),IF(OR($D222="朝",$D222="昼",$D222="夕方",$D222="夜"),$D222,"⚠ 不明"))))</f>
        <v>昼</v>
      </c>
    </row>
    <row r="223" customFormat="false" ht="15" hidden="false" customHeight="false" outlineLevel="0" collapsed="false">
      <c r="A223" s="75" t="n">
        <v>46257</v>
      </c>
      <c r="B223" s="76" t="s">
        <v>83</v>
      </c>
      <c r="C223" s="77" t="n">
        <v>65</v>
      </c>
      <c r="D223" s="78" t="n">
        <v>0.6875</v>
      </c>
      <c r="E223" s="77" t="n">
        <v>24700</v>
      </c>
      <c r="F223" s="76"/>
      <c r="G223" s="76"/>
      <c r="I223" s="79" t="str">
        <f aca="false">IF($B223="","",IF(ISNUMBER(MATCH($B223,日別データ!$B$13:$B$32,0)),"✔ OK","⚠ 未登録"))</f>
        <v>✔ OK</v>
      </c>
      <c r="J223" s="80" t="str">
        <f aca="false">IF($B223="","",IF($D223="","－",IF(ISNUMBER($D223),IF(AND($D223&gt;=1,MOD($D223,1)=0),"－",IF(MOD($D223,1)&lt;$L$6,"朝",IF(MOD($D223,1)&lt;$L$7,"昼",IF(MOD($D223,1)&lt;$L$8,"夕方","夜")))),IF(OR($D223="朝",$D223="昼",$D223="夕方",$D223="夜"),$D223,"⚠ 不明"))))</f>
        <v>夕方</v>
      </c>
    </row>
    <row r="224" customFormat="false" ht="15" hidden="false" customHeight="false" outlineLevel="0" collapsed="false">
      <c r="A224" s="75" t="n">
        <v>46257</v>
      </c>
      <c r="B224" s="76" t="s">
        <v>83</v>
      </c>
      <c r="C224" s="77" t="n">
        <v>79</v>
      </c>
      <c r="D224" s="78" t="n">
        <v>0.8125</v>
      </c>
      <c r="E224" s="77" t="n">
        <v>30020</v>
      </c>
      <c r="F224" s="76"/>
      <c r="G224" s="76"/>
      <c r="I224" s="79" t="str">
        <f aca="false">IF($B224="","",IF(ISNUMBER(MATCH($B224,日別データ!$B$13:$B$32,0)),"✔ OK","⚠ 未登録"))</f>
        <v>✔ OK</v>
      </c>
      <c r="J224" s="80" t="str">
        <f aca="false">IF($B224="","",IF($D224="","－",IF(ISNUMBER($D224),IF(AND($D224&gt;=1,MOD($D224,1)=0),"－",IF(MOD($D224,1)&lt;$L$6,"朝",IF(MOD($D224,1)&lt;$L$7,"昼",IF(MOD($D224,1)&lt;$L$8,"夕方","夜")))),IF(OR($D224="朝",$D224="昼",$D224="夕方",$D224="夜"),$D224,"⚠ 不明"))))</f>
        <v>夜</v>
      </c>
    </row>
    <row r="225" customFormat="false" ht="15" hidden="false" customHeight="false" outlineLevel="0" collapsed="false">
      <c r="A225" s="75" t="n">
        <v>46257</v>
      </c>
      <c r="B225" s="76" t="s">
        <v>84</v>
      </c>
      <c r="C225" s="77" t="n">
        <v>25</v>
      </c>
      <c r="D225" s="78" t="n">
        <v>0.4375</v>
      </c>
      <c r="E225" s="77" t="n">
        <v>12500</v>
      </c>
      <c r="F225" s="76"/>
      <c r="G225" s="76"/>
      <c r="I225" s="79" t="str">
        <f aca="false">IF($B225="","",IF(ISNUMBER(MATCH($B225,日別データ!$B$13:$B$32,0)),"✔ OK","⚠ 未登録"))</f>
        <v>✔ OK</v>
      </c>
      <c r="J225" s="80" t="str">
        <f aca="false">IF($B225="","",IF($D225="","－",IF(ISNUMBER($D225),IF(AND($D225&gt;=1,MOD($D225,1)=0),"－",IF(MOD($D225,1)&lt;$L$6,"朝",IF(MOD($D225,1)&lt;$L$7,"昼",IF(MOD($D225,1)&lt;$L$8,"夕方","夜")))),IF(OR($D225="朝",$D225="昼",$D225="夕方",$D225="夜"),$D225,"⚠ 不明"))))</f>
        <v>朝</v>
      </c>
    </row>
    <row r="226" customFormat="false" ht="15" hidden="false" customHeight="false" outlineLevel="0" collapsed="false">
      <c r="A226" s="75" t="n">
        <v>46257</v>
      </c>
      <c r="B226" s="76" t="s">
        <v>84</v>
      </c>
      <c r="C226" s="77" t="n">
        <v>56</v>
      </c>
      <c r="D226" s="78" t="n">
        <v>0.541666666666667</v>
      </c>
      <c r="E226" s="77" t="n">
        <v>28000</v>
      </c>
      <c r="F226" s="76"/>
      <c r="G226" s="76"/>
      <c r="I226" s="79" t="str">
        <f aca="false">IF($B226="","",IF(ISNUMBER(MATCH($B226,日別データ!$B$13:$B$32,0)),"✔ OK","⚠ 未登録"))</f>
        <v>✔ OK</v>
      </c>
      <c r="J226" s="80" t="str">
        <f aca="false">IF($B226="","",IF($D226="","－",IF(ISNUMBER($D226),IF(AND($D226&gt;=1,MOD($D226,1)=0),"－",IF(MOD($D226,1)&lt;$L$6,"朝",IF(MOD($D226,1)&lt;$L$7,"昼",IF(MOD($D226,1)&lt;$L$8,"夕方","夜")))),IF(OR($D226="朝",$D226="昼",$D226="夕方",$D226="夜"),$D226,"⚠ 不明"))))</f>
        <v>昼</v>
      </c>
    </row>
    <row r="227" customFormat="false" ht="15" hidden="false" customHeight="false" outlineLevel="0" collapsed="false">
      <c r="A227" s="75" t="n">
        <v>46257</v>
      </c>
      <c r="B227" s="76" t="s">
        <v>84</v>
      </c>
      <c r="C227" s="77" t="n">
        <v>42</v>
      </c>
      <c r="D227" s="78" t="n">
        <v>0.6875</v>
      </c>
      <c r="E227" s="77" t="n">
        <v>21000</v>
      </c>
      <c r="F227" s="76"/>
      <c r="G227" s="76"/>
      <c r="I227" s="79" t="str">
        <f aca="false">IF($B227="","",IF(ISNUMBER(MATCH($B227,日別データ!$B$13:$B$32,0)),"✔ OK","⚠ 未登録"))</f>
        <v>✔ OK</v>
      </c>
      <c r="J227" s="80" t="str">
        <f aca="false">IF($B227="","",IF($D227="","－",IF(ISNUMBER($D227),IF(AND($D227&gt;=1,MOD($D227,1)=0),"－",IF(MOD($D227,1)&lt;$L$6,"朝",IF(MOD($D227,1)&lt;$L$7,"昼",IF(MOD($D227,1)&lt;$L$8,"夕方","夜")))),IF(OR($D227="朝",$D227="昼",$D227="夕方",$D227="夜"),$D227,"⚠ 不明"))))</f>
        <v>夕方</v>
      </c>
    </row>
    <row r="228" customFormat="false" ht="15" hidden="false" customHeight="false" outlineLevel="0" collapsed="false">
      <c r="A228" s="75" t="n">
        <v>46257</v>
      </c>
      <c r="B228" s="76" t="s">
        <v>84</v>
      </c>
      <c r="C228" s="77" t="n">
        <v>42</v>
      </c>
      <c r="D228" s="78" t="n">
        <v>0.8125</v>
      </c>
      <c r="E228" s="77" t="n">
        <v>21000</v>
      </c>
      <c r="F228" s="76"/>
      <c r="G228" s="76"/>
      <c r="I228" s="79" t="str">
        <f aca="false">IF($B228="","",IF(ISNUMBER(MATCH($B228,日別データ!$B$13:$B$32,0)),"✔ OK","⚠ 未登録"))</f>
        <v>✔ OK</v>
      </c>
      <c r="J228" s="80" t="str">
        <f aca="false">IF($B228="","",IF($D228="","－",IF(ISNUMBER($D228),IF(AND($D228&gt;=1,MOD($D228,1)=0),"－",IF(MOD($D228,1)&lt;$L$6,"朝",IF(MOD($D228,1)&lt;$L$7,"昼",IF(MOD($D228,1)&lt;$L$8,"夕方","夜")))),IF(OR($D228="朝",$D228="昼",$D228="夕方",$D228="夜"),$D228,"⚠ 不明"))))</f>
        <v>夜</v>
      </c>
    </row>
    <row r="229" customFormat="false" ht="15" hidden="false" customHeight="false" outlineLevel="0" collapsed="false">
      <c r="A229" s="75" t="n">
        <v>46257</v>
      </c>
      <c r="B229" s="76" t="s">
        <v>85</v>
      </c>
      <c r="C229" s="77" t="n">
        <v>17</v>
      </c>
      <c r="D229" s="78" t="n">
        <v>0.4375</v>
      </c>
      <c r="E229" s="77" t="n">
        <v>8160</v>
      </c>
      <c r="F229" s="76"/>
      <c r="G229" s="76"/>
      <c r="I229" s="79" t="str">
        <f aca="false">IF($B229="","",IF(ISNUMBER(MATCH($B229,日別データ!$B$13:$B$32,0)),"✔ OK","⚠ 未登録"))</f>
        <v>✔ OK</v>
      </c>
      <c r="J229" s="80" t="str">
        <f aca="false">IF($B229="","",IF($D229="","－",IF(ISNUMBER($D229),IF(AND($D229&gt;=1,MOD($D229,1)=0),"－",IF(MOD($D229,1)&lt;$L$6,"朝",IF(MOD($D229,1)&lt;$L$7,"昼",IF(MOD($D229,1)&lt;$L$8,"夕方","夜")))),IF(OR($D229="朝",$D229="昼",$D229="夕方",$D229="夜"),$D229,"⚠ 不明"))))</f>
        <v>朝</v>
      </c>
    </row>
    <row r="230" customFormat="false" ht="15" hidden="false" customHeight="false" outlineLevel="0" collapsed="false">
      <c r="A230" s="75" t="n">
        <v>46257</v>
      </c>
      <c r="B230" s="76" t="s">
        <v>85</v>
      </c>
      <c r="C230" s="77" t="n">
        <v>34</v>
      </c>
      <c r="D230" s="78" t="n">
        <v>0.541666666666667</v>
      </c>
      <c r="E230" s="77" t="n">
        <v>16320</v>
      </c>
      <c r="F230" s="76"/>
      <c r="G230" s="76"/>
      <c r="I230" s="79" t="str">
        <f aca="false">IF($B230="","",IF(ISNUMBER(MATCH($B230,日別データ!$B$13:$B$32,0)),"✔ OK","⚠ 未登録"))</f>
        <v>✔ OK</v>
      </c>
      <c r="J230" s="80" t="str">
        <f aca="false">IF($B230="","",IF($D230="","－",IF(ISNUMBER($D230),IF(AND($D230&gt;=1,MOD($D230,1)=0),"－",IF(MOD($D230,1)&lt;$L$6,"朝",IF(MOD($D230,1)&lt;$L$7,"昼",IF(MOD($D230,1)&lt;$L$8,"夕方","夜")))),IF(OR($D230="朝",$D230="昼",$D230="夕方",$D230="夜"),$D230,"⚠ 不明"))))</f>
        <v>昼</v>
      </c>
    </row>
    <row r="231" customFormat="false" ht="15" hidden="false" customHeight="false" outlineLevel="0" collapsed="false">
      <c r="A231" s="75" t="n">
        <v>46257</v>
      </c>
      <c r="B231" s="76" t="s">
        <v>85</v>
      </c>
      <c r="C231" s="77" t="n">
        <v>28</v>
      </c>
      <c r="D231" s="78" t="n">
        <v>0.6875</v>
      </c>
      <c r="E231" s="77" t="n">
        <v>13440</v>
      </c>
      <c r="F231" s="76"/>
      <c r="G231" s="76"/>
      <c r="I231" s="79" t="str">
        <f aca="false">IF($B231="","",IF(ISNUMBER(MATCH($B231,日別データ!$B$13:$B$32,0)),"✔ OK","⚠ 未登録"))</f>
        <v>✔ OK</v>
      </c>
      <c r="J231" s="80" t="str">
        <f aca="false">IF($B231="","",IF($D231="","－",IF(ISNUMBER($D231),IF(AND($D231&gt;=1,MOD($D231,1)=0),"－",IF(MOD($D231,1)&lt;$L$6,"朝",IF(MOD($D231,1)&lt;$L$7,"昼",IF(MOD($D231,1)&lt;$L$8,"夕方","夜")))),IF(OR($D231="朝",$D231="昼",$D231="夕方",$D231="夜"),$D231,"⚠ 不明"))))</f>
        <v>夕方</v>
      </c>
    </row>
    <row r="232" customFormat="false" ht="15" hidden="false" customHeight="false" outlineLevel="0" collapsed="false">
      <c r="A232" s="75" t="n">
        <v>46257</v>
      </c>
      <c r="B232" s="76" t="s">
        <v>85</v>
      </c>
      <c r="C232" s="77" t="n">
        <v>39</v>
      </c>
      <c r="D232" s="78" t="n">
        <v>0.8125</v>
      </c>
      <c r="E232" s="77" t="n">
        <v>18720</v>
      </c>
      <c r="F232" s="76"/>
      <c r="G232" s="76"/>
      <c r="I232" s="79" t="str">
        <f aca="false">IF($B232="","",IF(ISNUMBER(MATCH($B232,日別データ!$B$13:$B$32,0)),"✔ OK","⚠ 未登録"))</f>
        <v>✔ OK</v>
      </c>
      <c r="J232" s="80" t="str">
        <f aca="false">IF($B232="","",IF($D232="","－",IF(ISNUMBER($D232),IF(AND($D232&gt;=1,MOD($D232,1)=0),"－",IF(MOD($D232,1)&lt;$L$6,"朝",IF(MOD($D232,1)&lt;$L$7,"昼",IF(MOD($D232,1)&lt;$L$8,"夕方","夜")))),IF(OR($D232="朝",$D232="昼",$D232="夕方",$D232="夜"),$D232,"⚠ 不明"))))</f>
        <v>夜</v>
      </c>
    </row>
    <row r="233" customFormat="false" ht="15" hidden="false" customHeight="false" outlineLevel="0" collapsed="false">
      <c r="A233" s="75" t="n">
        <v>46257</v>
      </c>
      <c r="B233" s="76" t="s">
        <v>86</v>
      </c>
      <c r="C233" s="77" t="n">
        <v>29</v>
      </c>
      <c r="D233" s="78" t="n">
        <v>0.4375</v>
      </c>
      <c r="E233" s="77" t="n">
        <v>12180</v>
      </c>
      <c r="F233" s="76"/>
      <c r="G233" s="76"/>
      <c r="I233" s="79" t="str">
        <f aca="false">IF($B233="","",IF(ISNUMBER(MATCH($B233,日別データ!$B$13:$B$32,0)),"✔ OK","⚠ 未登録"))</f>
        <v>✔ OK</v>
      </c>
      <c r="J233" s="80" t="str">
        <f aca="false">IF($B233="","",IF($D233="","－",IF(ISNUMBER($D233),IF(AND($D233&gt;=1,MOD($D233,1)=0),"－",IF(MOD($D233,1)&lt;$L$6,"朝",IF(MOD($D233,1)&lt;$L$7,"昼",IF(MOD($D233,1)&lt;$L$8,"夕方","夜")))),IF(OR($D233="朝",$D233="昼",$D233="夕方",$D233="夜"),$D233,"⚠ 不明"))))</f>
        <v>朝</v>
      </c>
    </row>
    <row r="234" customFormat="false" ht="15" hidden="false" customHeight="false" outlineLevel="0" collapsed="false">
      <c r="A234" s="75" t="n">
        <v>46257</v>
      </c>
      <c r="B234" s="76" t="s">
        <v>86</v>
      </c>
      <c r="C234" s="77" t="n">
        <v>60</v>
      </c>
      <c r="D234" s="78" t="n">
        <v>0.541666666666667</v>
      </c>
      <c r="E234" s="77" t="n">
        <v>25200</v>
      </c>
      <c r="F234" s="76"/>
      <c r="G234" s="76"/>
      <c r="I234" s="79" t="str">
        <f aca="false">IF($B234="","",IF(ISNUMBER(MATCH($B234,日別データ!$B$13:$B$32,0)),"✔ OK","⚠ 未登録"))</f>
        <v>✔ OK</v>
      </c>
      <c r="J234" s="80" t="str">
        <f aca="false">IF($B234="","",IF($D234="","－",IF(ISNUMBER($D234),IF(AND($D234&gt;=1,MOD($D234,1)=0),"－",IF(MOD($D234,1)&lt;$L$6,"朝",IF(MOD($D234,1)&lt;$L$7,"昼",IF(MOD($D234,1)&lt;$L$8,"夕方","夜")))),IF(OR($D234="朝",$D234="昼",$D234="夕方",$D234="夜"),$D234,"⚠ 不明"))))</f>
        <v>昼</v>
      </c>
    </row>
    <row r="235" customFormat="false" ht="15" hidden="false" customHeight="false" outlineLevel="0" collapsed="false">
      <c r="A235" s="75" t="n">
        <v>46257</v>
      </c>
      <c r="B235" s="76" t="s">
        <v>86</v>
      </c>
      <c r="C235" s="77" t="n">
        <v>53</v>
      </c>
      <c r="D235" s="78" t="n">
        <v>0.6875</v>
      </c>
      <c r="E235" s="77" t="n">
        <v>22260</v>
      </c>
      <c r="F235" s="76"/>
      <c r="G235" s="76"/>
      <c r="I235" s="79" t="str">
        <f aca="false">IF($B235="","",IF(ISNUMBER(MATCH($B235,日別データ!$B$13:$B$32,0)),"✔ OK","⚠ 未登録"))</f>
        <v>✔ OK</v>
      </c>
      <c r="J235" s="80" t="str">
        <f aca="false">IF($B235="","",IF($D235="","－",IF(ISNUMBER($D235),IF(AND($D235&gt;=1,MOD($D235,1)=0),"－",IF(MOD($D235,1)&lt;$L$6,"朝",IF(MOD($D235,1)&lt;$L$7,"昼",IF(MOD($D235,1)&lt;$L$8,"夕方","夜")))),IF(OR($D235="朝",$D235="昼",$D235="夕方",$D235="夜"),$D235,"⚠ 不明"))))</f>
        <v>夕方</v>
      </c>
    </row>
    <row r="236" customFormat="false" ht="15" hidden="false" customHeight="false" outlineLevel="0" collapsed="false">
      <c r="A236" s="75" t="n">
        <v>46257</v>
      </c>
      <c r="B236" s="76" t="s">
        <v>86</v>
      </c>
      <c r="C236" s="77" t="n">
        <v>82</v>
      </c>
      <c r="D236" s="78" t="n">
        <v>0.8125</v>
      </c>
      <c r="E236" s="77" t="n">
        <v>34440</v>
      </c>
      <c r="F236" s="76"/>
      <c r="G236" s="76"/>
      <c r="I236" s="79" t="str">
        <f aca="false">IF($B236="","",IF(ISNUMBER(MATCH($B236,日別データ!$B$13:$B$32,0)),"✔ OK","⚠ 未登録"))</f>
        <v>✔ OK</v>
      </c>
      <c r="J236" s="80" t="str">
        <f aca="false">IF($B236="","",IF($D236="","－",IF(ISNUMBER($D236),IF(AND($D236&gt;=1,MOD($D236,1)=0),"－",IF(MOD($D236,1)&lt;$L$6,"朝",IF(MOD($D236,1)&lt;$L$7,"昼",IF(MOD($D236,1)&lt;$L$8,"夕方","夜")))),IF(OR($D236="朝",$D236="昼",$D236="夕方",$D236="夜"),$D236,"⚠ 不明"))))</f>
        <v>夜</v>
      </c>
    </row>
    <row r="237" customFormat="false" ht="15" hidden="false" customHeight="false" outlineLevel="0" collapsed="false">
      <c r="A237" s="75" t="n">
        <v>46257</v>
      </c>
      <c r="B237" s="76" t="s">
        <v>87</v>
      </c>
      <c r="C237" s="77" t="n">
        <v>18</v>
      </c>
      <c r="D237" s="78" t="n">
        <v>0.4375</v>
      </c>
      <c r="E237" s="77" t="n">
        <v>8100</v>
      </c>
      <c r="F237" s="76"/>
      <c r="G237" s="76"/>
      <c r="I237" s="79" t="str">
        <f aca="false">IF($B237="","",IF(ISNUMBER(MATCH($B237,日別データ!$B$13:$B$32,0)),"✔ OK","⚠ 未登録"))</f>
        <v>✔ OK</v>
      </c>
      <c r="J237" s="80" t="str">
        <f aca="false">IF($B237="","",IF($D237="","－",IF(ISNUMBER($D237),IF(AND($D237&gt;=1,MOD($D237,1)=0),"－",IF(MOD($D237,1)&lt;$L$6,"朝",IF(MOD($D237,1)&lt;$L$7,"昼",IF(MOD($D237,1)&lt;$L$8,"夕方","夜")))),IF(OR($D237="朝",$D237="昼",$D237="夕方",$D237="夜"),$D237,"⚠ 不明"))))</f>
        <v>朝</v>
      </c>
    </row>
    <row r="238" customFormat="false" ht="15" hidden="false" customHeight="false" outlineLevel="0" collapsed="false">
      <c r="A238" s="75" t="n">
        <v>46257</v>
      </c>
      <c r="B238" s="76" t="s">
        <v>87</v>
      </c>
      <c r="C238" s="77" t="n">
        <v>44</v>
      </c>
      <c r="D238" s="78" t="n">
        <v>0.541666666666667</v>
      </c>
      <c r="E238" s="77" t="n">
        <v>19800</v>
      </c>
      <c r="F238" s="76"/>
      <c r="G238" s="76"/>
      <c r="I238" s="79" t="str">
        <f aca="false">IF($B238="","",IF(ISNUMBER(MATCH($B238,日別データ!$B$13:$B$32,0)),"✔ OK","⚠ 未登録"))</f>
        <v>✔ OK</v>
      </c>
      <c r="J238" s="80" t="str">
        <f aca="false">IF($B238="","",IF($D238="","－",IF(ISNUMBER($D238),IF(AND($D238&gt;=1,MOD($D238,1)=0),"－",IF(MOD($D238,1)&lt;$L$6,"朝",IF(MOD($D238,1)&lt;$L$7,"昼",IF(MOD($D238,1)&lt;$L$8,"夕方","夜")))),IF(OR($D238="朝",$D238="昼",$D238="夕方",$D238="夜"),$D238,"⚠ 不明"))))</f>
        <v>昼</v>
      </c>
    </row>
    <row r="239" customFormat="false" ht="15" hidden="false" customHeight="false" outlineLevel="0" collapsed="false">
      <c r="A239" s="75" t="n">
        <v>46257</v>
      </c>
      <c r="B239" s="76" t="s">
        <v>87</v>
      </c>
      <c r="C239" s="77" t="n">
        <v>35</v>
      </c>
      <c r="D239" s="78" t="n">
        <v>0.6875</v>
      </c>
      <c r="E239" s="77" t="n">
        <v>15750</v>
      </c>
      <c r="F239" s="76"/>
      <c r="G239" s="76"/>
      <c r="I239" s="79" t="str">
        <f aca="false">IF($B239="","",IF(ISNUMBER(MATCH($B239,日別データ!$B$13:$B$32,0)),"✔ OK","⚠ 未登録"))</f>
        <v>✔ OK</v>
      </c>
      <c r="J239" s="80" t="str">
        <f aca="false">IF($B239="","",IF($D239="","－",IF(ISNUMBER($D239),IF(AND($D239&gt;=1,MOD($D239,1)=0),"－",IF(MOD($D239,1)&lt;$L$6,"朝",IF(MOD($D239,1)&lt;$L$7,"昼",IF(MOD($D239,1)&lt;$L$8,"夕方","夜")))),IF(OR($D239="朝",$D239="昼",$D239="夕方",$D239="夜"),$D239,"⚠ 不明"))))</f>
        <v>夕方</v>
      </c>
    </row>
    <row r="240" customFormat="false" ht="15" hidden="false" customHeight="false" outlineLevel="0" collapsed="false">
      <c r="A240" s="75" t="n">
        <v>46257</v>
      </c>
      <c r="B240" s="76" t="s">
        <v>87</v>
      </c>
      <c r="C240" s="77" t="n">
        <v>33</v>
      </c>
      <c r="D240" s="78" t="n">
        <v>0.8125</v>
      </c>
      <c r="E240" s="77" t="n">
        <v>14850</v>
      </c>
      <c r="F240" s="76"/>
      <c r="G240" s="76"/>
      <c r="I240" s="79" t="str">
        <f aca="false">IF($B240="","",IF(ISNUMBER(MATCH($B240,日別データ!$B$13:$B$32,0)),"✔ OK","⚠ 未登録"))</f>
        <v>✔ OK</v>
      </c>
      <c r="J240" s="80" t="str">
        <f aca="false">IF($B240="","",IF($D240="","－",IF(ISNUMBER($D240),IF(AND($D240&gt;=1,MOD($D240,1)=0),"－",IF(MOD($D240,1)&lt;$L$6,"朝",IF(MOD($D240,1)&lt;$L$7,"昼",IF(MOD($D240,1)&lt;$L$8,"夕方","夜")))),IF(OR($D240="朝",$D240="昼",$D240="夕方",$D240="夜"),$D240,"⚠ 不明"))))</f>
        <v>夜</v>
      </c>
    </row>
    <row r="241" customFormat="false" ht="15" hidden="false" customHeight="false" outlineLevel="0" collapsed="false">
      <c r="A241" s="75" t="n">
        <v>46257</v>
      </c>
      <c r="B241" s="76" t="s">
        <v>88</v>
      </c>
      <c r="C241" s="77" t="n">
        <v>18</v>
      </c>
      <c r="D241" s="78" t="n">
        <v>0.4375</v>
      </c>
      <c r="E241" s="77" t="n">
        <v>6300</v>
      </c>
      <c r="F241" s="76"/>
      <c r="G241" s="76"/>
      <c r="I241" s="79" t="str">
        <f aca="false">IF($B241="","",IF(ISNUMBER(MATCH($B241,日別データ!$B$13:$B$32,0)),"✔ OK","⚠ 未登録"))</f>
        <v>✔ OK</v>
      </c>
      <c r="J241" s="80" t="str">
        <f aca="false">IF($B241="","",IF($D241="","－",IF(ISNUMBER($D241),IF(AND($D241&gt;=1,MOD($D241,1)=0),"－",IF(MOD($D241,1)&lt;$L$6,"朝",IF(MOD($D241,1)&lt;$L$7,"昼",IF(MOD($D241,1)&lt;$L$8,"夕方","夜")))),IF(OR($D241="朝",$D241="昼",$D241="夕方",$D241="夜"),$D241,"⚠ 不明"))))</f>
        <v>朝</v>
      </c>
    </row>
    <row r="242" customFormat="false" ht="15" hidden="false" customHeight="false" outlineLevel="0" collapsed="false">
      <c r="A242" s="75" t="n">
        <v>46257</v>
      </c>
      <c r="B242" s="76" t="s">
        <v>88</v>
      </c>
      <c r="C242" s="77" t="n">
        <v>31</v>
      </c>
      <c r="D242" s="78" t="n">
        <v>0.541666666666667</v>
      </c>
      <c r="E242" s="77" t="n">
        <v>10850</v>
      </c>
      <c r="F242" s="76"/>
      <c r="G242" s="76"/>
      <c r="I242" s="79" t="str">
        <f aca="false">IF($B242="","",IF(ISNUMBER(MATCH($B242,日別データ!$B$13:$B$32,0)),"✔ OK","⚠ 未登録"))</f>
        <v>✔ OK</v>
      </c>
      <c r="J242" s="80" t="str">
        <f aca="false">IF($B242="","",IF($D242="","－",IF(ISNUMBER($D242),IF(AND($D242&gt;=1,MOD($D242,1)=0),"－",IF(MOD($D242,1)&lt;$L$6,"朝",IF(MOD($D242,1)&lt;$L$7,"昼",IF(MOD($D242,1)&lt;$L$8,"夕方","夜")))),IF(OR($D242="朝",$D242="昼",$D242="夕方",$D242="夜"),$D242,"⚠ 不明"))))</f>
        <v>昼</v>
      </c>
    </row>
    <row r="243" customFormat="false" ht="15" hidden="false" customHeight="false" outlineLevel="0" collapsed="false">
      <c r="A243" s="75" t="n">
        <v>46257</v>
      </c>
      <c r="B243" s="76" t="s">
        <v>88</v>
      </c>
      <c r="C243" s="77" t="n">
        <v>25</v>
      </c>
      <c r="D243" s="78" t="n">
        <v>0.6875</v>
      </c>
      <c r="E243" s="77" t="n">
        <v>8750</v>
      </c>
      <c r="F243" s="76"/>
      <c r="G243" s="76"/>
      <c r="I243" s="79" t="str">
        <f aca="false">IF($B243="","",IF(ISNUMBER(MATCH($B243,日別データ!$B$13:$B$32,0)),"✔ OK","⚠ 未登録"))</f>
        <v>✔ OK</v>
      </c>
      <c r="J243" s="80" t="str">
        <f aca="false">IF($B243="","",IF($D243="","－",IF(ISNUMBER($D243),IF(AND($D243&gt;=1,MOD($D243,1)=0),"－",IF(MOD($D243,1)&lt;$L$6,"朝",IF(MOD($D243,1)&lt;$L$7,"昼",IF(MOD($D243,1)&lt;$L$8,"夕方","夜")))),IF(OR($D243="朝",$D243="昼",$D243="夕方",$D243="夜"),$D243,"⚠ 不明"))))</f>
        <v>夕方</v>
      </c>
    </row>
    <row r="244" customFormat="false" ht="15" hidden="false" customHeight="false" outlineLevel="0" collapsed="false">
      <c r="A244" s="75" t="n">
        <v>46257</v>
      </c>
      <c r="B244" s="76" t="s">
        <v>88</v>
      </c>
      <c r="C244" s="77" t="n">
        <v>40</v>
      </c>
      <c r="D244" s="78" t="n">
        <v>0.8125</v>
      </c>
      <c r="E244" s="77" t="n">
        <v>14000</v>
      </c>
      <c r="F244" s="76"/>
      <c r="G244" s="76"/>
      <c r="I244" s="79" t="str">
        <f aca="false">IF($B244="","",IF(ISNUMBER(MATCH($B244,日別データ!$B$13:$B$32,0)),"✔ OK","⚠ 未登録"))</f>
        <v>✔ OK</v>
      </c>
      <c r="J244" s="80" t="str">
        <f aca="false">IF($B244="","",IF($D244="","－",IF(ISNUMBER($D244),IF(AND($D244&gt;=1,MOD($D244,1)=0),"－",IF(MOD($D244,1)&lt;$L$6,"朝",IF(MOD($D244,1)&lt;$L$7,"昼",IF(MOD($D244,1)&lt;$L$8,"夕方","夜")))),IF(OR($D244="朝",$D244="昼",$D244="夕方",$D244="夜"),$D244,"⚠ 不明"))))</f>
        <v>夜</v>
      </c>
    </row>
    <row r="245" customFormat="false" ht="15" hidden="false" customHeight="false" outlineLevel="0" collapsed="false">
      <c r="A245" s="75" t="n">
        <v>46258</v>
      </c>
      <c r="B245" s="76" t="s">
        <v>101</v>
      </c>
      <c r="C245" s="77" t="n">
        <v>37</v>
      </c>
      <c r="D245" s="78" t="n">
        <v>0.4375</v>
      </c>
      <c r="E245" s="77" t="n">
        <v>20350</v>
      </c>
      <c r="F245" s="76"/>
      <c r="G245" s="76"/>
      <c r="I245" s="79" t="str">
        <f aca="false">IF($B245="","",IF(ISNUMBER(MATCH($B245,日別データ!$B$13:$B$32,0)),"✔ OK","⚠ 未登録"))</f>
        <v>✔ OK</v>
      </c>
      <c r="J245" s="80" t="str">
        <f aca="false">IF($B245="","",IF($D245="","－",IF(ISNUMBER($D245),IF(AND($D245&gt;=1,MOD($D245,1)=0),"－",IF(MOD($D245,1)&lt;$L$6,"朝",IF(MOD($D245,1)&lt;$L$7,"昼",IF(MOD($D245,1)&lt;$L$8,"夕方","夜")))),IF(OR($D245="朝",$D245="昼",$D245="夕方",$D245="夜"),$D245,"⚠ 不明"))))</f>
        <v>朝</v>
      </c>
    </row>
    <row r="246" customFormat="false" ht="15" hidden="false" customHeight="false" outlineLevel="0" collapsed="false">
      <c r="A246" s="75" t="n">
        <v>46258</v>
      </c>
      <c r="B246" s="76" t="s">
        <v>101</v>
      </c>
      <c r="C246" s="77" t="n">
        <v>94</v>
      </c>
      <c r="D246" s="78" t="n">
        <v>0.541666666666667</v>
      </c>
      <c r="E246" s="77" t="n">
        <v>51700</v>
      </c>
      <c r="F246" s="76"/>
      <c r="G246" s="76"/>
      <c r="I246" s="79" t="str">
        <f aca="false">IF($B246="","",IF(ISNUMBER(MATCH($B246,日別データ!$B$13:$B$32,0)),"✔ OK","⚠ 未登録"))</f>
        <v>✔ OK</v>
      </c>
      <c r="J246" s="80" t="str">
        <f aca="false">IF($B246="","",IF($D246="","－",IF(ISNUMBER($D246),IF(AND($D246&gt;=1,MOD($D246,1)=0),"－",IF(MOD($D246,1)&lt;$L$6,"朝",IF(MOD($D246,1)&lt;$L$7,"昼",IF(MOD($D246,1)&lt;$L$8,"夕方","夜")))),IF(OR($D246="朝",$D246="昼",$D246="夕方",$D246="夜"),$D246,"⚠ 不明"))))</f>
        <v>昼</v>
      </c>
    </row>
    <row r="247" customFormat="false" ht="15" hidden="false" customHeight="false" outlineLevel="0" collapsed="false">
      <c r="A247" s="75" t="n">
        <v>46258</v>
      </c>
      <c r="B247" s="76" t="s">
        <v>101</v>
      </c>
      <c r="C247" s="77" t="n">
        <v>69</v>
      </c>
      <c r="D247" s="78" t="n">
        <v>0.6875</v>
      </c>
      <c r="E247" s="77" t="n">
        <v>37950</v>
      </c>
      <c r="F247" s="76"/>
      <c r="G247" s="76"/>
      <c r="I247" s="79" t="str">
        <f aca="false">IF($B247="","",IF(ISNUMBER(MATCH($B247,日別データ!$B$13:$B$32,0)),"✔ OK","⚠ 未登録"))</f>
        <v>✔ OK</v>
      </c>
      <c r="J247" s="80" t="str">
        <f aca="false">IF($B247="","",IF($D247="","－",IF(ISNUMBER($D247),IF(AND($D247&gt;=1,MOD($D247,1)=0),"－",IF(MOD($D247,1)&lt;$L$6,"朝",IF(MOD($D247,1)&lt;$L$7,"昼",IF(MOD($D247,1)&lt;$L$8,"夕方","夜")))),IF(OR($D247="朝",$D247="昼",$D247="夕方",$D247="夜"),$D247,"⚠ 不明"))))</f>
        <v>夕方</v>
      </c>
    </row>
    <row r="248" customFormat="false" ht="15" hidden="false" customHeight="false" outlineLevel="0" collapsed="false">
      <c r="A248" s="75" t="n">
        <v>46258</v>
      </c>
      <c r="B248" s="76" t="s">
        <v>101</v>
      </c>
      <c r="C248" s="77" t="n">
        <v>98</v>
      </c>
      <c r="D248" s="78" t="n">
        <v>0.8125</v>
      </c>
      <c r="E248" s="77" t="n">
        <v>53900</v>
      </c>
      <c r="F248" s="76"/>
      <c r="G248" s="76"/>
      <c r="I248" s="79" t="str">
        <f aca="false">IF($B248="","",IF(ISNUMBER(MATCH($B248,日別データ!$B$13:$B$32,0)),"✔ OK","⚠ 未登録"))</f>
        <v>✔ OK</v>
      </c>
      <c r="J248" s="80" t="str">
        <f aca="false">IF($B248="","",IF($D248="","－",IF(ISNUMBER($D248),IF(AND($D248&gt;=1,MOD($D248,1)=0),"－",IF(MOD($D248,1)&lt;$L$6,"朝",IF(MOD($D248,1)&lt;$L$7,"昼",IF(MOD($D248,1)&lt;$L$8,"夕方","夜")))),IF(OR($D248="朝",$D248="昼",$D248="夕方",$D248="夜"),$D248,"⚠ 不明"))))</f>
        <v>夜</v>
      </c>
    </row>
    <row r="249" customFormat="false" ht="15" hidden="false" customHeight="false" outlineLevel="0" collapsed="false">
      <c r="A249" s="75" t="n">
        <v>46258</v>
      </c>
      <c r="B249" s="76" t="s">
        <v>106</v>
      </c>
      <c r="C249" s="77" t="n">
        <v>29</v>
      </c>
      <c r="D249" s="78" t="n">
        <v>0.4375</v>
      </c>
      <c r="E249" s="77" t="n">
        <v>16530</v>
      </c>
      <c r="F249" s="76"/>
      <c r="G249" s="76"/>
      <c r="I249" s="79" t="str">
        <f aca="false">IF($B249="","",IF(ISNUMBER(MATCH($B249,日別データ!$B$13:$B$32,0)),"✔ OK","⚠ 未登録"))</f>
        <v>✔ OK</v>
      </c>
      <c r="J249" s="80" t="str">
        <f aca="false">IF($B249="","",IF($D249="","－",IF(ISNUMBER($D249),IF(AND($D249&gt;=1,MOD($D249,1)=0),"－",IF(MOD($D249,1)&lt;$L$6,"朝",IF(MOD($D249,1)&lt;$L$7,"昼",IF(MOD($D249,1)&lt;$L$8,"夕方","夜")))),IF(OR($D249="朝",$D249="昼",$D249="夕方",$D249="夜"),$D249,"⚠ 不明"))))</f>
        <v>朝</v>
      </c>
    </row>
    <row r="250" customFormat="false" ht="15" hidden="false" customHeight="false" outlineLevel="0" collapsed="false">
      <c r="A250" s="75" t="n">
        <v>46258</v>
      </c>
      <c r="B250" s="76" t="s">
        <v>106</v>
      </c>
      <c r="C250" s="77" t="n">
        <v>60</v>
      </c>
      <c r="D250" s="78" t="n">
        <v>0.541666666666667</v>
      </c>
      <c r="E250" s="77" t="n">
        <v>34200</v>
      </c>
      <c r="F250" s="76"/>
      <c r="G250" s="76"/>
      <c r="I250" s="79" t="str">
        <f aca="false">IF($B250="","",IF(ISNUMBER(MATCH($B250,日別データ!$B$13:$B$32,0)),"✔ OK","⚠ 未登録"))</f>
        <v>✔ OK</v>
      </c>
      <c r="J250" s="80" t="str">
        <f aca="false">IF($B250="","",IF($D250="","－",IF(ISNUMBER($D250),IF(AND($D250&gt;=1,MOD($D250,1)=0),"－",IF(MOD($D250,1)&lt;$L$6,"朝",IF(MOD($D250,1)&lt;$L$7,"昼",IF(MOD($D250,1)&lt;$L$8,"夕方","夜")))),IF(OR($D250="朝",$D250="昼",$D250="夕方",$D250="夜"),$D250,"⚠ 不明"))))</f>
        <v>昼</v>
      </c>
    </row>
    <row r="251" customFormat="false" ht="15" hidden="false" customHeight="false" outlineLevel="0" collapsed="false">
      <c r="A251" s="75" t="n">
        <v>46258</v>
      </c>
      <c r="B251" s="76" t="s">
        <v>106</v>
      </c>
      <c r="C251" s="77" t="n">
        <v>40</v>
      </c>
      <c r="D251" s="78" t="n">
        <v>0.6875</v>
      </c>
      <c r="E251" s="77" t="n">
        <v>22800</v>
      </c>
      <c r="F251" s="76"/>
      <c r="G251" s="76"/>
      <c r="I251" s="79" t="str">
        <f aca="false">IF($B251="","",IF(ISNUMBER(MATCH($B251,日別データ!$B$13:$B$32,0)),"✔ OK","⚠ 未登録"))</f>
        <v>✔ OK</v>
      </c>
      <c r="J251" s="80" t="str">
        <f aca="false">IF($B251="","",IF($D251="","－",IF(ISNUMBER($D251),IF(AND($D251&gt;=1,MOD($D251,1)=0),"－",IF(MOD($D251,1)&lt;$L$6,"朝",IF(MOD($D251,1)&lt;$L$7,"昼",IF(MOD($D251,1)&lt;$L$8,"夕方","夜")))),IF(OR($D251="朝",$D251="昼",$D251="夕方",$D251="夜"),$D251,"⚠ 不明"))))</f>
        <v>夕方</v>
      </c>
    </row>
    <row r="252" customFormat="false" ht="15" hidden="false" customHeight="false" outlineLevel="0" collapsed="false">
      <c r="A252" s="75" t="n">
        <v>46258</v>
      </c>
      <c r="B252" s="76" t="s">
        <v>106</v>
      </c>
      <c r="C252" s="77" t="n">
        <v>57</v>
      </c>
      <c r="D252" s="78" t="n">
        <v>0.8125</v>
      </c>
      <c r="E252" s="77" t="n">
        <v>32490</v>
      </c>
      <c r="F252" s="76"/>
      <c r="G252" s="76"/>
      <c r="I252" s="79" t="str">
        <f aca="false">IF($B252="","",IF(ISNUMBER(MATCH($B252,日別データ!$B$13:$B$32,0)),"✔ OK","⚠ 未登録"))</f>
        <v>✔ OK</v>
      </c>
      <c r="J252" s="80" t="str">
        <f aca="false">IF($B252="","",IF($D252="","－",IF(ISNUMBER($D252),IF(AND($D252&gt;=1,MOD($D252,1)=0),"－",IF(MOD($D252,1)&lt;$L$6,"朝",IF(MOD($D252,1)&lt;$L$7,"昼",IF(MOD($D252,1)&lt;$L$8,"夕方","夜")))),IF(OR($D252="朝",$D252="昼",$D252="夕方",$D252="夜"),$D252,"⚠ 不明"))))</f>
        <v>夜</v>
      </c>
    </row>
    <row r="253" customFormat="false" ht="15" hidden="false" customHeight="false" outlineLevel="0" collapsed="false">
      <c r="A253" s="75" t="n">
        <v>46258</v>
      </c>
      <c r="B253" s="76" t="s">
        <v>79</v>
      </c>
      <c r="C253" s="77" t="n">
        <v>22</v>
      </c>
      <c r="D253" s="78" t="n">
        <v>0.4375</v>
      </c>
      <c r="E253" s="77" t="n">
        <v>13200</v>
      </c>
      <c r="F253" s="76"/>
      <c r="G253" s="76"/>
      <c r="I253" s="79" t="str">
        <f aca="false">IF($B253="","",IF(ISNUMBER(MATCH($B253,日別データ!$B$13:$B$32,0)),"✔ OK","⚠ 未登録"))</f>
        <v>✔ OK</v>
      </c>
      <c r="J253" s="80" t="str">
        <f aca="false">IF($B253="","",IF($D253="","－",IF(ISNUMBER($D253),IF(AND($D253&gt;=1,MOD($D253,1)=0),"－",IF(MOD($D253,1)&lt;$L$6,"朝",IF(MOD($D253,1)&lt;$L$7,"昼",IF(MOD($D253,1)&lt;$L$8,"夕方","夜")))),IF(OR($D253="朝",$D253="昼",$D253="夕方",$D253="夜"),$D253,"⚠ 不明"))))</f>
        <v>朝</v>
      </c>
    </row>
    <row r="254" customFormat="false" ht="15" hidden="false" customHeight="false" outlineLevel="0" collapsed="false">
      <c r="A254" s="75" t="n">
        <v>46258</v>
      </c>
      <c r="B254" s="76" t="s">
        <v>79</v>
      </c>
      <c r="C254" s="77" t="n">
        <v>46</v>
      </c>
      <c r="D254" s="78" t="n">
        <v>0.541666666666667</v>
      </c>
      <c r="E254" s="77" t="n">
        <v>27600</v>
      </c>
      <c r="F254" s="76"/>
      <c r="G254" s="76"/>
      <c r="I254" s="79" t="str">
        <f aca="false">IF($B254="","",IF(ISNUMBER(MATCH($B254,日別データ!$B$13:$B$32,0)),"✔ OK","⚠ 未登録"))</f>
        <v>✔ OK</v>
      </c>
      <c r="J254" s="80" t="str">
        <f aca="false">IF($B254="","",IF($D254="","－",IF(ISNUMBER($D254),IF(AND($D254&gt;=1,MOD($D254,1)=0),"－",IF(MOD($D254,1)&lt;$L$6,"朝",IF(MOD($D254,1)&lt;$L$7,"昼",IF(MOD($D254,1)&lt;$L$8,"夕方","夜")))),IF(OR($D254="朝",$D254="昼",$D254="夕方",$D254="夜"),$D254,"⚠ 不明"))))</f>
        <v>昼</v>
      </c>
    </row>
    <row r="255" customFormat="false" ht="15" hidden="false" customHeight="false" outlineLevel="0" collapsed="false">
      <c r="A255" s="75" t="n">
        <v>46258</v>
      </c>
      <c r="B255" s="76" t="s">
        <v>79</v>
      </c>
      <c r="C255" s="77" t="n">
        <v>34</v>
      </c>
      <c r="D255" s="78" t="n">
        <v>0.6875</v>
      </c>
      <c r="E255" s="77" t="n">
        <v>20400</v>
      </c>
      <c r="F255" s="76"/>
      <c r="G255" s="76"/>
      <c r="I255" s="79" t="str">
        <f aca="false">IF($B255="","",IF(ISNUMBER(MATCH($B255,日別データ!$B$13:$B$32,0)),"✔ OK","⚠ 未登録"))</f>
        <v>✔ OK</v>
      </c>
      <c r="J255" s="80" t="str">
        <f aca="false">IF($B255="","",IF($D255="","－",IF(ISNUMBER($D255),IF(AND($D255&gt;=1,MOD($D255,1)=0),"－",IF(MOD($D255,1)&lt;$L$6,"朝",IF(MOD($D255,1)&lt;$L$7,"昼",IF(MOD($D255,1)&lt;$L$8,"夕方","夜")))),IF(OR($D255="朝",$D255="昼",$D255="夕方",$D255="夜"),$D255,"⚠ 不明"))))</f>
        <v>夕方</v>
      </c>
    </row>
    <row r="256" customFormat="false" ht="15" hidden="false" customHeight="false" outlineLevel="0" collapsed="false">
      <c r="A256" s="75" t="n">
        <v>46258</v>
      </c>
      <c r="B256" s="76" t="s">
        <v>79</v>
      </c>
      <c r="C256" s="77" t="n">
        <v>50</v>
      </c>
      <c r="D256" s="78" t="n">
        <v>0.8125</v>
      </c>
      <c r="E256" s="77" t="n">
        <v>30000</v>
      </c>
      <c r="F256" s="76"/>
      <c r="G256" s="76"/>
      <c r="I256" s="79" t="str">
        <f aca="false">IF($B256="","",IF(ISNUMBER(MATCH($B256,日別データ!$B$13:$B$32,0)),"✔ OK","⚠ 未登録"))</f>
        <v>✔ OK</v>
      </c>
      <c r="J256" s="80" t="str">
        <f aca="false">IF($B256="","",IF($D256="","－",IF(ISNUMBER($D256),IF(AND($D256&gt;=1,MOD($D256,1)=0),"－",IF(MOD($D256,1)&lt;$L$6,"朝",IF(MOD($D256,1)&lt;$L$7,"昼",IF(MOD($D256,1)&lt;$L$8,"夕方","夜")))),IF(OR($D256="朝",$D256="昼",$D256="夕方",$D256="夜"),$D256,"⚠ 不明"))))</f>
        <v>夜</v>
      </c>
    </row>
    <row r="257" customFormat="false" ht="15" hidden="false" customHeight="false" outlineLevel="0" collapsed="false">
      <c r="A257" s="75" t="n">
        <v>46258</v>
      </c>
      <c r="B257" s="76" t="s">
        <v>107</v>
      </c>
      <c r="C257" s="77" t="n">
        <v>19</v>
      </c>
      <c r="D257" s="78" t="n">
        <v>0.4375</v>
      </c>
      <c r="E257" s="77" t="n">
        <v>6460</v>
      </c>
      <c r="F257" s="76"/>
      <c r="G257" s="76"/>
      <c r="I257" s="79" t="str">
        <f aca="false">IF($B257="","",IF(ISNUMBER(MATCH($B257,日別データ!$B$13:$B$32,0)),"✔ OK","⚠ 未登録"))</f>
        <v>✔ OK</v>
      </c>
      <c r="J257" s="80" t="str">
        <f aca="false">IF($B257="","",IF($D257="","－",IF(ISNUMBER($D257),IF(AND($D257&gt;=1,MOD($D257,1)=0),"－",IF(MOD($D257,1)&lt;$L$6,"朝",IF(MOD($D257,1)&lt;$L$7,"昼",IF(MOD($D257,1)&lt;$L$8,"夕方","夜")))),IF(OR($D257="朝",$D257="昼",$D257="夕方",$D257="夜"),$D257,"⚠ 不明"))))</f>
        <v>朝</v>
      </c>
    </row>
    <row r="258" customFormat="false" ht="15" hidden="false" customHeight="false" outlineLevel="0" collapsed="false">
      <c r="A258" s="75" t="n">
        <v>46258</v>
      </c>
      <c r="B258" s="76" t="s">
        <v>107</v>
      </c>
      <c r="C258" s="77" t="n">
        <v>52</v>
      </c>
      <c r="D258" s="78" t="n">
        <v>0.541666666666667</v>
      </c>
      <c r="E258" s="77" t="n">
        <v>17680</v>
      </c>
      <c r="F258" s="76"/>
      <c r="G258" s="76"/>
      <c r="I258" s="79" t="str">
        <f aca="false">IF($B258="","",IF(ISNUMBER(MATCH($B258,日別データ!$B$13:$B$32,0)),"✔ OK","⚠ 未登録"))</f>
        <v>✔ OK</v>
      </c>
      <c r="J258" s="80" t="str">
        <f aca="false">IF($B258="","",IF($D258="","－",IF(ISNUMBER($D258),IF(AND($D258&gt;=1,MOD($D258,1)=0),"－",IF(MOD($D258,1)&lt;$L$6,"朝",IF(MOD($D258,1)&lt;$L$7,"昼",IF(MOD($D258,1)&lt;$L$8,"夕方","夜")))),IF(OR($D258="朝",$D258="昼",$D258="夕方",$D258="夜"),$D258,"⚠ 不明"))))</f>
        <v>昼</v>
      </c>
    </row>
    <row r="259" customFormat="false" ht="15" hidden="false" customHeight="false" outlineLevel="0" collapsed="false">
      <c r="A259" s="75" t="n">
        <v>46258</v>
      </c>
      <c r="B259" s="76" t="s">
        <v>107</v>
      </c>
      <c r="C259" s="77" t="n">
        <v>42</v>
      </c>
      <c r="D259" s="78" t="n">
        <v>0.6875</v>
      </c>
      <c r="E259" s="77" t="n">
        <v>14280</v>
      </c>
      <c r="F259" s="76"/>
      <c r="G259" s="76"/>
      <c r="I259" s="79" t="str">
        <f aca="false">IF($B259="","",IF(ISNUMBER(MATCH($B259,日別データ!$B$13:$B$32,0)),"✔ OK","⚠ 未登録"))</f>
        <v>✔ OK</v>
      </c>
      <c r="J259" s="80" t="str">
        <f aca="false">IF($B259="","",IF($D259="","－",IF(ISNUMBER($D259),IF(AND($D259&gt;=1,MOD($D259,1)=0),"－",IF(MOD($D259,1)&lt;$L$6,"朝",IF(MOD($D259,1)&lt;$L$7,"昼",IF(MOD($D259,1)&lt;$L$8,"夕方","夜")))),IF(OR($D259="朝",$D259="昼",$D259="夕方",$D259="夜"),$D259,"⚠ 不明"))))</f>
        <v>夕方</v>
      </c>
    </row>
    <row r="260" customFormat="false" ht="15" hidden="false" customHeight="false" outlineLevel="0" collapsed="false">
      <c r="A260" s="75" t="n">
        <v>46258</v>
      </c>
      <c r="B260" s="76" t="s">
        <v>107</v>
      </c>
      <c r="C260" s="77" t="n">
        <v>40</v>
      </c>
      <c r="D260" s="78" t="n">
        <v>0.8125</v>
      </c>
      <c r="E260" s="77" t="n">
        <v>13600</v>
      </c>
      <c r="F260" s="76"/>
      <c r="G260" s="76"/>
      <c r="I260" s="79" t="str">
        <f aca="false">IF($B260="","",IF(ISNUMBER(MATCH($B260,日別データ!$B$13:$B$32,0)),"✔ OK","⚠ 未登録"))</f>
        <v>✔ OK</v>
      </c>
      <c r="J260" s="80" t="str">
        <f aca="false">IF($B260="","",IF($D260="","－",IF(ISNUMBER($D260),IF(AND($D260&gt;=1,MOD($D260,1)=0),"－",IF(MOD($D260,1)&lt;$L$6,"朝",IF(MOD($D260,1)&lt;$L$7,"昼",IF(MOD($D260,1)&lt;$L$8,"夕方","夜")))),IF(OR($D260="朝",$D260="昼",$D260="夕方",$D260="夜"),$D260,"⚠ 不明"))))</f>
        <v>夜</v>
      </c>
    </row>
    <row r="261" customFormat="false" ht="15" hidden="false" customHeight="false" outlineLevel="0" collapsed="false">
      <c r="A261" s="75" t="n">
        <v>46258</v>
      </c>
      <c r="B261" s="76" t="s">
        <v>108</v>
      </c>
      <c r="C261" s="77" t="n">
        <v>43</v>
      </c>
      <c r="D261" s="78" t="n">
        <v>0.4375</v>
      </c>
      <c r="E261" s="77" t="n">
        <v>17200</v>
      </c>
      <c r="F261" s="76"/>
      <c r="G261" s="76"/>
      <c r="I261" s="79" t="str">
        <f aca="false">IF($B261="","",IF(ISNUMBER(MATCH($B261,日別データ!$B$13:$B$32,0)),"✔ OK","⚠ 未登録"))</f>
        <v>✔ OK</v>
      </c>
      <c r="J261" s="80" t="str">
        <f aca="false">IF($B261="","",IF($D261="","－",IF(ISNUMBER($D261),IF(AND($D261&gt;=1,MOD($D261,1)=0),"－",IF(MOD($D261,1)&lt;$L$6,"朝",IF(MOD($D261,1)&lt;$L$7,"昼",IF(MOD($D261,1)&lt;$L$8,"夕方","夜")))),IF(OR($D261="朝",$D261="昼",$D261="夕方",$D261="夜"),$D261,"⚠ 不明"))))</f>
        <v>朝</v>
      </c>
    </row>
    <row r="262" customFormat="false" ht="15" hidden="false" customHeight="false" outlineLevel="0" collapsed="false">
      <c r="A262" s="75" t="n">
        <v>46258</v>
      </c>
      <c r="B262" s="76" t="s">
        <v>108</v>
      </c>
      <c r="C262" s="77" t="n">
        <v>118</v>
      </c>
      <c r="D262" s="78" t="n">
        <v>0.541666666666667</v>
      </c>
      <c r="E262" s="77" t="n">
        <v>47200</v>
      </c>
      <c r="F262" s="76"/>
      <c r="G262" s="76"/>
      <c r="I262" s="79" t="str">
        <f aca="false">IF($B262="","",IF(ISNUMBER(MATCH($B262,日別データ!$B$13:$B$32,0)),"✔ OK","⚠ 未登録"))</f>
        <v>✔ OK</v>
      </c>
      <c r="J262" s="80" t="str">
        <f aca="false">IF($B262="","",IF($D262="","－",IF(ISNUMBER($D262),IF(AND($D262&gt;=1,MOD($D262,1)=0),"－",IF(MOD($D262,1)&lt;$L$6,"朝",IF(MOD($D262,1)&lt;$L$7,"昼",IF(MOD($D262,1)&lt;$L$8,"夕方","夜")))),IF(OR($D262="朝",$D262="昼",$D262="夕方",$D262="夜"),$D262,"⚠ 不明"))))</f>
        <v>昼</v>
      </c>
    </row>
    <row r="263" customFormat="false" ht="15" hidden="false" customHeight="false" outlineLevel="0" collapsed="false">
      <c r="A263" s="75" t="n">
        <v>46258</v>
      </c>
      <c r="B263" s="76" t="s">
        <v>108</v>
      </c>
      <c r="C263" s="77" t="n">
        <v>86</v>
      </c>
      <c r="D263" s="78" t="n">
        <v>0.6875</v>
      </c>
      <c r="E263" s="77" t="n">
        <v>34400</v>
      </c>
      <c r="F263" s="76"/>
      <c r="G263" s="76"/>
      <c r="I263" s="79" t="str">
        <f aca="false">IF($B263="","",IF(ISNUMBER(MATCH($B263,日別データ!$B$13:$B$32,0)),"✔ OK","⚠ 未登録"))</f>
        <v>✔ OK</v>
      </c>
      <c r="J263" s="80" t="str">
        <f aca="false">IF($B263="","",IF($D263="","－",IF(ISNUMBER($D263),IF(AND($D263&gt;=1,MOD($D263,1)=0),"－",IF(MOD($D263,1)&lt;$L$6,"朝",IF(MOD($D263,1)&lt;$L$7,"昼",IF(MOD($D263,1)&lt;$L$8,"夕方","夜")))),IF(OR($D263="朝",$D263="昼",$D263="夕方",$D263="夜"),$D263,"⚠ 不明"))))</f>
        <v>夕方</v>
      </c>
    </row>
    <row r="264" customFormat="false" ht="15" hidden="false" customHeight="false" outlineLevel="0" collapsed="false">
      <c r="A264" s="75" t="n">
        <v>46258</v>
      </c>
      <c r="B264" s="76" t="s">
        <v>108</v>
      </c>
      <c r="C264" s="77" t="n">
        <v>103</v>
      </c>
      <c r="D264" s="78" t="n">
        <v>0.8125</v>
      </c>
      <c r="E264" s="77" t="n">
        <v>41200</v>
      </c>
      <c r="F264" s="76"/>
      <c r="G264" s="76"/>
      <c r="I264" s="79" t="str">
        <f aca="false">IF($B264="","",IF(ISNUMBER(MATCH($B264,日別データ!$B$13:$B$32,0)),"✔ OK","⚠ 未登録"))</f>
        <v>✔ OK</v>
      </c>
      <c r="J264" s="80" t="str">
        <f aca="false">IF($B264="","",IF($D264="","－",IF(ISNUMBER($D264),IF(AND($D264&gt;=1,MOD($D264,1)=0),"－",IF(MOD($D264,1)&lt;$L$6,"朝",IF(MOD($D264,1)&lt;$L$7,"昼",IF(MOD($D264,1)&lt;$L$8,"夕方","夜")))),IF(OR($D264="朝",$D264="昼",$D264="夕方",$D264="夜"),$D264,"⚠ 不明"))))</f>
        <v>夜</v>
      </c>
    </row>
    <row r="265" customFormat="false" ht="15" hidden="false" customHeight="false" outlineLevel="0" collapsed="false">
      <c r="A265" s="75" t="n">
        <v>46258</v>
      </c>
      <c r="B265" s="76" t="s">
        <v>109</v>
      </c>
      <c r="C265" s="77" t="n">
        <v>15</v>
      </c>
      <c r="D265" s="78" t="n">
        <v>0.4375</v>
      </c>
      <c r="E265" s="77" t="n">
        <v>6900</v>
      </c>
      <c r="F265" s="76"/>
      <c r="G265" s="76"/>
      <c r="I265" s="79" t="str">
        <f aca="false">IF($B265="","",IF(ISNUMBER(MATCH($B265,日別データ!$B$13:$B$32,0)),"✔ OK","⚠ 未登録"))</f>
        <v>✔ OK</v>
      </c>
      <c r="J265" s="80" t="str">
        <f aca="false">IF($B265="","",IF($D265="","－",IF(ISNUMBER($D265),IF(AND($D265&gt;=1,MOD($D265,1)=0),"－",IF(MOD($D265,1)&lt;$L$6,"朝",IF(MOD($D265,1)&lt;$L$7,"昼",IF(MOD($D265,1)&lt;$L$8,"夕方","夜")))),IF(OR($D265="朝",$D265="昼",$D265="夕方",$D265="夜"),$D265,"⚠ 不明"))))</f>
        <v>朝</v>
      </c>
    </row>
    <row r="266" customFormat="false" ht="15" hidden="false" customHeight="false" outlineLevel="0" collapsed="false">
      <c r="A266" s="75" t="n">
        <v>46258</v>
      </c>
      <c r="B266" s="76" t="s">
        <v>109</v>
      </c>
      <c r="C266" s="77" t="n">
        <v>32</v>
      </c>
      <c r="D266" s="78" t="n">
        <v>0.541666666666667</v>
      </c>
      <c r="E266" s="77" t="n">
        <v>14720</v>
      </c>
      <c r="F266" s="76"/>
      <c r="G266" s="76"/>
      <c r="I266" s="79" t="str">
        <f aca="false">IF($B266="","",IF(ISNUMBER(MATCH($B266,日別データ!$B$13:$B$32,0)),"✔ OK","⚠ 未登録"))</f>
        <v>✔ OK</v>
      </c>
      <c r="J266" s="80" t="str">
        <f aca="false">IF($B266="","",IF($D266="","－",IF(ISNUMBER($D266),IF(AND($D266&gt;=1,MOD($D266,1)=0),"－",IF(MOD($D266,1)&lt;$L$6,"朝",IF(MOD($D266,1)&lt;$L$7,"昼",IF(MOD($D266,1)&lt;$L$8,"夕方","夜")))),IF(OR($D266="朝",$D266="昼",$D266="夕方",$D266="夜"),$D266,"⚠ 不明"))))</f>
        <v>昼</v>
      </c>
    </row>
    <row r="267" customFormat="false" ht="15" hidden="false" customHeight="false" outlineLevel="0" collapsed="false">
      <c r="A267" s="75" t="n">
        <v>46258</v>
      </c>
      <c r="B267" s="76" t="s">
        <v>109</v>
      </c>
      <c r="C267" s="77" t="n">
        <v>23</v>
      </c>
      <c r="D267" s="78" t="n">
        <v>0.6875</v>
      </c>
      <c r="E267" s="77" t="n">
        <v>10580</v>
      </c>
      <c r="F267" s="76"/>
      <c r="G267" s="76"/>
      <c r="I267" s="79" t="str">
        <f aca="false">IF($B267="","",IF(ISNUMBER(MATCH($B267,日別データ!$B$13:$B$32,0)),"✔ OK","⚠ 未登録"))</f>
        <v>✔ OK</v>
      </c>
      <c r="J267" s="80" t="str">
        <f aca="false">IF($B267="","",IF($D267="","－",IF(ISNUMBER($D267),IF(AND($D267&gt;=1,MOD($D267,1)=0),"－",IF(MOD($D267,1)&lt;$L$6,"朝",IF(MOD($D267,1)&lt;$L$7,"昼",IF(MOD($D267,1)&lt;$L$8,"夕方","夜")))),IF(OR($D267="朝",$D267="昼",$D267="夕方",$D267="夜"),$D267,"⚠ 不明"))))</f>
        <v>夕方</v>
      </c>
    </row>
    <row r="268" customFormat="false" ht="15" hidden="false" customHeight="false" outlineLevel="0" collapsed="false">
      <c r="A268" s="75" t="n">
        <v>46258</v>
      </c>
      <c r="B268" s="76" t="s">
        <v>109</v>
      </c>
      <c r="C268" s="77" t="n">
        <v>31</v>
      </c>
      <c r="D268" s="78" t="n">
        <v>0.8125</v>
      </c>
      <c r="E268" s="77" t="n">
        <v>14260</v>
      </c>
      <c r="F268" s="76"/>
      <c r="G268" s="76"/>
      <c r="I268" s="79" t="str">
        <f aca="false">IF($B268="","",IF(ISNUMBER(MATCH($B268,日別データ!$B$13:$B$32,0)),"✔ OK","⚠ 未登録"))</f>
        <v>✔ OK</v>
      </c>
      <c r="J268" s="80" t="str">
        <f aca="false">IF($B268="","",IF($D268="","－",IF(ISNUMBER($D268),IF(AND($D268&gt;=1,MOD($D268,1)=0),"－",IF(MOD($D268,1)&lt;$L$6,"朝",IF(MOD($D268,1)&lt;$L$7,"昼",IF(MOD($D268,1)&lt;$L$8,"夕方","夜")))),IF(OR($D268="朝",$D268="昼",$D268="夕方",$D268="夜"),$D268,"⚠ 不明"))))</f>
        <v>夜</v>
      </c>
    </row>
    <row r="269" customFormat="false" ht="15" hidden="false" customHeight="false" outlineLevel="0" collapsed="false">
      <c r="A269" s="75" t="n">
        <v>46258</v>
      </c>
      <c r="B269" s="76" t="s">
        <v>83</v>
      </c>
      <c r="C269" s="77" t="n">
        <v>13</v>
      </c>
      <c r="D269" s="78" t="n">
        <v>0.4375</v>
      </c>
      <c r="E269" s="77" t="n">
        <v>4940</v>
      </c>
      <c r="F269" s="76"/>
      <c r="G269" s="76"/>
      <c r="I269" s="79" t="str">
        <f aca="false">IF($B269="","",IF(ISNUMBER(MATCH($B269,日別データ!$B$13:$B$32,0)),"✔ OK","⚠ 未登録"))</f>
        <v>✔ OK</v>
      </c>
      <c r="J269" s="80" t="str">
        <f aca="false">IF($B269="","",IF($D269="","－",IF(ISNUMBER($D269),IF(AND($D269&gt;=1,MOD($D269,1)=0),"－",IF(MOD($D269,1)&lt;$L$6,"朝",IF(MOD($D269,1)&lt;$L$7,"昼",IF(MOD($D269,1)&lt;$L$8,"夕方","夜")))),IF(OR($D269="朝",$D269="昼",$D269="夕方",$D269="夜"),$D269,"⚠ 不明"))))</f>
        <v>朝</v>
      </c>
    </row>
    <row r="270" customFormat="false" ht="15" hidden="false" customHeight="false" outlineLevel="0" collapsed="false">
      <c r="A270" s="75" t="n">
        <v>46258</v>
      </c>
      <c r="B270" s="76" t="s">
        <v>83</v>
      </c>
      <c r="C270" s="77" t="n">
        <v>27</v>
      </c>
      <c r="D270" s="78" t="n">
        <v>0.541666666666667</v>
      </c>
      <c r="E270" s="77" t="n">
        <v>10260</v>
      </c>
      <c r="F270" s="76"/>
      <c r="G270" s="76"/>
      <c r="I270" s="79" t="str">
        <f aca="false">IF($B270="","",IF(ISNUMBER(MATCH($B270,日別データ!$B$13:$B$32,0)),"✔ OK","⚠ 未登録"))</f>
        <v>✔ OK</v>
      </c>
      <c r="J270" s="80" t="str">
        <f aca="false">IF($B270="","",IF($D270="","－",IF(ISNUMBER($D270),IF(AND($D270&gt;=1,MOD($D270,1)=0),"－",IF(MOD($D270,1)&lt;$L$6,"朝",IF(MOD($D270,1)&lt;$L$7,"昼",IF(MOD($D270,1)&lt;$L$8,"夕方","夜")))),IF(OR($D270="朝",$D270="昼",$D270="夕方",$D270="夜"),$D270,"⚠ 不明"))))</f>
        <v>昼</v>
      </c>
    </row>
    <row r="271" customFormat="false" ht="15" hidden="false" customHeight="false" outlineLevel="0" collapsed="false">
      <c r="A271" s="75" t="n">
        <v>46258</v>
      </c>
      <c r="B271" s="76" t="s">
        <v>83</v>
      </c>
      <c r="C271" s="77" t="n">
        <v>23</v>
      </c>
      <c r="D271" s="78" t="n">
        <v>0.6875</v>
      </c>
      <c r="E271" s="77" t="n">
        <v>8740</v>
      </c>
      <c r="F271" s="76"/>
      <c r="G271" s="76"/>
      <c r="I271" s="79" t="str">
        <f aca="false">IF($B271="","",IF(ISNUMBER(MATCH($B271,日別データ!$B$13:$B$32,0)),"✔ OK","⚠ 未登録"))</f>
        <v>✔ OK</v>
      </c>
      <c r="J271" s="80" t="str">
        <f aca="false">IF($B271="","",IF($D271="","－",IF(ISNUMBER($D271),IF(AND($D271&gt;=1,MOD($D271,1)=0),"－",IF(MOD($D271,1)&lt;$L$6,"朝",IF(MOD($D271,1)&lt;$L$7,"昼",IF(MOD($D271,1)&lt;$L$8,"夕方","夜")))),IF(OR($D271="朝",$D271="昼",$D271="夕方",$D271="夜"),$D271,"⚠ 不明"))))</f>
        <v>夕方</v>
      </c>
    </row>
    <row r="272" customFormat="false" ht="15" hidden="false" customHeight="false" outlineLevel="0" collapsed="false">
      <c r="A272" s="75" t="n">
        <v>46258</v>
      </c>
      <c r="B272" s="76" t="s">
        <v>83</v>
      </c>
      <c r="C272" s="77" t="n">
        <v>31</v>
      </c>
      <c r="D272" s="78" t="n">
        <v>0.8125</v>
      </c>
      <c r="E272" s="77" t="n">
        <v>11780</v>
      </c>
      <c r="F272" s="76"/>
      <c r="G272" s="76"/>
      <c r="I272" s="79" t="str">
        <f aca="false">IF($B272="","",IF(ISNUMBER(MATCH($B272,日別データ!$B$13:$B$32,0)),"✔ OK","⚠ 未登録"))</f>
        <v>✔ OK</v>
      </c>
      <c r="J272" s="80" t="str">
        <f aca="false">IF($B272="","",IF($D272="","－",IF(ISNUMBER($D272),IF(AND($D272&gt;=1,MOD($D272,1)=0),"－",IF(MOD($D272,1)&lt;$L$6,"朝",IF(MOD($D272,1)&lt;$L$7,"昼",IF(MOD($D272,1)&lt;$L$8,"夕方","夜")))),IF(OR($D272="朝",$D272="昼",$D272="夕方",$D272="夜"),$D272,"⚠ 不明"))))</f>
        <v>夜</v>
      </c>
    </row>
    <row r="273" customFormat="false" ht="15" hidden="false" customHeight="false" outlineLevel="0" collapsed="false">
      <c r="A273" s="75" t="n">
        <v>46258</v>
      </c>
      <c r="B273" s="76" t="s">
        <v>84</v>
      </c>
      <c r="C273" s="77" t="n">
        <v>10</v>
      </c>
      <c r="D273" s="78" t="n">
        <v>0.4375</v>
      </c>
      <c r="E273" s="77" t="n">
        <v>5000</v>
      </c>
      <c r="F273" s="76"/>
      <c r="G273" s="76"/>
      <c r="I273" s="79" t="str">
        <f aca="false">IF($B273="","",IF(ISNUMBER(MATCH($B273,日別データ!$B$13:$B$32,0)),"✔ OK","⚠ 未登録"))</f>
        <v>✔ OK</v>
      </c>
      <c r="J273" s="80" t="str">
        <f aca="false">IF($B273="","",IF($D273="","－",IF(ISNUMBER($D273),IF(AND($D273&gt;=1,MOD($D273,1)=0),"－",IF(MOD($D273,1)&lt;$L$6,"朝",IF(MOD($D273,1)&lt;$L$7,"昼",IF(MOD($D273,1)&lt;$L$8,"夕方","夜")))),IF(OR($D273="朝",$D273="昼",$D273="夕方",$D273="夜"),$D273,"⚠ 不明"))))</f>
        <v>朝</v>
      </c>
    </row>
    <row r="274" customFormat="false" ht="15" hidden="false" customHeight="false" outlineLevel="0" collapsed="false">
      <c r="A274" s="75" t="n">
        <v>46258</v>
      </c>
      <c r="B274" s="76" t="s">
        <v>84</v>
      </c>
      <c r="C274" s="77" t="n">
        <v>26</v>
      </c>
      <c r="D274" s="78" t="n">
        <v>0.541666666666667</v>
      </c>
      <c r="E274" s="77" t="n">
        <v>13000</v>
      </c>
      <c r="F274" s="76"/>
      <c r="G274" s="76"/>
      <c r="I274" s="79" t="str">
        <f aca="false">IF($B274="","",IF(ISNUMBER(MATCH($B274,日別データ!$B$13:$B$32,0)),"✔ OK","⚠ 未登録"))</f>
        <v>✔ OK</v>
      </c>
      <c r="J274" s="80" t="str">
        <f aca="false">IF($B274="","",IF($D274="","－",IF(ISNUMBER($D274),IF(AND($D274&gt;=1,MOD($D274,1)=0),"－",IF(MOD($D274,1)&lt;$L$6,"朝",IF(MOD($D274,1)&lt;$L$7,"昼",IF(MOD($D274,1)&lt;$L$8,"夕方","夜")))),IF(OR($D274="朝",$D274="昼",$D274="夕方",$D274="夜"),$D274,"⚠ 不明"))))</f>
        <v>昼</v>
      </c>
    </row>
    <row r="275" customFormat="false" ht="15" hidden="false" customHeight="false" outlineLevel="0" collapsed="false">
      <c r="A275" s="75" t="n">
        <v>46258</v>
      </c>
      <c r="B275" s="76" t="s">
        <v>84</v>
      </c>
      <c r="C275" s="77" t="n">
        <v>18</v>
      </c>
      <c r="D275" s="78" t="n">
        <v>0.6875</v>
      </c>
      <c r="E275" s="77" t="n">
        <v>9000</v>
      </c>
      <c r="F275" s="76"/>
      <c r="G275" s="76"/>
      <c r="I275" s="79" t="str">
        <f aca="false">IF($B275="","",IF(ISNUMBER(MATCH($B275,日別データ!$B$13:$B$32,0)),"✔ OK","⚠ 未登録"))</f>
        <v>✔ OK</v>
      </c>
      <c r="J275" s="80" t="str">
        <f aca="false">IF($B275="","",IF($D275="","－",IF(ISNUMBER($D275),IF(AND($D275&gt;=1,MOD($D275,1)=0),"－",IF(MOD($D275,1)&lt;$L$6,"朝",IF(MOD($D275,1)&lt;$L$7,"昼",IF(MOD($D275,1)&lt;$L$8,"夕方","夜")))),IF(OR($D275="朝",$D275="昼",$D275="夕方",$D275="夜"),$D275,"⚠ 不明"))))</f>
        <v>夕方</v>
      </c>
    </row>
    <row r="276" customFormat="false" ht="15" hidden="false" customHeight="false" outlineLevel="0" collapsed="false">
      <c r="A276" s="75" t="n">
        <v>46258</v>
      </c>
      <c r="B276" s="76" t="s">
        <v>84</v>
      </c>
      <c r="C276" s="77" t="n">
        <v>25</v>
      </c>
      <c r="D276" s="78" t="n">
        <v>0.8125</v>
      </c>
      <c r="E276" s="77" t="n">
        <v>12500</v>
      </c>
      <c r="F276" s="76"/>
      <c r="G276" s="76"/>
      <c r="I276" s="79" t="str">
        <f aca="false">IF($B276="","",IF(ISNUMBER(MATCH($B276,日別データ!$B$13:$B$32,0)),"✔ OK","⚠ 未登録"))</f>
        <v>✔ OK</v>
      </c>
      <c r="J276" s="80" t="str">
        <f aca="false">IF($B276="","",IF($D276="","－",IF(ISNUMBER($D276),IF(AND($D276&gt;=1,MOD($D276,1)=0),"－",IF(MOD($D276,1)&lt;$L$6,"朝",IF(MOD($D276,1)&lt;$L$7,"昼",IF(MOD($D276,1)&lt;$L$8,"夕方","夜")))),IF(OR($D276="朝",$D276="昼",$D276="夕方",$D276="夜"),$D276,"⚠ 不明"))))</f>
        <v>夜</v>
      </c>
    </row>
    <row r="277" customFormat="false" ht="15" hidden="false" customHeight="false" outlineLevel="0" collapsed="false">
      <c r="A277" s="75" t="n">
        <v>46258</v>
      </c>
      <c r="B277" s="76" t="s">
        <v>85</v>
      </c>
      <c r="C277" s="77" t="n">
        <v>10</v>
      </c>
      <c r="D277" s="78" t="n">
        <v>0.4375</v>
      </c>
      <c r="E277" s="77" t="n">
        <v>4800</v>
      </c>
      <c r="F277" s="76"/>
      <c r="G277" s="76"/>
      <c r="I277" s="79" t="str">
        <f aca="false">IF($B277="","",IF(ISNUMBER(MATCH($B277,日別データ!$B$13:$B$32,0)),"✔ OK","⚠ 未登録"))</f>
        <v>✔ OK</v>
      </c>
      <c r="J277" s="80" t="str">
        <f aca="false">IF($B277="","",IF($D277="","－",IF(ISNUMBER($D277),IF(AND($D277&gt;=1,MOD($D277,1)=0),"－",IF(MOD($D277,1)&lt;$L$6,"朝",IF(MOD($D277,1)&lt;$L$7,"昼",IF(MOD($D277,1)&lt;$L$8,"夕方","夜")))),IF(OR($D277="朝",$D277="昼",$D277="夕方",$D277="夜"),$D277,"⚠ 不明"))))</f>
        <v>朝</v>
      </c>
    </row>
    <row r="278" customFormat="false" ht="15" hidden="false" customHeight="false" outlineLevel="0" collapsed="false">
      <c r="A278" s="75" t="n">
        <v>46258</v>
      </c>
      <c r="B278" s="76" t="s">
        <v>85</v>
      </c>
      <c r="C278" s="77" t="n">
        <v>22</v>
      </c>
      <c r="D278" s="78" t="n">
        <v>0.541666666666667</v>
      </c>
      <c r="E278" s="77" t="n">
        <v>10560</v>
      </c>
      <c r="F278" s="76"/>
      <c r="G278" s="76"/>
      <c r="I278" s="79" t="str">
        <f aca="false">IF($B278="","",IF(ISNUMBER(MATCH($B278,日別データ!$B$13:$B$32,0)),"✔ OK","⚠ 未登録"))</f>
        <v>✔ OK</v>
      </c>
      <c r="J278" s="80" t="str">
        <f aca="false">IF($B278="","",IF($D278="","－",IF(ISNUMBER($D278),IF(AND($D278&gt;=1,MOD($D278,1)=0),"－",IF(MOD($D278,1)&lt;$L$6,"朝",IF(MOD($D278,1)&lt;$L$7,"昼",IF(MOD($D278,1)&lt;$L$8,"夕方","夜")))),IF(OR($D278="朝",$D278="昼",$D278="夕方",$D278="夜"),$D278,"⚠ 不明"))))</f>
        <v>昼</v>
      </c>
    </row>
    <row r="279" customFormat="false" ht="15" hidden="false" customHeight="false" outlineLevel="0" collapsed="false">
      <c r="A279" s="75" t="n">
        <v>46258</v>
      </c>
      <c r="B279" s="76" t="s">
        <v>85</v>
      </c>
      <c r="C279" s="77" t="n">
        <v>16</v>
      </c>
      <c r="D279" s="78" t="n">
        <v>0.6875</v>
      </c>
      <c r="E279" s="77" t="n">
        <v>7680</v>
      </c>
      <c r="F279" s="76"/>
      <c r="G279" s="76"/>
      <c r="I279" s="79" t="str">
        <f aca="false">IF($B279="","",IF(ISNUMBER(MATCH($B279,日別データ!$B$13:$B$32,0)),"✔ OK","⚠ 未登録"))</f>
        <v>✔ OK</v>
      </c>
      <c r="J279" s="80" t="str">
        <f aca="false">IF($B279="","",IF($D279="","－",IF(ISNUMBER($D279),IF(AND($D279&gt;=1,MOD($D279,1)=0),"－",IF(MOD($D279,1)&lt;$L$6,"朝",IF(MOD($D279,1)&lt;$L$7,"昼",IF(MOD($D279,1)&lt;$L$8,"夕方","夜")))),IF(OR($D279="朝",$D279="昼",$D279="夕方",$D279="夜"),$D279,"⚠ 不明"))))</f>
        <v>夕方</v>
      </c>
    </row>
    <row r="280" customFormat="false" ht="15" hidden="false" customHeight="false" outlineLevel="0" collapsed="false">
      <c r="A280" s="75" t="n">
        <v>46258</v>
      </c>
      <c r="B280" s="76" t="s">
        <v>85</v>
      </c>
      <c r="C280" s="77" t="n">
        <v>16</v>
      </c>
      <c r="D280" s="78" t="n">
        <v>0.8125</v>
      </c>
      <c r="E280" s="77" t="n">
        <v>7680</v>
      </c>
      <c r="F280" s="76"/>
      <c r="G280" s="76"/>
      <c r="I280" s="79" t="str">
        <f aca="false">IF($B280="","",IF(ISNUMBER(MATCH($B280,日別データ!$B$13:$B$32,0)),"✔ OK","⚠ 未登録"))</f>
        <v>✔ OK</v>
      </c>
      <c r="J280" s="80" t="str">
        <f aca="false">IF($B280="","",IF($D280="","－",IF(ISNUMBER($D280),IF(AND($D280&gt;=1,MOD($D280,1)=0),"－",IF(MOD($D280,1)&lt;$L$6,"朝",IF(MOD($D280,1)&lt;$L$7,"昼",IF(MOD($D280,1)&lt;$L$8,"夕方","夜")))),IF(OR($D280="朝",$D280="昼",$D280="夕方",$D280="夜"),$D280,"⚠ 不明"))))</f>
        <v>夜</v>
      </c>
    </row>
    <row r="281" customFormat="false" ht="15" hidden="false" customHeight="false" outlineLevel="0" collapsed="false">
      <c r="A281" s="75" t="n">
        <v>46258</v>
      </c>
      <c r="B281" s="76" t="s">
        <v>86</v>
      </c>
      <c r="C281" s="77" t="n">
        <v>12</v>
      </c>
      <c r="D281" s="78" t="n">
        <v>0.4375</v>
      </c>
      <c r="E281" s="77" t="n">
        <v>5040</v>
      </c>
      <c r="F281" s="76"/>
      <c r="G281" s="76"/>
      <c r="I281" s="79" t="str">
        <f aca="false">IF($B281="","",IF(ISNUMBER(MATCH($B281,日別データ!$B$13:$B$32,0)),"✔ OK","⚠ 未登録"))</f>
        <v>✔ OK</v>
      </c>
      <c r="J281" s="80" t="str">
        <f aca="false">IF($B281="","",IF($D281="","－",IF(ISNUMBER($D281),IF(AND($D281&gt;=1,MOD($D281,1)=0),"－",IF(MOD($D281,1)&lt;$L$6,"朝",IF(MOD($D281,1)&lt;$L$7,"昼",IF(MOD($D281,1)&lt;$L$8,"夕方","夜")))),IF(OR($D281="朝",$D281="昼",$D281="夕方",$D281="夜"),$D281,"⚠ 不明"))))</f>
        <v>朝</v>
      </c>
    </row>
    <row r="282" customFormat="false" ht="15" hidden="false" customHeight="false" outlineLevel="0" collapsed="false">
      <c r="A282" s="75" t="n">
        <v>46258</v>
      </c>
      <c r="B282" s="76" t="s">
        <v>86</v>
      </c>
      <c r="C282" s="77" t="n">
        <v>27</v>
      </c>
      <c r="D282" s="78" t="n">
        <v>0.541666666666667</v>
      </c>
      <c r="E282" s="77" t="n">
        <v>11340</v>
      </c>
      <c r="F282" s="76"/>
      <c r="G282" s="76"/>
      <c r="I282" s="79" t="str">
        <f aca="false">IF($B282="","",IF(ISNUMBER(MATCH($B282,日別データ!$B$13:$B$32,0)),"✔ OK","⚠ 未登録"))</f>
        <v>✔ OK</v>
      </c>
      <c r="J282" s="80" t="str">
        <f aca="false">IF($B282="","",IF($D282="","－",IF(ISNUMBER($D282),IF(AND($D282&gt;=1,MOD($D282,1)=0),"－",IF(MOD($D282,1)&lt;$L$6,"朝",IF(MOD($D282,1)&lt;$L$7,"昼",IF(MOD($D282,1)&lt;$L$8,"夕方","夜")))),IF(OR($D282="朝",$D282="昼",$D282="夕方",$D282="夜"),$D282,"⚠ 不明"))))</f>
        <v>昼</v>
      </c>
    </row>
    <row r="283" customFormat="false" ht="15" hidden="false" customHeight="false" outlineLevel="0" collapsed="false">
      <c r="A283" s="75" t="n">
        <v>46258</v>
      </c>
      <c r="B283" s="76" t="s">
        <v>86</v>
      </c>
      <c r="C283" s="77" t="n">
        <v>21</v>
      </c>
      <c r="D283" s="78" t="n">
        <v>0.6875</v>
      </c>
      <c r="E283" s="77" t="n">
        <v>8820</v>
      </c>
      <c r="F283" s="76"/>
      <c r="G283" s="76"/>
      <c r="I283" s="79" t="str">
        <f aca="false">IF($B283="","",IF(ISNUMBER(MATCH($B283,日別データ!$B$13:$B$32,0)),"✔ OK","⚠ 未登録"))</f>
        <v>✔ OK</v>
      </c>
      <c r="J283" s="80" t="str">
        <f aca="false">IF($B283="","",IF($D283="","－",IF(ISNUMBER($D283),IF(AND($D283&gt;=1,MOD($D283,1)=0),"－",IF(MOD($D283,1)&lt;$L$6,"朝",IF(MOD($D283,1)&lt;$L$7,"昼",IF(MOD($D283,1)&lt;$L$8,"夕方","夜")))),IF(OR($D283="朝",$D283="昼",$D283="夕方",$D283="夜"),$D283,"⚠ 不明"))))</f>
        <v>夕方</v>
      </c>
    </row>
    <row r="284" customFormat="false" ht="15" hidden="false" customHeight="false" outlineLevel="0" collapsed="false">
      <c r="A284" s="75" t="n">
        <v>46258</v>
      </c>
      <c r="B284" s="76" t="s">
        <v>86</v>
      </c>
      <c r="C284" s="77" t="n">
        <v>29</v>
      </c>
      <c r="D284" s="78" t="n">
        <v>0.8125</v>
      </c>
      <c r="E284" s="77" t="n">
        <v>12180</v>
      </c>
      <c r="F284" s="76"/>
      <c r="G284" s="76"/>
      <c r="I284" s="79" t="str">
        <f aca="false">IF($B284="","",IF(ISNUMBER(MATCH($B284,日別データ!$B$13:$B$32,0)),"✔ OK","⚠ 未登録"))</f>
        <v>✔ OK</v>
      </c>
      <c r="J284" s="80" t="str">
        <f aca="false">IF($B284="","",IF($D284="","－",IF(ISNUMBER($D284),IF(AND($D284&gt;=1,MOD($D284,1)=0),"－",IF(MOD($D284,1)&lt;$L$6,"朝",IF(MOD($D284,1)&lt;$L$7,"昼",IF(MOD($D284,1)&lt;$L$8,"夕方","夜")))),IF(OR($D284="朝",$D284="昼",$D284="夕方",$D284="夜"),$D284,"⚠ 不明"))))</f>
        <v>夜</v>
      </c>
    </row>
    <row r="285" customFormat="false" ht="15" hidden="false" customHeight="false" outlineLevel="0" collapsed="false">
      <c r="A285" s="75" t="n">
        <v>46258</v>
      </c>
      <c r="B285" s="76" t="s">
        <v>87</v>
      </c>
      <c r="C285" s="77" t="n">
        <v>9</v>
      </c>
      <c r="D285" s="78" t="n">
        <v>0.4375</v>
      </c>
      <c r="E285" s="77" t="n">
        <v>4050</v>
      </c>
      <c r="F285" s="76"/>
      <c r="G285" s="76"/>
      <c r="I285" s="79" t="str">
        <f aca="false">IF($B285="","",IF(ISNUMBER(MATCH($B285,日別データ!$B$13:$B$32,0)),"✔ OK","⚠ 未登録"))</f>
        <v>✔ OK</v>
      </c>
      <c r="J285" s="80" t="str">
        <f aca="false">IF($B285="","",IF($D285="","－",IF(ISNUMBER($D285),IF(AND($D285&gt;=1,MOD($D285,1)=0),"－",IF(MOD($D285,1)&lt;$L$6,"朝",IF(MOD($D285,1)&lt;$L$7,"昼",IF(MOD($D285,1)&lt;$L$8,"夕方","夜")))),IF(OR($D285="朝",$D285="昼",$D285="夕方",$D285="夜"),$D285,"⚠ 不明"))))</f>
        <v>朝</v>
      </c>
    </row>
    <row r="286" customFormat="false" ht="15" hidden="false" customHeight="false" outlineLevel="0" collapsed="false">
      <c r="A286" s="75" t="n">
        <v>46258</v>
      </c>
      <c r="B286" s="76" t="s">
        <v>87</v>
      </c>
      <c r="C286" s="77" t="n">
        <v>18</v>
      </c>
      <c r="D286" s="78" t="n">
        <v>0.541666666666667</v>
      </c>
      <c r="E286" s="77" t="n">
        <v>8100</v>
      </c>
      <c r="F286" s="76"/>
      <c r="G286" s="76"/>
      <c r="I286" s="79" t="str">
        <f aca="false">IF($B286="","",IF(ISNUMBER(MATCH($B286,日別データ!$B$13:$B$32,0)),"✔ OK","⚠ 未登録"))</f>
        <v>✔ OK</v>
      </c>
      <c r="J286" s="80" t="str">
        <f aca="false">IF($B286="","",IF($D286="","－",IF(ISNUMBER($D286),IF(AND($D286&gt;=1,MOD($D286,1)=0),"－",IF(MOD($D286,1)&lt;$L$6,"朝",IF(MOD($D286,1)&lt;$L$7,"昼",IF(MOD($D286,1)&lt;$L$8,"夕方","夜")))),IF(OR($D286="朝",$D286="昼",$D286="夕方",$D286="夜"),$D286,"⚠ 不明"))))</f>
        <v>昼</v>
      </c>
    </row>
    <row r="287" customFormat="false" ht="15" hidden="false" customHeight="false" outlineLevel="0" collapsed="false">
      <c r="A287" s="75" t="n">
        <v>46258</v>
      </c>
      <c r="B287" s="76" t="s">
        <v>87</v>
      </c>
      <c r="C287" s="77" t="n">
        <v>14</v>
      </c>
      <c r="D287" s="78" t="n">
        <v>0.6875</v>
      </c>
      <c r="E287" s="77" t="n">
        <v>6300</v>
      </c>
      <c r="F287" s="76"/>
      <c r="G287" s="76"/>
      <c r="I287" s="79" t="str">
        <f aca="false">IF($B287="","",IF(ISNUMBER(MATCH($B287,日別データ!$B$13:$B$32,0)),"✔ OK","⚠ 未登録"))</f>
        <v>✔ OK</v>
      </c>
      <c r="J287" s="80" t="str">
        <f aca="false">IF($B287="","",IF($D287="","－",IF(ISNUMBER($D287),IF(AND($D287&gt;=1,MOD($D287,1)=0),"－",IF(MOD($D287,1)&lt;$L$6,"朝",IF(MOD($D287,1)&lt;$L$7,"昼",IF(MOD($D287,1)&lt;$L$8,"夕方","夜")))),IF(OR($D287="朝",$D287="昼",$D287="夕方",$D287="夜"),$D287,"⚠ 不明"))))</f>
        <v>夕方</v>
      </c>
    </row>
    <row r="288" customFormat="false" ht="15" hidden="false" customHeight="false" outlineLevel="0" collapsed="false">
      <c r="A288" s="75" t="n">
        <v>46258</v>
      </c>
      <c r="B288" s="76" t="s">
        <v>87</v>
      </c>
      <c r="C288" s="77" t="n">
        <v>19</v>
      </c>
      <c r="D288" s="78" t="n">
        <v>0.8125</v>
      </c>
      <c r="E288" s="77" t="n">
        <v>8550</v>
      </c>
      <c r="F288" s="76"/>
      <c r="G288" s="76"/>
      <c r="I288" s="79" t="str">
        <f aca="false">IF($B288="","",IF(ISNUMBER(MATCH($B288,日別データ!$B$13:$B$32,0)),"✔ OK","⚠ 未登録"))</f>
        <v>✔ OK</v>
      </c>
      <c r="J288" s="80" t="str">
        <f aca="false">IF($B288="","",IF($D288="","－",IF(ISNUMBER($D288),IF(AND($D288&gt;=1,MOD($D288,1)=0),"－",IF(MOD($D288,1)&lt;$L$6,"朝",IF(MOD($D288,1)&lt;$L$7,"昼",IF(MOD($D288,1)&lt;$L$8,"夕方","夜")))),IF(OR($D288="朝",$D288="昼",$D288="夕方",$D288="夜"),$D288,"⚠ 不明"))))</f>
        <v>夜</v>
      </c>
    </row>
    <row r="289" customFormat="false" ht="15" hidden="false" customHeight="false" outlineLevel="0" collapsed="false">
      <c r="A289" s="75" t="n">
        <v>46258</v>
      </c>
      <c r="B289" s="76" t="s">
        <v>88</v>
      </c>
      <c r="C289" s="77" t="n">
        <v>7</v>
      </c>
      <c r="D289" s="78" t="n">
        <v>0.4375</v>
      </c>
      <c r="E289" s="77" t="n">
        <v>2450</v>
      </c>
      <c r="F289" s="76"/>
      <c r="G289" s="76"/>
      <c r="I289" s="79" t="str">
        <f aca="false">IF($B289="","",IF(ISNUMBER(MATCH($B289,日別データ!$B$13:$B$32,0)),"✔ OK","⚠ 未登録"))</f>
        <v>✔ OK</v>
      </c>
      <c r="J289" s="80" t="str">
        <f aca="false">IF($B289="","",IF($D289="","－",IF(ISNUMBER($D289),IF(AND($D289&gt;=1,MOD($D289,1)=0),"－",IF(MOD($D289,1)&lt;$L$6,"朝",IF(MOD($D289,1)&lt;$L$7,"昼",IF(MOD($D289,1)&lt;$L$8,"夕方","夜")))),IF(OR($D289="朝",$D289="昼",$D289="夕方",$D289="夜"),$D289,"⚠ 不明"))))</f>
        <v>朝</v>
      </c>
    </row>
    <row r="290" customFormat="false" ht="15" hidden="false" customHeight="false" outlineLevel="0" collapsed="false">
      <c r="A290" s="75" t="n">
        <v>46258</v>
      </c>
      <c r="B290" s="76" t="s">
        <v>88</v>
      </c>
      <c r="C290" s="77" t="n">
        <v>14</v>
      </c>
      <c r="D290" s="78" t="n">
        <v>0.541666666666667</v>
      </c>
      <c r="E290" s="77" t="n">
        <v>4900</v>
      </c>
      <c r="F290" s="76"/>
      <c r="G290" s="76"/>
      <c r="I290" s="79" t="str">
        <f aca="false">IF($B290="","",IF(ISNUMBER(MATCH($B290,日別データ!$B$13:$B$32,0)),"✔ OK","⚠ 未登録"))</f>
        <v>✔ OK</v>
      </c>
      <c r="J290" s="80" t="str">
        <f aca="false">IF($B290="","",IF($D290="","－",IF(ISNUMBER($D290),IF(AND($D290&gt;=1,MOD($D290,1)=0),"－",IF(MOD($D290,1)&lt;$L$6,"朝",IF(MOD($D290,1)&lt;$L$7,"昼",IF(MOD($D290,1)&lt;$L$8,"夕方","夜")))),IF(OR($D290="朝",$D290="昼",$D290="夕方",$D290="夜"),$D290,"⚠ 不明"))))</f>
        <v>昼</v>
      </c>
    </row>
    <row r="291" customFormat="false" ht="15" hidden="false" customHeight="false" outlineLevel="0" collapsed="false">
      <c r="A291" s="75" t="n">
        <v>46258</v>
      </c>
      <c r="B291" s="76" t="s">
        <v>88</v>
      </c>
      <c r="C291" s="77" t="n">
        <v>10</v>
      </c>
      <c r="D291" s="78" t="n">
        <v>0.6875</v>
      </c>
      <c r="E291" s="77" t="n">
        <v>3500</v>
      </c>
      <c r="F291" s="76"/>
      <c r="G291" s="76"/>
      <c r="I291" s="79" t="str">
        <f aca="false">IF($B291="","",IF(ISNUMBER(MATCH($B291,日別データ!$B$13:$B$32,0)),"✔ OK","⚠ 未登録"))</f>
        <v>✔ OK</v>
      </c>
      <c r="J291" s="80" t="str">
        <f aca="false">IF($B291="","",IF($D291="","－",IF(ISNUMBER($D291),IF(AND($D291&gt;=1,MOD($D291,1)=0),"－",IF(MOD($D291,1)&lt;$L$6,"朝",IF(MOD($D291,1)&lt;$L$7,"昼",IF(MOD($D291,1)&lt;$L$8,"夕方","夜")))),IF(OR($D291="朝",$D291="昼",$D291="夕方",$D291="夜"),$D291,"⚠ 不明"))))</f>
        <v>夕方</v>
      </c>
    </row>
    <row r="292" customFormat="false" ht="15" hidden="false" customHeight="false" outlineLevel="0" collapsed="false">
      <c r="A292" s="75" t="n">
        <v>46258</v>
      </c>
      <c r="B292" s="76" t="s">
        <v>88</v>
      </c>
      <c r="C292" s="77" t="n">
        <v>18</v>
      </c>
      <c r="D292" s="78" t="n">
        <v>0.8125</v>
      </c>
      <c r="E292" s="77" t="n">
        <v>6300</v>
      </c>
      <c r="F292" s="76"/>
      <c r="G292" s="76"/>
      <c r="I292" s="79" t="str">
        <f aca="false">IF($B292="","",IF(ISNUMBER(MATCH($B292,日別データ!$B$13:$B$32,0)),"✔ OK","⚠ 未登録"))</f>
        <v>✔ OK</v>
      </c>
      <c r="J292" s="80" t="str">
        <f aca="false">IF($B292="","",IF($D292="","－",IF(ISNUMBER($D292),IF(AND($D292&gt;=1,MOD($D292,1)=0),"－",IF(MOD($D292,1)&lt;$L$6,"朝",IF(MOD($D292,1)&lt;$L$7,"昼",IF(MOD($D292,1)&lt;$L$8,"夕方","夜")))),IF(OR($D292="朝",$D292="昼",$D292="夕方",$D292="夜"),$D292,"⚠ 不明"))))</f>
        <v>夜</v>
      </c>
    </row>
    <row r="293" customFormat="false" ht="15" hidden="false" customHeight="false" outlineLevel="0" collapsed="false">
      <c r="A293" s="75" t="n">
        <v>46259</v>
      </c>
      <c r="B293" s="76" t="s">
        <v>101</v>
      </c>
      <c r="C293" s="77" t="n">
        <v>49</v>
      </c>
      <c r="D293" s="78" t="n">
        <v>0.4375</v>
      </c>
      <c r="E293" s="77" t="n">
        <v>26950</v>
      </c>
      <c r="F293" s="76"/>
      <c r="G293" s="76"/>
      <c r="I293" s="79" t="str">
        <f aca="false">IF($B293="","",IF(ISNUMBER(MATCH($B293,日別データ!$B$13:$B$32,0)),"✔ OK","⚠ 未登録"))</f>
        <v>✔ OK</v>
      </c>
      <c r="J293" s="80" t="str">
        <f aca="false">IF($B293="","",IF($D293="","－",IF(ISNUMBER($D293),IF(AND($D293&gt;=1,MOD($D293,1)=0),"－",IF(MOD($D293,1)&lt;$L$6,"朝",IF(MOD($D293,1)&lt;$L$7,"昼",IF(MOD($D293,1)&lt;$L$8,"夕方","夜")))),IF(OR($D293="朝",$D293="昼",$D293="夕方",$D293="夜"),$D293,"⚠ 不明"))))</f>
        <v>朝</v>
      </c>
    </row>
    <row r="294" customFormat="false" ht="15" hidden="false" customHeight="false" outlineLevel="0" collapsed="false">
      <c r="A294" s="75" t="n">
        <v>46259</v>
      </c>
      <c r="B294" s="76" t="s">
        <v>101</v>
      </c>
      <c r="C294" s="77" t="n">
        <v>98</v>
      </c>
      <c r="D294" s="78" t="n">
        <v>0.541666666666667</v>
      </c>
      <c r="E294" s="77" t="n">
        <v>53900</v>
      </c>
      <c r="F294" s="76"/>
      <c r="G294" s="76"/>
      <c r="I294" s="79" t="str">
        <f aca="false">IF($B294="","",IF(ISNUMBER(MATCH($B294,日別データ!$B$13:$B$32,0)),"✔ OK","⚠ 未登録"))</f>
        <v>✔ OK</v>
      </c>
      <c r="J294" s="80" t="str">
        <f aca="false">IF($B294="","",IF($D294="","－",IF(ISNUMBER($D294),IF(AND($D294&gt;=1,MOD($D294,1)=0),"－",IF(MOD($D294,1)&lt;$L$6,"朝",IF(MOD($D294,1)&lt;$L$7,"昼",IF(MOD($D294,1)&lt;$L$8,"夕方","夜")))),IF(OR($D294="朝",$D294="昼",$D294="夕方",$D294="夜"),$D294,"⚠ 不明"))))</f>
        <v>昼</v>
      </c>
    </row>
    <row r="295" customFormat="false" ht="15" hidden="false" customHeight="false" outlineLevel="0" collapsed="false">
      <c r="A295" s="75" t="n">
        <v>46259</v>
      </c>
      <c r="B295" s="76" t="s">
        <v>101</v>
      </c>
      <c r="C295" s="77" t="n">
        <v>72</v>
      </c>
      <c r="D295" s="78" t="n">
        <v>0.6875</v>
      </c>
      <c r="E295" s="77" t="n">
        <v>39600</v>
      </c>
      <c r="F295" s="76"/>
      <c r="G295" s="76"/>
      <c r="I295" s="79" t="str">
        <f aca="false">IF($B295="","",IF(ISNUMBER(MATCH($B295,日別データ!$B$13:$B$32,0)),"✔ OK","⚠ 未登録"))</f>
        <v>✔ OK</v>
      </c>
      <c r="J295" s="80" t="str">
        <f aca="false">IF($B295="","",IF($D295="","－",IF(ISNUMBER($D295),IF(AND($D295&gt;=1,MOD($D295,1)=0),"－",IF(MOD($D295,1)&lt;$L$6,"朝",IF(MOD($D295,1)&lt;$L$7,"昼",IF(MOD($D295,1)&lt;$L$8,"夕方","夜")))),IF(OR($D295="朝",$D295="昼",$D295="夕方",$D295="夜"),$D295,"⚠ 不明"))))</f>
        <v>夕方</v>
      </c>
    </row>
    <row r="296" customFormat="false" ht="15" hidden="false" customHeight="false" outlineLevel="0" collapsed="false">
      <c r="A296" s="75" t="n">
        <v>46259</v>
      </c>
      <c r="B296" s="76" t="s">
        <v>101</v>
      </c>
      <c r="C296" s="77" t="n">
        <v>90</v>
      </c>
      <c r="D296" s="78" t="n">
        <v>0.8125</v>
      </c>
      <c r="E296" s="77" t="n">
        <v>49500</v>
      </c>
      <c r="F296" s="76"/>
      <c r="G296" s="76"/>
      <c r="I296" s="79" t="str">
        <f aca="false">IF($B296="","",IF(ISNUMBER(MATCH($B296,日別データ!$B$13:$B$32,0)),"✔ OK","⚠ 未登録"))</f>
        <v>✔ OK</v>
      </c>
      <c r="J296" s="80" t="str">
        <f aca="false">IF($B296="","",IF($D296="","－",IF(ISNUMBER($D296),IF(AND($D296&gt;=1,MOD($D296,1)=0),"－",IF(MOD($D296,1)&lt;$L$6,"朝",IF(MOD($D296,1)&lt;$L$7,"昼",IF(MOD($D296,1)&lt;$L$8,"夕方","夜")))),IF(OR($D296="朝",$D296="昼",$D296="夕方",$D296="夜"),$D296,"⚠ 不明"))))</f>
        <v>夜</v>
      </c>
    </row>
    <row r="297" customFormat="false" ht="15" hidden="false" customHeight="false" outlineLevel="0" collapsed="false">
      <c r="A297" s="75" t="n">
        <v>46259</v>
      </c>
      <c r="B297" s="76" t="s">
        <v>106</v>
      </c>
      <c r="C297" s="77" t="n">
        <v>36</v>
      </c>
      <c r="D297" s="78" t="n">
        <v>0.4375</v>
      </c>
      <c r="E297" s="77" t="n">
        <v>20520</v>
      </c>
      <c r="F297" s="76"/>
      <c r="G297" s="76"/>
      <c r="I297" s="79" t="str">
        <f aca="false">IF($B297="","",IF(ISNUMBER(MATCH($B297,日別データ!$B$13:$B$32,0)),"✔ OK","⚠ 未登録"))</f>
        <v>✔ OK</v>
      </c>
      <c r="J297" s="80" t="str">
        <f aca="false">IF($B297="","",IF($D297="","－",IF(ISNUMBER($D297),IF(AND($D297&gt;=1,MOD($D297,1)=0),"－",IF(MOD($D297,1)&lt;$L$6,"朝",IF(MOD($D297,1)&lt;$L$7,"昼",IF(MOD($D297,1)&lt;$L$8,"夕方","夜")))),IF(OR($D297="朝",$D297="昼",$D297="夕方",$D297="夜"),$D297,"⚠ 不明"))))</f>
        <v>朝</v>
      </c>
    </row>
    <row r="298" customFormat="false" ht="15" hidden="false" customHeight="false" outlineLevel="0" collapsed="false">
      <c r="A298" s="75" t="n">
        <v>46259</v>
      </c>
      <c r="B298" s="76" t="s">
        <v>106</v>
      </c>
      <c r="C298" s="77" t="n">
        <v>83</v>
      </c>
      <c r="D298" s="78" t="n">
        <v>0.541666666666667</v>
      </c>
      <c r="E298" s="77" t="n">
        <v>47310</v>
      </c>
      <c r="F298" s="76"/>
      <c r="G298" s="76"/>
      <c r="I298" s="79" t="str">
        <f aca="false">IF($B298="","",IF(ISNUMBER(MATCH($B298,日別データ!$B$13:$B$32,0)),"✔ OK","⚠ 未登録"))</f>
        <v>✔ OK</v>
      </c>
      <c r="J298" s="80" t="str">
        <f aca="false">IF($B298="","",IF($D298="","－",IF(ISNUMBER($D298),IF(AND($D298&gt;=1,MOD($D298,1)=0),"－",IF(MOD($D298,1)&lt;$L$6,"朝",IF(MOD($D298,1)&lt;$L$7,"昼",IF(MOD($D298,1)&lt;$L$8,"夕方","夜")))),IF(OR($D298="朝",$D298="昼",$D298="夕方",$D298="夜"),$D298,"⚠ 不明"))))</f>
        <v>昼</v>
      </c>
    </row>
    <row r="299" customFormat="false" ht="15" hidden="false" customHeight="false" outlineLevel="0" collapsed="false">
      <c r="A299" s="75" t="n">
        <v>46259</v>
      </c>
      <c r="B299" s="76" t="s">
        <v>106</v>
      </c>
      <c r="C299" s="77" t="n">
        <v>66</v>
      </c>
      <c r="D299" s="78" t="n">
        <v>0.6875</v>
      </c>
      <c r="E299" s="77" t="n">
        <v>37620</v>
      </c>
      <c r="F299" s="76"/>
      <c r="G299" s="76"/>
      <c r="I299" s="79" t="str">
        <f aca="false">IF($B299="","",IF(ISNUMBER(MATCH($B299,日別データ!$B$13:$B$32,0)),"✔ OK","⚠ 未登録"))</f>
        <v>✔ OK</v>
      </c>
      <c r="J299" s="80" t="str">
        <f aca="false">IF($B299="","",IF($D299="","－",IF(ISNUMBER($D299),IF(AND($D299&gt;=1,MOD($D299,1)=0),"－",IF(MOD($D299,1)&lt;$L$6,"朝",IF(MOD($D299,1)&lt;$L$7,"昼",IF(MOD($D299,1)&lt;$L$8,"夕方","夜")))),IF(OR($D299="朝",$D299="昼",$D299="夕方",$D299="夜"),$D299,"⚠ 不明"))))</f>
        <v>夕方</v>
      </c>
    </row>
    <row r="300" customFormat="false" ht="15" hidden="false" customHeight="false" outlineLevel="0" collapsed="false">
      <c r="A300" s="75" t="n">
        <v>46259</v>
      </c>
      <c r="B300" s="76" t="s">
        <v>106</v>
      </c>
      <c r="C300" s="77" t="n">
        <v>81</v>
      </c>
      <c r="D300" s="78" t="n">
        <v>0.8125</v>
      </c>
      <c r="E300" s="77" t="n">
        <v>46170</v>
      </c>
      <c r="F300" s="76"/>
      <c r="G300" s="76"/>
      <c r="I300" s="79" t="str">
        <f aca="false">IF($B300="","",IF(ISNUMBER(MATCH($B300,日別データ!$B$13:$B$32,0)),"✔ OK","⚠ 未登録"))</f>
        <v>✔ OK</v>
      </c>
      <c r="J300" s="80" t="str">
        <f aca="false">IF($B300="","",IF($D300="","－",IF(ISNUMBER($D300),IF(AND($D300&gt;=1,MOD($D300,1)=0),"－",IF(MOD($D300,1)&lt;$L$6,"朝",IF(MOD($D300,1)&lt;$L$7,"昼",IF(MOD($D300,1)&lt;$L$8,"夕方","夜")))),IF(OR($D300="朝",$D300="昼",$D300="夕方",$D300="夜"),$D300,"⚠ 不明"))))</f>
        <v>夜</v>
      </c>
    </row>
    <row r="301" customFormat="false" ht="15" hidden="false" customHeight="false" outlineLevel="0" collapsed="false">
      <c r="A301" s="75" t="n">
        <v>46259</v>
      </c>
      <c r="B301" s="76" t="s">
        <v>79</v>
      </c>
      <c r="C301" s="77" t="n">
        <v>23</v>
      </c>
      <c r="D301" s="78" t="n">
        <v>0.4375</v>
      </c>
      <c r="E301" s="77" t="n">
        <v>13800</v>
      </c>
      <c r="F301" s="76"/>
      <c r="G301" s="76"/>
      <c r="I301" s="79" t="str">
        <f aca="false">IF($B301="","",IF(ISNUMBER(MATCH($B301,日別データ!$B$13:$B$32,0)),"✔ OK","⚠ 未登録"))</f>
        <v>✔ OK</v>
      </c>
      <c r="J301" s="80" t="str">
        <f aca="false">IF($B301="","",IF($D301="","－",IF(ISNUMBER($D301),IF(AND($D301&gt;=1,MOD($D301,1)=0),"－",IF(MOD($D301,1)&lt;$L$6,"朝",IF(MOD($D301,1)&lt;$L$7,"昼",IF(MOD($D301,1)&lt;$L$8,"夕方","夜")))),IF(OR($D301="朝",$D301="昼",$D301="夕方",$D301="夜"),$D301,"⚠ 不明"))))</f>
        <v>朝</v>
      </c>
    </row>
    <row r="302" customFormat="false" ht="15" hidden="false" customHeight="false" outlineLevel="0" collapsed="false">
      <c r="A302" s="75" t="n">
        <v>46259</v>
      </c>
      <c r="B302" s="76" t="s">
        <v>79</v>
      </c>
      <c r="C302" s="77" t="n">
        <v>43</v>
      </c>
      <c r="D302" s="78" t="n">
        <v>0.541666666666667</v>
      </c>
      <c r="E302" s="77" t="n">
        <v>25800</v>
      </c>
      <c r="F302" s="76"/>
      <c r="G302" s="76"/>
      <c r="I302" s="79" t="str">
        <f aca="false">IF($B302="","",IF(ISNUMBER(MATCH($B302,日別データ!$B$13:$B$32,0)),"✔ OK","⚠ 未登録"))</f>
        <v>✔ OK</v>
      </c>
      <c r="J302" s="80" t="str">
        <f aca="false">IF($B302="","",IF($D302="","－",IF(ISNUMBER($D302),IF(AND($D302&gt;=1,MOD($D302,1)=0),"－",IF(MOD($D302,1)&lt;$L$6,"朝",IF(MOD($D302,1)&lt;$L$7,"昼",IF(MOD($D302,1)&lt;$L$8,"夕方","夜")))),IF(OR($D302="朝",$D302="昼",$D302="夕方",$D302="夜"),$D302,"⚠ 不明"))))</f>
        <v>昼</v>
      </c>
    </row>
    <row r="303" customFormat="false" ht="15" hidden="false" customHeight="false" outlineLevel="0" collapsed="false">
      <c r="A303" s="75" t="n">
        <v>46259</v>
      </c>
      <c r="B303" s="76" t="s">
        <v>79</v>
      </c>
      <c r="C303" s="77" t="n">
        <v>40</v>
      </c>
      <c r="D303" s="78" t="n">
        <v>0.6875</v>
      </c>
      <c r="E303" s="77" t="n">
        <v>24000</v>
      </c>
      <c r="F303" s="76"/>
      <c r="G303" s="76"/>
      <c r="I303" s="79" t="str">
        <f aca="false">IF($B303="","",IF(ISNUMBER(MATCH($B303,日別データ!$B$13:$B$32,0)),"✔ OK","⚠ 未登録"))</f>
        <v>✔ OK</v>
      </c>
      <c r="J303" s="80" t="str">
        <f aca="false">IF($B303="","",IF($D303="","－",IF(ISNUMBER($D303),IF(AND($D303&gt;=1,MOD($D303,1)=0),"－",IF(MOD($D303,1)&lt;$L$6,"朝",IF(MOD($D303,1)&lt;$L$7,"昼",IF(MOD($D303,1)&lt;$L$8,"夕方","夜")))),IF(OR($D303="朝",$D303="昼",$D303="夕方",$D303="夜"),$D303,"⚠ 不明"))))</f>
        <v>夕方</v>
      </c>
    </row>
    <row r="304" customFormat="false" ht="15" hidden="false" customHeight="false" outlineLevel="0" collapsed="false">
      <c r="A304" s="75" t="n">
        <v>46259</v>
      </c>
      <c r="B304" s="76" t="s">
        <v>79</v>
      </c>
      <c r="C304" s="77" t="n">
        <v>40</v>
      </c>
      <c r="D304" s="78" t="n">
        <v>0.8125</v>
      </c>
      <c r="E304" s="77" t="n">
        <v>24000</v>
      </c>
      <c r="F304" s="76"/>
      <c r="G304" s="76"/>
      <c r="I304" s="79" t="str">
        <f aca="false">IF($B304="","",IF(ISNUMBER(MATCH($B304,日別データ!$B$13:$B$32,0)),"✔ OK","⚠ 未登録"))</f>
        <v>✔ OK</v>
      </c>
      <c r="J304" s="80" t="str">
        <f aca="false">IF($B304="","",IF($D304="","－",IF(ISNUMBER($D304),IF(AND($D304&gt;=1,MOD($D304,1)=0),"－",IF(MOD($D304,1)&lt;$L$6,"朝",IF(MOD($D304,1)&lt;$L$7,"昼",IF(MOD($D304,1)&lt;$L$8,"夕方","夜")))),IF(OR($D304="朝",$D304="昼",$D304="夕方",$D304="夜"),$D304,"⚠ 不明"))))</f>
        <v>夜</v>
      </c>
    </row>
    <row r="305" customFormat="false" ht="15" hidden="false" customHeight="false" outlineLevel="0" collapsed="false">
      <c r="A305" s="75" t="n">
        <v>46259</v>
      </c>
      <c r="B305" s="76" t="s">
        <v>107</v>
      </c>
      <c r="C305" s="77" t="n">
        <v>24</v>
      </c>
      <c r="D305" s="78" t="n">
        <v>0.4375</v>
      </c>
      <c r="E305" s="77" t="n">
        <v>8160</v>
      </c>
      <c r="F305" s="76"/>
      <c r="G305" s="76"/>
      <c r="I305" s="79" t="str">
        <f aca="false">IF($B305="","",IF(ISNUMBER(MATCH($B305,日別データ!$B$13:$B$32,0)),"✔ OK","⚠ 未登録"))</f>
        <v>✔ OK</v>
      </c>
      <c r="J305" s="80" t="str">
        <f aca="false">IF($B305="","",IF($D305="","－",IF(ISNUMBER($D305),IF(AND($D305&gt;=1,MOD($D305,1)=0),"－",IF(MOD($D305,1)&lt;$L$6,"朝",IF(MOD($D305,1)&lt;$L$7,"昼",IF(MOD($D305,1)&lt;$L$8,"夕方","夜")))),IF(OR($D305="朝",$D305="昼",$D305="夕方",$D305="夜"),$D305,"⚠ 不明"))))</f>
        <v>朝</v>
      </c>
    </row>
    <row r="306" customFormat="false" ht="15" hidden="false" customHeight="false" outlineLevel="0" collapsed="false">
      <c r="A306" s="75" t="n">
        <v>46259</v>
      </c>
      <c r="B306" s="76" t="s">
        <v>107</v>
      </c>
      <c r="C306" s="77" t="n">
        <v>55</v>
      </c>
      <c r="D306" s="78" t="n">
        <v>0.541666666666667</v>
      </c>
      <c r="E306" s="77" t="n">
        <v>18700</v>
      </c>
      <c r="F306" s="76"/>
      <c r="G306" s="76"/>
      <c r="I306" s="79" t="str">
        <f aca="false">IF($B306="","",IF(ISNUMBER(MATCH($B306,日別データ!$B$13:$B$32,0)),"✔ OK","⚠ 未登録"))</f>
        <v>✔ OK</v>
      </c>
      <c r="J306" s="80" t="str">
        <f aca="false">IF($B306="","",IF($D306="","－",IF(ISNUMBER($D306),IF(AND($D306&gt;=1,MOD($D306,1)=0),"－",IF(MOD($D306,1)&lt;$L$6,"朝",IF(MOD($D306,1)&lt;$L$7,"昼",IF(MOD($D306,1)&lt;$L$8,"夕方","夜")))),IF(OR($D306="朝",$D306="昼",$D306="夕方",$D306="夜"),$D306,"⚠ 不明"))))</f>
        <v>昼</v>
      </c>
    </row>
    <row r="307" customFormat="false" ht="15" hidden="false" customHeight="false" outlineLevel="0" collapsed="false">
      <c r="A307" s="75" t="n">
        <v>46259</v>
      </c>
      <c r="B307" s="76" t="s">
        <v>107</v>
      </c>
      <c r="C307" s="77" t="n">
        <v>37</v>
      </c>
      <c r="D307" s="78" t="n">
        <v>0.6875</v>
      </c>
      <c r="E307" s="77" t="n">
        <v>12580</v>
      </c>
      <c r="F307" s="76"/>
      <c r="G307" s="76"/>
      <c r="I307" s="79" t="str">
        <f aca="false">IF($B307="","",IF(ISNUMBER(MATCH($B307,日別データ!$B$13:$B$32,0)),"✔ OK","⚠ 未登録"))</f>
        <v>✔ OK</v>
      </c>
      <c r="J307" s="80" t="str">
        <f aca="false">IF($B307="","",IF($D307="","－",IF(ISNUMBER($D307),IF(AND($D307&gt;=1,MOD($D307,1)=0),"－",IF(MOD($D307,1)&lt;$L$6,"朝",IF(MOD($D307,1)&lt;$L$7,"昼",IF(MOD($D307,1)&lt;$L$8,"夕方","夜")))),IF(OR($D307="朝",$D307="昼",$D307="夕方",$D307="夜"),$D307,"⚠ 不明"))))</f>
        <v>夕方</v>
      </c>
    </row>
    <row r="308" customFormat="false" ht="15" hidden="false" customHeight="false" outlineLevel="0" collapsed="false">
      <c r="A308" s="75" t="n">
        <v>46259</v>
      </c>
      <c r="B308" s="76" t="s">
        <v>107</v>
      </c>
      <c r="C308" s="77" t="n">
        <v>49</v>
      </c>
      <c r="D308" s="78" t="n">
        <v>0.8125</v>
      </c>
      <c r="E308" s="77" t="n">
        <v>16660</v>
      </c>
      <c r="F308" s="76"/>
      <c r="G308" s="76"/>
      <c r="I308" s="79" t="str">
        <f aca="false">IF($B308="","",IF(ISNUMBER(MATCH($B308,日別データ!$B$13:$B$32,0)),"✔ OK","⚠ 未登録"))</f>
        <v>✔ OK</v>
      </c>
      <c r="J308" s="80" t="str">
        <f aca="false">IF($B308="","",IF($D308="","－",IF(ISNUMBER($D308),IF(AND($D308&gt;=1,MOD($D308,1)=0),"－",IF(MOD($D308,1)&lt;$L$6,"朝",IF(MOD($D308,1)&lt;$L$7,"昼",IF(MOD($D308,1)&lt;$L$8,"夕方","夜")))),IF(OR($D308="朝",$D308="昼",$D308="夕方",$D308="夜"),$D308,"⚠ 不明"))))</f>
        <v>夜</v>
      </c>
    </row>
    <row r="309" customFormat="false" ht="15" hidden="false" customHeight="false" outlineLevel="0" collapsed="false">
      <c r="A309" s="75" t="n">
        <v>46259</v>
      </c>
      <c r="B309" s="76" t="s">
        <v>108</v>
      </c>
      <c r="C309" s="77" t="n">
        <v>61</v>
      </c>
      <c r="D309" s="78" t="n">
        <v>0.4375</v>
      </c>
      <c r="E309" s="77" t="n">
        <v>24400</v>
      </c>
      <c r="F309" s="76"/>
      <c r="G309" s="76"/>
      <c r="I309" s="79" t="str">
        <f aca="false">IF($B309="","",IF(ISNUMBER(MATCH($B309,日別データ!$B$13:$B$32,0)),"✔ OK","⚠ 未登録"))</f>
        <v>✔ OK</v>
      </c>
      <c r="J309" s="80" t="str">
        <f aca="false">IF($B309="","",IF($D309="","－",IF(ISNUMBER($D309),IF(AND($D309&gt;=1,MOD($D309,1)=0),"－",IF(MOD($D309,1)&lt;$L$6,"朝",IF(MOD($D309,1)&lt;$L$7,"昼",IF(MOD($D309,1)&lt;$L$8,"夕方","夜")))),IF(OR($D309="朝",$D309="昼",$D309="夕方",$D309="夜"),$D309,"⚠ 不明"))))</f>
        <v>朝</v>
      </c>
    </row>
    <row r="310" customFormat="false" ht="15" hidden="false" customHeight="false" outlineLevel="0" collapsed="false">
      <c r="A310" s="75" t="n">
        <v>46259</v>
      </c>
      <c r="B310" s="76" t="s">
        <v>108</v>
      </c>
      <c r="C310" s="77" t="n">
        <v>136</v>
      </c>
      <c r="D310" s="78" t="n">
        <v>0.541666666666667</v>
      </c>
      <c r="E310" s="77" t="n">
        <v>54400</v>
      </c>
      <c r="F310" s="76"/>
      <c r="G310" s="76"/>
      <c r="I310" s="79" t="str">
        <f aca="false">IF($B310="","",IF(ISNUMBER(MATCH($B310,日別データ!$B$13:$B$32,0)),"✔ OK","⚠ 未登録"))</f>
        <v>✔ OK</v>
      </c>
      <c r="J310" s="80" t="str">
        <f aca="false">IF($B310="","",IF($D310="","－",IF(ISNUMBER($D310),IF(AND($D310&gt;=1,MOD($D310,1)=0),"－",IF(MOD($D310,1)&lt;$L$6,"朝",IF(MOD($D310,1)&lt;$L$7,"昼",IF(MOD($D310,1)&lt;$L$8,"夕方","夜")))),IF(OR($D310="朝",$D310="昼",$D310="夕方",$D310="夜"),$D310,"⚠ 不明"))))</f>
        <v>昼</v>
      </c>
    </row>
    <row r="311" customFormat="false" ht="15" hidden="false" customHeight="false" outlineLevel="0" collapsed="false">
      <c r="A311" s="75" t="n">
        <v>46259</v>
      </c>
      <c r="B311" s="76" t="s">
        <v>108</v>
      </c>
      <c r="C311" s="77" t="n">
        <v>82</v>
      </c>
      <c r="D311" s="78" t="n">
        <v>0.6875</v>
      </c>
      <c r="E311" s="77" t="n">
        <v>32800</v>
      </c>
      <c r="F311" s="76"/>
      <c r="G311" s="76"/>
      <c r="I311" s="79" t="str">
        <f aca="false">IF($B311="","",IF(ISNUMBER(MATCH($B311,日別データ!$B$13:$B$32,0)),"✔ OK","⚠ 未登録"))</f>
        <v>✔ OK</v>
      </c>
      <c r="J311" s="80" t="str">
        <f aca="false">IF($B311="","",IF($D311="","－",IF(ISNUMBER($D311),IF(AND($D311&gt;=1,MOD($D311,1)=0),"－",IF(MOD($D311,1)&lt;$L$6,"朝",IF(MOD($D311,1)&lt;$L$7,"昼",IF(MOD($D311,1)&lt;$L$8,"夕方","夜")))),IF(OR($D311="朝",$D311="昼",$D311="夕方",$D311="夜"),$D311,"⚠ 不明"))))</f>
        <v>夕方</v>
      </c>
    </row>
    <row r="312" customFormat="false" ht="15" hidden="false" customHeight="false" outlineLevel="0" collapsed="false">
      <c r="A312" s="75" t="n">
        <v>46259</v>
      </c>
      <c r="B312" s="76" t="s">
        <v>108</v>
      </c>
      <c r="C312" s="77" t="n">
        <v>116</v>
      </c>
      <c r="D312" s="78" t="n">
        <v>0.8125</v>
      </c>
      <c r="E312" s="77" t="n">
        <v>46400</v>
      </c>
      <c r="F312" s="76"/>
      <c r="G312" s="76"/>
      <c r="I312" s="79" t="str">
        <f aca="false">IF($B312="","",IF(ISNUMBER(MATCH($B312,日別データ!$B$13:$B$32,0)),"✔ OK","⚠ 未登録"))</f>
        <v>✔ OK</v>
      </c>
      <c r="J312" s="80" t="str">
        <f aca="false">IF($B312="","",IF($D312="","－",IF(ISNUMBER($D312),IF(AND($D312&gt;=1,MOD($D312,1)=0),"－",IF(MOD($D312,1)&lt;$L$6,"朝",IF(MOD($D312,1)&lt;$L$7,"昼",IF(MOD($D312,1)&lt;$L$8,"夕方","夜")))),IF(OR($D312="朝",$D312="昼",$D312="夕方",$D312="夜"),$D312,"⚠ 不明"))))</f>
        <v>夜</v>
      </c>
    </row>
    <row r="313" customFormat="false" ht="15" hidden="false" customHeight="false" outlineLevel="0" collapsed="false">
      <c r="A313" s="75" t="n">
        <v>46259</v>
      </c>
      <c r="B313" s="76" t="s">
        <v>109</v>
      </c>
      <c r="C313" s="77" t="n">
        <v>17</v>
      </c>
      <c r="D313" s="78" t="n">
        <v>0.4375</v>
      </c>
      <c r="E313" s="77" t="n">
        <v>7820</v>
      </c>
      <c r="F313" s="76"/>
      <c r="G313" s="76"/>
      <c r="I313" s="79" t="str">
        <f aca="false">IF($B313="","",IF(ISNUMBER(MATCH($B313,日別データ!$B$13:$B$32,0)),"✔ OK","⚠ 未登録"))</f>
        <v>✔ OK</v>
      </c>
      <c r="J313" s="80" t="str">
        <f aca="false">IF($B313="","",IF($D313="","－",IF(ISNUMBER($D313),IF(AND($D313&gt;=1,MOD($D313,1)=0),"－",IF(MOD($D313,1)&lt;$L$6,"朝",IF(MOD($D313,1)&lt;$L$7,"昼",IF(MOD($D313,1)&lt;$L$8,"夕方","夜")))),IF(OR($D313="朝",$D313="昼",$D313="夕方",$D313="夜"),$D313,"⚠ 不明"))))</f>
        <v>朝</v>
      </c>
    </row>
    <row r="314" customFormat="false" ht="15" hidden="false" customHeight="false" outlineLevel="0" collapsed="false">
      <c r="A314" s="75" t="n">
        <v>46259</v>
      </c>
      <c r="B314" s="76" t="s">
        <v>109</v>
      </c>
      <c r="C314" s="77" t="n">
        <v>39</v>
      </c>
      <c r="D314" s="78" t="n">
        <v>0.541666666666667</v>
      </c>
      <c r="E314" s="77" t="n">
        <v>17940</v>
      </c>
      <c r="F314" s="76"/>
      <c r="G314" s="76"/>
      <c r="I314" s="79" t="str">
        <f aca="false">IF($B314="","",IF(ISNUMBER(MATCH($B314,日別データ!$B$13:$B$32,0)),"✔ OK","⚠ 未登録"))</f>
        <v>✔ OK</v>
      </c>
      <c r="J314" s="80" t="str">
        <f aca="false">IF($B314="","",IF($D314="","－",IF(ISNUMBER($D314),IF(AND($D314&gt;=1,MOD($D314,1)=0),"－",IF(MOD($D314,1)&lt;$L$6,"朝",IF(MOD($D314,1)&lt;$L$7,"昼",IF(MOD($D314,1)&lt;$L$8,"夕方","夜")))),IF(OR($D314="朝",$D314="昼",$D314="夕方",$D314="夜"),$D314,"⚠ 不明"))))</f>
        <v>昼</v>
      </c>
    </row>
    <row r="315" customFormat="false" ht="15" hidden="false" customHeight="false" outlineLevel="0" collapsed="false">
      <c r="A315" s="75" t="n">
        <v>46259</v>
      </c>
      <c r="B315" s="76" t="s">
        <v>109</v>
      </c>
      <c r="C315" s="77" t="n">
        <v>29</v>
      </c>
      <c r="D315" s="78" t="n">
        <v>0.6875</v>
      </c>
      <c r="E315" s="77" t="n">
        <v>13340</v>
      </c>
      <c r="F315" s="76"/>
      <c r="G315" s="76"/>
      <c r="I315" s="79" t="str">
        <f aca="false">IF($B315="","",IF(ISNUMBER(MATCH($B315,日別データ!$B$13:$B$32,0)),"✔ OK","⚠ 未登録"))</f>
        <v>✔ OK</v>
      </c>
      <c r="J315" s="80" t="str">
        <f aca="false">IF($B315="","",IF($D315="","－",IF(ISNUMBER($D315),IF(AND($D315&gt;=1,MOD($D315,1)=0),"－",IF(MOD($D315,1)&lt;$L$6,"朝",IF(MOD($D315,1)&lt;$L$7,"昼",IF(MOD($D315,1)&lt;$L$8,"夕方","夜")))),IF(OR($D315="朝",$D315="昼",$D315="夕方",$D315="夜"),$D315,"⚠ 不明"))))</f>
        <v>夕方</v>
      </c>
    </row>
    <row r="316" customFormat="false" ht="15" hidden="false" customHeight="false" outlineLevel="0" collapsed="false">
      <c r="A316" s="75" t="n">
        <v>46259</v>
      </c>
      <c r="B316" s="76" t="s">
        <v>109</v>
      </c>
      <c r="C316" s="77" t="n">
        <v>44</v>
      </c>
      <c r="D316" s="78" t="n">
        <v>0.8125</v>
      </c>
      <c r="E316" s="77" t="n">
        <v>20240</v>
      </c>
      <c r="F316" s="76"/>
      <c r="G316" s="76"/>
      <c r="I316" s="79" t="str">
        <f aca="false">IF($B316="","",IF(ISNUMBER(MATCH($B316,日別データ!$B$13:$B$32,0)),"✔ OK","⚠ 未登録"))</f>
        <v>✔ OK</v>
      </c>
      <c r="J316" s="80" t="str">
        <f aca="false">IF($B316="","",IF($D316="","－",IF(ISNUMBER($D316),IF(AND($D316&gt;=1,MOD($D316,1)=0),"－",IF(MOD($D316,1)&lt;$L$6,"朝",IF(MOD($D316,1)&lt;$L$7,"昼",IF(MOD($D316,1)&lt;$L$8,"夕方","夜")))),IF(OR($D316="朝",$D316="昼",$D316="夕方",$D316="夜"),$D316,"⚠ 不明"))))</f>
        <v>夜</v>
      </c>
    </row>
    <row r="317" customFormat="false" ht="15" hidden="false" customHeight="false" outlineLevel="0" collapsed="false">
      <c r="A317" s="75" t="n">
        <v>46259</v>
      </c>
      <c r="B317" s="76" t="s">
        <v>83</v>
      </c>
      <c r="C317" s="77" t="n">
        <v>15</v>
      </c>
      <c r="D317" s="78" t="n">
        <v>0.4375</v>
      </c>
      <c r="E317" s="77" t="n">
        <v>5700</v>
      </c>
      <c r="F317" s="76"/>
      <c r="G317" s="76"/>
      <c r="I317" s="79" t="str">
        <f aca="false">IF($B317="","",IF(ISNUMBER(MATCH($B317,日別データ!$B$13:$B$32,0)),"✔ OK","⚠ 未登録"))</f>
        <v>✔ OK</v>
      </c>
      <c r="J317" s="80" t="str">
        <f aca="false">IF($B317="","",IF($D317="","－",IF(ISNUMBER($D317),IF(AND($D317&gt;=1,MOD($D317,1)=0),"－",IF(MOD($D317,1)&lt;$L$6,"朝",IF(MOD($D317,1)&lt;$L$7,"昼",IF(MOD($D317,1)&lt;$L$8,"夕方","夜")))),IF(OR($D317="朝",$D317="昼",$D317="夕方",$D317="夜"),$D317,"⚠ 不明"))))</f>
        <v>朝</v>
      </c>
    </row>
    <row r="318" customFormat="false" ht="15" hidden="false" customHeight="false" outlineLevel="0" collapsed="false">
      <c r="A318" s="75" t="n">
        <v>46259</v>
      </c>
      <c r="B318" s="76" t="s">
        <v>83</v>
      </c>
      <c r="C318" s="77" t="n">
        <v>40</v>
      </c>
      <c r="D318" s="78" t="n">
        <v>0.541666666666667</v>
      </c>
      <c r="E318" s="77" t="n">
        <v>15200</v>
      </c>
      <c r="F318" s="76"/>
      <c r="G318" s="76"/>
      <c r="I318" s="79" t="str">
        <f aca="false">IF($B318="","",IF(ISNUMBER(MATCH($B318,日別データ!$B$13:$B$32,0)),"✔ OK","⚠ 未登録"))</f>
        <v>✔ OK</v>
      </c>
      <c r="J318" s="80" t="str">
        <f aca="false">IF($B318="","",IF($D318="","－",IF(ISNUMBER($D318),IF(AND($D318&gt;=1,MOD($D318,1)=0),"－",IF(MOD($D318,1)&lt;$L$6,"朝",IF(MOD($D318,1)&lt;$L$7,"昼",IF(MOD($D318,1)&lt;$L$8,"夕方","夜")))),IF(OR($D318="朝",$D318="昼",$D318="夕方",$D318="夜"),$D318,"⚠ 不明"))))</f>
        <v>昼</v>
      </c>
    </row>
    <row r="319" customFormat="false" ht="15" hidden="false" customHeight="false" outlineLevel="0" collapsed="false">
      <c r="A319" s="75" t="n">
        <v>46259</v>
      </c>
      <c r="B319" s="76" t="s">
        <v>83</v>
      </c>
      <c r="C319" s="77" t="n">
        <v>27</v>
      </c>
      <c r="D319" s="78" t="n">
        <v>0.6875</v>
      </c>
      <c r="E319" s="77" t="n">
        <v>10260</v>
      </c>
      <c r="F319" s="76"/>
      <c r="G319" s="76"/>
      <c r="I319" s="79" t="str">
        <f aca="false">IF($B319="","",IF(ISNUMBER(MATCH($B319,日別データ!$B$13:$B$32,0)),"✔ OK","⚠ 未登録"))</f>
        <v>✔ OK</v>
      </c>
      <c r="J319" s="80" t="str">
        <f aca="false">IF($B319="","",IF($D319="","－",IF(ISNUMBER($D319),IF(AND($D319&gt;=1,MOD($D319,1)=0),"－",IF(MOD($D319,1)&lt;$L$6,"朝",IF(MOD($D319,1)&lt;$L$7,"昼",IF(MOD($D319,1)&lt;$L$8,"夕方","夜")))),IF(OR($D319="朝",$D319="昼",$D319="夕方",$D319="夜"),$D319,"⚠ 不明"))))</f>
        <v>夕方</v>
      </c>
    </row>
    <row r="320" customFormat="false" ht="15" hidden="false" customHeight="false" outlineLevel="0" collapsed="false">
      <c r="A320" s="75" t="n">
        <v>46259</v>
      </c>
      <c r="B320" s="76" t="s">
        <v>83</v>
      </c>
      <c r="C320" s="77" t="n">
        <v>35</v>
      </c>
      <c r="D320" s="78" t="n">
        <v>0.8125</v>
      </c>
      <c r="E320" s="77" t="n">
        <v>13300</v>
      </c>
      <c r="F320" s="76"/>
      <c r="G320" s="76"/>
      <c r="I320" s="79" t="str">
        <f aca="false">IF($B320="","",IF(ISNUMBER(MATCH($B320,日別データ!$B$13:$B$32,0)),"✔ OK","⚠ 未登録"))</f>
        <v>✔ OK</v>
      </c>
      <c r="J320" s="80" t="str">
        <f aca="false">IF($B320="","",IF($D320="","－",IF(ISNUMBER($D320),IF(AND($D320&gt;=1,MOD($D320,1)=0),"－",IF(MOD($D320,1)&lt;$L$6,"朝",IF(MOD($D320,1)&lt;$L$7,"昼",IF(MOD($D320,1)&lt;$L$8,"夕方","夜")))),IF(OR($D320="朝",$D320="昼",$D320="夕方",$D320="夜"),$D320,"⚠ 不明"))))</f>
        <v>夜</v>
      </c>
    </row>
    <row r="321" customFormat="false" ht="15" hidden="false" customHeight="false" outlineLevel="0" collapsed="false">
      <c r="A321" s="75" t="n">
        <v>46259</v>
      </c>
      <c r="B321" s="76" t="s">
        <v>84</v>
      </c>
      <c r="C321" s="77" t="n">
        <v>14</v>
      </c>
      <c r="D321" s="78" t="n">
        <v>0.4375</v>
      </c>
      <c r="E321" s="77" t="n">
        <v>7000</v>
      </c>
      <c r="F321" s="76"/>
      <c r="G321" s="76"/>
      <c r="I321" s="79" t="str">
        <f aca="false">IF($B321="","",IF(ISNUMBER(MATCH($B321,日別データ!$B$13:$B$32,0)),"✔ OK","⚠ 未登録"))</f>
        <v>✔ OK</v>
      </c>
      <c r="J321" s="80" t="str">
        <f aca="false">IF($B321="","",IF($D321="","－",IF(ISNUMBER($D321),IF(AND($D321&gt;=1,MOD($D321,1)=0),"－",IF(MOD($D321,1)&lt;$L$6,"朝",IF(MOD($D321,1)&lt;$L$7,"昼",IF(MOD($D321,1)&lt;$L$8,"夕方","夜")))),IF(OR($D321="朝",$D321="昼",$D321="夕方",$D321="夜"),$D321,"⚠ 不明"))))</f>
        <v>朝</v>
      </c>
    </row>
    <row r="322" customFormat="false" ht="15" hidden="false" customHeight="false" outlineLevel="0" collapsed="false">
      <c r="A322" s="75" t="n">
        <v>46259</v>
      </c>
      <c r="B322" s="76" t="s">
        <v>84</v>
      </c>
      <c r="C322" s="77" t="n">
        <v>28</v>
      </c>
      <c r="D322" s="78" t="n">
        <v>0.541666666666667</v>
      </c>
      <c r="E322" s="77" t="n">
        <v>14000</v>
      </c>
      <c r="F322" s="76"/>
      <c r="G322" s="76"/>
      <c r="I322" s="79" t="str">
        <f aca="false">IF($B322="","",IF(ISNUMBER(MATCH($B322,日別データ!$B$13:$B$32,0)),"✔ OK","⚠ 未登録"))</f>
        <v>✔ OK</v>
      </c>
      <c r="J322" s="80" t="str">
        <f aca="false">IF($B322="","",IF($D322="","－",IF(ISNUMBER($D322),IF(AND($D322&gt;=1,MOD($D322,1)=0),"－",IF(MOD($D322,1)&lt;$L$6,"朝",IF(MOD($D322,1)&lt;$L$7,"昼",IF(MOD($D322,1)&lt;$L$8,"夕方","夜")))),IF(OR($D322="朝",$D322="昼",$D322="夕方",$D322="夜"),$D322,"⚠ 不明"))))</f>
        <v>昼</v>
      </c>
    </row>
    <row r="323" customFormat="false" ht="15" hidden="false" customHeight="false" outlineLevel="0" collapsed="false">
      <c r="A323" s="75" t="n">
        <v>46259</v>
      </c>
      <c r="B323" s="76" t="s">
        <v>84</v>
      </c>
      <c r="C323" s="77" t="n">
        <v>21</v>
      </c>
      <c r="D323" s="78" t="n">
        <v>0.6875</v>
      </c>
      <c r="E323" s="77" t="n">
        <v>10500</v>
      </c>
      <c r="F323" s="76"/>
      <c r="G323" s="76"/>
      <c r="I323" s="79" t="str">
        <f aca="false">IF($B323="","",IF(ISNUMBER(MATCH($B323,日別データ!$B$13:$B$32,0)),"✔ OK","⚠ 未登録"))</f>
        <v>✔ OK</v>
      </c>
      <c r="J323" s="80" t="str">
        <f aca="false">IF($B323="","",IF($D323="","－",IF(ISNUMBER($D323),IF(AND($D323&gt;=1,MOD($D323,1)=0),"－",IF(MOD($D323,1)&lt;$L$6,"朝",IF(MOD($D323,1)&lt;$L$7,"昼",IF(MOD($D323,1)&lt;$L$8,"夕方","夜")))),IF(OR($D323="朝",$D323="昼",$D323="夕方",$D323="夜"),$D323,"⚠ 不明"))))</f>
        <v>夕方</v>
      </c>
    </row>
    <row r="324" customFormat="false" ht="15" hidden="false" customHeight="false" outlineLevel="0" collapsed="false">
      <c r="A324" s="75" t="n">
        <v>46259</v>
      </c>
      <c r="B324" s="76" t="s">
        <v>84</v>
      </c>
      <c r="C324" s="77" t="n">
        <v>26</v>
      </c>
      <c r="D324" s="78" t="n">
        <v>0.8125</v>
      </c>
      <c r="E324" s="77" t="n">
        <v>13000</v>
      </c>
      <c r="F324" s="76"/>
      <c r="G324" s="76"/>
      <c r="I324" s="79" t="str">
        <f aca="false">IF($B324="","",IF(ISNUMBER(MATCH($B324,日別データ!$B$13:$B$32,0)),"✔ OK","⚠ 未登録"))</f>
        <v>✔ OK</v>
      </c>
      <c r="J324" s="80" t="str">
        <f aca="false">IF($B324="","",IF($D324="","－",IF(ISNUMBER($D324),IF(AND($D324&gt;=1,MOD($D324,1)=0),"－",IF(MOD($D324,1)&lt;$L$6,"朝",IF(MOD($D324,1)&lt;$L$7,"昼",IF(MOD($D324,1)&lt;$L$8,"夕方","夜")))),IF(OR($D324="朝",$D324="昼",$D324="夕方",$D324="夜"),$D324,"⚠ 不明"))))</f>
        <v>夜</v>
      </c>
    </row>
    <row r="325" customFormat="false" ht="15" hidden="false" customHeight="false" outlineLevel="0" collapsed="false">
      <c r="A325" s="75" t="n">
        <v>46259</v>
      </c>
      <c r="B325" s="76" t="s">
        <v>85</v>
      </c>
      <c r="C325" s="77" t="n">
        <v>8</v>
      </c>
      <c r="D325" s="78" t="n">
        <v>0.4375</v>
      </c>
      <c r="E325" s="77" t="n">
        <v>3840</v>
      </c>
      <c r="F325" s="76"/>
      <c r="G325" s="76"/>
      <c r="I325" s="79" t="str">
        <f aca="false">IF($B325="","",IF(ISNUMBER(MATCH($B325,日別データ!$B$13:$B$32,0)),"✔ OK","⚠ 未登録"))</f>
        <v>✔ OK</v>
      </c>
      <c r="J325" s="80" t="str">
        <f aca="false">IF($B325="","",IF($D325="","－",IF(ISNUMBER($D325),IF(AND($D325&gt;=1,MOD($D325,1)=0),"－",IF(MOD($D325,1)&lt;$L$6,"朝",IF(MOD($D325,1)&lt;$L$7,"昼",IF(MOD($D325,1)&lt;$L$8,"夕方","夜")))),IF(OR($D325="朝",$D325="昼",$D325="夕方",$D325="夜"),$D325,"⚠ 不明"))))</f>
        <v>朝</v>
      </c>
    </row>
    <row r="326" customFormat="false" ht="15" hidden="false" customHeight="false" outlineLevel="0" collapsed="false">
      <c r="A326" s="75" t="n">
        <v>46259</v>
      </c>
      <c r="B326" s="76" t="s">
        <v>85</v>
      </c>
      <c r="C326" s="77" t="n">
        <v>19</v>
      </c>
      <c r="D326" s="78" t="n">
        <v>0.541666666666667</v>
      </c>
      <c r="E326" s="77" t="n">
        <v>9120</v>
      </c>
      <c r="F326" s="76"/>
      <c r="G326" s="76"/>
      <c r="I326" s="79" t="str">
        <f aca="false">IF($B326="","",IF(ISNUMBER(MATCH($B326,日別データ!$B$13:$B$32,0)),"✔ OK","⚠ 未登録"))</f>
        <v>✔ OK</v>
      </c>
      <c r="J326" s="80" t="str">
        <f aca="false">IF($B326="","",IF($D326="","－",IF(ISNUMBER($D326),IF(AND($D326&gt;=1,MOD($D326,1)=0),"－",IF(MOD($D326,1)&lt;$L$6,"朝",IF(MOD($D326,1)&lt;$L$7,"昼",IF(MOD($D326,1)&lt;$L$8,"夕方","夜")))),IF(OR($D326="朝",$D326="昼",$D326="夕方",$D326="夜"),$D326,"⚠ 不明"))))</f>
        <v>昼</v>
      </c>
    </row>
    <row r="327" customFormat="false" ht="15" hidden="false" customHeight="false" outlineLevel="0" collapsed="false">
      <c r="A327" s="75" t="n">
        <v>46259</v>
      </c>
      <c r="B327" s="76" t="s">
        <v>85</v>
      </c>
      <c r="C327" s="77" t="n">
        <v>13</v>
      </c>
      <c r="D327" s="78" t="n">
        <v>0.6875</v>
      </c>
      <c r="E327" s="77" t="n">
        <v>6240</v>
      </c>
      <c r="F327" s="76"/>
      <c r="G327" s="76"/>
      <c r="I327" s="79" t="str">
        <f aca="false">IF($B327="","",IF(ISNUMBER(MATCH($B327,日別データ!$B$13:$B$32,0)),"✔ OK","⚠ 未登録"))</f>
        <v>✔ OK</v>
      </c>
      <c r="J327" s="80" t="str">
        <f aca="false">IF($B327="","",IF($D327="","－",IF(ISNUMBER($D327),IF(AND($D327&gt;=1,MOD($D327,1)=0),"－",IF(MOD($D327,1)&lt;$L$6,"朝",IF(MOD($D327,1)&lt;$L$7,"昼",IF(MOD($D327,1)&lt;$L$8,"夕方","夜")))),IF(OR($D327="朝",$D327="昼",$D327="夕方",$D327="夜"),$D327,"⚠ 不明"))))</f>
        <v>夕方</v>
      </c>
    </row>
    <row r="328" customFormat="false" ht="15" hidden="false" customHeight="false" outlineLevel="0" collapsed="false">
      <c r="A328" s="75" t="n">
        <v>46259</v>
      </c>
      <c r="B328" s="76" t="s">
        <v>85</v>
      </c>
      <c r="C328" s="77" t="n">
        <v>23</v>
      </c>
      <c r="D328" s="78" t="n">
        <v>0.8125</v>
      </c>
      <c r="E328" s="77" t="n">
        <v>11040</v>
      </c>
      <c r="F328" s="76"/>
      <c r="G328" s="76"/>
      <c r="I328" s="79" t="str">
        <f aca="false">IF($B328="","",IF(ISNUMBER(MATCH($B328,日別データ!$B$13:$B$32,0)),"✔ OK","⚠ 未登録"))</f>
        <v>✔ OK</v>
      </c>
      <c r="J328" s="80" t="str">
        <f aca="false">IF($B328="","",IF($D328="","－",IF(ISNUMBER($D328),IF(AND($D328&gt;=1,MOD($D328,1)=0),"－",IF(MOD($D328,1)&lt;$L$6,"朝",IF(MOD($D328,1)&lt;$L$7,"昼",IF(MOD($D328,1)&lt;$L$8,"夕方","夜")))),IF(OR($D328="朝",$D328="昼",$D328="夕方",$D328="夜"),$D328,"⚠ 不明"))))</f>
        <v>夜</v>
      </c>
    </row>
    <row r="329" customFormat="false" ht="15" hidden="false" customHeight="false" outlineLevel="0" collapsed="false">
      <c r="A329" s="75" t="n">
        <v>46259</v>
      </c>
      <c r="B329" s="76" t="s">
        <v>86</v>
      </c>
      <c r="C329" s="77" t="n">
        <v>14</v>
      </c>
      <c r="D329" s="78" t="n">
        <v>0.4375</v>
      </c>
      <c r="E329" s="77" t="n">
        <v>5880</v>
      </c>
      <c r="F329" s="76"/>
      <c r="G329" s="76"/>
      <c r="I329" s="79" t="str">
        <f aca="false">IF($B329="","",IF(ISNUMBER(MATCH($B329,日別データ!$B$13:$B$32,0)),"✔ OK","⚠ 未登録"))</f>
        <v>✔ OK</v>
      </c>
      <c r="J329" s="80" t="str">
        <f aca="false">IF($B329="","",IF($D329="","－",IF(ISNUMBER($D329),IF(AND($D329&gt;=1,MOD($D329,1)=0),"－",IF(MOD($D329,1)&lt;$L$6,"朝",IF(MOD($D329,1)&lt;$L$7,"昼",IF(MOD($D329,1)&lt;$L$8,"夕方","夜")))),IF(OR($D329="朝",$D329="昼",$D329="夕方",$D329="夜"),$D329,"⚠ 不明"))))</f>
        <v>朝</v>
      </c>
    </row>
    <row r="330" customFormat="false" ht="15" hidden="false" customHeight="false" outlineLevel="0" collapsed="false">
      <c r="A330" s="75" t="n">
        <v>46259</v>
      </c>
      <c r="B330" s="76" t="s">
        <v>86</v>
      </c>
      <c r="C330" s="77" t="n">
        <v>32</v>
      </c>
      <c r="D330" s="78" t="n">
        <v>0.541666666666667</v>
      </c>
      <c r="E330" s="77" t="n">
        <v>13440</v>
      </c>
      <c r="F330" s="76"/>
      <c r="G330" s="76"/>
      <c r="I330" s="79" t="str">
        <f aca="false">IF($B330="","",IF(ISNUMBER(MATCH($B330,日別データ!$B$13:$B$32,0)),"✔ OK","⚠ 未登録"))</f>
        <v>✔ OK</v>
      </c>
      <c r="J330" s="80" t="str">
        <f aca="false">IF($B330="","",IF($D330="","－",IF(ISNUMBER($D330),IF(AND($D330&gt;=1,MOD($D330,1)=0),"－",IF(MOD($D330,1)&lt;$L$6,"朝",IF(MOD($D330,1)&lt;$L$7,"昼",IF(MOD($D330,1)&lt;$L$8,"夕方","夜")))),IF(OR($D330="朝",$D330="昼",$D330="夕方",$D330="夜"),$D330,"⚠ 不明"))))</f>
        <v>昼</v>
      </c>
    </row>
    <row r="331" customFormat="false" ht="15" hidden="false" customHeight="false" outlineLevel="0" collapsed="false">
      <c r="A331" s="75" t="n">
        <v>46259</v>
      </c>
      <c r="B331" s="76" t="s">
        <v>86</v>
      </c>
      <c r="C331" s="77" t="n">
        <v>27</v>
      </c>
      <c r="D331" s="78" t="n">
        <v>0.6875</v>
      </c>
      <c r="E331" s="77" t="n">
        <v>11340</v>
      </c>
      <c r="F331" s="76"/>
      <c r="G331" s="76"/>
      <c r="I331" s="79" t="str">
        <f aca="false">IF($B331="","",IF(ISNUMBER(MATCH($B331,日別データ!$B$13:$B$32,0)),"✔ OK","⚠ 未登録"))</f>
        <v>✔ OK</v>
      </c>
      <c r="J331" s="80" t="str">
        <f aca="false">IF($B331="","",IF($D331="","－",IF(ISNUMBER($D331),IF(AND($D331&gt;=1,MOD($D331,1)=0),"－",IF(MOD($D331,1)&lt;$L$6,"朝",IF(MOD($D331,1)&lt;$L$7,"昼",IF(MOD($D331,1)&lt;$L$8,"夕方","夜")))),IF(OR($D331="朝",$D331="昼",$D331="夕方",$D331="夜"),$D331,"⚠ 不明"))))</f>
        <v>夕方</v>
      </c>
    </row>
    <row r="332" customFormat="false" ht="15" hidden="false" customHeight="false" outlineLevel="0" collapsed="false">
      <c r="A332" s="75" t="n">
        <v>46259</v>
      </c>
      <c r="B332" s="76" t="s">
        <v>86</v>
      </c>
      <c r="C332" s="77" t="n">
        <v>48</v>
      </c>
      <c r="D332" s="78" t="n">
        <v>0.8125</v>
      </c>
      <c r="E332" s="77" t="n">
        <v>20160</v>
      </c>
      <c r="F332" s="76"/>
      <c r="G332" s="76"/>
      <c r="I332" s="79" t="str">
        <f aca="false">IF($B332="","",IF(ISNUMBER(MATCH($B332,日別データ!$B$13:$B$32,0)),"✔ OK","⚠ 未登録"))</f>
        <v>✔ OK</v>
      </c>
      <c r="J332" s="80" t="str">
        <f aca="false">IF($B332="","",IF($D332="","－",IF(ISNUMBER($D332),IF(AND($D332&gt;=1,MOD($D332,1)=0),"－",IF(MOD($D332,1)&lt;$L$6,"朝",IF(MOD($D332,1)&lt;$L$7,"昼",IF(MOD($D332,1)&lt;$L$8,"夕方","夜")))),IF(OR($D332="朝",$D332="昼",$D332="夕方",$D332="夜"),$D332,"⚠ 不明"))))</f>
        <v>夜</v>
      </c>
    </row>
    <row r="333" customFormat="false" ht="15" hidden="false" customHeight="false" outlineLevel="0" collapsed="false">
      <c r="A333" s="75" t="n">
        <v>46259</v>
      </c>
      <c r="B333" s="76" t="s">
        <v>87</v>
      </c>
      <c r="C333" s="77" t="n">
        <v>8</v>
      </c>
      <c r="D333" s="78" t="n">
        <v>0.4375</v>
      </c>
      <c r="E333" s="77" t="n">
        <v>3600</v>
      </c>
      <c r="F333" s="76"/>
      <c r="G333" s="76"/>
      <c r="I333" s="79" t="str">
        <f aca="false">IF($B333="","",IF(ISNUMBER(MATCH($B333,日別データ!$B$13:$B$32,0)),"✔ OK","⚠ 未登録"))</f>
        <v>✔ OK</v>
      </c>
      <c r="J333" s="80" t="str">
        <f aca="false">IF($B333="","",IF($D333="","－",IF(ISNUMBER($D333),IF(AND($D333&gt;=1,MOD($D333,1)=0),"－",IF(MOD($D333,1)&lt;$L$6,"朝",IF(MOD($D333,1)&lt;$L$7,"昼",IF(MOD($D333,1)&lt;$L$8,"夕方","夜")))),IF(OR($D333="朝",$D333="昼",$D333="夕方",$D333="夜"),$D333,"⚠ 不明"))))</f>
        <v>朝</v>
      </c>
    </row>
    <row r="334" customFormat="false" ht="15" hidden="false" customHeight="false" outlineLevel="0" collapsed="false">
      <c r="A334" s="75" t="n">
        <v>46259</v>
      </c>
      <c r="B334" s="76" t="s">
        <v>87</v>
      </c>
      <c r="C334" s="77" t="n">
        <v>16</v>
      </c>
      <c r="D334" s="78" t="n">
        <v>0.541666666666667</v>
      </c>
      <c r="E334" s="77" t="n">
        <v>7200</v>
      </c>
      <c r="F334" s="76"/>
      <c r="G334" s="76"/>
      <c r="I334" s="79" t="str">
        <f aca="false">IF($B334="","",IF(ISNUMBER(MATCH($B334,日別データ!$B$13:$B$32,0)),"✔ OK","⚠ 未登録"))</f>
        <v>✔ OK</v>
      </c>
      <c r="J334" s="80" t="str">
        <f aca="false">IF($B334="","",IF($D334="","－",IF(ISNUMBER($D334),IF(AND($D334&gt;=1,MOD($D334,1)=0),"－",IF(MOD($D334,1)&lt;$L$6,"朝",IF(MOD($D334,1)&lt;$L$7,"昼",IF(MOD($D334,1)&lt;$L$8,"夕方","夜")))),IF(OR($D334="朝",$D334="昼",$D334="夕方",$D334="夜"),$D334,"⚠ 不明"))))</f>
        <v>昼</v>
      </c>
    </row>
    <row r="335" customFormat="false" ht="15" hidden="false" customHeight="false" outlineLevel="0" collapsed="false">
      <c r="A335" s="75" t="n">
        <v>46259</v>
      </c>
      <c r="B335" s="76" t="s">
        <v>87</v>
      </c>
      <c r="C335" s="77" t="n">
        <v>15</v>
      </c>
      <c r="D335" s="78" t="n">
        <v>0.6875</v>
      </c>
      <c r="E335" s="77" t="n">
        <v>6750</v>
      </c>
      <c r="F335" s="76"/>
      <c r="G335" s="76"/>
      <c r="I335" s="79" t="str">
        <f aca="false">IF($B335="","",IF(ISNUMBER(MATCH($B335,日別データ!$B$13:$B$32,0)),"✔ OK","⚠ 未登録"))</f>
        <v>✔ OK</v>
      </c>
      <c r="J335" s="80" t="str">
        <f aca="false">IF($B335="","",IF($D335="","－",IF(ISNUMBER($D335),IF(AND($D335&gt;=1,MOD($D335,1)=0),"－",IF(MOD($D335,1)&lt;$L$6,"朝",IF(MOD($D335,1)&lt;$L$7,"昼",IF(MOD($D335,1)&lt;$L$8,"夕方","夜")))),IF(OR($D335="朝",$D335="昼",$D335="夕方",$D335="夜"),$D335,"⚠ 不明"))))</f>
        <v>夕方</v>
      </c>
    </row>
    <row r="336" customFormat="false" ht="15" hidden="false" customHeight="false" outlineLevel="0" collapsed="false">
      <c r="A336" s="75" t="n">
        <v>46259</v>
      </c>
      <c r="B336" s="76" t="s">
        <v>87</v>
      </c>
      <c r="C336" s="77" t="n">
        <v>18</v>
      </c>
      <c r="D336" s="78" t="n">
        <v>0.8125</v>
      </c>
      <c r="E336" s="77" t="n">
        <v>8100</v>
      </c>
      <c r="F336" s="76"/>
      <c r="G336" s="76"/>
      <c r="I336" s="79" t="str">
        <f aca="false">IF($B336="","",IF(ISNUMBER(MATCH($B336,日別データ!$B$13:$B$32,0)),"✔ OK","⚠ 未登録"))</f>
        <v>✔ OK</v>
      </c>
      <c r="J336" s="80" t="str">
        <f aca="false">IF($B336="","",IF($D336="","－",IF(ISNUMBER($D336),IF(AND($D336&gt;=1,MOD($D336,1)=0),"－",IF(MOD($D336,1)&lt;$L$6,"朝",IF(MOD($D336,1)&lt;$L$7,"昼",IF(MOD($D336,1)&lt;$L$8,"夕方","夜")))),IF(OR($D336="朝",$D336="昼",$D336="夕方",$D336="夜"),$D336,"⚠ 不明"))))</f>
        <v>夜</v>
      </c>
    </row>
    <row r="337" customFormat="false" ht="15" hidden="false" customHeight="false" outlineLevel="0" collapsed="false">
      <c r="A337" s="75" t="n">
        <v>46259</v>
      </c>
      <c r="B337" s="76" t="s">
        <v>88</v>
      </c>
      <c r="C337" s="77" t="n">
        <v>8</v>
      </c>
      <c r="D337" s="78" t="n">
        <v>0.4375</v>
      </c>
      <c r="E337" s="77" t="n">
        <v>2800</v>
      </c>
      <c r="F337" s="76"/>
      <c r="G337" s="76"/>
      <c r="I337" s="79" t="str">
        <f aca="false">IF($B337="","",IF(ISNUMBER(MATCH($B337,日別データ!$B$13:$B$32,0)),"✔ OK","⚠ 未登録"))</f>
        <v>✔ OK</v>
      </c>
      <c r="J337" s="80" t="str">
        <f aca="false">IF($B337="","",IF($D337="","－",IF(ISNUMBER($D337),IF(AND($D337&gt;=1,MOD($D337,1)=0),"－",IF(MOD($D337,1)&lt;$L$6,"朝",IF(MOD($D337,1)&lt;$L$7,"昼",IF(MOD($D337,1)&lt;$L$8,"夕方","夜")))),IF(OR($D337="朝",$D337="昼",$D337="夕方",$D337="夜"),$D337,"⚠ 不明"))))</f>
        <v>朝</v>
      </c>
    </row>
    <row r="338" customFormat="false" ht="15" hidden="false" customHeight="false" outlineLevel="0" collapsed="false">
      <c r="A338" s="75" t="n">
        <v>46259</v>
      </c>
      <c r="B338" s="76" t="s">
        <v>88</v>
      </c>
      <c r="C338" s="77" t="n">
        <v>17</v>
      </c>
      <c r="D338" s="78" t="n">
        <v>0.541666666666667</v>
      </c>
      <c r="E338" s="77" t="n">
        <v>5950</v>
      </c>
      <c r="F338" s="76"/>
      <c r="G338" s="76"/>
      <c r="I338" s="79" t="str">
        <f aca="false">IF($B338="","",IF(ISNUMBER(MATCH($B338,日別データ!$B$13:$B$32,0)),"✔ OK","⚠ 未登録"))</f>
        <v>✔ OK</v>
      </c>
      <c r="J338" s="80" t="str">
        <f aca="false">IF($B338="","",IF($D338="","－",IF(ISNUMBER($D338),IF(AND($D338&gt;=1,MOD($D338,1)=0),"－",IF(MOD($D338,1)&lt;$L$6,"朝",IF(MOD($D338,1)&lt;$L$7,"昼",IF(MOD($D338,1)&lt;$L$8,"夕方","夜")))),IF(OR($D338="朝",$D338="昼",$D338="夕方",$D338="夜"),$D338,"⚠ 不明"))))</f>
        <v>昼</v>
      </c>
    </row>
    <row r="339" customFormat="false" ht="15" hidden="false" customHeight="false" outlineLevel="0" collapsed="false">
      <c r="A339" s="75" t="n">
        <v>46259</v>
      </c>
      <c r="B339" s="76" t="s">
        <v>88</v>
      </c>
      <c r="C339" s="77" t="n">
        <v>15</v>
      </c>
      <c r="D339" s="78" t="n">
        <v>0.6875</v>
      </c>
      <c r="E339" s="77" t="n">
        <v>5250</v>
      </c>
      <c r="F339" s="76"/>
      <c r="G339" s="76"/>
      <c r="I339" s="79" t="str">
        <f aca="false">IF($B339="","",IF(ISNUMBER(MATCH($B339,日別データ!$B$13:$B$32,0)),"✔ OK","⚠ 未登録"))</f>
        <v>✔ OK</v>
      </c>
      <c r="J339" s="80" t="str">
        <f aca="false">IF($B339="","",IF($D339="","－",IF(ISNUMBER($D339),IF(AND($D339&gt;=1,MOD($D339,1)=0),"－",IF(MOD($D339,1)&lt;$L$6,"朝",IF(MOD($D339,1)&lt;$L$7,"昼",IF(MOD($D339,1)&lt;$L$8,"夕方","夜")))),IF(OR($D339="朝",$D339="昼",$D339="夕方",$D339="夜"),$D339,"⚠ 不明"))))</f>
        <v>夕方</v>
      </c>
    </row>
    <row r="340" customFormat="false" ht="15" hidden="false" customHeight="false" outlineLevel="0" collapsed="false">
      <c r="A340" s="75" t="n">
        <v>46259</v>
      </c>
      <c r="B340" s="76" t="s">
        <v>88</v>
      </c>
      <c r="C340" s="77" t="n">
        <v>21</v>
      </c>
      <c r="D340" s="78" t="n">
        <v>0.8125</v>
      </c>
      <c r="E340" s="77" t="n">
        <v>7350</v>
      </c>
      <c r="F340" s="76"/>
      <c r="G340" s="76"/>
      <c r="I340" s="79" t="str">
        <f aca="false">IF($B340="","",IF(ISNUMBER(MATCH($B340,日別データ!$B$13:$B$32,0)),"✔ OK","⚠ 未登録"))</f>
        <v>✔ OK</v>
      </c>
      <c r="J340" s="80" t="str">
        <f aca="false">IF($B340="","",IF($D340="","－",IF(ISNUMBER($D340),IF(AND($D340&gt;=1,MOD($D340,1)=0),"－",IF(MOD($D340,1)&lt;$L$6,"朝",IF(MOD($D340,1)&lt;$L$7,"昼",IF(MOD($D340,1)&lt;$L$8,"夕方","夜")))),IF(OR($D340="朝",$D340="昼",$D340="夕方",$D340="夜"),$D340,"⚠ 不明"))))</f>
        <v>夜</v>
      </c>
    </row>
    <row r="341" customFormat="false" ht="15" hidden="false" customHeight="false" outlineLevel="0" collapsed="false">
      <c r="A341" s="75"/>
      <c r="B341" s="76"/>
      <c r="C341" s="77"/>
      <c r="D341" s="78"/>
      <c r="E341" s="77"/>
      <c r="F341" s="76"/>
      <c r="G341" s="76"/>
      <c r="I341" s="79" t="str">
        <f aca="false">IF($B341="","",IF(ISNUMBER(MATCH($B341,日別データ!$B$13:$B$32,0)),"✔ OK","⚠ 未登録"))</f>
        <v/>
      </c>
      <c r="J341" s="80" t="str">
        <f aca="false">IF($B341="","",IF($D341="","－",IF(ISNUMBER($D341),IF(AND($D341&gt;=1,MOD($D341,1)=0),"－",IF(MOD($D341,1)&lt;$L$6,"朝",IF(MOD($D341,1)&lt;$L$7,"昼",IF(MOD($D341,1)&lt;$L$8,"夕方","夜")))),IF(OR($D341="朝",$D341="昼",$D341="夕方",$D341="夜"),$D341,"⚠ 不明"))))</f>
        <v/>
      </c>
    </row>
    <row r="342" customFormat="false" ht="15" hidden="false" customHeight="false" outlineLevel="0" collapsed="false">
      <c r="A342" s="75"/>
      <c r="B342" s="76"/>
      <c r="C342" s="77"/>
      <c r="D342" s="78"/>
      <c r="E342" s="77"/>
      <c r="F342" s="76"/>
      <c r="G342" s="76"/>
      <c r="I342" s="79" t="str">
        <f aca="false">IF($B342="","",IF(ISNUMBER(MATCH($B342,日別データ!$B$13:$B$32,0)),"✔ OK","⚠ 未登録"))</f>
        <v/>
      </c>
      <c r="J342" s="80" t="str">
        <f aca="false">IF($B342="","",IF($D342="","－",IF(ISNUMBER($D342),IF(AND($D342&gt;=1,MOD($D342,1)=0),"－",IF(MOD($D342,1)&lt;$L$6,"朝",IF(MOD($D342,1)&lt;$L$7,"昼",IF(MOD($D342,1)&lt;$L$8,"夕方","夜")))),IF(OR($D342="朝",$D342="昼",$D342="夕方",$D342="夜"),$D342,"⚠ 不明"))))</f>
        <v/>
      </c>
    </row>
    <row r="343" customFormat="false" ht="15" hidden="false" customHeight="false" outlineLevel="0" collapsed="false">
      <c r="A343" s="75"/>
      <c r="B343" s="76"/>
      <c r="C343" s="77"/>
      <c r="D343" s="78"/>
      <c r="E343" s="77"/>
      <c r="F343" s="76"/>
      <c r="G343" s="76"/>
      <c r="I343" s="79" t="str">
        <f aca="false">IF($B343="","",IF(ISNUMBER(MATCH($B343,日別データ!$B$13:$B$32,0)),"✔ OK","⚠ 未登録"))</f>
        <v/>
      </c>
      <c r="J343" s="80" t="str">
        <f aca="false">IF($B343="","",IF($D343="","－",IF(ISNUMBER($D343),IF(AND($D343&gt;=1,MOD($D343,1)=0),"－",IF(MOD($D343,1)&lt;$L$6,"朝",IF(MOD($D343,1)&lt;$L$7,"昼",IF(MOD($D343,1)&lt;$L$8,"夕方","夜")))),IF(OR($D343="朝",$D343="昼",$D343="夕方",$D343="夜"),$D343,"⚠ 不明"))))</f>
        <v/>
      </c>
    </row>
    <row r="344" customFormat="false" ht="15" hidden="false" customHeight="false" outlineLevel="0" collapsed="false">
      <c r="A344" s="75"/>
      <c r="B344" s="76"/>
      <c r="C344" s="77"/>
      <c r="D344" s="78"/>
      <c r="E344" s="77"/>
      <c r="F344" s="76"/>
      <c r="G344" s="76"/>
      <c r="I344" s="79" t="str">
        <f aca="false">IF($B344="","",IF(ISNUMBER(MATCH($B344,日別データ!$B$13:$B$32,0)),"✔ OK","⚠ 未登録"))</f>
        <v/>
      </c>
      <c r="J344" s="80" t="str">
        <f aca="false">IF($B344="","",IF($D344="","－",IF(ISNUMBER($D344),IF(AND($D344&gt;=1,MOD($D344,1)=0),"－",IF(MOD($D344,1)&lt;$L$6,"朝",IF(MOD($D344,1)&lt;$L$7,"昼",IF(MOD($D344,1)&lt;$L$8,"夕方","夜")))),IF(OR($D344="朝",$D344="昼",$D344="夕方",$D344="夜"),$D344,"⚠ 不明"))))</f>
        <v/>
      </c>
    </row>
    <row r="345" customFormat="false" ht="15" hidden="false" customHeight="false" outlineLevel="0" collapsed="false">
      <c r="A345" s="75"/>
      <c r="B345" s="76"/>
      <c r="C345" s="77"/>
      <c r="D345" s="78"/>
      <c r="E345" s="77"/>
      <c r="F345" s="76"/>
      <c r="G345" s="76"/>
      <c r="I345" s="79" t="str">
        <f aca="false">IF($B345="","",IF(ISNUMBER(MATCH($B345,日別データ!$B$13:$B$32,0)),"✔ OK","⚠ 未登録"))</f>
        <v/>
      </c>
      <c r="J345" s="80" t="str">
        <f aca="false">IF($B345="","",IF($D345="","－",IF(ISNUMBER($D345),IF(AND($D345&gt;=1,MOD($D345,1)=0),"－",IF(MOD($D345,1)&lt;$L$6,"朝",IF(MOD($D345,1)&lt;$L$7,"昼",IF(MOD($D345,1)&lt;$L$8,"夕方","夜")))),IF(OR($D345="朝",$D345="昼",$D345="夕方",$D345="夜"),$D345,"⚠ 不明"))))</f>
        <v/>
      </c>
    </row>
    <row r="346" customFormat="false" ht="15" hidden="false" customHeight="false" outlineLevel="0" collapsed="false">
      <c r="A346" s="75"/>
      <c r="B346" s="76"/>
      <c r="C346" s="77"/>
      <c r="D346" s="78"/>
      <c r="E346" s="77"/>
      <c r="F346" s="76"/>
      <c r="G346" s="76"/>
      <c r="I346" s="79" t="str">
        <f aca="false">IF($B346="","",IF(ISNUMBER(MATCH($B346,日別データ!$B$13:$B$32,0)),"✔ OK","⚠ 未登録"))</f>
        <v/>
      </c>
      <c r="J346" s="80" t="str">
        <f aca="false">IF($B346="","",IF($D346="","－",IF(ISNUMBER($D346),IF(AND($D346&gt;=1,MOD($D346,1)=0),"－",IF(MOD($D346,1)&lt;$L$6,"朝",IF(MOD($D346,1)&lt;$L$7,"昼",IF(MOD($D346,1)&lt;$L$8,"夕方","夜")))),IF(OR($D346="朝",$D346="昼",$D346="夕方",$D346="夜"),$D346,"⚠ 不明"))))</f>
        <v/>
      </c>
    </row>
    <row r="347" customFormat="false" ht="15" hidden="false" customHeight="false" outlineLevel="0" collapsed="false">
      <c r="A347" s="75"/>
      <c r="B347" s="76"/>
      <c r="C347" s="77"/>
      <c r="D347" s="78"/>
      <c r="E347" s="77"/>
      <c r="F347" s="76"/>
      <c r="G347" s="76"/>
      <c r="I347" s="79" t="str">
        <f aca="false">IF($B347="","",IF(ISNUMBER(MATCH($B347,日別データ!$B$13:$B$32,0)),"✔ OK","⚠ 未登録"))</f>
        <v/>
      </c>
      <c r="J347" s="80" t="str">
        <f aca="false">IF($B347="","",IF($D347="","－",IF(ISNUMBER($D347),IF(AND($D347&gt;=1,MOD($D347,1)=0),"－",IF(MOD($D347,1)&lt;$L$6,"朝",IF(MOD($D347,1)&lt;$L$7,"昼",IF(MOD($D347,1)&lt;$L$8,"夕方","夜")))),IF(OR($D347="朝",$D347="昼",$D347="夕方",$D347="夜"),$D347,"⚠ 不明"))))</f>
        <v/>
      </c>
    </row>
    <row r="348" customFormat="false" ht="15" hidden="false" customHeight="false" outlineLevel="0" collapsed="false">
      <c r="A348" s="75"/>
      <c r="B348" s="76"/>
      <c r="C348" s="77"/>
      <c r="D348" s="78"/>
      <c r="E348" s="77"/>
      <c r="F348" s="76"/>
      <c r="G348" s="76"/>
      <c r="I348" s="79" t="str">
        <f aca="false">IF($B348="","",IF(ISNUMBER(MATCH($B348,日別データ!$B$13:$B$32,0)),"✔ OK","⚠ 未登録"))</f>
        <v/>
      </c>
      <c r="J348" s="80" t="str">
        <f aca="false">IF($B348="","",IF($D348="","－",IF(ISNUMBER($D348),IF(AND($D348&gt;=1,MOD($D348,1)=0),"－",IF(MOD($D348,1)&lt;$L$6,"朝",IF(MOD($D348,1)&lt;$L$7,"昼",IF(MOD($D348,1)&lt;$L$8,"夕方","夜")))),IF(OR($D348="朝",$D348="昼",$D348="夕方",$D348="夜"),$D348,"⚠ 不明"))))</f>
        <v/>
      </c>
    </row>
    <row r="349" customFormat="false" ht="15" hidden="false" customHeight="false" outlineLevel="0" collapsed="false">
      <c r="A349" s="75"/>
      <c r="B349" s="76"/>
      <c r="C349" s="77"/>
      <c r="D349" s="78"/>
      <c r="E349" s="77"/>
      <c r="F349" s="76"/>
      <c r="G349" s="76"/>
      <c r="I349" s="79" t="str">
        <f aca="false">IF($B349="","",IF(ISNUMBER(MATCH($B349,日別データ!$B$13:$B$32,0)),"✔ OK","⚠ 未登録"))</f>
        <v/>
      </c>
      <c r="J349" s="80" t="str">
        <f aca="false">IF($B349="","",IF($D349="","－",IF(ISNUMBER($D349),IF(AND($D349&gt;=1,MOD($D349,1)=0),"－",IF(MOD($D349,1)&lt;$L$6,"朝",IF(MOD($D349,1)&lt;$L$7,"昼",IF(MOD($D349,1)&lt;$L$8,"夕方","夜")))),IF(OR($D349="朝",$D349="昼",$D349="夕方",$D349="夜"),$D349,"⚠ 不明"))))</f>
        <v/>
      </c>
    </row>
    <row r="350" customFormat="false" ht="15" hidden="false" customHeight="false" outlineLevel="0" collapsed="false">
      <c r="A350" s="75"/>
      <c r="B350" s="76"/>
      <c r="C350" s="77"/>
      <c r="D350" s="78"/>
      <c r="E350" s="77"/>
      <c r="F350" s="76"/>
      <c r="G350" s="76"/>
      <c r="I350" s="79" t="str">
        <f aca="false">IF($B350="","",IF(ISNUMBER(MATCH($B350,日別データ!$B$13:$B$32,0)),"✔ OK","⚠ 未登録"))</f>
        <v/>
      </c>
      <c r="J350" s="80" t="str">
        <f aca="false">IF($B350="","",IF($D350="","－",IF(ISNUMBER($D350),IF(AND($D350&gt;=1,MOD($D350,1)=0),"－",IF(MOD($D350,1)&lt;$L$6,"朝",IF(MOD($D350,1)&lt;$L$7,"昼",IF(MOD($D350,1)&lt;$L$8,"夕方","夜")))),IF(OR($D350="朝",$D350="昼",$D350="夕方",$D350="夜"),$D350,"⚠ 不明"))))</f>
        <v/>
      </c>
    </row>
    <row r="351" customFormat="false" ht="15" hidden="false" customHeight="false" outlineLevel="0" collapsed="false">
      <c r="A351" s="75"/>
      <c r="B351" s="76"/>
      <c r="C351" s="77"/>
      <c r="D351" s="78"/>
      <c r="E351" s="77"/>
      <c r="F351" s="76"/>
      <c r="G351" s="76"/>
      <c r="I351" s="79" t="str">
        <f aca="false">IF($B351="","",IF(ISNUMBER(MATCH($B351,日別データ!$B$13:$B$32,0)),"✔ OK","⚠ 未登録"))</f>
        <v/>
      </c>
      <c r="J351" s="80" t="str">
        <f aca="false">IF($B351="","",IF($D351="","－",IF(ISNUMBER($D351),IF(AND($D351&gt;=1,MOD($D351,1)=0),"－",IF(MOD($D351,1)&lt;$L$6,"朝",IF(MOD($D351,1)&lt;$L$7,"昼",IF(MOD($D351,1)&lt;$L$8,"夕方","夜")))),IF(OR($D351="朝",$D351="昼",$D351="夕方",$D351="夜"),$D351,"⚠ 不明"))))</f>
        <v/>
      </c>
    </row>
    <row r="352" customFormat="false" ht="15" hidden="false" customHeight="false" outlineLevel="0" collapsed="false">
      <c r="A352" s="75"/>
      <c r="B352" s="76"/>
      <c r="C352" s="77"/>
      <c r="D352" s="78"/>
      <c r="E352" s="77"/>
      <c r="F352" s="76"/>
      <c r="G352" s="76"/>
      <c r="I352" s="79" t="str">
        <f aca="false">IF($B352="","",IF(ISNUMBER(MATCH($B352,日別データ!$B$13:$B$32,0)),"✔ OK","⚠ 未登録"))</f>
        <v/>
      </c>
      <c r="J352" s="80" t="str">
        <f aca="false">IF($B352="","",IF($D352="","－",IF(ISNUMBER($D352),IF(AND($D352&gt;=1,MOD($D352,1)=0),"－",IF(MOD($D352,1)&lt;$L$6,"朝",IF(MOD($D352,1)&lt;$L$7,"昼",IF(MOD($D352,1)&lt;$L$8,"夕方","夜")))),IF(OR($D352="朝",$D352="昼",$D352="夕方",$D352="夜"),$D352,"⚠ 不明"))))</f>
        <v/>
      </c>
    </row>
    <row r="353" customFormat="false" ht="15" hidden="false" customHeight="false" outlineLevel="0" collapsed="false">
      <c r="A353" s="75"/>
      <c r="B353" s="76"/>
      <c r="C353" s="77"/>
      <c r="D353" s="78"/>
      <c r="E353" s="77"/>
      <c r="F353" s="76"/>
      <c r="G353" s="76"/>
      <c r="I353" s="79" t="str">
        <f aca="false">IF($B353="","",IF(ISNUMBER(MATCH($B353,日別データ!$B$13:$B$32,0)),"✔ OK","⚠ 未登録"))</f>
        <v/>
      </c>
      <c r="J353" s="80" t="str">
        <f aca="false">IF($B353="","",IF($D353="","－",IF(ISNUMBER($D353),IF(AND($D353&gt;=1,MOD($D353,1)=0),"－",IF(MOD($D353,1)&lt;$L$6,"朝",IF(MOD($D353,1)&lt;$L$7,"昼",IF(MOD($D353,1)&lt;$L$8,"夕方","夜")))),IF(OR($D353="朝",$D353="昼",$D353="夕方",$D353="夜"),$D353,"⚠ 不明"))))</f>
        <v/>
      </c>
    </row>
    <row r="354" customFormat="false" ht="15" hidden="false" customHeight="false" outlineLevel="0" collapsed="false">
      <c r="A354" s="75"/>
      <c r="B354" s="76"/>
      <c r="C354" s="77"/>
      <c r="D354" s="78"/>
      <c r="E354" s="77"/>
      <c r="F354" s="76"/>
      <c r="G354" s="76"/>
      <c r="I354" s="79" t="str">
        <f aca="false">IF($B354="","",IF(ISNUMBER(MATCH($B354,日別データ!$B$13:$B$32,0)),"✔ OK","⚠ 未登録"))</f>
        <v/>
      </c>
      <c r="J354" s="80" t="str">
        <f aca="false">IF($B354="","",IF($D354="","－",IF(ISNUMBER($D354),IF(AND($D354&gt;=1,MOD($D354,1)=0),"－",IF(MOD($D354,1)&lt;$L$6,"朝",IF(MOD($D354,1)&lt;$L$7,"昼",IF(MOD($D354,1)&lt;$L$8,"夕方","夜")))),IF(OR($D354="朝",$D354="昼",$D354="夕方",$D354="夜"),$D354,"⚠ 不明"))))</f>
        <v/>
      </c>
    </row>
    <row r="355" customFormat="false" ht="15" hidden="false" customHeight="false" outlineLevel="0" collapsed="false">
      <c r="A355" s="75"/>
      <c r="B355" s="76"/>
      <c r="C355" s="77"/>
      <c r="D355" s="78"/>
      <c r="E355" s="77"/>
      <c r="F355" s="76"/>
      <c r="G355" s="76"/>
      <c r="I355" s="79" t="str">
        <f aca="false">IF($B355="","",IF(ISNUMBER(MATCH($B355,日別データ!$B$13:$B$32,0)),"✔ OK","⚠ 未登録"))</f>
        <v/>
      </c>
      <c r="J355" s="80" t="str">
        <f aca="false">IF($B355="","",IF($D355="","－",IF(ISNUMBER($D355),IF(AND($D355&gt;=1,MOD($D355,1)=0),"－",IF(MOD($D355,1)&lt;$L$6,"朝",IF(MOD($D355,1)&lt;$L$7,"昼",IF(MOD($D355,1)&lt;$L$8,"夕方","夜")))),IF(OR($D355="朝",$D355="昼",$D355="夕方",$D355="夜"),$D355,"⚠ 不明"))))</f>
        <v/>
      </c>
    </row>
    <row r="356" customFormat="false" ht="15" hidden="false" customHeight="false" outlineLevel="0" collapsed="false">
      <c r="A356" s="75"/>
      <c r="B356" s="76"/>
      <c r="C356" s="77"/>
      <c r="D356" s="78"/>
      <c r="E356" s="77"/>
      <c r="F356" s="76"/>
      <c r="G356" s="76"/>
      <c r="I356" s="79" t="str">
        <f aca="false">IF($B356="","",IF(ISNUMBER(MATCH($B356,日別データ!$B$13:$B$32,0)),"✔ OK","⚠ 未登録"))</f>
        <v/>
      </c>
      <c r="J356" s="80" t="str">
        <f aca="false">IF($B356="","",IF($D356="","－",IF(ISNUMBER($D356),IF(AND($D356&gt;=1,MOD($D356,1)=0),"－",IF(MOD($D356,1)&lt;$L$6,"朝",IF(MOD($D356,1)&lt;$L$7,"昼",IF(MOD($D356,1)&lt;$L$8,"夕方","夜")))),IF(OR($D356="朝",$D356="昼",$D356="夕方",$D356="夜"),$D356,"⚠ 不明"))))</f>
        <v/>
      </c>
    </row>
    <row r="357" customFormat="false" ht="15" hidden="false" customHeight="false" outlineLevel="0" collapsed="false">
      <c r="A357" s="75"/>
      <c r="B357" s="76"/>
      <c r="C357" s="77"/>
      <c r="D357" s="78"/>
      <c r="E357" s="77"/>
      <c r="F357" s="76"/>
      <c r="G357" s="76"/>
      <c r="I357" s="79" t="str">
        <f aca="false">IF($B357="","",IF(ISNUMBER(MATCH($B357,日別データ!$B$13:$B$32,0)),"✔ OK","⚠ 未登録"))</f>
        <v/>
      </c>
      <c r="J357" s="80" t="str">
        <f aca="false">IF($B357="","",IF($D357="","－",IF(ISNUMBER($D357),IF(AND($D357&gt;=1,MOD($D357,1)=0),"－",IF(MOD($D357,1)&lt;$L$6,"朝",IF(MOD($D357,1)&lt;$L$7,"昼",IF(MOD($D357,1)&lt;$L$8,"夕方","夜")))),IF(OR($D357="朝",$D357="昼",$D357="夕方",$D357="夜"),$D357,"⚠ 不明"))))</f>
        <v/>
      </c>
    </row>
    <row r="358" customFormat="false" ht="15" hidden="false" customHeight="false" outlineLevel="0" collapsed="false">
      <c r="A358" s="75"/>
      <c r="B358" s="76"/>
      <c r="C358" s="77"/>
      <c r="D358" s="78"/>
      <c r="E358" s="77"/>
      <c r="F358" s="76"/>
      <c r="G358" s="76"/>
      <c r="I358" s="79" t="str">
        <f aca="false">IF($B358="","",IF(ISNUMBER(MATCH($B358,日別データ!$B$13:$B$32,0)),"✔ OK","⚠ 未登録"))</f>
        <v/>
      </c>
      <c r="J358" s="80" t="str">
        <f aca="false">IF($B358="","",IF($D358="","－",IF(ISNUMBER($D358),IF(AND($D358&gt;=1,MOD($D358,1)=0),"－",IF(MOD($D358,1)&lt;$L$6,"朝",IF(MOD($D358,1)&lt;$L$7,"昼",IF(MOD($D358,1)&lt;$L$8,"夕方","夜")))),IF(OR($D358="朝",$D358="昼",$D358="夕方",$D358="夜"),$D358,"⚠ 不明"))))</f>
        <v/>
      </c>
    </row>
    <row r="359" customFormat="false" ht="15" hidden="false" customHeight="false" outlineLevel="0" collapsed="false">
      <c r="A359" s="75"/>
      <c r="B359" s="76"/>
      <c r="C359" s="77"/>
      <c r="D359" s="78"/>
      <c r="E359" s="77"/>
      <c r="F359" s="76"/>
      <c r="G359" s="76"/>
      <c r="I359" s="79" t="str">
        <f aca="false">IF($B359="","",IF(ISNUMBER(MATCH($B359,日別データ!$B$13:$B$32,0)),"✔ OK","⚠ 未登録"))</f>
        <v/>
      </c>
      <c r="J359" s="80" t="str">
        <f aca="false">IF($B359="","",IF($D359="","－",IF(ISNUMBER($D359),IF(AND($D359&gt;=1,MOD($D359,1)=0),"－",IF(MOD($D359,1)&lt;$L$6,"朝",IF(MOD($D359,1)&lt;$L$7,"昼",IF(MOD($D359,1)&lt;$L$8,"夕方","夜")))),IF(OR($D359="朝",$D359="昼",$D359="夕方",$D359="夜"),$D359,"⚠ 不明"))))</f>
        <v/>
      </c>
    </row>
    <row r="360" customFormat="false" ht="15" hidden="false" customHeight="false" outlineLevel="0" collapsed="false">
      <c r="A360" s="75"/>
      <c r="B360" s="76"/>
      <c r="C360" s="77"/>
      <c r="D360" s="78"/>
      <c r="E360" s="77"/>
      <c r="F360" s="76"/>
      <c r="G360" s="76"/>
      <c r="I360" s="79" t="str">
        <f aca="false">IF($B360="","",IF(ISNUMBER(MATCH($B360,日別データ!$B$13:$B$32,0)),"✔ OK","⚠ 未登録"))</f>
        <v/>
      </c>
      <c r="J360" s="80" t="str">
        <f aca="false">IF($B360="","",IF($D360="","－",IF(ISNUMBER($D360),IF(AND($D360&gt;=1,MOD($D360,1)=0),"－",IF(MOD($D360,1)&lt;$L$6,"朝",IF(MOD($D360,1)&lt;$L$7,"昼",IF(MOD($D360,1)&lt;$L$8,"夕方","夜")))),IF(OR($D360="朝",$D360="昼",$D360="夕方",$D360="夜"),$D360,"⚠ 不明"))))</f>
        <v/>
      </c>
    </row>
    <row r="361" customFormat="false" ht="15" hidden="false" customHeight="false" outlineLevel="0" collapsed="false">
      <c r="A361" s="75"/>
      <c r="B361" s="76"/>
      <c r="C361" s="77"/>
      <c r="D361" s="78"/>
      <c r="E361" s="77"/>
      <c r="F361" s="76"/>
      <c r="G361" s="76"/>
      <c r="I361" s="79" t="str">
        <f aca="false">IF($B361="","",IF(ISNUMBER(MATCH($B361,日別データ!$B$13:$B$32,0)),"✔ OK","⚠ 未登録"))</f>
        <v/>
      </c>
      <c r="J361" s="80" t="str">
        <f aca="false">IF($B361="","",IF($D361="","－",IF(ISNUMBER($D361),IF(AND($D361&gt;=1,MOD($D361,1)=0),"－",IF(MOD($D361,1)&lt;$L$6,"朝",IF(MOD($D361,1)&lt;$L$7,"昼",IF(MOD($D361,1)&lt;$L$8,"夕方","夜")))),IF(OR($D361="朝",$D361="昼",$D361="夕方",$D361="夜"),$D361,"⚠ 不明"))))</f>
        <v/>
      </c>
    </row>
    <row r="362" customFormat="false" ht="15" hidden="false" customHeight="false" outlineLevel="0" collapsed="false">
      <c r="A362" s="75"/>
      <c r="B362" s="76"/>
      <c r="C362" s="77"/>
      <c r="D362" s="78"/>
      <c r="E362" s="77"/>
      <c r="F362" s="76"/>
      <c r="G362" s="76"/>
      <c r="I362" s="79" t="str">
        <f aca="false">IF($B362="","",IF(ISNUMBER(MATCH($B362,日別データ!$B$13:$B$32,0)),"✔ OK","⚠ 未登録"))</f>
        <v/>
      </c>
      <c r="J362" s="80" t="str">
        <f aca="false">IF($B362="","",IF($D362="","－",IF(ISNUMBER($D362),IF(AND($D362&gt;=1,MOD($D362,1)=0),"－",IF(MOD($D362,1)&lt;$L$6,"朝",IF(MOD($D362,1)&lt;$L$7,"昼",IF(MOD($D362,1)&lt;$L$8,"夕方","夜")))),IF(OR($D362="朝",$D362="昼",$D362="夕方",$D362="夜"),$D362,"⚠ 不明"))))</f>
        <v/>
      </c>
    </row>
    <row r="363" customFormat="false" ht="15" hidden="false" customHeight="false" outlineLevel="0" collapsed="false">
      <c r="A363" s="75"/>
      <c r="B363" s="76"/>
      <c r="C363" s="77"/>
      <c r="D363" s="78"/>
      <c r="E363" s="77"/>
      <c r="F363" s="76"/>
      <c r="G363" s="76"/>
      <c r="I363" s="79" t="str">
        <f aca="false">IF($B363="","",IF(ISNUMBER(MATCH($B363,日別データ!$B$13:$B$32,0)),"✔ OK","⚠ 未登録"))</f>
        <v/>
      </c>
      <c r="J363" s="80" t="str">
        <f aca="false">IF($B363="","",IF($D363="","－",IF(ISNUMBER($D363),IF(AND($D363&gt;=1,MOD($D363,1)=0),"－",IF(MOD($D363,1)&lt;$L$6,"朝",IF(MOD($D363,1)&lt;$L$7,"昼",IF(MOD($D363,1)&lt;$L$8,"夕方","夜")))),IF(OR($D363="朝",$D363="昼",$D363="夕方",$D363="夜"),$D363,"⚠ 不明"))))</f>
        <v/>
      </c>
    </row>
    <row r="364" customFormat="false" ht="15" hidden="false" customHeight="false" outlineLevel="0" collapsed="false">
      <c r="A364" s="75"/>
      <c r="B364" s="76"/>
      <c r="C364" s="77"/>
      <c r="D364" s="78"/>
      <c r="E364" s="77"/>
      <c r="F364" s="76"/>
      <c r="G364" s="76"/>
      <c r="I364" s="79" t="str">
        <f aca="false">IF($B364="","",IF(ISNUMBER(MATCH($B364,日別データ!$B$13:$B$32,0)),"✔ OK","⚠ 未登録"))</f>
        <v/>
      </c>
      <c r="J364" s="80" t="str">
        <f aca="false">IF($B364="","",IF($D364="","－",IF(ISNUMBER($D364),IF(AND($D364&gt;=1,MOD($D364,1)=0),"－",IF(MOD($D364,1)&lt;$L$6,"朝",IF(MOD($D364,1)&lt;$L$7,"昼",IF(MOD($D364,1)&lt;$L$8,"夕方","夜")))),IF(OR($D364="朝",$D364="昼",$D364="夕方",$D364="夜"),$D364,"⚠ 不明"))))</f>
        <v/>
      </c>
    </row>
    <row r="365" customFormat="false" ht="15" hidden="false" customHeight="false" outlineLevel="0" collapsed="false">
      <c r="A365" s="75"/>
      <c r="B365" s="76"/>
      <c r="C365" s="77"/>
      <c r="D365" s="78"/>
      <c r="E365" s="77"/>
      <c r="F365" s="76"/>
      <c r="G365" s="76"/>
      <c r="I365" s="79" t="str">
        <f aca="false">IF($B365="","",IF(ISNUMBER(MATCH($B365,日別データ!$B$13:$B$32,0)),"✔ OK","⚠ 未登録"))</f>
        <v/>
      </c>
      <c r="J365" s="80" t="str">
        <f aca="false">IF($B365="","",IF($D365="","－",IF(ISNUMBER($D365),IF(AND($D365&gt;=1,MOD($D365,1)=0),"－",IF(MOD($D365,1)&lt;$L$6,"朝",IF(MOD($D365,1)&lt;$L$7,"昼",IF(MOD($D365,1)&lt;$L$8,"夕方","夜")))),IF(OR($D365="朝",$D365="昼",$D365="夕方",$D365="夜"),$D365,"⚠ 不明"))))</f>
        <v/>
      </c>
    </row>
    <row r="366" customFormat="false" ht="15" hidden="false" customHeight="false" outlineLevel="0" collapsed="false">
      <c r="A366" s="75"/>
      <c r="B366" s="76"/>
      <c r="C366" s="77"/>
      <c r="D366" s="78"/>
      <c r="E366" s="77"/>
      <c r="F366" s="76"/>
      <c r="G366" s="76"/>
      <c r="I366" s="79" t="str">
        <f aca="false">IF($B366="","",IF(ISNUMBER(MATCH($B366,日別データ!$B$13:$B$32,0)),"✔ OK","⚠ 未登録"))</f>
        <v/>
      </c>
      <c r="J366" s="80" t="str">
        <f aca="false">IF($B366="","",IF($D366="","－",IF(ISNUMBER($D366),IF(AND($D366&gt;=1,MOD($D366,1)=0),"－",IF(MOD($D366,1)&lt;$L$6,"朝",IF(MOD($D366,1)&lt;$L$7,"昼",IF(MOD($D366,1)&lt;$L$8,"夕方","夜")))),IF(OR($D366="朝",$D366="昼",$D366="夕方",$D366="夜"),$D366,"⚠ 不明"))))</f>
        <v/>
      </c>
    </row>
    <row r="367" customFormat="false" ht="15" hidden="false" customHeight="false" outlineLevel="0" collapsed="false">
      <c r="A367" s="75"/>
      <c r="B367" s="76"/>
      <c r="C367" s="77"/>
      <c r="D367" s="78"/>
      <c r="E367" s="77"/>
      <c r="F367" s="76"/>
      <c r="G367" s="76"/>
      <c r="I367" s="79" t="str">
        <f aca="false">IF($B367="","",IF(ISNUMBER(MATCH($B367,日別データ!$B$13:$B$32,0)),"✔ OK","⚠ 未登録"))</f>
        <v/>
      </c>
      <c r="J367" s="80" t="str">
        <f aca="false">IF($B367="","",IF($D367="","－",IF(ISNUMBER($D367),IF(AND($D367&gt;=1,MOD($D367,1)=0),"－",IF(MOD($D367,1)&lt;$L$6,"朝",IF(MOD($D367,1)&lt;$L$7,"昼",IF(MOD($D367,1)&lt;$L$8,"夕方","夜")))),IF(OR($D367="朝",$D367="昼",$D367="夕方",$D367="夜"),$D367,"⚠ 不明"))))</f>
        <v/>
      </c>
    </row>
    <row r="368" customFormat="false" ht="15" hidden="false" customHeight="false" outlineLevel="0" collapsed="false">
      <c r="A368" s="75"/>
      <c r="B368" s="76"/>
      <c r="C368" s="77"/>
      <c r="D368" s="78"/>
      <c r="E368" s="77"/>
      <c r="F368" s="76"/>
      <c r="G368" s="76"/>
      <c r="I368" s="79" t="str">
        <f aca="false">IF($B368="","",IF(ISNUMBER(MATCH($B368,日別データ!$B$13:$B$32,0)),"✔ OK","⚠ 未登録"))</f>
        <v/>
      </c>
      <c r="J368" s="80" t="str">
        <f aca="false">IF($B368="","",IF($D368="","－",IF(ISNUMBER($D368),IF(AND($D368&gt;=1,MOD($D368,1)=0),"－",IF(MOD($D368,1)&lt;$L$6,"朝",IF(MOD($D368,1)&lt;$L$7,"昼",IF(MOD($D368,1)&lt;$L$8,"夕方","夜")))),IF(OR($D368="朝",$D368="昼",$D368="夕方",$D368="夜"),$D368,"⚠ 不明"))))</f>
        <v/>
      </c>
    </row>
    <row r="369" customFormat="false" ht="15" hidden="false" customHeight="false" outlineLevel="0" collapsed="false">
      <c r="A369" s="75"/>
      <c r="B369" s="76"/>
      <c r="C369" s="77"/>
      <c r="D369" s="78"/>
      <c r="E369" s="77"/>
      <c r="F369" s="76"/>
      <c r="G369" s="76"/>
      <c r="I369" s="79" t="str">
        <f aca="false">IF($B369="","",IF(ISNUMBER(MATCH($B369,日別データ!$B$13:$B$32,0)),"✔ OK","⚠ 未登録"))</f>
        <v/>
      </c>
      <c r="J369" s="80" t="str">
        <f aca="false">IF($B369="","",IF($D369="","－",IF(ISNUMBER($D369),IF(AND($D369&gt;=1,MOD($D369,1)=0),"－",IF(MOD($D369,1)&lt;$L$6,"朝",IF(MOD($D369,1)&lt;$L$7,"昼",IF(MOD($D369,1)&lt;$L$8,"夕方","夜")))),IF(OR($D369="朝",$D369="昼",$D369="夕方",$D369="夜"),$D369,"⚠ 不明"))))</f>
        <v/>
      </c>
    </row>
    <row r="370" customFormat="false" ht="15" hidden="false" customHeight="false" outlineLevel="0" collapsed="false">
      <c r="A370" s="75"/>
      <c r="B370" s="76"/>
      <c r="C370" s="77"/>
      <c r="D370" s="78"/>
      <c r="E370" s="77"/>
      <c r="F370" s="76"/>
      <c r="G370" s="76"/>
      <c r="I370" s="79" t="str">
        <f aca="false">IF($B370="","",IF(ISNUMBER(MATCH($B370,日別データ!$B$13:$B$32,0)),"✔ OK","⚠ 未登録"))</f>
        <v/>
      </c>
      <c r="J370" s="80" t="str">
        <f aca="false">IF($B370="","",IF($D370="","－",IF(ISNUMBER($D370),IF(AND($D370&gt;=1,MOD($D370,1)=0),"－",IF(MOD($D370,1)&lt;$L$6,"朝",IF(MOD($D370,1)&lt;$L$7,"昼",IF(MOD($D370,1)&lt;$L$8,"夕方","夜")))),IF(OR($D370="朝",$D370="昼",$D370="夕方",$D370="夜"),$D370,"⚠ 不明"))))</f>
        <v/>
      </c>
    </row>
    <row r="371" customFormat="false" ht="15" hidden="false" customHeight="false" outlineLevel="0" collapsed="false">
      <c r="A371" s="75"/>
      <c r="B371" s="76"/>
      <c r="C371" s="77"/>
      <c r="D371" s="78"/>
      <c r="E371" s="77"/>
      <c r="F371" s="76"/>
      <c r="G371" s="76"/>
      <c r="I371" s="79" t="str">
        <f aca="false">IF($B371="","",IF(ISNUMBER(MATCH($B371,日別データ!$B$13:$B$32,0)),"✔ OK","⚠ 未登録"))</f>
        <v/>
      </c>
      <c r="J371" s="80" t="str">
        <f aca="false">IF($B371="","",IF($D371="","－",IF(ISNUMBER($D371),IF(AND($D371&gt;=1,MOD($D371,1)=0),"－",IF(MOD($D371,1)&lt;$L$6,"朝",IF(MOD($D371,1)&lt;$L$7,"昼",IF(MOD($D371,1)&lt;$L$8,"夕方","夜")))),IF(OR($D371="朝",$D371="昼",$D371="夕方",$D371="夜"),$D371,"⚠ 不明"))))</f>
        <v/>
      </c>
    </row>
    <row r="372" customFormat="false" ht="15" hidden="false" customHeight="false" outlineLevel="0" collapsed="false">
      <c r="A372" s="75"/>
      <c r="B372" s="76"/>
      <c r="C372" s="77"/>
      <c r="D372" s="78"/>
      <c r="E372" s="77"/>
      <c r="F372" s="76"/>
      <c r="G372" s="76"/>
      <c r="I372" s="79" t="str">
        <f aca="false">IF($B372="","",IF(ISNUMBER(MATCH($B372,日別データ!$B$13:$B$32,0)),"✔ OK","⚠ 未登録"))</f>
        <v/>
      </c>
      <c r="J372" s="80" t="str">
        <f aca="false">IF($B372="","",IF($D372="","－",IF(ISNUMBER($D372),IF(AND($D372&gt;=1,MOD($D372,1)=0),"－",IF(MOD($D372,1)&lt;$L$6,"朝",IF(MOD($D372,1)&lt;$L$7,"昼",IF(MOD($D372,1)&lt;$L$8,"夕方","夜")))),IF(OR($D372="朝",$D372="昼",$D372="夕方",$D372="夜"),$D372,"⚠ 不明"))))</f>
        <v/>
      </c>
    </row>
    <row r="373" customFormat="false" ht="15" hidden="false" customHeight="false" outlineLevel="0" collapsed="false">
      <c r="A373" s="75"/>
      <c r="B373" s="76"/>
      <c r="C373" s="77"/>
      <c r="D373" s="78"/>
      <c r="E373" s="77"/>
      <c r="F373" s="76"/>
      <c r="G373" s="76"/>
      <c r="I373" s="79" t="str">
        <f aca="false">IF($B373="","",IF(ISNUMBER(MATCH($B373,日別データ!$B$13:$B$32,0)),"✔ OK","⚠ 未登録"))</f>
        <v/>
      </c>
      <c r="J373" s="80" t="str">
        <f aca="false">IF($B373="","",IF($D373="","－",IF(ISNUMBER($D373),IF(AND($D373&gt;=1,MOD($D373,1)=0),"－",IF(MOD($D373,1)&lt;$L$6,"朝",IF(MOD($D373,1)&lt;$L$7,"昼",IF(MOD($D373,1)&lt;$L$8,"夕方","夜")))),IF(OR($D373="朝",$D373="昼",$D373="夕方",$D373="夜"),$D373,"⚠ 不明"))))</f>
        <v/>
      </c>
    </row>
    <row r="374" customFormat="false" ht="15" hidden="false" customHeight="false" outlineLevel="0" collapsed="false">
      <c r="A374" s="75"/>
      <c r="B374" s="76"/>
      <c r="C374" s="77"/>
      <c r="D374" s="78"/>
      <c r="E374" s="77"/>
      <c r="F374" s="76"/>
      <c r="G374" s="76"/>
      <c r="I374" s="79" t="str">
        <f aca="false">IF($B374="","",IF(ISNUMBER(MATCH($B374,日別データ!$B$13:$B$32,0)),"✔ OK","⚠ 未登録"))</f>
        <v/>
      </c>
      <c r="J374" s="80" t="str">
        <f aca="false">IF($B374="","",IF($D374="","－",IF(ISNUMBER($D374),IF(AND($D374&gt;=1,MOD($D374,1)=0),"－",IF(MOD($D374,1)&lt;$L$6,"朝",IF(MOD($D374,1)&lt;$L$7,"昼",IF(MOD($D374,1)&lt;$L$8,"夕方","夜")))),IF(OR($D374="朝",$D374="昼",$D374="夕方",$D374="夜"),$D374,"⚠ 不明"))))</f>
        <v/>
      </c>
    </row>
    <row r="375" customFormat="false" ht="15" hidden="false" customHeight="false" outlineLevel="0" collapsed="false">
      <c r="A375" s="75"/>
      <c r="B375" s="76"/>
      <c r="C375" s="77"/>
      <c r="D375" s="78"/>
      <c r="E375" s="77"/>
      <c r="F375" s="76"/>
      <c r="G375" s="76"/>
      <c r="I375" s="79" t="str">
        <f aca="false">IF($B375="","",IF(ISNUMBER(MATCH($B375,日別データ!$B$13:$B$32,0)),"✔ OK","⚠ 未登録"))</f>
        <v/>
      </c>
      <c r="J375" s="80" t="str">
        <f aca="false">IF($B375="","",IF($D375="","－",IF(ISNUMBER($D375),IF(AND($D375&gt;=1,MOD($D375,1)=0),"－",IF(MOD($D375,1)&lt;$L$6,"朝",IF(MOD($D375,1)&lt;$L$7,"昼",IF(MOD($D375,1)&lt;$L$8,"夕方","夜")))),IF(OR($D375="朝",$D375="昼",$D375="夕方",$D375="夜"),$D375,"⚠ 不明"))))</f>
        <v/>
      </c>
    </row>
    <row r="376" customFormat="false" ht="15" hidden="false" customHeight="false" outlineLevel="0" collapsed="false">
      <c r="A376" s="75"/>
      <c r="B376" s="76"/>
      <c r="C376" s="77"/>
      <c r="D376" s="78"/>
      <c r="E376" s="77"/>
      <c r="F376" s="76"/>
      <c r="G376" s="76"/>
      <c r="I376" s="79" t="str">
        <f aca="false">IF($B376="","",IF(ISNUMBER(MATCH($B376,日別データ!$B$13:$B$32,0)),"✔ OK","⚠ 未登録"))</f>
        <v/>
      </c>
      <c r="J376" s="80" t="str">
        <f aca="false">IF($B376="","",IF($D376="","－",IF(ISNUMBER($D376),IF(AND($D376&gt;=1,MOD($D376,1)=0),"－",IF(MOD($D376,1)&lt;$L$6,"朝",IF(MOD($D376,1)&lt;$L$7,"昼",IF(MOD($D376,1)&lt;$L$8,"夕方","夜")))),IF(OR($D376="朝",$D376="昼",$D376="夕方",$D376="夜"),$D376,"⚠ 不明"))))</f>
        <v/>
      </c>
    </row>
    <row r="377" customFormat="false" ht="15" hidden="false" customHeight="false" outlineLevel="0" collapsed="false">
      <c r="A377" s="75"/>
      <c r="B377" s="76"/>
      <c r="C377" s="77"/>
      <c r="D377" s="78"/>
      <c r="E377" s="77"/>
      <c r="F377" s="76"/>
      <c r="G377" s="76"/>
      <c r="I377" s="79" t="str">
        <f aca="false">IF($B377="","",IF(ISNUMBER(MATCH($B377,日別データ!$B$13:$B$32,0)),"✔ OK","⚠ 未登録"))</f>
        <v/>
      </c>
      <c r="J377" s="80" t="str">
        <f aca="false">IF($B377="","",IF($D377="","－",IF(ISNUMBER($D377),IF(AND($D377&gt;=1,MOD($D377,1)=0),"－",IF(MOD($D377,1)&lt;$L$6,"朝",IF(MOD($D377,1)&lt;$L$7,"昼",IF(MOD($D377,1)&lt;$L$8,"夕方","夜")))),IF(OR($D377="朝",$D377="昼",$D377="夕方",$D377="夜"),$D377,"⚠ 不明"))))</f>
        <v/>
      </c>
    </row>
    <row r="378" customFormat="false" ht="15" hidden="false" customHeight="false" outlineLevel="0" collapsed="false">
      <c r="A378" s="75"/>
      <c r="B378" s="76"/>
      <c r="C378" s="77"/>
      <c r="D378" s="78"/>
      <c r="E378" s="77"/>
      <c r="F378" s="76"/>
      <c r="G378" s="76"/>
      <c r="I378" s="79" t="str">
        <f aca="false">IF($B378="","",IF(ISNUMBER(MATCH($B378,日別データ!$B$13:$B$32,0)),"✔ OK","⚠ 未登録"))</f>
        <v/>
      </c>
      <c r="J378" s="80" t="str">
        <f aca="false">IF($B378="","",IF($D378="","－",IF(ISNUMBER($D378),IF(AND($D378&gt;=1,MOD($D378,1)=0),"－",IF(MOD($D378,1)&lt;$L$6,"朝",IF(MOD($D378,1)&lt;$L$7,"昼",IF(MOD($D378,1)&lt;$L$8,"夕方","夜")))),IF(OR($D378="朝",$D378="昼",$D378="夕方",$D378="夜"),$D378,"⚠ 不明"))))</f>
        <v/>
      </c>
    </row>
    <row r="379" customFormat="false" ht="15" hidden="false" customHeight="false" outlineLevel="0" collapsed="false">
      <c r="A379" s="75"/>
      <c r="B379" s="76"/>
      <c r="C379" s="77"/>
      <c r="D379" s="78"/>
      <c r="E379" s="77"/>
      <c r="F379" s="76"/>
      <c r="G379" s="76"/>
      <c r="I379" s="79" t="str">
        <f aca="false">IF($B379="","",IF(ISNUMBER(MATCH($B379,日別データ!$B$13:$B$32,0)),"✔ OK","⚠ 未登録"))</f>
        <v/>
      </c>
      <c r="J379" s="80" t="str">
        <f aca="false">IF($B379="","",IF($D379="","－",IF(ISNUMBER($D379),IF(AND($D379&gt;=1,MOD($D379,1)=0),"－",IF(MOD($D379,1)&lt;$L$6,"朝",IF(MOD($D379,1)&lt;$L$7,"昼",IF(MOD($D379,1)&lt;$L$8,"夕方","夜")))),IF(OR($D379="朝",$D379="昼",$D379="夕方",$D379="夜"),$D379,"⚠ 不明"))))</f>
        <v/>
      </c>
    </row>
    <row r="380" customFormat="false" ht="15" hidden="false" customHeight="false" outlineLevel="0" collapsed="false">
      <c r="A380" s="75"/>
      <c r="B380" s="76"/>
      <c r="C380" s="77"/>
      <c r="D380" s="78"/>
      <c r="E380" s="77"/>
      <c r="F380" s="76"/>
      <c r="G380" s="76"/>
      <c r="I380" s="79" t="str">
        <f aca="false">IF($B380="","",IF(ISNUMBER(MATCH($B380,日別データ!$B$13:$B$32,0)),"✔ OK","⚠ 未登録"))</f>
        <v/>
      </c>
      <c r="J380" s="80" t="str">
        <f aca="false">IF($B380="","",IF($D380="","－",IF(ISNUMBER($D380),IF(AND($D380&gt;=1,MOD($D380,1)=0),"－",IF(MOD($D380,1)&lt;$L$6,"朝",IF(MOD($D380,1)&lt;$L$7,"昼",IF(MOD($D380,1)&lt;$L$8,"夕方","夜")))),IF(OR($D380="朝",$D380="昼",$D380="夕方",$D380="夜"),$D380,"⚠ 不明"))))</f>
        <v/>
      </c>
    </row>
    <row r="381" customFormat="false" ht="15" hidden="false" customHeight="false" outlineLevel="0" collapsed="false">
      <c r="A381" s="75"/>
      <c r="B381" s="76"/>
      <c r="C381" s="77"/>
      <c r="D381" s="78"/>
      <c r="E381" s="77"/>
      <c r="F381" s="76"/>
      <c r="G381" s="76"/>
      <c r="I381" s="79" t="str">
        <f aca="false">IF($B381="","",IF(ISNUMBER(MATCH($B381,日別データ!$B$13:$B$32,0)),"✔ OK","⚠ 未登録"))</f>
        <v/>
      </c>
      <c r="J381" s="80" t="str">
        <f aca="false">IF($B381="","",IF($D381="","－",IF(ISNUMBER($D381),IF(AND($D381&gt;=1,MOD($D381,1)=0),"－",IF(MOD($D381,1)&lt;$L$6,"朝",IF(MOD($D381,1)&lt;$L$7,"昼",IF(MOD($D381,1)&lt;$L$8,"夕方","夜")))),IF(OR($D381="朝",$D381="昼",$D381="夕方",$D381="夜"),$D381,"⚠ 不明"))))</f>
        <v/>
      </c>
    </row>
    <row r="382" customFormat="false" ht="15" hidden="false" customHeight="false" outlineLevel="0" collapsed="false">
      <c r="A382" s="75"/>
      <c r="B382" s="76"/>
      <c r="C382" s="77"/>
      <c r="D382" s="78"/>
      <c r="E382" s="77"/>
      <c r="F382" s="76"/>
      <c r="G382" s="76"/>
      <c r="I382" s="79" t="str">
        <f aca="false">IF($B382="","",IF(ISNUMBER(MATCH($B382,日別データ!$B$13:$B$32,0)),"✔ OK","⚠ 未登録"))</f>
        <v/>
      </c>
      <c r="J382" s="80" t="str">
        <f aca="false">IF($B382="","",IF($D382="","－",IF(ISNUMBER($D382),IF(AND($D382&gt;=1,MOD($D382,1)=0),"－",IF(MOD($D382,1)&lt;$L$6,"朝",IF(MOD($D382,1)&lt;$L$7,"昼",IF(MOD($D382,1)&lt;$L$8,"夕方","夜")))),IF(OR($D382="朝",$D382="昼",$D382="夕方",$D382="夜"),$D382,"⚠ 不明"))))</f>
        <v/>
      </c>
    </row>
    <row r="383" customFormat="false" ht="15" hidden="false" customHeight="false" outlineLevel="0" collapsed="false">
      <c r="A383" s="75"/>
      <c r="B383" s="76"/>
      <c r="C383" s="77"/>
      <c r="D383" s="78"/>
      <c r="E383" s="77"/>
      <c r="F383" s="76"/>
      <c r="G383" s="76"/>
      <c r="I383" s="79" t="str">
        <f aca="false">IF($B383="","",IF(ISNUMBER(MATCH($B383,日別データ!$B$13:$B$32,0)),"✔ OK","⚠ 未登録"))</f>
        <v/>
      </c>
      <c r="J383" s="80" t="str">
        <f aca="false">IF($B383="","",IF($D383="","－",IF(ISNUMBER($D383),IF(AND($D383&gt;=1,MOD($D383,1)=0),"－",IF(MOD($D383,1)&lt;$L$6,"朝",IF(MOD($D383,1)&lt;$L$7,"昼",IF(MOD($D383,1)&lt;$L$8,"夕方","夜")))),IF(OR($D383="朝",$D383="昼",$D383="夕方",$D383="夜"),$D383,"⚠ 不明"))))</f>
        <v/>
      </c>
    </row>
    <row r="384" customFormat="false" ht="15" hidden="false" customHeight="false" outlineLevel="0" collapsed="false">
      <c r="A384" s="75"/>
      <c r="B384" s="76"/>
      <c r="C384" s="77"/>
      <c r="D384" s="78"/>
      <c r="E384" s="77"/>
      <c r="F384" s="76"/>
      <c r="G384" s="76"/>
      <c r="I384" s="79" t="str">
        <f aca="false">IF($B384="","",IF(ISNUMBER(MATCH($B384,日別データ!$B$13:$B$32,0)),"✔ OK","⚠ 未登録"))</f>
        <v/>
      </c>
      <c r="J384" s="80" t="str">
        <f aca="false">IF($B384="","",IF($D384="","－",IF(ISNUMBER($D384),IF(AND($D384&gt;=1,MOD($D384,1)=0),"－",IF(MOD($D384,1)&lt;$L$6,"朝",IF(MOD($D384,1)&lt;$L$7,"昼",IF(MOD($D384,1)&lt;$L$8,"夕方","夜")))),IF(OR($D384="朝",$D384="昼",$D384="夕方",$D384="夜"),$D384,"⚠ 不明"))))</f>
        <v/>
      </c>
    </row>
    <row r="385" customFormat="false" ht="15" hidden="false" customHeight="false" outlineLevel="0" collapsed="false">
      <c r="A385" s="75"/>
      <c r="B385" s="76"/>
      <c r="C385" s="77"/>
      <c r="D385" s="78"/>
      <c r="E385" s="77"/>
      <c r="F385" s="76"/>
      <c r="G385" s="76"/>
      <c r="I385" s="79" t="str">
        <f aca="false">IF($B385="","",IF(ISNUMBER(MATCH($B385,日別データ!$B$13:$B$32,0)),"✔ OK","⚠ 未登録"))</f>
        <v/>
      </c>
      <c r="J385" s="80" t="str">
        <f aca="false">IF($B385="","",IF($D385="","－",IF(ISNUMBER($D385),IF(AND($D385&gt;=1,MOD($D385,1)=0),"－",IF(MOD($D385,1)&lt;$L$6,"朝",IF(MOD($D385,1)&lt;$L$7,"昼",IF(MOD($D385,1)&lt;$L$8,"夕方","夜")))),IF(OR($D385="朝",$D385="昼",$D385="夕方",$D385="夜"),$D385,"⚠ 不明"))))</f>
        <v/>
      </c>
    </row>
    <row r="386" customFormat="false" ht="15" hidden="false" customHeight="false" outlineLevel="0" collapsed="false">
      <c r="A386" s="75"/>
      <c r="B386" s="76"/>
      <c r="C386" s="77"/>
      <c r="D386" s="78"/>
      <c r="E386" s="77"/>
      <c r="F386" s="76"/>
      <c r="G386" s="76"/>
      <c r="I386" s="79" t="str">
        <f aca="false">IF($B386="","",IF(ISNUMBER(MATCH($B386,日別データ!$B$13:$B$32,0)),"✔ OK","⚠ 未登録"))</f>
        <v/>
      </c>
      <c r="J386" s="80" t="str">
        <f aca="false">IF($B386="","",IF($D386="","－",IF(ISNUMBER($D386),IF(AND($D386&gt;=1,MOD($D386,1)=0),"－",IF(MOD($D386,1)&lt;$L$6,"朝",IF(MOD($D386,1)&lt;$L$7,"昼",IF(MOD($D386,1)&lt;$L$8,"夕方","夜")))),IF(OR($D386="朝",$D386="昼",$D386="夕方",$D386="夜"),$D386,"⚠ 不明"))))</f>
        <v/>
      </c>
    </row>
    <row r="387" customFormat="false" ht="15" hidden="false" customHeight="false" outlineLevel="0" collapsed="false">
      <c r="A387" s="75"/>
      <c r="B387" s="76"/>
      <c r="C387" s="77"/>
      <c r="D387" s="78"/>
      <c r="E387" s="77"/>
      <c r="F387" s="76"/>
      <c r="G387" s="76"/>
      <c r="I387" s="79" t="str">
        <f aca="false">IF($B387="","",IF(ISNUMBER(MATCH($B387,日別データ!$B$13:$B$32,0)),"✔ OK","⚠ 未登録"))</f>
        <v/>
      </c>
      <c r="J387" s="80" t="str">
        <f aca="false">IF($B387="","",IF($D387="","－",IF(ISNUMBER($D387),IF(AND($D387&gt;=1,MOD($D387,1)=0),"－",IF(MOD($D387,1)&lt;$L$6,"朝",IF(MOD($D387,1)&lt;$L$7,"昼",IF(MOD($D387,1)&lt;$L$8,"夕方","夜")))),IF(OR($D387="朝",$D387="昼",$D387="夕方",$D387="夜"),$D387,"⚠ 不明"))))</f>
        <v/>
      </c>
    </row>
    <row r="388" customFormat="false" ht="15" hidden="false" customHeight="false" outlineLevel="0" collapsed="false">
      <c r="A388" s="75"/>
      <c r="B388" s="76"/>
      <c r="C388" s="77"/>
      <c r="D388" s="78"/>
      <c r="E388" s="77"/>
      <c r="F388" s="76"/>
      <c r="G388" s="76"/>
      <c r="I388" s="79" t="str">
        <f aca="false">IF($B388="","",IF(ISNUMBER(MATCH($B388,日別データ!$B$13:$B$32,0)),"✔ OK","⚠ 未登録"))</f>
        <v/>
      </c>
      <c r="J388" s="80" t="str">
        <f aca="false">IF($B388="","",IF($D388="","－",IF(ISNUMBER($D388),IF(AND($D388&gt;=1,MOD($D388,1)=0),"－",IF(MOD($D388,1)&lt;$L$6,"朝",IF(MOD($D388,1)&lt;$L$7,"昼",IF(MOD($D388,1)&lt;$L$8,"夕方","夜")))),IF(OR($D388="朝",$D388="昼",$D388="夕方",$D388="夜"),$D388,"⚠ 不明"))))</f>
        <v/>
      </c>
    </row>
    <row r="389" customFormat="false" ht="15" hidden="false" customHeight="false" outlineLevel="0" collapsed="false">
      <c r="A389" s="75"/>
      <c r="B389" s="76"/>
      <c r="C389" s="77"/>
      <c r="D389" s="78"/>
      <c r="E389" s="77"/>
      <c r="F389" s="76"/>
      <c r="G389" s="76"/>
      <c r="I389" s="79" t="str">
        <f aca="false">IF($B389="","",IF(ISNUMBER(MATCH($B389,日別データ!$B$13:$B$32,0)),"✔ OK","⚠ 未登録"))</f>
        <v/>
      </c>
      <c r="J389" s="80" t="str">
        <f aca="false">IF($B389="","",IF($D389="","－",IF(ISNUMBER($D389),IF(AND($D389&gt;=1,MOD($D389,1)=0),"－",IF(MOD($D389,1)&lt;$L$6,"朝",IF(MOD($D389,1)&lt;$L$7,"昼",IF(MOD($D389,1)&lt;$L$8,"夕方","夜")))),IF(OR($D389="朝",$D389="昼",$D389="夕方",$D389="夜"),$D389,"⚠ 不明"))))</f>
        <v/>
      </c>
    </row>
    <row r="390" customFormat="false" ht="15" hidden="false" customHeight="false" outlineLevel="0" collapsed="false">
      <c r="A390" s="75"/>
      <c r="B390" s="76"/>
      <c r="C390" s="77"/>
      <c r="D390" s="78"/>
      <c r="E390" s="77"/>
      <c r="F390" s="76"/>
      <c r="G390" s="76"/>
      <c r="I390" s="79" t="str">
        <f aca="false">IF($B390="","",IF(ISNUMBER(MATCH($B390,日別データ!$B$13:$B$32,0)),"✔ OK","⚠ 未登録"))</f>
        <v/>
      </c>
      <c r="J390" s="80" t="str">
        <f aca="false">IF($B390="","",IF($D390="","－",IF(ISNUMBER($D390),IF(AND($D390&gt;=1,MOD($D390,1)=0),"－",IF(MOD($D390,1)&lt;$L$6,"朝",IF(MOD($D390,1)&lt;$L$7,"昼",IF(MOD($D390,1)&lt;$L$8,"夕方","夜")))),IF(OR($D390="朝",$D390="昼",$D390="夕方",$D390="夜"),$D390,"⚠ 不明"))))</f>
        <v/>
      </c>
    </row>
    <row r="391" customFormat="false" ht="15" hidden="false" customHeight="false" outlineLevel="0" collapsed="false">
      <c r="A391" s="75"/>
      <c r="B391" s="76"/>
      <c r="C391" s="77"/>
      <c r="D391" s="78"/>
      <c r="E391" s="77"/>
      <c r="F391" s="76"/>
      <c r="G391" s="76"/>
      <c r="I391" s="79" t="str">
        <f aca="false">IF($B391="","",IF(ISNUMBER(MATCH($B391,日別データ!$B$13:$B$32,0)),"✔ OK","⚠ 未登録"))</f>
        <v/>
      </c>
      <c r="J391" s="80" t="str">
        <f aca="false">IF($B391="","",IF($D391="","－",IF(ISNUMBER($D391),IF(AND($D391&gt;=1,MOD($D391,1)=0),"－",IF(MOD($D391,1)&lt;$L$6,"朝",IF(MOD($D391,1)&lt;$L$7,"昼",IF(MOD($D391,1)&lt;$L$8,"夕方","夜")))),IF(OR($D391="朝",$D391="昼",$D391="夕方",$D391="夜"),$D391,"⚠ 不明"))))</f>
        <v/>
      </c>
    </row>
    <row r="392" customFormat="false" ht="15" hidden="false" customHeight="false" outlineLevel="0" collapsed="false">
      <c r="A392" s="75"/>
      <c r="B392" s="76"/>
      <c r="C392" s="77"/>
      <c r="D392" s="78"/>
      <c r="E392" s="77"/>
      <c r="F392" s="76"/>
      <c r="G392" s="76"/>
      <c r="I392" s="79" t="str">
        <f aca="false">IF($B392="","",IF(ISNUMBER(MATCH($B392,日別データ!$B$13:$B$32,0)),"✔ OK","⚠ 未登録"))</f>
        <v/>
      </c>
      <c r="J392" s="80" t="str">
        <f aca="false">IF($B392="","",IF($D392="","－",IF(ISNUMBER($D392),IF(AND($D392&gt;=1,MOD($D392,1)=0),"－",IF(MOD($D392,1)&lt;$L$6,"朝",IF(MOD($D392,1)&lt;$L$7,"昼",IF(MOD($D392,1)&lt;$L$8,"夕方","夜")))),IF(OR($D392="朝",$D392="昼",$D392="夕方",$D392="夜"),$D392,"⚠ 不明"))))</f>
        <v/>
      </c>
    </row>
    <row r="393" customFormat="false" ht="15" hidden="false" customHeight="false" outlineLevel="0" collapsed="false">
      <c r="A393" s="75"/>
      <c r="B393" s="76"/>
      <c r="C393" s="77"/>
      <c r="D393" s="78"/>
      <c r="E393" s="77"/>
      <c r="F393" s="76"/>
      <c r="G393" s="76"/>
      <c r="I393" s="79" t="str">
        <f aca="false">IF($B393="","",IF(ISNUMBER(MATCH($B393,日別データ!$B$13:$B$32,0)),"✔ OK","⚠ 未登録"))</f>
        <v/>
      </c>
      <c r="J393" s="80" t="str">
        <f aca="false">IF($B393="","",IF($D393="","－",IF(ISNUMBER($D393),IF(AND($D393&gt;=1,MOD($D393,1)=0),"－",IF(MOD($D393,1)&lt;$L$6,"朝",IF(MOD($D393,1)&lt;$L$7,"昼",IF(MOD($D393,1)&lt;$L$8,"夕方","夜")))),IF(OR($D393="朝",$D393="昼",$D393="夕方",$D393="夜"),$D393,"⚠ 不明"))))</f>
        <v/>
      </c>
    </row>
    <row r="394" customFormat="false" ht="15" hidden="false" customHeight="false" outlineLevel="0" collapsed="false">
      <c r="A394" s="75"/>
      <c r="B394" s="76"/>
      <c r="C394" s="77"/>
      <c r="D394" s="78"/>
      <c r="E394" s="77"/>
      <c r="F394" s="76"/>
      <c r="G394" s="76"/>
      <c r="I394" s="79" t="str">
        <f aca="false">IF($B394="","",IF(ISNUMBER(MATCH($B394,日別データ!$B$13:$B$32,0)),"✔ OK","⚠ 未登録"))</f>
        <v/>
      </c>
      <c r="J394" s="80" t="str">
        <f aca="false">IF($B394="","",IF($D394="","－",IF(ISNUMBER($D394),IF(AND($D394&gt;=1,MOD($D394,1)=0),"－",IF(MOD($D394,1)&lt;$L$6,"朝",IF(MOD($D394,1)&lt;$L$7,"昼",IF(MOD($D394,1)&lt;$L$8,"夕方","夜")))),IF(OR($D394="朝",$D394="昼",$D394="夕方",$D394="夜"),$D394,"⚠ 不明"))))</f>
        <v/>
      </c>
    </row>
    <row r="395" customFormat="false" ht="15" hidden="false" customHeight="false" outlineLevel="0" collapsed="false">
      <c r="A395" s="75"/>
      <c r="B395" s="76"/>
      <c r="C395" s="77"/>
      <c r="D395" s="78"/>
      <c r="E395" s="77"/>
      <c r="F395" s="76"/>
      <c r="G395" s="76"/>
      <c r="I395" s="79" t="str">
        <f aca="false">IF($B395="","",IF(ISNUMBER(MATCH($B395,日別データ!$B$13:$B$32,0)),"✔ OK","⚠ 未登録"))</f>
        <v/>
      </c>
      <c r="J395" s="80" t="str">
        <f aca="false">IF($B395="","",IF($D395="","－",IF(ISNUMBER($D395),IF(AND($D395&gt;=1,MOD($D395,1)=0),"－",IF(MOD($D395,1)&lt;$L$6,"朝",IF(MOD($D395,1)&lt;$L$7,"昼",IF(MOD($D395,1)&lt;$L$8,"夕方","夜")))),IF(OR($D395="朝",$D395="昼",$D395="夕方",$D395="夜"),$D395,"⚠ 不明"))))</f>
        <v/>
      </c>
    </row>
    <row r="396" customFormat="false" ht="15" hidden="false" customHeight="false" outlineLevel="0" collapsed="false">
      <c r="A396" s="75"/>
      <c r="B396" s="76"/>
      <c r="C396" s="77"/>
      <c r="D396" s="78"/>
      <c r="E396" s="77"/>
      <c r="F396" s="76"/>
      <c r="G396" s="76"/>
      <c r="I396" s="79" t="str">
        <f aca="false">IF($B396="","",IF(ISNUMBER(MATCH($B396,日別データ!$B$13:$B$32,0)),"✔ OK","⚠ 未登録"))</f>
        <v/>
      </c>
      <c r="J396" s="80" t="str">
        <f aca="false">IF($B396="","",IF($D396="","－",IF(ISNUMBER($D396),IF(AND($D396&gt;=1,MOD($D396,1)=0),"－",IF(MOD($D396,1)&lt;$L$6,"朝",IF(MOD($D396,1)&lt;$L$7,"昼",IF(MOD($D396,1)&lt;$L$8,"夕方","夜")))),IF(OR($D396="朝",$D396="昼",$D396="夕方",$D396="夜"),$D396,"⚠ 不明"))))</f>
        <v/>
      </c>
    </row>
    <row r="397" customFormat="false" ht="15" hidden="false" customHeight="false" outlineLevel="0" collapsed="false">
      <c r="A397" s="75"/>
      <c r="B397" s="76"/>
      <c r="C397" s="77"/>
      <c r="D397" s="78"/>
      <c r="E397" s="77"/>
      <c r="F397" s="76"/>
      <c r="G397" s="76"/>
      <c r="I397" s="79" t="str">
        <f aca="false">IF($B397="","",IF(ISNUMBER(MATCH($B397,日別データ!$B$13:$B$32,0)),"✔ OK","⚠ 未登録"))</f>
        <v/>
      </c>
      <c r="J397" s="80" t="str">
        <f aca="false">IF($B397="","",IF($D397="","－",IF(ISNUMBER($D397),IF(AND($D397&gt;=1,MOD($D397,1)=0),"－",IF(MOD($D397,1)&lt;$L$6,"朝",IF(MOD($D397,1)&lt;$L$7,"昼",IF(MOD($D397,1)&lt;$L$8,"夕方","夜")))),IF(OR($D397="朝",$D397="昼",$D397="夕方",$D397="夜"),$D397,"⚠ 不明"))))</f>
        <v/>
      </c>
    </row>
    <row r="398" customFormat="false" ht="15" hidden="false" customHeight="false" outlineLevel="0" collapsed="false">
      <c r="A398" s="75"/>
      <c r="B398" s="76"/>
      <c r="C398" s="77"/>
      <c r="D398" s="78"/>
      <c r="E398" s="77"/>
      <c r="F398" s="76"/>
      <c r="G398" s="76"/>
      <c r="I398" s="79" t="str">
        <f aca="false">IF($B398="","",IF(ISNUMBER(MATCH($B398,日別データ!$B$13:$B$32,0)),"✔ OK","⚠ 未登録"))</f>
        <v/>
      </c>
      <c r="J398" s="80" t="str">
        <f aca="false">IF($B398="","",IF($D398="","－",IF(ISNUMBER($D398),IF(AND($D398&gt;=1,MOD($D398,1)=0),"－",IF(MOD($D398,1)&lt;$L$6,"朝",IF(MOD($D398,1)&lt;$L$7,"昼",IF(MOD($D398,1)&lt;$L$8,"夕方","夜")))),IF(OR($D398="朝",$D398="昼",$D398="夕方",$D398="夜"),$D398,"⚠ 不明"))))</f>
        <v/>
      </c>
    </row>
    <row r="399" customFormat="false" ht="15" hidden="false" customHeight="false" outlineLevel="0" collapsed="false">
      <c r="A399" s="75"/>
      <c r="B399" s="76"/>
      <c r="C399" s="77"/>
      <c r="D399" s="78"/>
      <c r="E399" s="77"/>
      <c r="F399" s="76"/>
      <c r="G399" s="76"/>
      <c r="I399" s="79" t="str">
        <f aca="false">IF($B399="","",IF(ISNUMBER(MATCH($B399,日別データ!$B$13:$B$32,0)),"✔ OK","⚠ 未登録"))</f>
        <v/>
      </c>
      <c r="J399" s="80" t="str">
        <f aca="false">IF($B399="","",IF($D399="","－",IF(ISNUMBER($D399),IF(AND($D399&gt;=1,MOD($D399,1)=0),"－",IF(MOD($D399,1)&lt;$L$6,"朝",IF(MOD($D399,1)&lt;$L$7,"昼",IF(MOD($D399,1)&lt;$L$8,"夕方","夜")))),IF(OR($D399="朝",$D399="昼",$D399="夕方",$D399="夜"),$D399,"⚠ 不明"))))</f>
        <v/>
      </c>
    </row>
    <row r="400" customFormat="false" ht="15" hidden="false" customHeight="false" outlineLevel="0" collapsed="false">
      <c r="A400" s="75"/>
      <c r="B400" s="76"/>
      <c r="C400" s="77"/>
      <c r="D400" s="78"/>
      <c r="E400" s="77"/>
      <c r="F400" s="76"/>
      <c r="G400" s="76"/>
      <c r="I400" s="79" t="str">
        <f aca="false">IF($B400="","",IF(ISNUMBER(MATCH($B400,日別データ!$B$13:$B$32,0)),"✔ OK","⚠ 未登録"))</f>
        <v/>
      </c>
      <c r="J400" s="80" t="str">
        <f aca="false">IF($B400="","",IF($D400="","－",IF(ISNUMBER($D400),IF(AND($D400&gt;=1,MOD($D400,1)=0),"－",IF(MOD($D400,1)&lt;$L$6,"朝",IF(MOD($D400,1)&lt;$L$7,"昼",IF(MOD($D400,1)&lt;$L$8,"夕方","夜")))),IF(OR($D400="朝",$D400="昼",$D400="夕方",$D400="夜"),$D400,"⚠ 不明"))))</f>
        <v/>
      </c>
    </row>
    <row r="401" customFormat="false" ht="15" hidden="false" customHeight="false" outlineLevel="0" collapsed="false">
      <c r="A401" s="75"/>
      <c r="B401" s="76"/>
      <c r="C401" s="77"/>
      <c r="D401" s="78"/>
      <c r="E401" s="77"/>
      <c r="F401" s="76"/>
      <c r="G401" s="76"/>
      <c r="I401" s="79" t="str">
        <f aca="false">IF($B401="","",IF(ISNUMBER(MATCH($B401,日別データ!$B$13:$B$32,0)),"✔ OK","⚠ 未登録"))</f>
        <v/>
      </c>
      <c r="J401" s="80" t="str">
        <f aca="false">IF($B401="","",IF($D401="","－",IF(ISNUMBER($D401),IF(AND($D401&gt;=1,MOD($D401,1)=0),"－",IF(MOD($D401,1)&lt;$L$6,"朝",IF(MOD($D401,1)&lt;$L$7,"昼",IF(MOD($D401,1)&lt;$L$8,"夕方","夜")))),IF(OR($D401="朝",$D401="昼",$D401="夕方",$D401="夜"),$D401,"⚠ 不明"))))</f>
        <v/>
      </c>
    </row>
    <row r="402" customFormat="false" ht="15" hidden="false" customHeight="false" outlineLevel="0" collapsed="false">
      <c r="A402" s="75"/>
      <c r="B402" s="76"/>
      <c r="C402" s="77"/>
      <c r="D402" s="78"/>
      <c r="E402" s="77"/>
      <c r="F402" s="76"/>
      <c r="G402" s="76"/>
      <c r="I402" s="79" t="str">
        <f aca="false">IF($B402="","",IF(ISNUMBER(MATCH($B402,日別データ!$B$13:$B$32,0)),"✔ OK","⚠ 未登録"))</f>
        <v/>
      </c>
      <c r="J402" s="80" t="str">
        <f aca="false">IF($B402="","",IF($D402="","－",IF(ISNUMBER($D402),IF(AND($D402&gt;=1,MOD($D402,1)=0),"－",IF(MOD($D402,1)&lt;$L$6,"朝",IF(MOD($D402,1)&lt;$L$7,"昼",IF(MOD($D402,1)&lt;$L$8,"夕方","夜")))),IF(OR($D402="朝",$D402="昼",$D402="夕方",$D402="夜"),$D402,"⚠ 不明"))))</f>
        <v/>
      </c>
    </row>
    <row r="403" customFormat="false" ht="15" hidden="false" customHeight="false" outlineLevel="0" collapsed="false">
      <c r="A403" s="75"/>
      <c r="B403" s="76"/>
      <c r="C403" s="77"/>
      <c r="D403" s="78"/>
      <c r="E403" s="77"/>
      <c r="F403" s="76"/>
      <c r="G403" s="76"/>
      <c r="I403" s="79" t="str">
        <f aca="false">IF($B403="","",IF(ISNUMBER(MATCH($B403,日別データ!$B$13:$B$32,0)),"✔ OK","⚠ 未登録"))</f>
        <v/>
      </c>
      <c r="J403" s="80" t="str">
        <f aca="false">IF($B403="","",IF($D403="","－",IF(ISNUMBER($D403),IF(AND($D403&gt;=1,MOD($D403,1)=0),"－",IF(MOD($D403,1)&lt;$L$6,"朝",IF(MOD($D403,1)&lt;$L$7,"昼",IF(MOD($D403,1)&lt;$L$8,"夕方","夜")))),IF(OR($D403="朝",$D403="昼",$D403="夕方",$D403="夜"),$D403,"⚠ 不明"))))</f>
        <v/>
      </c>
    </row>
    <row r="404" customFormat="false" ht="15" hidden="false" customHeight="false" outlineLevel="0" collapsed="false">
      <c r="A404" s="75"/>
      <c r="B404" s="76"/>
      <c r="C404" s="77"/>
      <c r="D404" s="78"/>
      <c r="E404" s="77"/>
      <c r="F404" s="76"/>
      <c r="G404" s="76"/>
      <c r="I404" s="79" t="str">
        <f aca="false">IF($B404="","",IF(ISNUMBER(MATCH($B404,日別データ!$B$13:$B$32,0)),"✔ OK","⚠ 未登録"))</f>
        <v/>
      </c>
      <c r="J404" s="80" t="str">
        <f aca="false">IF($B404="","",IF($D404="","－",IF(ISNUMBER($D404),IF(AND($D404&gt;=1,MOD($D404,1)=0),"－",IF(MOD($D404,1)&lt;$L$6,"朝",IF(MOD($D404,1)&lt;$L$7,"昼",IF(MOD($D404,1)&lt;$L$8,"夕方","夜")))),IF(OR($D404="朝",$D404="昼",$D404="夕方",$D404="夜"),$D404,"⚠ 不明"))))</f>
        <v/>
      </c>
    </row>
    <row r="405" customFormat="false" ht="15" hidden="false" customHeight="false" outlineLevel="0" collapsed="false">
      <c r="A405" s="75"/>
      <c r="B405" s="76"/>
      <c r="C405" s="77"/>
      <c r="D405" s="78"/>
      <c r="E405" s="77"/>
      <c r="F405" s="76"/>
      <c r="G405" s="76"/>
      <c r="I405" s="79" t="str">
        <f aca="false">IF($B405="","",IF(ISNUMBER(MATCH($B405,日別データ!$B$13:$B$32,0)),"✔ OK","⚠ 未登録"))</f>
        <v/>
      </c>
      <c r="J405" s="80" t="str">
        <f aca="false">IF($B405="","",IF($D405="","－",IF(ISNUMBER($D405),IF(AND($D405&gt;=1,MOD($D405,1)=0),"－",IF(MOD($D405,1)&lt;$L$6,"朝",IF(MOD($D405,1)&lt;$L$7,"昼",IF(MOD($D405,1)&lt;$L$8,"夕方","夜")))),IF(OR($D405="朝",$D405="昼",$D405="夕方",$D405="夜"),$D405,"⚠ 不明"))))</f>
        <v/>
      </c>
    </row>
    <row r="406" customFormat="false" ht="15" hidden="false" customHeight="false" outlineLevel="0" collapsed="false">
      <c r="A406" s="75"/>
      <c r="B406" s="76"/>
      <c r="C406" s="77"/>
      <c r="D406" s="78"/>
      <c r="E406" s="77"/>
      <c r="F406" s="76"/>
      <c r="G406" s="76"/>
      <c r="I406" s="79" t="str">
        <f aca="false">IF($B406="","",IF(ISNUMBER(MATCH($B406,日別データ!$B$13:$B$32,0)),"✔ OK","⚠ 未登録"))</f>
        <v/>
      </c>
      <c r="J406" s="80" t="str">
        <f aca="false">IF($B406="","",IF($D406="","－",IF(ISNUMBER($D406),IF(AND($D406&gt;=1,MOD($D406,1)=0),"－",IF(MOD($D406,1)&lt;$L$6,"朝",IF(MOD($D406,1)&lt;$L$7,"昼",IF(MOD($D406,1)&lt;$L$8,"夕方","夜")))),IF(OR($D406="朝",$D406="昼",$D406="夕方",$D406="夜"),$D406,"⚠ 不明"))))</f>
        <v/>
      </c>
    </row>
    <row r="407" customFormat="false" ht="15" hidden="false" customHeight="false" outlineLevel="0" collapsed="false">
      <c r="A407" s="75"/>
      <c r="B407" s="76"/>
      <c r="C407" s="77"/>
      <c r="D407" s="78"/>
      <c r="E407" s="77"/>
      <c r="F407" s="76"/>
      <c r="G407" s="76"/>
      <c r="I407" s="79" t="str">
        <f aca="false">IF($B407="","",IF(ISNUMBER(MATCH($B407,日別データ!$B$13:$B$32,0)),"✔ OK","⚠ 未登録"))</f>
        <v/>
      </c>
      <c r="J407" s="80" t="str">
        <f aca="false">IF($B407="","",IF($D407="","－",IF(ISNUMBER($D407),IF(AND($D407&gt;=1,MOD($D407,1)=0),"－",IF(MOD($D407,1)&lt;$L$6,"朝",IF(MOD($D407,1)&lt;$L$7,"昼",IF(MOD($D407,1)&lt;$L$8,"夕方","夜")))),IF(OR($D407="朝",$D407="昼",$D407="夕方",$D407="夜"),$D407,"⚠ 不明"))))</f>
        <v/>
      </c>
    </row>
    <row r="408" customFormat="false" ht="15" hidden="false" customHeight="false" outlineLevel="0" collapsed="false">
      <c r="A408" s="75"/>
      <c r="B408" s="76"/>
      <c r="C408" s="77"/>
      <c r="D408" s="78"/>
      <c r="E408" s="77"/>
      <c r="F408" s="76"/>
      <c r="G408" s="76"/>
      <c r="I408" s="79" t="str">
        <f aca="false">IF($B408="","",IF(ISNUMBER(MATCH($B408,日別データ!$B$13:$B$32,0)),"✔ OK","⚠ 未登録"))</f>
        <v/>
      </c>
      <c r="J408" s="80" t="str">
        <f aca="false">IF($B408="","",IF($D408="","－",IF(ISNUMBER($D408),IF(AND($D408&gt;=1,MOD($D408,1)=0),"－",IF(MOD($D408,1)&lt;$L$6,"朝",IF(MOD($D408,1)&lt;$L$7,"昼",IF(MOD($D408,1)&lt;$L$8,"夕方","夜")))),IF(OR($D408="朝",$D408="昼",$D408="夕方",$D408="夜"),$D408,"⚠ 不明"))))</f>
        <v/>
      </c>
    </row>
    <row r="409" customFormat="false" ht="15" hidden="false" customHeight="false" outlineLevel="0" collapsed="false">
      <c r="A409" s="75"/>
      <c r="B409" s="76"/>
      <c r="C409" s="77"/>
      <c r="D409" s="78"/>
      <c r="E409" s="77"/>
      <c r="F409" s="76"/>
      <c r="G409" s="76"/>
      <c r="I409" s="79" t="str">
        <f aca="false">IF($B409="","",IF(ISNUMBER(MATCH($B409,日別データ!$B$13:$B$32,0)),"✔ OK","⚠ 未登録"))</f>
        <v/>
      </c>
      <c r="J409" s="80" t="str">
        <f aca="false">IF($B409="","",IF($D409="","－",IF(ISNUMBER($D409),IF(AND($D409&gt;=1,MOD($D409,1)=0),"－",IF(MOD($D409,1)&lt;$L$6,"朝",IF(MOD($D409,1)&lt;$L$7,"昼",IF(MOD($D409,1)&lt;$L$8,"夕方","夜")))),IF(OR($D409="朝",$D409="昼",$D409="夕方",$D409="夜"),$D409,"⚠ 不明"))))</f>
        <v/>
      </c>
    </row>
    <row r="410" customFormat="false" ht="15" hidden="false" customHeight="false" outlineLevel="0" collapsed="false">
      <c r="A410" s="75"/>
      <c r="B410" s="76"/>
      <c r="C410" s="77"/>
      <c r="D410" s="78"/>
      <c r="E410" s="77"/>
      <c r="F410" s="76"/>
      <c r="G410" s="76"/>
      <c r="I410" s="79" t="str">
        <f aca="false">IF($B410="","",IF(ISNUMBER(MATCH($B410,日別データ!$B$13:$B$32,0)),"✔ OK","⚠ 未登録"))</f>
        <v/>
      </c>
      <c r="J410" s="80" t="str">
        <f aca="false">IF($B410="","",IF($D410="","－",IF(ISNUMBER($D410),IF(AND($D410&gt;=1,MOD($D410,1)=0),"－",IF(MOD($D410,1)&lt;$L$6,"朝",IF(MOD($D410,1)&lt;$L$7,"昼",IF(MOD($D410,1)&lt;$L$8,"夕方","夜")))),IF(OR($D410="朝",$D410="昼",$D410="夕方",$D410="夜"),$D410,"⚠ 不明"))))</f>
        <v/>
      </c>
    </row>
    <row r="411" customFormat="false" ht="15" hidden="false" customHeight="false" outlineLevel="0" collapsed="false">
      <c r="A411" s="75"/>
      <c r="B411" s="76"/>
      <c r="C411" s="77"/>
      <c r="D411" s="78"/>
      <c r="E411" s="77"/>
      <c r="F411" s="76"/>
      <c r="G411" s="76"/>
      <c r="I411" s="79" t="str">
        <f aca="false">IF($B411="","",IF(ISNUMBER(MATCH($B411,日別データ!$B$13:$B$32,0)),"✔ OK","⚠ 未登録"))</f>
        <v/>
      </c>
      <c r="J411" s="80" t="str">
        <f aca="false">IF($B411="","",IF($D411="","－",IF(ISNUMBER($D411),IF(AND($D411&gt;=1,MOD($D411,1)=0),"－",IF(MOD($D411,1)&lt;$L$6,"朝",IF(MOD($D411,1)&lt;$L$7,"昼",IF(MOD($D411,1)&lt;$L$8,"夕方","夜")))),IF(OR($D411="朝",$D411="昼",$D411="夕方",$D411="夜"),$D411,"⚠ 不明"))))</f>
        <v/>
      </c>
    </row>
    <row r="412" customFormat="false" ht="15" hidden="false" customHeight="false" outlineLevel="0" collapsed="false">
      <c r="A412" s="75"/>
      <c r="B412" s="76"/>
      <c r="C412" s="77"/>
      <c r="D412" s="78"/>
      <c r="E412" s="77"/>
      <c r="F412" s="76"/>
      <c r="G412" s="76"/>
      <c r="I412" s="79" t="str">
        <f aca="false">IF($B412="","",IF(ISNUMBER(MATCH($B412,日別データ!$B$13:$B$32,0)),"✔ OK","⚠ 未登録"))</f>
        <v/>
      </c>
      <c r="J412" s="80" t="str">
        <f aca="false">IF($B412="","",IF($D412="","－",IF(ISNUMBER($D412),IF(AND($D412&gt;=1,MOD($D412,1)=0),"－",IF(MOD($D412,1)&lt;$L$6,"朝",IF(MOD($D412,1)&lt;$L$7,"昼",IF(MOD($D412,1)&lt;$L$8,"夕方","夜")))),IF(OR($D412="朝",$D412="昼",$D412="夕方",$D412="夜"),$D412,"⚠ 不明"))))</f>
        <v/>
      </c>
    </row>
    <row r="413" customFormat="false" ht="15" hidden="false" customHeight="false" outlineLevel="0" collapsed="false">
      <c r="A413" s="75"/>
      <c r="B413" s="76"/>
      <c r="C413" s="77"/>
      <c r="D413" s="78"/>
      <c r="E413" s="77"/>
      <c r="F413" s="76"/>
      <c r="G413" s="76"/>
      <c r="I413" s="79" t="str">
        <f aca="false">IF($B413="","",IF(ISNUMBER(MATCH($B413,日別データ!$B$13:$B$32,0)),"✔ OK","⚠ 未登録"))</f>
        <v/>
      </c>
      <c r="J413" s="80" t="str">
        <f aca="false">IF($B413="","",IF($D413="","－",IF(ISNUMBER($D413),IF(AND($D413&gt;=1,MOD($D413,1)=0),"－",IF(MOD($D413,1)&lt;$L$6,"朝",IF(MOD($D413,1)&lt;$L$7,"昼",IF(MOD($D413,1)&lt;$L$8,"夕方","夜")))),IF(OR($D413="朝",$D413="昼",$D413="夕方",$D413="夜"),$D413,"⚠ 不明"))))</f>
        <v/>
      </c>
    </row>
    <row r="414" customFormat="false" ht="15" hidden="false" customHeight="false" outlineLevel="0" collapsed="false">
      <c r="A414" s="75"/>
      <c r="B414" s="76"/>
      <c r="C414" s="77"/>
      <c r="D414" s="78"/>
      <c r="E414" s="77"/>
      <c r="F414" s="76"/>
      <c r="G414" s="76"/>
      <c r="I414" s="79" t="str">
        <f aca="false">IF($B414="","",IF(ISNUMBER(MATCH($B414,日別データ!$B$13:$B$32,0)),"✔ OK","⚠ 未登録"))</f>
        <v/>
      </c>
      <c r="J414" s="80" t="str">
        <f aca="false">IF($B414="","",IF($D414="","－",IF(ISNUMBER($D414),IF(AND($D414&gt;=1,MOD($D414,1)=0),"－",IF(MOD($D414,1)&lt;$L$6,"朝",IF(MOD($D414,1)&lt;$L$7,"昼",IF(MOD($D414,1)&lt;$L$8,"夕方","夜")))),IF(OR($D414="朝",$D414="昼",$D414="夕方",$D414="夜"),$D414,"⚠ 不明"))))</f>
        <v/>
      </c>
    </row>
    <row r="415" customFormat="false" ht="15" hidden="false" customHeight="false" outlineLevel="0" collapsed="false">
      <c r="A415" s="75"/>
      <c r="B415" s="76"/>
      <c r="C415" s="77"/>
      <c r="D415" s="78"/>
      <c r="E415" s="77"/>
      <c r="F415" s="76"/>
      <c r="G415" s="76"/>
      <c r="I415" s="79" t="str">
        <f aca="false">IF($B415="","",IF(ISNUMBER(MATCH($B415,日別データ!$B$13:$B$32,0)),"✔ OK","⚠ 未登録"))</f>
        <v/>
      </c>
      <c r="J415" s="80" t="str">
        <f aca="false">IF($B415="","",IF($D415="","－",IF(ISNUMBER($D415),IF(AND($D415&gt;=1,MOD($D415,1)=0),"－",IF(MOD($D415,1)&lt;$L$6,"朝",IF(MOD($D415,1)&lt;$L$7,"昼",IF(MOD($D415,1)&lt;$L$8,"夕方","夜")))),IF(OR($D415="朝",$D415="昼",$D415="夕方",$D415="夜"),$D415,"⚠ 不明"))))</f>
        <v/>
      </c>
    </row>
    <row r="416" customFormat="false" ht="15" hidden="false" customHeight="false" outlineLevel="0" collapsed="false">
      <c r="A416" s="75"/>
      <c r="B416" s="76"/>
      <c r="C416" s="77"/>
      <c r="D416" s="78"/>
      <c r="E416" s="77"/>
      <c r="F416" s="76"/>
      <c r="G416" s="76"/>
      <c r="I416" s="79" t="str">
        <f aca="false">IF($B416="","",IF(ISNUMBER(MATCH($B416,日別データ!$B$13:$B$32,0)),"✔ OK","⚠ 未登録"))</f>
        <v/>
      </c>
      <c r="J416" s="80" t="str">
        <f aca="false">IF($B416="","",IF($D416="","－",IF(ISNUMBER($D416),IF(AND($D416&gt;=1,MOD($D416,1)=0),"－",IF(MOD($D416,1)&lt;$L$6,"朝",IF(MOD($D416,1)&lt;$L$7,"昼",IF(MOD($D416,1)&lt;$L$8,"夕方","夜")))),IF(OR($D416="朝",$D416="昼",$D416="夕方",$D416="夜"),$D416,"⚠ 不明"))))</f>
        <v/>
      </c>
    </row>
    <row r="417" customFormat="false" ht="15" hidden="false" customHeight="false" outlineLevel="0" collapsed="false">
      <c r="A417" s="75"/>
      <c r="B417" s="76"/>
      <c r="C417" s="77"/>
      <c r="D417" s="78"/>
      <c r="E417" s="77"/>
      <c r="F417" s="76"/>
      <c r="G417" s="76"/>
      <c r="I417" s="79" t="str">
        <f aca="false">IF($B417="","",IF(ISNUMBER(MATCH($B417,日別データ!$B$13:$B$32,0)),"✔ OK","⚠ 未登録"))</f>
        <v/>
      </c>
      <c r="J417" s="80" t="str">
        <f aca="false">IF($B417="","",IF($D417="","－",IF(ISNUMBER($D417),IF(AND($D417&gt;=1,MOD($D417,1)=0),"－",IF(MOD($D417,1)&lt;$L$6,"朝",IF(MOD($D417,1)&lt;$L$7,"昼",IF(MOD($D417,1)&lt;$L$8,"夕方","夜")))),IF(OR($D417="朝",$D417="昼",$D417="夕方",$D417="夜"),$D417,"⚠ 不明"))))</f>
        <v/>
      </c>
    </row>
    <row r="418" customFormat="false" ht="15" hidden="false" customHeight="false" outlineLevel="0" collapsed="false">
      <c r="A418" s="75"/>
      <c r="B418" s="76"/>
      <c r="C418" s="77"/>
      <c r="D418" s="78"/>
      <c r="E418" s="77"/>
      <c r="F418" s="76"/>
      <c r="G418" s="76"/>
      <c r="I418" s="79" t="str">
        <f aca="false">IF($B418="","",IF(ISNUMBER(MATCH($B418,日別データ!$B$13:$B$32,0)),"✔ OK","⚠ 未登録"))</f>
        <v/>
      </c>
      <c r="J418" s="80" t="str">
        <f aca="false">IF($B418="","",IF($D418="","－",IF(ISNUMBER($D418),IF(AND($D418&gt;=1,MOD($D418,1)=0),"－",IF(MOD($D418,1)&lt;$L$6,"朝",IF(MOD($D418,1)&lt;$L$7,"昼",IF(MOD($D418,1)&lt;$L$8,"夕方","夜")))),IF(OR($D418="朝",$D418="昼",$D418="夕方",$D418="夜"),$D418,"⚠ 不明"))))</f>
        <v/>
      </c>
    </row>
    <row r="419" customFormat="false" ht="15" hidden="false" customHeight="false" outlineLevel="0" collapsed="false">
      <c r="A419" s="75"/>
      <c r="B419" s="76"/>
      <c r="C419" s="77"/>
      <c r="D419" s="78"/>
      <c r="E419" s="77"/>
      <c r="F419" s="76"/>
      <c r="G419" s="76"/>
      <c r="I419" s="79" t="str">
        <f aca="false">IF($B419="","",IF(ISNUMBER(MATCH($B419,日別データ!$B$13:$B$32,0)),"✔ OK","⚠ 未登録"))</f>
        <v/>
      </c>
      <c r="J419" s="80" t="str">
        <f aca="false">IF($B419="","",IF($D419="","－",IF(ISNUMBER($D419),IF(AND($D419&gt;=1,MOD($D419,1)=0),"－",IF(MOD($D419,1)&lt;$L$6,"朝",IF(MOD($D419,1)&lt;$L$7,"昼",IF(MOD($D419,1)&lt;$L$8,"夕方","夜")))),IF(OR($D419="朝",$D419="昼",$D419="夕方",$D419="夜"),$D419,"⚠ 不明"))))</f>
        <v/>
      </c>
    </row>
    <row r="420" customFormat="false" ht="15" hidden="false" customHeight="false" outlineLevel="0" collapsed="false">
      <c r="A420" s="75"/>
      <c r="B420" s="76"/>
      <c r="C420" s="77"/>
      <c r="D420" s="78"/>
      <c r="E420" s="77"/>
      <c r="F420" s="76"/>
      <c r="G420" s="76"/>
      <c r="I420" s="79" t="str">
        <f aca="false">IF($B420="","",IF(ISNUMBER(MATCH($B420,日別データ!$B$13:$B$32,0)),"✔ OK","⚠ 未登録"))</f>
        <v/>
      </c>
      <c r="J420" s="80" t="str">
        <f aca="false">IF($B420="","",IF($D420="","－",IF(ISNUMBER($D420),IF(AND($D420&gt;=1,MOD($D420,1)=0),"－",IF(MOD($D420,1)&lt;$L$6,"朝",IF(MOD($D420,1)&lt;$L$7,"昼",IF(MOD($D420,1)&lt;$L$8,"夕方","夜")))),IF(OR($D420="朝",$D420="昼",$D420="夕方",$D420="夜"),$D420,"⚠ 不明"))))</f>
        <v/>
      </c>
    </row>
    <row r="421" customFormat="false" ht="15" hidden="false" customHeight="false" outlineLevel="0" collapsed="false">
      <c r="A421" s="75"/>
      <c r="B421" s="76"/>
      <c r="C421" s="77"/>
      <c r="D421" s="78"/>
      <c r="E421" s="77"/>
      <c r="F421" s="76"/>
      <c r="G421" s="76"/>
      <c r="I421" s="79" t="str">
        <f aca="false">IF($B421="","",IF(ISNUMBER(MATCH($B421,日別データ!$B$13:$B$32,0)),"✔ OK","⚠ 未登録"))</f>
        <v/>
      </c>
      <c r="J421" s="80" t="str">
        <f aca="false">IF($B421="","",IF($D421="","－",IF(ISNUMBER($D421),IF(AND($D421&gt;=1,MOD($D421,1)=0),"－",IF(MOD($D421,1)&lt;$L$6,"朝",IF(MOD($D421,1)&lt;$L$7,"昼",IF(MOD($D421,1)&lt;$L$8,"夕方","夜")))),IF(OR($D421="朝",$D421="昼",$D421="夕方",$D421="夜"),$D421,"⚠ 不明"))))</f>
        <v/>
      </c>
    </row>
    <row r="422" customFormat="false" ht="15" hidden="false" customHeight="false" outlineLevel="0" collapsed="false">
      <c r="A422" s="75"/>
      <c r="B422" s="76"/>
      <c r="C422" s="77"/>
      <c r="D422" s="78"/>
      <c r="E422" s="77"/>
      <c r="F422" s="76"/>
      <c r="G422" s="76"/>
      <c r="I422" s="79" t="str">
        <f aca="false">IF($B422="","",IF(ISNUMBER(MATCH($B422,日別データ!$B$13:$B$32,0)),"✔ OK","⚠ 未登録"))</f>
        <v/>
      </c>
      <c r="J422" s="80" t="str">
        <f aca="false">IF($B422="","",IF($D422="","－",IF(ISNUMBER($D422),IF(AND($D422&gt;=1,MOD($D422,1)=0),"－",IF(MOD($D422,1)&lt;$L$6,"朝",IF(MOD($D422,1)&lt;$L$7,"昼",IF(MOD($D422,1)&lt;$L$8,"夕方","夜")))),IF(OR($D422="朝",$D422="昼",$D422="夕方",$D422="夜"),$D422,"⚠ 不明"))))</f>
        <v/>
      </c>
    </row>
    <row r="423" customFormat="false" ht="15" hidden="false" customHeight="false" outlineLevel="0" collapsed="false">
      <c r="A423" s="75"/>
      <c r="B423" s="76"/>
      <c r="C423" s="77"/>
      <c r="D423" s="78"/>
      <c r="E423" s="77"/>
      <c r="F423" s="76"/>
      <c r="G423" s="76"/>
      <c r="I423" s="79" t="str">
        <f aca="false">IF($B423="","",IF(ISNUMBER(MATCH($B423,日別データ!$B$13:$B$32,0)),"✔ OK","⚠ 未登録"))</f>
        <v/>
      </c>
      <c r="J423" s="80" t="str">
        <f aca="false">IF($B423="","",IF($D423="","－",IF(ISNUMBER($D423),IF(AND($D423&gt;=1,MOD($D423,1)=0),"－",IF(MOD($D423,1)&lt;$L$6,"朝",IF(MOD($D423,1)&lt;$L$7,"昼",IF(MOD($D423,1)&lt;$L$8,"夕方","夜")))),IF(OR($D423="朝",$D423="昼",$D423="夕方",$D423="夜"),$D423,"⚠ 不明"))))</f>
        <v/>
      </c>
    </row>
    <row r="424" customFormat="false" ht="15" hidden="false" customHeight="false" outlineLevel="0" collapsed="false">
      <c r="A424" s="75"/>
      <c r="B424" s="76"/>
      <c r="C424" s="77"/>
      <c r="D424" s="78"/>
      <c r="E424" s="77"/>
      <c r="F424" s="76"/>
      <c r="G424" s="76"/>
      <c r="I424" s="79" t="str">
        <f aca="false">IF($B424="","",IF(ISNUMBER(MATCH($B424,日別データ!$B$13:$B$32,0)),"✔ OK","⚠ 未登録"))</f>
        <v/>
      </c>
      <c r="J424" s="80" t="str">
        <f aca="false">IF($B424="","",IF($D424="","－",IF(ISNUMBER($D424),IF(AND($D424&gt;=1,MOD($D424,1)=0),"－",IF(MOD($D424,1)&lt;$L$6,"朝",IF(MOD($D424,1)&lt;$L$7,"昼",IF(MOD($D424,1)&lt;$L$8,"夕方","夜")))),IF(OR($D424="朝",$D424="昼",$D424="夕方",$D424="夜"),$D424,"⚠ 不明"))))</f>
        <v/>
      </c>
    </row>
    <row r="425" customFormat="false" ht="15" hidden="false" customHeight="false" outlineLevel="0" collapsed="false">
      <c r="A425" s="75"/>
      <c r="B425" s="76"/>
      <c r="C425" s="77"/>
      <c r="D425" s="78"/>
      <c r="E425" s="77"/>
      <c r="F425" s="76"/>
      <c r="G425" s="76"/>
      <c r="I425" s="79" t="str">
        <f aca="false">IF($B425="","",IF(ISNUMBER(MATCH($B425,日別データ!$B$13:$B$32,0)),"✔ OK","⚠ 未登録"))</f>
        <v/>
      </c>
      <c r="J425" s="80" t="str">
        <f aca="false">IF($B425="","",IF($D425="","－",IF(ISNUMBER($D425),IF(AND($D425&gt;=1,MOD($D425,1)=0),"－",IF(MOD($D425,1)&lt;$L$6,"朝",IF(MOD($D425,1)&lt;$L$7,"昼",IF(MOD($D425,1)&lt;$L$8,"夕方","夜")))),IF(OR($D425="朝",$D425="昼",$D425="夕方",$D425="夜"),$D425,"⚠ 不明"))))</f>
        <v/>
      </c>
    </row>
    <row r="426" customFormat="false" ht="15" hidden="false" customHeight="false" outlineLevel="0" collapsed="false">
      <c r="A426" s="75"/>
      <c r="B426" s="76"/>
      <c r="C426" s="77"/>
      <c r="D426" s="78"/>
      <c r="E426" s="77"/>
      <c r="F426" s="76"/>
      <c r="G426" s="76"/>
      <c r="I426" s="79" t="str">
        <f aca="false">IF($B426="","",IF(ISNUMBER(MATCH($B426,日別データ!$B$13:$B$32,0)),"✔ OK","⚠ 未登録"))</f>
        <v/>
      </c>
      <c r="J426" s="80" t="str">
        <f aca="false">IF($B426="","",IF($D426="","－",IF(ISNUMBER($D426),IF(AND($D426&gt;=1,MOD($D426,1)=0),"－",IF(MOD($D426,1)&lt;$L$6,"朝",IF(MOD($D426,1)&lt;$L$7,"昼",IF(MOD($D426,1)&lt;$L$8,"夕方","夜")))),IF(OR($D426="朝",$D426="昼",$D426="夕方",$D426="夜"),$D426,"⚠ 不明"))))</f>
        <v/>
      </c>
    </row>
    <row r="427" customFormat="false" ht="15" hidden="false" customHeight="false" outlineLevel="0" collapsed="false">
      <c r="A427" s="75"/>
      <c r="B427" s="76"/>
      <c r="C427" s="77"/>
      <c r="D427" s="78"/>
      <c r="E427" s="77"/>
      <c r="F427" s="76"/>
      <c r="G427" s="76"/>
      <c r="I427" s="79" t="str">
        <f aca="false">IF($B427="","",IF(ISNUMBER(MATCH($B427,日別データ!$B$13:$B$32,0)),"✔ OK","⚠ 未登録"))</f>
        <v/>
      </c>
      <c r="J427" s="80" t="str">
        <f aca="false">IF($B427="","",IF($D427="","－",IF(ISNUMBER($D427),IF(AND($D427&gt;=1,MOD($D427,1)=0),"－",IF(MOD($D427,1)&lt;$L$6,"朝",IF(MOD($D427,1)&lt;$L$7,"昼",IF(MOD($D427,1)&lt;$L$8,"夕方","夜")))),IF(OR($D427="朝",$D427="昼",$D427="夕方",$D427="夜"),$D427,"⚠ 不明"))))</f>
        <v/>
      </c>
    </row>
    <row r="428" customFormat="false" ht="15" hidden="false" customHeight="false" outlineLevel="0" collapsed="false">
      <c r="A428" s="75"/>
      <c r="B428" s="76"/>
      <c r="C428" s="77"/>
      <c r="D428" s="78"/>
      <c r="E428" s="77"/>
      <c r="F428" s="76"/>
      <c r="G428" s="76"/>
      <c r="I428" s="79" t="str">
        <f aca="false">IF($B428="","",IF(ISNUMBER(MATCH($B428,日別データ!$B$13:$B$32,0)),"✔ OK","⚠ 未登録"))</f>
        <v/>
      </c>
      <c r="J428" s="80" t="str">
        <f aca="false">IF($B428="","",IF($D428="","－",IF(ISNUMBER($D428),IF(AND($D428&gt;=1,MOD($D428,1)=0),"－",IF(MOD($D428,1)&lt;$L$6,"朝",IF(MOD($D428,1)&lt;$L$7,"昼",IF(MOD($D428,1)&lt;$L$8,"夕方","夜")))),IF(OR($D428="朝",$D428="昼",$D428="夕方",$D428="夜"),$D428,"⚠ 不明"))))</f>
        <v/>
      </c>
    </row>
    <row r="429" customFormat="false" ht="15" hidden="false" customHeight="false" outlineLevel="0" collapsed="false">
      <c r="A429" s="75"/>
      <c r="B429" s="76"/>
      <c r="C429" s="77"/>
      <c r="D429" s="78"/>
      <c r="E429" s="77"/>
      <c r="F429" s="76"/>
      <c r="G429" s="76"/>
      <c r="I429" s="79" t="str">
        <f aca="false">IF($B429="","",IF(ISNUMBER(MATCH($B429,日別データ!$B$13:$B$32,0)),"✔ OK","⚠ 未登録"))</f>
        <v/>
      </c>
      <c r="J429" s="80" t="str">
        <f aca="false">IF($B429="","",IF($D429="","－",IF(ISNUMBER($D429),IF(AND($D429&gt;=1,MOD($D429,1)=0),"－",IF(MOD($D429,1)&lt;$L$6,"朝",IF(MOD($D429,1)&lt;$L$7,"昼",IF(MOD($D429,1)&lt;$L$8,"夕方","夜")))),IF(OR($D429="朝",$D429="昼",$D429="夕方",$D429="夜"),$D429,"⚠ 不明"))))</f>
        <v/>
      </c>
    </row>
    <row r="430" customFormat="false" ht="15" hidden="false" customHeight="false" outlineLevel="0" collapsed="false">
      <c r="A430" s="75"/>
      <c r="B430" s="76"/>
      <c r="C430" s="77"/>
      <c r="D430" s="78"/>
      <c r="E430" s="77"/>
      <c r="F430" s="76"/>
      <c r="G430" s="76"/>
      <c r="I430" s="79" t="str">
        <f aca="false">IF($B430="","",IF(ISNUMBER(MATCH($B430,日別データ!$B$13:$B$32,0)),"✔ OK","⚠ 未登録"))</f>
        <v/>
      </c>
      <c r="J430" s="80" t="str">
        <f aca="false">IF($B430="","",IF($D430="","－",IF(ISNUMBER($D430),IF(AND($D430&gt;=1,MOD($D430,1)=0),"－",IF(MOD($D430,1)&lt;$L$6,"朝",IF(MOD($D430,1)&lt;$L$7,"昼",IF(MOD($D430,1)&lt;$L$8,"夕方","夜")))),IF(OR($D430="朝",$D430="昼",$D430="夕方",$D430="夜"),$D430,"⚠ 不明"))))</f>
        <v/>
      </c>
    </row>
    <row r="431" customFormat="false" ht="15" hidden="false" customHeight="false" outlineLevel="0" collapsed="false">
      <c r="A431" s="75"/>
      <c r="B431" s="76"/>
      <c r="C431" s="77"/>
      <c r="D431" s="78"/>
      <c r="E431" s="77"/>
      <c r="F431" s="76"/>
      <c r="G431" s="76"/>
      <c r="I431" s="79" t="str">
        <f aca="false">IF($B431="","",IF(ISNUMBER(MATCH($B431,日別データ!$B$13:$B$32,0)),"✔ OK","⚠ 未登録"))</f>
        <v/>
      </c>
      <c r="J431" s="80" t="str">
        <f aca="false">IF($B431="","",IF($D431="","－",IF(ISNUMBER($D431),IF(AND($D431&gt;=1,MOD($D431,1)=0),"－",IF(MOD($D431,1)&lt;$L$6,"朝",IF(MOD($D431,1)&lt;$L$7,"昼",IF(MOD($D431,1)&lt;$L$8,"夕方","夜")))),IF(OR($D431="朝",$D431="昼",$D431="夕方",$D431="夜"),$D431,"⚠ 不明"))))</f>
        <v/>
      </c>
    </row>
    <row r="432" customFormat="false" ht="15" hidden="false" customHeight="false" outlineLevel="0" collapsed="false">
      <c r="A432" s="75"/>
      <c r="B432" s="76"/>
      <c r="C432" s="77"/>
      <c r="D432" s="78"/>
      <c r="E432" s="77"/>
      <c r="F432" s="76"/>
      <c r="G432" s="76"/>
      <c r="I432" s="79" t="str">
        <f aca="false">IF($B432="","",IF(ISNUMBER(MATCH($B432,日別データ!$B$13:$B$32,0)),"✔ OK","⚠ 未登録"))</f>
        <v/>
      </c>
      <c r="J432" s="80" t="str">
        <f aca="false">IF($B432="","",IF($D432="","－",IF(ISNUMBER($D432),IF(AND($D432&gt;=1,MOD($D432,1)=0),"－",IF(MOD($D432,1)&lt;$L$6,"朝",IF(MOD($D432,1)&lt;$L$7,"昼",IF(MOD($D432,1)&lt;$L$8,"夕方","夜")))),IF(OR($D432="朝",$D432="昼",$D432="夕方",$D432="夜"),$D432,"⚠ 不明"))))</f>
        <v/>
      </c>
    </row>
    <row r="433" customFormat="false" ht="15" hidden="false" customHeight="false" outlineLevel="0" collapsed="false">
      <c r="A433" s="75"/>
      <c r="B433" s="76"/>
      <c r="C433" s="77"/>
      <c r="D433" s="78"/>
      <c r="E433" s="77"/>
      <c r="F433" s="76"/>
      <c r="G433" s="76"/>
      <c r="I433" s="79" t="str">
        <f aca="false">IF($B433="","",IF(ISNUMBER(MATCH($B433,日別データ!$B$13:$B$32,0)),"✔ OK","⚠ 未登録"))</f>
        <v/>
      </c>
      <c r="J433" s="80" t="str">
        <f aca="false">IF($B433="","",IF($D433="","－",IF(ISNUMBER($D433),IF(AND($D433&gt;=1,MOD($D433,1)=0),"－",IF(MOD($D433,1)&lt;$L$6,"朝",IF(MOD($D433,1)&lt;$L$7,"昼",IF(MOD($D433,1)&lt;$L$8,"夕方","夜")))),IF(OR($D433="朝",$D433="昼",$D433="夕方",$D433="夜"),$D433,"⚠ 不明"))))</f>
        <v/>
      </c>
    </row>
    <row r="434" customFormat="false" ht="15" hidden="false" customHeight="false" outlineLevel="0" collapsed="false">
      <c r="A434" s="75"/>
      <c r="B434" s="76"/>
      <c r="C434" s="77"/>
      <c r="D434" s="78"/>
      <c r="E434" s="77"/>
      <c r="F434" s="76"/>
      <c r="G434" s="76"/>
      <c r="I434" s="79" t="str">
        <f aca="false">IF($B434="","",IF(ISNUMBER(MATCH($B434,日別データ!$B$13:$B$32,0)),"✔ OK","⚠ 未登録"))</f>
        <v/>
      </c>
      <c r="J434" s="80" t="str">
        <f aca="false">IF($B434="","",IF($D434="","－",IF(ISNUMBER($D434),IF(AND($D434&gt;=1,MOD($D434,1)=0),"－",IF(MOD($D434,1)&lt;$L$6,"朝",IF(MOD($D434,1)&lt;$L$7,"昼",IF(MOD($D434,1)&lt;$L$8,"夕方","夜")))),IF(OR($D434="朝",$D434="昼",$D434="夕方",$D434="夜"),$D434,"⚠ 不明"))))</f>
        <v/>
      </c>
    </row>
    <row r="435" customFormat="false" ht="15" hidden="false" customHeight="false" outlineLevel="0" collapsed="false">
      <c r="A435" s="75"/>
      <c r="B435" s="76"/>
      <c r="C435" s="77"/>
      <c r="D435" s="78"/>
      <c r="E435" s="77"/>
      <c r="F435" s="76"/>
      <c r="G435" s="76"/>
      <c r="I435" s="79" t="str">
        <f aca="false">IF($B435="","",IF(ISNUMBER(MATCH($B435,日別データ!$B$13:$B$32,0)),"✔ OK","⚠ 未登録"))</f>
        <v/>
      </c>
      <c r="J435" s="80" t="str">
        <f aca="false">IF($B435="","",IF($D435="","－",IF(ISNUMBER($D435),IF(AND($D435&gt;=1,MOD($D435,1)=0),"－",IF(MOD($D435,1)&lt;$L$6,"朝",IF(MOD($D435,1)&lt;$L$7,"昼",IF(MOD($D435,1)&lt;$L$8,"夕方","夜")))),IF(OR($D435="朝",$D435="昼",$D435="夕方",$D435="夜"),$D435,"⚠ 不明"))))</f>
        <v/>
      </c>
    </row>
    <row r="436" customFormat="false" ht="15" hidden="false" customHeight="false" outlineLevel="0" collapsed="false">
      <c r="A436" s="75"/>
      <c r="B436" s="76"/>
      <c r="C436" s="77"/>
      <c r="D436" s="78"/>
      <c r="E436" s="77"/>
      <c r="F436" s="76"/>
      <c r="G436" s="76"/>
      <c r="I436" s="79" t="str">
        <f aca="false">IF($B436="","",IF(ISNUMBER(MATCH($B436,日別データ!$B$13:$B$32,0)),"✔ OK","⚠ 未登録"))</f>
        <v/>
      </c>
      <c r="J436" s="80" t="str">
        <f aca="false">IF($B436="","",IF($D436="","－",IF(ISNUMBER($D436),IF(AND($D436&gt;=1,MOD($D436,1)=0),"－",IF(MOD($D436,1)&lt;$L$6,"朝",IF(MOD($D436,1)&lt;$L$7,"昼",IF(MOD($D436,1)&lt;$L$8,"夕方","夜")))),IF(OR($D436="朝",$D436="昼",$D436="夕方",$D436="夜"),$D436,"⚠ 不明"))))</f>
        <v/>
      </c>
    </row>
    <row r="437" customFormat="false" ht="15" hidden="false" customHeight="false" outlineLevel="0" collapsed="false">
      <c r="A437" s="75"/>
      <c r="B437" s="76"/>
      <c r="C437" s="77"/>
      <c r="D437" s="78"/>
      <c r="E437" s="77"/>
      <c r="F437" s="76"/>
      <c r="G437" s="76"/>
      <c r="I437" s="79" t="str">
        <f aca="false">IF($B437="","",IF(ISNUMBER(MATCH($B437,日別データ!$B$13:$B$32,0)),"✔ OK","⚠ 未登録"))</f>
        <v/>
      </c>
      <c r="J437" s="80" t="str">
        <f aca="false">IF($B437="","",IF($D437="","－",IF(ISNUMBER($D437),IF(AND($D437&gt;=1,MOD($D437,1)=0),"－",IF(MOD($D437,1)&lt;$L$6,"朝",IF(MOD($D437,1)&lt;$L$7,"昼",IF(MOD($D437,1)&lt;$L$8,"夕方","夜")))),IF(OR($D437="朝",$D437="昼",$D437="夕方",$D437="夜"),$D437,"⚠ 不明"))))</f>
        <v/>
      </c>
    </row>
    <row r="438" customFormat="false" ht="15" hidden="false" customHeight="false" outlineLevel="0" collapsed="false">
      <c r="A438" s="75"/>
      <c r="B438" s="76"/>
      <c r="C438" s="77"/>
      <c r="D438" s="78"/>
      <c r="E438" s="77"/>
      <c r="F438" s="76"/>
      <c r="G438" s="76"/>
      <c r="I438" s="79" t="str">
        <f aca="false">IF($B438="","",IF(ISNUMBER(MATCH($B438,日別データ!$B$13:$B$32,0)),"✔ OK","⚠ 未登録"))</f>
        <v/>
      </c>
      <c r="J438" s="80" t="str">
        <f aca="false">IF($B438="","",IF($D438="","－",IF(ISNUMBER($D438),IF(AND($D438&gt;=1,MOD($D438,1)=0),"－",IF(MOD($D438,1)&lt;$L$6,"朝",IF(MOD($D438,1)&lt;$L$7,"昼",IF(MOD($D438,1)&lt;$L$8,"夕方","夜")))),IF(OR($D438="朝",$D438="昼",$D438="夕方",$D438="夜"),$D438,"⚠ 不明"))))</f>
        <v/>
      </c>
    </row>
    <row r="439" customFormat="false" ht="15" hidden="false" customHeight="false" outlineLevel="0" collapsed="false">
      <c r="A439" s="75"/>
      <c r="B439" s="76"/>
      <c r="C439" s="77"/>
      <c r="D439" s="78"/>
      <c r="E439" s="77"/>
      <c r="F439" s="76"/>
      <c r="G439" s="76"/>
      <c r="I439" s="79" t="str">
        <f aca="false">IF($B439="","",IF(ISNUMBER(MATCH($B439,日別データ!$B$13:$B$32,0)),"✔ OK","⚠ 未登録"))</f>
        <v/>
      </c>
      <c r="J439" s="80" t="str">
        <f aca="false">IF($B439="","",IF($D439="","－",IF(ISNUMBER($D439),IF(AND($D439&gt;=1,MOD($D439,1)=0),"－",IF(MOD($D439,1)&lt;$L$6,"朝",IF(MOD($D439,1)&lt;$L$7,"昼",IF(MOD($D439,1)&lt;$L$8,"夕方","夜")))),IF(OR($D439="朝",$D439="昼",$D439="夕方",$D439="夜"),$D439,"⚠ 不明"))))</f>
        <v/>
      </c>
    </row>
    <row r="440" customFormat="false" ht="15" hidden="false" customHeight="false" outlineLevel="0" collapsed="false">
      <c r="A440" s="75"/>
      <c r="B440" s="76"/>
      <c r="C440" s="77"/>
      <c r="D440" s="78"/>
      <c r="E440" s="77"/>
      <c r="F440" s="76"/>
      <c r="G440" s="76"/>
      <c r="I440" s="79" t="str">
        <f aca="false">IF($B440="","",IF(ISNUMBER(MATCH($B440,日別データ!$B$13:$B$32,0)),"✔ OK","⚠ 未登録"))</f>
        <v/>
      </c>
      <c r="J440" s="80" t="str">
        <f aca="false">IF($B440="","",IF($D440="","－",IF(ISNUMBER($D440),IF(AND($D440&gt;=1,MOD($D440,1)=0),"－",IF(MOD($D440,1)&lt;$L$6,"朝",IF(MOD($D440,1)&lt;$L$7,"昼",IF(MOD($D440,1)&lt;$L$8,"夕方","夜")))),IF(OR($D440="朝",$D440="昼",$D440="夕方",$D440="夜"),$D440,"⚠ 不明"))))</f>
        <v/>
      </c>
    </row>
    <row r="441" customFormat="false" ht="15" hidden="false" customHeight="false" outlineLevel="0" collapsed="false">
      <c r="A441" s="75"/>
      <c r="B441" s="76"/>
      <c r="C441" s="77"/>
      <c r="D441" s="78"/>
      <c r="E441" s="77"/>
      <c r="F441" s="76"/>
      <c r="G441" s="76"/>
      <c r="I441" s="79" t="str">
        <f aca="false">IF($B441="","",IF(ISNUMBER(MATCH($B441,日別データ!$B$13:$B$32,0)),"✔ OK","⚠ 未登録"))</f>
        <v/>
      </c>
      <c r="J441" s="80" t="str">
        <f aca="false">IF($B441="","",IF($D441="","－",IF(ISNUMBER($D441),IF(AND($D441&gt;=1,MOD($D441,1)=0),"－",IF(MOD($D441,1)&lt;$L$6,"朝",IF(MOD($D441,1)&lt;$L$7,"昼",IF(MOD($D441,1)&lt;$L$8,"夕方","夜")))),IF(OR($D441="朝",$D441="昼",$D441="夕方",$D441="夜"),$D441,"⚠ 不明"))))</f>
        <v/>
      </c>
    </row>
    <row r="442" customFormat="false" ht="15" hidden="false" customHeight="false" outlineLevel="0" collapsed="false">
      <c r="A442" s="75"/>
      <c r="B442" s="76"/>
      <c r="C442" s="77"/>
      <c r="D442" s="78"/>
      <c r="E442" s="77"/>
      <c r="F442" s="76"/>
      <c r="G442" s="76"/>
      <c r="I442" s="79" t="str">
        <f aca="false">IF($B442="","",IF(ISNUMBER(MATCH($B442,日別データ!$B$13:$B$32,0)),"✔ OK","⚠ 未登録"))</f>
        <v/>
      </c>
      <c r="J442" s="80" t="str">
        <f aca="false">IF($B442="","",IF($D442="","－",IF(ISNUMBER($D442),IF(AND($D442&gt;=1,MOD($D442,1)=0),"－",IF(MOD($D442,1)&lt;$L$6,"朝",IF(MOD($D442,1)&lt;$L$7,"昼",IF(MOD($D442,1)&lt;$L$8,"夕方","夜")))),IF(OR($D442="朝",$D442="昼",$D442="夕方",$D442="夜"),$D442,"⚠ 不明"))))</f>
        <v/>
      </c>
    </row>
    <row r="443" customFormat="false" ht="15" hidden="false" customHeight="false" outlineLevel="0" collapsed="false">
      <c r="A443" s="75"/>
      <c r="B443" s="76"/>
      <c r="C443" s="77"/>
      <c r="D443" s="78"/>
      <c r="E443" s="77"/>
      <c r="F443" s="76"/>
      <c r="G443" s="76"/>
      <c r="I443" s="79" t="str">
        <f aca="false">IF($B443="","",IF(ISNUMBER(MATCH($B443,日別データ!$B$13:$B$32,0)),"✔ OK","⚠ 未登録"))</f>
        <v/>
      </c>
      <c r="J443" s="80" t="str">
        <f aca="false">IF($B443="","",IF($D443="","－",IF(ISNUMBER($D443),IF(AND($D443&gt;=1,MOD($D443,1)=0),"－",IF(MOD($D443,1)&lt;$L$6,"朝",IF(MOD($D443,1)&lt;$L$7,"昼",IF(MOD($D443,1)&lt;$L$8,"夕方","夜")))),IF(OR($D443="朝",$D443="昼",$D443="夕方",$D443="夜"),$D443,"⚠ 不明"))))</f>
        <v/>
      </c>
    </row>
    <row r="444" customFormat="false" ht="15" hidden="false" customHeight="false" outlineLevel="0" collapsed="false">
      <c r="A444" s="75"/>
      <c r="B444" s="76"/>
      <c r="C444" s="77"/>
      <c r="D444" s="78"/>
      <c r="E444" s="77"/>
      <c r="F444" s="76"/>
      <c r="G444" s="76"/>
      <c r="I444" s="79" t="str">
        <f aca="false">IF($B444="","",IF(ISNUMBER(MATCH($B444,日別データ!$B$13:$B$32,0)),"✔ OK","⚠ 未登録"))</f>
        <v/>
      </c>
      <c r="J444" s="80" t="str">
        <f aca="false">IF($B444="","",IF($D444="","－",IF(ISNUMBER($D444),IF(AND($D444&gt;=1,MOD($D444,1)=0),"－",IF(MOD($D444,1)&lt;$L$6,"朝",IF(MOD($D444,1)&lt;$L$7,"昼",IF(MOD($D444,1)&lt;$L$8,"夕方","夜")))),IF(OR($D444="朝",$D444="昼",$D444="夕方",$D444="夜"),$D444,"⚠ 不明"))))</f>
        <v/>
      </c>
    </row>
    <row r="445" customFormat="false" ht="15" hidden="false" customHeight="false" outlineLevel="0" collapsed="false">
      <c r="A445" s="75"/>
      <c r="B445" s="76"/>
      <c r="C445" s="77"/>
      <c r="D445" s="78"/>
      <c r="E445" s="77"/>
      <c r="F445" s="76"/>
      <c r="G445" s="76"/>
      <c r="I445" s="79" t="str">
        <f aca="false">IF($B445="","",IF(ISNUMBER(MATCH($B445,日別データ!$B$13:$B$32,0)),"✔ OK","⚠ 未登録"))</f>
        <v/>
      </c>
      <c r="J445" s="80" t="str">
        <f aca="false">IF($B445="","",IF($D445="","－",IF(ISNUMBER($D445),IF(AND($D445&gt;=1,MOD($D445,1)=0),"－",IF(MOD($D445,1)&lt;$L$6,"朝",IF(MOD($D445,1)&lt;$L$7,"昼",IF(MOD($D445,1)&lt;$L$8,"夕方","夜")))),IF(OR($D445="朝",$D445="昼",$D445="夕方",$D445="夜"),$D445,"⚠ 不明"))))</f>
        <v/>
      </c>
    </row>
    <row r="446" customFormat="false" ht="15" hidden="false" customHeight="false" outlineLevel="0" collapsed="false">
      <c r="A446" s="75"/>
      <c r="B446" s="76"/>
      <c r="C446" s="77"/>
      <c r="D446" s="78"/>
      <c r="E446" s="77"/>
      <c r="F446" s="76"/>
      <c r="G446" s="76"/>
      <c r="I446" s="79" t="str">
        <f aca="false">IF($B446="","",IF(ISNUMBER(MATCH($B446,日別データ!$B$13:$B$32,0)),"✔ OK","⚠ 未登録"))</f>
        <v/>
      </c>
      <c r="J446" s="80" t="str">
        <f aca="false">IF($B446="","",IF($D446="","－",IF(ISNUMBER($D446),IF(AND($D446&gt;=1,MOD($D446,1)=0),"－",IF(MOD($D446,1)&lt;$L$6,"朝",IF(MOD($D446,1)&lt;$L$7,"昼",IF(MOD($D446,1)&lt;$L$8,"夕方","夜")))),IF(OR($D446="朝",$D446="昼",$D446="夕方",$D446="夜"),$D446,"⚠ 不明"))))</f>
        <v/>
      </c>
    </row>
    <row r="447" customFormat="false" ht="15" hidden="false" customHeight="false" outlineLevel="0" collapsed="false">
      <c r="A447" s="75"/>
      <c r="B447" s="76"/>
      <c r="C447" s="77"/>
      <c r="D447" s="78"/>
      <c r="E447" s="77"/>
      <c r="F447" s="76"/>
      <c r="G447" s="76"/>
      <c r="I447" s="79" t="str">
        <f aca="false">IF($B447="","",IF(ISNUMBER(MATCH($B447,日別データ!$B$13:$B$32,0)),"✔ OK","⚠ 未登録"))</f>
        <v/>
      </c>
      <c r="J447" s="80" t="str">
        <f aca="false">IF($B447="","",IF($D447="","－",IF(ISNUMBER($D447),IF(AND($D447&gt;=1,MOD($D447,1)=0),"－",IF(MOD($D447,1)&lt;$L$6,"朝",IF(MOD($D447,1)&lt;$L$7,"昼",IF(MOD($D447,1)&lt;$L$8,"夕方","夜")))),IF(OR($D447="朝",$D447="昼",$D447="夕方",$D447="夜"),$D447,"⚠ 不明"))))</f>
        <v/>
      </c>
    </row>
    <row r="448" customFormat="false" ht="15" hidden="false" customHeight="false" outlineLevel="0" collapsed="false">
      <c r="A448" s="75"/>
      <c r="B448" s="76"/>
      <c r="C448" s="77"/>
      <c r="D448" s="78"/>
      <c r="E448" s="77"/>
      <c r="F448" s="76"/>
      <c r="G448" s="76"/>
      <c r="I448" s="79" t="str">
        <f aca="false">IF($B448="","",IF(ISNUMBER(MATCH($B448,日別データ!$B$13:$B$32,0)),"✔ OK","⚠ 未登録"))</f>
        <v/>
      </c>
      <c r="J448" s="80" t="str">
        <f aca="false">IF($B448="","",IF($D448="","－",IF(ISNUMBER($D448),IF(AND($D448&gt;=1,MOD($D448,1)=0),"－",IF(MOD($D448,1)&lt;$L$6,"朝",IF(MOD($D448,1)&lt;$L$7,"昼",IF(MOD($D448,1)&lt;$L$8,"夕方","夜")))),IF(OR($D448="朝",$D448="昼",$D448="夕方",$D448="夜"),$D448,"⚠ 不明"))))</f>
        <v/>
      </c>
    </row>
    <row r="449" customFormat="false" ht="15" hidden="false" customHeight="false" outlineLevel="0" collapsed="false">
      <c r="A449" s="75"/>
      <c r="B449" s="76"/>
      <c r="C449" s="77"/>
      <c r="D449" s="78"/>
      <c r="E449" s="77"/>
      <c r="F449" s="76"/>
      <c r="G449" s="76"/>
      <c r="I449" s="79" t="str">
        <f aca="false">IF($B449="","",IF(ISNUMBER(MATCH($B449,日別データ!$B$13:$B$32,0)),"✔ OK","⚠ 未登録"))</f>
        <v/>
      </c>
      <c r="J449" s="80" t="str">
        <f aca="false">IF($B449="","",IF($D449="","－",IF(ISNUMBER($D449),IF(AND($D449&gt;=1,MOD($D449,1)=0),"－",IF(MOD($D449,1)&lt;$L$6,"朝",IF(MOD($D449,1)&lt;$L$7,"昼",IF(MOD($D449,1)&lt;$L$8,"夕方","夜")))),IF(OR($D449="朝",$D449="昼",$D449="夕方",$D449="夜"),$D449,"⚠ 不明"))))</f>
        <v/>
      </c>
    </row>
    <row r="450" customFormat="false" ht="15" hidden="false" customHeight="false" outlineLevel="0" collapsed="false">
      <c r="A450" s="75"/>
      <c r="B450" s="76"/>
      <c r="C450" s="77"/>
      <c r="D450" s="78"/>
      <c r="E450" s="77"/>
      <c r="F450" s="76"/>
      <c r="G450" s="76"/>
      <c r="I450" s="79" t="str">
        <f aca="false">IF($B450="","",IF(ISNUMBER(MATCH($B450,日別データ!$B$13:$B$32,0)),"✔ OK","⚠ 未登録"))</f>
        <v/>
      </c>
      <c r="J450" s="80" t="str">
        <f aca="false">IF($B450="","",IF($D450="","－",IF(ISNUMBER($D450),IF(AND($D450&gt;=1,MOD($D450,1)=0),"－",IF(MOD($D450,1)&lt;$L$6,"朝",IF(MOD($D450,1)&lt;$L$7,"昼",IF(MOD($D450,1)&lt;$L$8,"夕方","夜")))),IF(OR($D450="朝",$D450="昼",$D450="夕方",$D450="夜"),$D450,"⚠ 不明"))))</f>
        <v/>
      </c>
    </row>
    <row r="451" customFormat="false" ht="15" hidden="false" customHeight="false" outlineLevel="0" collapsed="false">
      <c r="A451" s="75"/>
      <c r="B451" s="76"/>
      <c r="C451" s="77"/>
      <c r="D451" s="78"/>
      <c r="E451" s="77"/>
      <c r="F451" s="76"/>
      <c r="G451" s="76"/>
      <c r="I451" s="79" t="str">
        <f aca="false">IF($B451="","",IF(ISNUMBER(MATCH($B451,日別データ!$B$13:$B$32,0)),"✔ OK","⚠ 未登録"))</f>
        <v/>
      </c>
      <c r="J451" s="80" t="str">
        <f aca="false">IF($B451="","",IF($D451="","－",IF(ISNUMBER($D451),IF(AND($D451&gt;=1,MOD($D451,1)=0),"－",IF(MOD($D451,1)&lt;$L$6,"朝",IF(MOD($D451,1)&lt;$L$7,"昼",IF(MOD($D451,1)&lt;$L$8,"夕方","夜")))),IF(OR($D451="朝",$D451="昼",$D451="夕方",$D451="夜"),$D451,"⚠ 不明"))))</f>
        <v/>
      </c>
    </row>
    <row r="452" customFormat="false" ht="15" hidden="false" customHeight="false" outlineLevel="0" collapsed="false">
      <c r="A452" s="75"/>
      <c r="B452" s="76"/>
      <c r="C452" s="77"/>
      <c r="D452" s="78"/>
      <c r="E452" s="77"/>
      <c r="F452" s="76"/>
      <c r="G452" s="76"/>
      <c r="I452" s="79" t="str">
        <f aca="false">IF($B452="","",IF(ISNUMBER(MATCH($B452,日別データ!$B$13:$B$32,0)),"✔ OK","⚠ 未登録"))</f>
        <v/>
      </c>
      <c r="J452" s="80" t="str">
        <f aca="false">IF($B452="","",IF($D452="","－",IF(ISNUMBER($D452),IF(AND($D452&gt;=1,MOD($D452,1)=0),"－",IF(MOD($D452,1)&lt;$L$6,"朝",IF(MOD($D452,1)&lt;$L$7,"昼",IF(MOD($D452,1)&lt;$L$8,"夕方","夜")))),IF(OR($D452="朝",$D452="昼",$D452="夕方",$D452="夜"),$D452,"⚠ 不明"))))</f>
        <v/>
      </c>
    </row>
    <row r="453" customFormat="false" ht="15" hidden="false" customHeight="false" outlineLevel="0" collapsed="false">
      <c r="A453" s="75"/>
      <c r="B453" s="76"/>
      <c r="C453" s="77"/>
      <c r="D453" s="78"/>
      <c r="E453" s="77"/>
      <c r="F453" s="76"/>
      <c r="G453" s="76"/>
      <c r="I453" s="79" t="str">
        <f aca="false">IF($B453="","",IF(ISNUMBER(MATCH($B453,日別データ!$B$13:$B$32,0)),"✔ OK","⚠ 未登録"))</f>
        <v/>
      </c>
      <c r="J453" s="80" t="str">
        <f aca="false">IF($B453="","",IF($D453="","－",IF(ISNUMBER($D453),IF(AND($D453&gt;=1,MOD($D453,1)=0),"－",IF(MOD($D453,1)&lt;$L$6,"朝",IF(MOD($D453,1)&lt;$L$7,"昼",IF(MOD($D453,1)&lt;$L$8,"夕方","夜")))),IF(OR($D453="朝",$D453="昼",$D453="夕方",$D453="夜"),$D453,"⚠ 不明"))))</f>
        <v/>
      </c>
    </row>
    <row r="454" customFormat="false" ht="15" hidden="false" customHeight="false" outlineLevel="0" collapsed="false">
      <c r="A454" s="75"/>
      <c r="B454" s="76"/>
      <c r="C454" s="77"/>
      <c r="D454" s="78"/>
      <c r="E454" s="77"/>
      <c r="F454" s="76"/>
      <c r="G454" s="76"/>
      <c r="I454" s="79" t="str">
        <f aca="false">IF($B454="","",IF(ISNUMBER(MATCH($B454,日別データ!$B$13:$B$32,0)),"✔ OK","⚠ 未登録"))</f>
        <v/>
      </c>
      <c r="J454" s="80" t="str">
        <f aca="false">IF($B454="","",IF($D454="","－",IF(ISNUMBER($D454),IF(AND($D454&gt;=1,MOD($D454,1)=0),"－",IF(MOD($D454,1)&lt;$L$6,"朝",IF(MOD($D454,1)&lt;$L$7,"昼",IF(MOD($D454,1)&lt;$L$8,"夕方","夜")))),IF(OR($D454="朝",$D454="昼",$D454="夕方",$D454="夜"),$D454,"⚠ 不明"))))</f>
        <v/>
      </c>
    </row>
    <row r="455" customFormat="false" ht="15" hidden="false" customHeight="false" outlineLevel="0" collapsed="false">
      <c r="A455" s="75"/>
      <c r="B455" s="76"/>
      <c r="C455" s="77"/>
      <c r="D455" s="78"/>
      <c r="E455" s="77"/>
      <c r="F455" s="76"/>
      <c r="G455" s="76"/>
      <c r="I455" s="79" t="str">
        <f aca="false">IF($B455="","",IF(ISNUMBER(MATCH($B455,日別データ!$B$13:$B$32,0)),"✔ OK","⚠ 未登録"))</f>
        <v/>
      </c>
      <c r="J455" s="80" t="str">
        <f aca="false">IF($B455="","",IF($D455="","－",IF(ISNUMBER($D455),IF(AND($D455&gt;=1,MOD($D455,1)=0),"－",IF(MOD($D455,1)&lt;$L$6,"朝",IF(MOD($D455,1)&lt;$L$7,"昼",IF(MOD($D455,1)&lt;$L$8,"夕方","夜")))),IF(OR($D455="朝",$D455="昼",$D455="夕方",$D455="夜"),$D455,"⚠ 不明"))))</f>
        <v/>
      </c>
    </row>
    <row r="456" customFormat="false" ht="15" hidden="false" customHeight="false" outlineLevel="0" collapsed="false">
      <c r="A456" s="75"/>
      <c r="B456" s="76"/>
      <c r="C456" s="77"/>
      <c r="D456" s="78"/>
      <c r="E456" s="77"/>
      <c r="F456" s="76"/>
      <c r="G456" s="76"/>
      <c r="I456" s="79" t="str">
        <f aca="false">IF($B456="","",IF(ISNUMBER(MATCH($B456,日別データ!$B$13:$B$32,0)),"✔ OK","⚠ 未登録"))</f>
        <v/>
      </c>
      <c r="J456" s="80" t="str">
        <f aca="false">IF($B456="","",IF($D456="","－",IF(ISNUMBER($D456),IF(AND($D456&gt;=1,MOD($D456,1)=0),"－",IF(MOD($D456,1)&lt;$L$6,"朝",IF(MOD($D456,1)&lt;$L$7,"昼",IF(MOD($D456,1)&lt;$L$8,"夕方","夜")))),IF(OR($D456="朝",$D456="昼",$D456="夕方",$D456="夜"),$D456,"⚠ 不明"))))</f>
        <v/>
      </c>
    </row>
    <row r="457" customFormat="false" ht="15" hidden="false" customHeight="false" outlineLevel="0" collapsed="false">
      <c r="A457" s="75"/>
      <c r="B457" s="76"/>
      <c r="C457" s="77"/>
      <c r="D457" s="78"/>
      <c r="E457" s="77"/>
      <c r="F457" s="76"/>
      <c r="G457" s="76"/>
      <c r="I457" s="79" t="str">
        <f aca="false">IF($B457="","",IF(ISNUMBER(MATCH($B457,日別データ!$B$13:$B$32,0)),"✔ OK","⚠ 未登録"))</f>
        <v/>
      </c>
      <c r="J457" s="80" t="str">
        <f aca="false">IF($B457="","",IF($D457="","－",IF(ISNUMBER($D457),IF(AND($D457&gt;=1,MOD($D457,1)=0),"－",IF(MOD($D457,1)&lt;$L$6,"朝",IF(MOD($D457,1)&lt;$L$7,"昼",IF(MOD($D457,1)&lt;$L$8,"夕方","夜")))),IF(OR($D457="朝",$D457="昼",$D457="夕方",$D457="夜"),$D457,"⚠ 不明"))))</f>
        <v/>
      </c>
    </row>
    <row r="458" customFormat="false" ht="15" hidden="false" customHeight="false" outlineLevel="0" collapsed="false">
      <c r="A458" s="75"/>
      <c r="B458" s="76"/>
      <c r="C458" s="77"/>
      <c r="D458" s="78"/>
      <c r="E458" s="77"/>
      <c r="F458" s="76"/>
      <c r="G458" s="76"/>
      <c r="I458" s="79" t="str">
        <f aca="false">IF($B458="","",IF(ISNUMBER(MATCH($B458,日別データ!$B$13:$B$32,0)),"✔ OK","⚠ 未登録"))</f>
        <v/>
      </c>
      <c r="J458" s="80" t="str">
        <f aca="false">IF($B458="","",IF($D458="","－",IF(ISNUMBER($D458),IF(AND($D458&gt;=1,MOD($D458,1)=0),"－",IF(MOD($D458,1)&lt;$L$6,"朝",IF(MOD($D458,1)&lt;$L$7,"昼",IF(MOD($D458,1)&lt;$L$8,"夕方","夜")))),IF(OR($D458="朝",$D458="昼",$D458="夕方",$D458="夜"),$D458,"⚠ 不明"))))</f>
        <v/>
      </c>
    </row>
    <row r="459" customFormat="false" ht="15" hidden="false" customHeight="false" outlineLevel="0" collapsed="false">
      <c r="A459" s="75"/>
      <c r="B459" s="76"/>
      <c r="C459" s="77"/>
      <c r="D459" s="78"/>
      <c r="E459" s="77"/>
      <c r="F459" s="76"/>
      <c r="G459" s="76"/>
      <c r="I459" s="79" t="str">
        <f aca="false">IF($B459="","",IF(ISNUMBER(MATCH($B459,日別データ!$B$13:$B$32,0)),"✔ OK","⚠ 未登録"))</f>
        <v/>
      </c>
      <c r="J459" s="80" t="str">
        <f aca="false">IF($B459="","",IF($D459="","－",IF(ISNUMBER($D459),IF(AND($D459&gt;=1,MOD($D459,1)=0),"－",IF(MOD($D459,1)&lt;$L$6,"朝",IF(MOD($D459,1)&lt;$L$7,"昼",IF(MOD($D459,1)&lt;$L$8,"夕方","夜")))),IF(OR($D459="朝",$D459="昼",$D459="夕方",$D459="夜"),$D459,"⚠ 不明"))))</f>
        <v/>
      </c>
    </row>
    <row r="460" customFormat="false" ht="15" hidden="false" customHeight="false" outlineLevel="0" collapsed="false">
      <c r="A460" s="75"/>
      <c r="B460" s="76"/>
      <c r="C460" s="77"/>
      <c r="D460" s="78"/>
      <c r="E460" s="77"/>
      <c r="F460" s="76"/>
      <c r="G460" s="76"/>
      <c r="I460" s="79" t="str">
        <f aca="false">IF($B460="","",IF(ISNUMBER(MATCH($B460,日別データ!$B$13:$B$32,0)),"✔ OK","⚠ 未登録"))</f>
        <v/>
      </c>
      <c r="J460" s="80" t="str">
        <f aca="false">IF($B460="","",IF($D460="","－",IF(ISNUMBER($D460),IF(AND($D460&gt;=1,MOD($D460,1)=0),"－",IF(MOD($D460,1)&lt;$L$6,"朝",IF(MOD($D460,1)&lt;$L$7,"昼",IF(MOD($D460,1)&lt;$L$8,"夕方","夜")))),IF(OR($D460="朝",$D460="昼",$D460="夕方",$D460="夜"),$D460,"⚠ 不明"))))</f>
        <v/>
      </c>
    </row>
    <row r="461" customFormat="false" ht="15" hidden="false" customHeight="false" outlineLevel="0" collapsed="false">
      <c r="A461" s="75"/>
      <c r="B461" s="76"/>
      <c r="C461" s="77"/>
      <c r="D461" s="78"/>
      <c r="E461" s="77"/>
      <c r="F461" s="76"/>
      <c r="G461" s="76"/>
      <c r="I461" s="79" t="str">
        <f aca="false">IF($B461="","",IF(ISNUMBER(MATCH($B461,日別データ!$B$13:$B$32,0)),"✔ OK","⚠ 未登録"))</f>
        <v/>
      </c>
      <c r="J461" s="80" t="str">
        <f aca="false">IF($B461="","",IF($D461="","－",IF(ISNUMBER($D461),IF(AND($D461&gt;=1,MOD($D461,1)=0),"－",IF(MOD($D461,1)&lt;$L$6,"朝",IF(MOD($D461,1)&lt;$L$7,"昼",IF(MOD($D461,1)&lt;$L$8,"夕方","夜")))),IF(OR($D461="朝",$D461="昼",$D461="夕方",$D461="夜"),$D461,"⚠ 不明"))))</f>
        <v/>
      </c>
    </row>
    <row r="462" customFormat="false" ht="15" hidden="false" customHeight="false" outlineLevel="0" collapsed="false">
      <c r="A462" s="75"/>
      <c r="B462" s="76"/>
      <c r="C462" s="77"/>
      <c r="D462" s="78"/>
      <c r="E462" s="77"/>
      <c r="F462" s="76"/>
      <c r="G462" s="76"/>
      <c r="I462" s="79" t="str">
        <f aca="false">IF($B462="","",IF(ISNUMBER(MATCH($B462,日別データ!$B$13:$B$32,0)),"✔ OK","⚠ 未登録"))</f>
        <v/>
      </c>
      <c r="J462" s="80" t="str">
        <f aca="false">IF($B462="","",IF($D462="","－",IF(ISNUMBER($D462),IF(AND($D462&gt;=1,MOD($D462,1)=0),"－",IF(MOD($D462,1)&lt;$L$6,"朝",IF(MOD($D462,1)&lt;$L$7,"昼",IF(MOD($D462,1)&lt;$L$8,"夕方","夜")))),IF(OR($D462="朝",$D462="昼",$D462="夕方",$D462="夜"),$D462,"⚠ 不明"))))</f>
        <v/>
      </c>
    </row>
    <row r="463" customFormat="false" ht="15" hidden="false" customHeight="false" outlineLevel="0" collapsed="false">
      <c r="A463" s="75"/>
      <c r="B463" s="76"/>
      <c r="C463" s="77"/>
      <c r="D463" s="78"/>
      <c r="E463" s="77"/>
      <c r="F463" s="76"/>
      <c r="G463" s="76"/>
      <c r="I463" s="79" t="str">
        <f aca="false">IF($B463="","",IF(ISNUMBER(MATCH($B463,日別データ!$B$13:$B$32,0)),"✔ OK","⚠ 未登録"))</f>
        <v/>
      </c>
      <c r="J463" s="80" t="str">
        <f aca="false">IF($B463="","",IF($D463="","－",IF(ISNUMBER($D463),IF(AND($D463&gt;=1,MOD($D463,1)=0),"－",IF(MOD($D463,1)&lt;$L$6,"朝",IF(MOD($D463,1)&lt;$L$7,"昼",IF(MOD($D463,1)&lt;$L$8,"夕方","夜")))),IF(OR($D463="朝",$D463="昼",$D463="夕方",$D463="夜"),$D463,"⚠ 不明"))))</f>
        <v/>
      </c>
    </row>
    <row r="464" customFormat="false" ht="15" hidden="false" customHeight="false" outlineLevel="0" collapsed="false">
      <c r="A464" s="75"/>
      <c r="B464" s="76"/>
      <c r="C464" s="77"/>
      <c r="D464" s="78"/>
      <c r="E464" s="77"/>
      <c r="F464" s="76"/>
      <c r="G464" s="76"/>
      <c r="I464" s="79" t="str">
        <f aca="false">IF($B464="","",IF(ISNUMBER(MATCH($B464,日別データ!$B$13:$B$32,0)),"✔ OK","⚠ 未登録"))</f>
        <v/>
      </c>
      <c r="J464" s="80" t="str">
        <f aca="false">IF($B464="","",IF($D464="","－",IF(ISNUMBER($D464),IF(AND($D464&gt;=1,MOD($D464,1)=0),"－",IF(MOD($D464,1)&lt;$L$6,"朝",IF(MOD($D464,1)&lt;$L$7,"昼",IF(MOD($D464,1)&lt;$L$8,"夕方","夜")))),IF(OR($D464="朝",$D464="昼",$D464="夕方",$D464="夜"),$D464,"⚠ 不明"))))</f>
        <v/>
      </c>
    </row>
    <row r="465" customFormat="false" ht="15" hidden="false" customHeight="false" outlineLevel="0" collapsed="false">
      <c r="A465" s="75"/>
      <c r="B465" s="76"/>
      <c r="C465" s="77"/>
      <c r="D465" s="78"/>
      <c r="E465" s="77"/>
      <c r="F465" s="76"/>
      <c r="G465" s="76"/>
      <c r="I465" s="79" t="str">
        <f aca="false">IF($B465="","",IF(ISNUMBER(MATCH($B465,日別データ!$B$13:$B$32,0)),"✔ OK","⚠ 未登録"))</f>
        <v/>
      </c>
      <c r="J465" s="80" t="str">
        <f aca="false">IF($B465="","",IF($D465="","－",IF(ISNUMBER($D465),IF(AND($D465&gt;=1,MOD($D465,1)=0),"－",IF(MOD($D465,1)&lt;$L$6,"朝",IF(MOD($D465,1)&lt;$L$7,"昼",IF(MOD($D465,1)&lt;$L$8,"夕方","夜")))),IF(OR($D465="朝",$D465="昼",$D465="夕方",$D465="夜"),$D465,"⚠ 不明"))))</f>
        <v/>
      </c>
    </row>
    <row r="466" customFormat="false" ht="15" hidden="false" customHeight="false" outlineLevel="0" collapsed="false">
      <c r="A466" s="75"/>
      <c r="B466" s="76"/>
      <c r="C466" s="77"/>
      <c r="D466" s="78"/>
      <c r="E466" s="77"/>
      <c r="F466" s="76"/>
      <c r="G466" s="76"/>
      <c r="I466" s="79" t="str">
        <f aca="false">IF($B466="","",IF(ISNUMBER(MATCH($B466,日別データ!$B$13:$B$32,0)),"✔ OK","⚠ 未登録"))</f>
        <v/>
      </c>
      <c r="J466" s="80" t="str">
        <f aca="false">IF($B466="","",IF($D466="","－",IF(ISNUMBER($D466),IF(AND($D466&gt;=1,MOD($D466,1)=0),"－",IF(MOD($D466,1)&lt;$L$6,"朝",IF(MOD($D466,1)&lt;$L$7,"昼",IF(MOD($D466,1)&lt;$L$8,"夕方","夜")))),IF(OR($D466="朝",$D466="昼",$D466="夕方",$D466="夜"),$D466,"⚠ 不明"))))</f>
        <v/>
      </c>
    </row>
    <row r="467" customFormat="false" ht="15" hidden="false" customHeight="false" outlineLevel="0" collapsed="false">
      <c r="A467" s="75"/>
      <c r="B467" s="76"/>
      <c r="C467" s="77"/>
      <c r="D467" s="78"/>
      <c r="E467" s="77"/>
      <c r="F467" s="76"/>
      <c r="G467" s="76"/>
      <c r="I467" s="79" t="str">
        <f aca="false">IF($B467="","",IF(ISNUMBER(MATCH($B467,日別データ!$B$13:$B$32,0)),"✔ OK","⚠ 未登録"))</f>
        <v/>
      </c>
      <c r="J467" s="80" t="str">
        <f aca="false">IF($B467="","",IF($D467="","－",IF(ISNUMBER($D467),IF(AND($D467&gt;=1,MOD($D467,1)=0),"－",IF(MOD($D467,1)&lt;$L$6,"朝",IF(MOD($D467,1)&lt;$L$7,"昼",IF(MOD($D467,1)&lt;$L$8,"夕方","夜")))),IF(OR($D467="朝",$D467="昼",$D467="夕方",$D467="夜"),$D467,"⚠ 不明"))))</f>
        <v/>
      </c>
    </row>
    <row r="468" customFormat="false" ht="15" hidden="false" customHeight="false" outlineLevel="0" collapsed="false">
      <c r="A468" s="75"/>
      <c r="B468" s="76"/>
      <c r="C468" s="77"/>
      <c r="D468" s="78"/>
      <c r="E468" s="77"/>
      <c r="F468" s="76"/>
      <c r="G468" s="76"/>
      <c r="I468" s="79" t="str">
        <f aca="false">IF($B468="","",IF(ISNUMBER(MATCH($B468,日別データ!$B$13:$B$32,0)),"✔ OK","⚠ 未登録"))</f>
        <v/>
      </c>
      <c r="J468" s="80" t="str">
        <f aca="false">IF($B468="","",IF($D468="","－",IF(ISNUMBER($D468),IF(AND($D468&gt;=1,MOD($D468,1)=0),"－",IF(MOD($D468,1)&lt;$L$6,"朝",IF(MOD($D468,1)&lt;$L$7,"昼",IF(MOD($D468,1)&lt;$L$8,"夕方","夜")))),IF(OR($D468="朝",$D468="昼",$D468="夕方",$D468="夜"),$D468,"⚠ 不明"))))</f>
        <v/>
      </c>
    </row>
    <row r="469" customFormat="false" ht="15" hidden="false" customHeight="false" outlineLevel="0" collapsed="false">
      <c r="A469" s="75"/>
      <c r="B469" s="76"/>
      <c r="C469" s="77"/>
      <c r="D469" s="78"/>
      <c r="E469" s="77"/>
      <c r="F469" s="76"/>
      <c r="G469" s="76"/>
      <c r="I469" s="79" t="str">
        <f aca="false">IF($B469="","",IF(ISNUMBER(MATCH($B469,日別データ!$B$13:$B$32,0)),"✔ OK","⚠ 未登録"))</f>
        <v/>
      </c>
      <c r="J469" s="80" t="str">
        <f aca="false">IF($B469="","",IF($D469="","－",IF(ISNUMBER($D469),IF(AND($D469&gt;=1,MOD($D469,1)=0),"－",IF(MOD($D469,1)&lt;$L$6,"朝",IF(MOD($D469,1)&lt;$L$7,"昼",IF(MOD($D469,1)&lt;$L$8,"夕方","夜")))),IF(OR($D469="朝",$D469="昼",$D469="夕方",$D469="夜"),$D469,"⚠ 不明"))))</f>
        <v/>
      </c>
    </row>
    <row r="470" customFormat="false" ht="15" hidden="false" customHeight="false" outlineLevel="0" collapsed="false">
      <c r="A470" s="75"/>
      <c r="B470" s="76"/>
      <c r="C470" s="77"/>
      <c r="D470" s="78"/>
      <c r="E470" s="77"/>
      <c r="F470" s="76"/>
      <c r="G470" s="76"/>
      <c r="I470" s="79" t="str">
        <f aca="false">IF($B470="","",IF(ISNUMBER(MATCH($B470,日別データ!$B$13:$B$32,0)),"✔ OK","⚠ 未登録"))</f>
        <v/>
      </c>
      <c r="J470" s="80" t="str">
        <f aca="false">IF($B470="","",IF($D470="","－",IF(ISNUMBER($D470),IF(AND($D470&gt;=1,MOD($D470,1)=0),"－",IF(MOD($D470,1)&lt;$L$6,"朝",IF(MOD($D470,1)&lt;$L$7,"昼",IF(MOD($D470,1)&lt;$L$8,"夕方","夜")))),IF(OR($D470="朝",$D470="昼",$D470="夕方",$D470="夜"),$D470,"⚠ 不明"))))</f>
        <v/>
      </c>
    </row>
    <row r="471" customFormat="false" ht="15" hidden="false" customHeight="false" outlineLevel="0" collapsed="false">
      <c r="A471" s="75"/>
      <c r="B471" s="76"/>
      <c r="C471" s="77"/>
      <c r="D471" s="78"/>
      <c r="E471" s="77"/>
      <c r="F471" s="76"/>
      <c r="G471" s="76"/>
      <c r="I471" s="79" t="str">
        <f aca="false">IF($B471="","",IF(ISNUMBER(MATCH($B471,日別データ!$B$13:$B$32,0)),"✔ OK","⚠ 未登録"))</f>
        <v/>
      </c>
      <c r="J471" s="80" t="str">
        <f aca="false">IF($B471="","",IF($D471="","－",IF(ISNUMBER($D471),IF(AND($D471&gt;=1,MOD($D471,1)=0),"－",IF(MOD($D471,1)&lt;$L$6,"朝",IF(MOD($D471,1)&lt;$L$7,"昼",IF(MOD($D471,1)&lt;$L$8,"夕方","夜")))),IF(OR($D471="朝",$D471="昼",$D471="夕方",$D471="夜"),$D471,"⚠ 不明"))))</f>
        <v/>
      </c>
    </row>
    <row r="472" customFormat="false" ht="15" hidden="false" customHeight="false" outlineLevel="0" collapsed="false">
      <c r="A472" s="75"/>
      <c r="B472" s="76"/>
      <c r="C472" s="77"/>
      <c r="D472" s="78"/>
      <c r="E472" s="77"/>
      <c r="F472" s="76"/>
      <c r="G472" s="76"/>
      <c r="I472" s="79" t="str">
        <f aca="false">IF($B472="","",IF(ISNUMBER(MATCH($B472,日別データ!$B$13:$B$32,0)),"✔ OK","⚠ 未登録"))</f>
        <v/>
      </c>
      <c r="J472" s="80" t="str">
        <f aca="false">IF($B472="","",IF($D472="","－",IF(ISNUMBER($D472),IF(AND($D472&gt;=1,MOD($D472,1)=0),"－",IF(MOD($D472,1)&lt;$L$6,"朝",IF(MOD($D472,1)&lt;$L$7,"昼",IF(MOD($D472,1)&lt;$L$8,"夕方","夜")))),IF(OR($D472="朝",$D472="昼",$D472="夕方",$D472="夜"),$D472,"⚠ 不明"))))</f>
        <v/>
      </c>
    </row>
    <row r="473" customFormat="false" ht="15" hidden="false" customHeight="false" outlineLevel="0" collapsed="false">
      <c r="A473" s="75"/>
      <c r="B473" s="76"/>
      <c r="C473" s="77"/>
      <c r="D473" s="78"/>
      <c r="E473" s="77"/>
      <c r="F473" s="76"/>
      <c r="G473" s="76"/>
      <c r="I473" s="79" t="str">
        <f aca="false">IF($B473="","",IF(ISNUMBER(MATCH($B473,日別データ!$B$13:$B$32,0)),"✔ OK","⚠ 未登録"))</f>
        <v/>
      </c>
      <c r="J473" s="80" t="str">
        <f aca="false">IF($B473="","",IF($D473="","－",IF(ISNUMBER($D473),IF(AND($D473&gt;=1,MOD($D473,1)=0),"－",IF(MOD($D473,1)&lt;$L$6,"朝",IF(MOD($D473,1)&lt;$L$7,"昼",IF(MOD($D473,1)&lt;$L$8,"夕方","夜")))),IF(OR($D473="朝",$D473="昼",$D473="夕方",$D473="夜"),$D473,"⚠ 不明"))))</f>
        <v/>
      </c>
    </row>
    <row r="474" customFormat="false" ht="15" hidden="false" customHeight="false" outlineLevel="0" collapsed="false">
      <c r="A474" s="75"/>
      <c r="B474" s="76"/>
      <c r="C474" s="77"/>
      <c r="D474" s="78"/>
      <c r="E474" s="77"/>
      <c r="F474" s="76"/>
      <c r="G474" s="76"/>
      <c r="I474" s="79" t="str">
        <f aca="false">IF($B474="","",IF(ISNUMBER(MATCH($B474,日別データ!$B$13:$B$32,0)),"✔ OK","⚠ 未登録"))</f>
        <v/>
      </c>
      <c r="J474" s="80" t="str">
        <f aca="false">IF($B474="","",IF($D474="","－",IF(ISNUMBER($D474),IF(AND($D474&gt;=1,MOD($D474,1)=0),"－",IF(MOD($D474,1)&lt;$L$6,"朝",IF(MOD($D474,1)&lt;$L$7,"昼",IF(MOD($D474,1)&lt;$L$8,"夕方","夜")))),IF(OR($D474="朝",$D474="昼",$D474="夕方",$D474="夜"),$D474,"⚠ 不明"))))</f>
        <v/>
      </c>
    </row>
    <row r="475" customFormat="false" ht="15" hidden="false" customHeight="false" outlineLevel="0" collapsed="false">
      <c r="A475" s="75"/>
      <c r="B475" s="76"/>
      <c r="C475" s="77"/>
      <c r="D475" s="78"/>
      <c r="E475" s="77"/>
      <c r="F475" s="76"/>
      <c r="G475" s="76"/>
      <c r="I475" s="79" t="str">
        <f aca="false">IF($B475="","",IF(ISNUMBER(MATCH($B475,日別データ!$B$13:$B$32,0)),"✔ OK","⚠ 未登録"))</f>
        <v/>
      </c>
      <c r="J475" s="80" t="str">
        <f aca="false">IF($B475="","",IF($D475="","－",IF(ISNUMBER($D475),IF(AND($D475&gt;=1,MOD($D475,1)=0),"－",IF(MOD($D475,1)&lt;$L$6,"朝",IF(MOD($D475,1)&lt;$L$7,"昼",IF(MOD($D475,1)&lt;$L$8,"夕方","夜")))),IF(OR($D475="朝",$D475="昼",$D475="夕方",$D475="夜"),$D475,"⚠ 不明"))))</f>
        <v/>
      </c>
    </row>
    <row r="476" customFormat="false" ht="15" hidden="false" customHeight="false" outlineLevel="0" collapsed="false">
      <c r="A476" s="75"/>
      <c r="B476" s="76"/>
      <c r="C476" s="77"/>
      <c r="D476" s="78"/>
      <c r="E476" s="77"/>
      <c r="F476" s="76"/>
      <c r="G476" s="76"/>
      <c r="I476" s="79" t="str">
        <f aca="false">IF($B476="","",IF(ISNUMBER(MATCH($B476,日別データ!$B$13:$B$32,0)),"✔ OK","⚠ 未登録"))</f>
        <v/>
      </c>
      <c r="J476" s="80" t="str">
        <f aca="false">IF($B476="","",IF($D476="","－",IF(ISNUMBER($D476),IF(AND($D476&gt;=1,MOD($D476,1)=0),"－",IF(MOD($D476,1)&lt;$L$6,"朝",IF(MOD($D476,1)&lt;$L$7,"昼",IF(MOD($D476,1)&lt;$L$8,"夕方","夜")))),IF(OR($D476="朝",$D476="昼",$D476="夕方",$D476="夜"),$D476,"⚠ 不明"))))</f>
        <v/>
      </c>
    </row>
    <row r="477" customFormat="false" ht="15" hidden="false" customHeight="false" outlineLevel="0" collapsed="false">
      <c r="A477" s="75"/>
      <c r="B477" s="76"/>
      <c r="C477" s="77"/>
      <c r="D477" s="78"/>
      <c r="E477" s="77"/>
      <c r="F477" s="76"/>
      <c r="G477" s="76"/>
      <c r="I477" s="79" t="str">
        <f aca="false">IF($B477="","",IF(ISNUMBER(MATCH($B477,日別データ!$B$13:$B$32,0)),"✔ OK","⚠ 未登録"))</f>
        <v/>
      </c>
      <c r="J477" s="80" t="str">
        <f aca="false">IF($B477="","",IF($D477="","－",IF(ISNUMBER($D477),IF(AND($D477&gt;=1,MOD($D477,1)=0),"－",IF(MOD($D477,1)&lt;$L$6,"朝",IF(MOD($D477,1)&lt;$L$7,"昼",IF(MOD($D477,1)&lt;$L$8,"夕方","夜")))),IF(OR($D477="朝",$D477="昼",$D477="夕方",$D477="夜"),$D477,"⚠ 不明"))))</f>
        <v/>
      </c>
    </row>
    <row r="478" customFormat="false" ht="15" hidden="false" customHeight="false" outlineLevel="0" collapsed="false">
      <c r="A478" s="75"/>
      <c r="B478" s="76"/>
      <c r="C478" s="77"/>
      <c r="D478" s="78"/>
      <c r="E478" s="77"/>
      <c r="F478" s="76"/>
      <c r="G478" s="76"/>
      <c r="I478" s="79" t="str">
        <f aca="false">IF($B478="","",IF(ISNUMBER(MATCH($B478,日別データ!$B$13:$B$32,0)),"✔ OK","⚠ 未登録"))</f>
        <v/>
      </c>
      <c r="J478" s="80" t="str">
        <f aca="false">IF($B478="","",IF($D478="","－",IF(ISNUMBER($D478),IF(AND($D478&gt;=1,MOD($D478,1)=0),"－",IF(MOD($D478,1)&lt;$L$6,"朝",IF(MOD($D478,1)&lt;$L$7,"昼",IF(MOD($D478,1)&lt;$L$8,"夕方","夜")))),IF(OR($D478="朝",$D478="昼",$D478="夕方",$D478="夜"),$D478,"⚠ 不明"))))</f>
        <v/>
      </c>
    </row>
    <row r="479" customFormat="false" ht="15" hidden="false" customHeight="false" outlineLevel="0" collapsed="false">
      <c r="A479" s="75"/>
      <c r="B479" s="76"/>
      <c r="C479" s="77"/>
      <c r="D479" s="78"/>
      <c r="E479" s="77"/>
      <c r="F479" s="76"/>
      <c r="G479" s="76"/>
      <c r="I479" s="79" t="str">
        <f aca="false">IF($B479="","",IF(ISNUMBER(MATCH($B479,日別データ!$B$13:$B$32,0)),"✔ OK","⚠ 未登録"))</f>
        <v/>
      </c>
      <c r="J479" s="80" t="str">
        <f aca="false">IF($B479="","",IF($D479="","－",IF(ISNUMBER($D479),IF(AND($D479&gt;=1,MOD($D479,1)=0),"－",IF(MOD($D479,1)&lt;$L$6,"朝",IF(MOD($D479,1)&lt;$L$7,"昼",IF(MOD($D479,1)&lt;$L$8,"夕方","夜")))),IF(OR($D479="朝",$D479="昼",$D479="夕方",$D479="夜"),$D479,"⚠ 不明"))))</f>
        <v/>
      </c>
    </row>
    <row r="480" customFormat="false" ht="15" hidden="false" customHeight="false" outlineLevel="0" collapsed="false">
      <c r="A480" s="75"/>
      <c r="B480" s="76"/>
      <c r="C480" s="77"/>
      <c r="D480" s="78"/>
      <c r="E480" s="77"/>
      <c r="F480" s="76"/>
      <c r="G480" s="76"/>
      <c r="I480" s="79" t="str">
        <f aca="false">IF($B480="","",IF(ISNUMBER(MATCH($B480,日別データ!$B$13:$B$32,0)),"✔ OK","⚠ 未登録"))</f>
        <v/>
      </c>
      <c r="J480" s="80" t="str">
        <f aca="false">IF($B480="","",IF($D480="","－",IF(ISNUMBER($D480),IF(AND($D480&gt;=1,MOD($D480,1)=0),"－",IF(MOD($D480,1)&lt;$L$6,"朝",IF(MOD($D480,1)&lt;$L$7,"昼",IF(MOD($D480,1)&lt;$L$8,"夕方","夜")))),IF(OR($D480="朝",$D480="昼",$D480="夕方",$D480="夜"),$D480,"⚠ 不明"))))</f>
        <v/>
      </c>
    </row>
    <row r="481" customFormat="false" ht="15" hidden="false" customHeight="false" outlineLevel="0" collapsed="false">
      <c r="A481" s="75"/>
      <c r="B481" s="76"/>
      <c r="C481" s="77"/>
      <c r="D481" s="78"/>
      <c r="E481" s="77"/>
      <c r="F481" s="76"/>
      <c r="G481" s="76"/>
      <c r="I481" s="79" t="str">
        <f aca="false">IF($B481="","",IF(ISNUMBER(MATCH($B481,日別データ!$B$13:$B$32,0)),"✔ OK","⚠ 未登録"))</f>
        <v/>
      </c>
      <c r="J481" s="80" t="str">
        <f aca="false">IF($B481="","",IF($D481="","－",IF(ISNUMBER($D481),IF(AND($D481&gt;=1,MOD($D481,1)=0),"－",IF(MOD($D481,1)&lt;$L$6,"朝",IF(MOD($D481,1)&lt;$L$7,"昼",IF(MOD($D481,1)&lt;$L$8,"夕方","夜")))),IF(OR($D481="朝",$D481="昼",$D481="夕方",$D481="夜"),$D481,"⚠ 不明"))))</f>
        <v/>
      </c>
    </row>
    <row r="482" customFormat="false" ht="15" hidden="false" customHeight="false" outlineLevel="0" collapsed="false">
      <c r="A482" s="75"/>
      <c r="B482" s="76"/>
      <c r="C482" s="77"/>
      <c r="D482" s="78"/>
      <c r="E482" s="77"/>
      <c r="F482" s="76"/>
      <c r="G482" s="76"/>
      <c r="I482" s="79" t="str">
        <f aca="false">IF($B482="","",IF(ISNUMBER(MATCH($B482,日別データ!$B$13:$B$32,0)),"✔ OK","⚠ 未登録"))</f>
        <v/>
      </c>
      <c r="J482" s="80" t="str">
        <f aca="false">IF($B482="","",IF($D482="","－",IF(ISNUMBER($D482),IF(AND($D482&gt;=1,MOD($D482,1)=0),"－",IF(MOD($D482,1)&lt;$L$6,"朝",IF(MOD($D482,1)&lt;$L$7,"昼",IF(MOD($D482,1)&lt;$L$8,"夕方","夜")))),IF(OR($D482="朝",$D482="昼",$D482="夕方",$D482="夜"),$D482,"⚠ 不明"))))</f>
        <v/>
      </c>
    </row>
    <row r="483" customFormat="false" ht="15" hidden="false" customHeight="false" outlineLevel="0" collapsed="false">
      <c r="A483" s="75"/>
      <c r="B483" s="76"/>
      <c r="C483" s="77"/>
      <c r="D483" s="78"/>
      <c r="E483" s="77"/>
      <c r="F483" s="76"/>
      <c r="G483" s="76"/>
      <c r="I483" s="79" t="str">
        <f aca="false">IF($B483="","",IF(ISNUMBER(MATCH($B483,日別データ!$B$13:$B$32,0)),"✔ OK","⚠ 未登録"))</f>
        <v/>
      </c>
      <c r="J483" s="80" t="str">
        <f aca="false">IF($B483="","",IF($D483="","－",IF(ISNUMBER($D483),IF(AND($D483&gt;=1,MOD($D483,1)=0),"－",IF(MOD($D483,1)&lt;$L$6,"朝",IF(MOD($D483,1)&lt;$L$7,"昼",IF(MOD($D483,1)&lt;$L$8,"夕方","夜")))),IF(OR($D483="朝",$D483="昼",$D483="夕方",$D483="夜"),$D483,"⚠ 不明"))))</f>
        <v/>
      </c>
    </row>
    <row r="484" customFormat="false" ht="15" hidden="false" customHeight="false" outlineLevel="0" collapsed="false">
      <c r="A484" s="75"/>
      <c r="B484" s="76"/>
      <c r="C484" s="77"/>
      <c r="D484" s="78"/>
      <c r="E484" s="77"/>
      <c r="F484" s="76"/>
      <c r="G484" s="76"/>
      <c r="I484" s="79" t="str">
        <f aca="false">IF($B484="","",IF(ISNUMBER(MATCH($B484,日別データ!$B$13:$B$32,0)),"✔ OK","⚠ 未登録"))</f>
        <v/>
      </c>
      <c r="J484" s="80" t="str">
        <f aca="false">IF($B484="","",IF($D484="","－",IF(ISNUMBER($D484),IF(AND($D484&gt;=1,MOD($D484,1)=0),"－",IF(MOD($D484,1)&lt;$L$6,"朝",IF(MOD($D484,1)&lt;$L$7,"昼",IF(MOD($D484,1)&lt;$L$8,"夕方","夜")))),IF(OR($D484="朝",$D484="昼",$D484="夕方",$D484="夜"),$D484,"⚠ 不明"))))</f>
        <v/>
      </c>
    </row>
    <row r="485" customFormat="false" ht="15" hidden="false" customHeight="false" outlineLevel="0" collapsed="false">
      <c r="A485" s="75"/>
      <c r="B485" s="76"/>
      <c r="C485" s="77"/>
      <c r="D485" s="78"/>
      <c r="E485" s="77"/>
      <c r="F485" s="76"/>
      <c r="G485" s="76"/>
      <c r="I485" s="79" t="str">
        <f aca="false">IF($B485="","",IF(ISNUMBER(MATCH($B485,日別データ!$B$13:$B$32,0)),"✔ OK","⚠ 未登録"))</f>
        <v/>
      </c>
      <c r="J485" s="80" t="str">
        <f aca="false">IF($B485="","",IF($D485="","－",IF(ISNUMBER($D485),IF(AND($D485&gt;=1,MOD($D485,1)=0),"－",IF(MOD($D485,1)&lt;$L$6,"朝",IF(MOD($D485,1)&lt;$L$7,"昼",IF(MOD($D485,1)&lt;$L$8,"夕方","夜")))),IF(OR($D485="朝",$D485="昼",$D485="夕方",$D485="夜"),$D485,"⚠ 不明"))))</f>
        <v/>
      </c>
    </row>
    <row r="486" customFormat="false" ht="15" hidden="false" customHeight="false" outlineLevel="0" collapsed="false">
      <c r="A486" s="75"/>
      <c r="B486" s="76"/>
      <c r="C486" s="77"/>
      <c r="D486" s="78"/>
      <c r="E486" s="77"/>
      <c r="F486" s="76"/>
      <c r="G486" s="76"/>
      <c r="I486" s="79" t="str">
        <f aca="false">IF($B486="","",IF(ISNUMBER(MATCH($B486,日別データ!$B$13:$B$32,0)),"✔ OK","⚠ 未登録"))</f>
        <v/>
      </c>
      <c r="J486" s="80" t="str">
        <f aca="false">IF($B486="","",IF($D486="","－",IF(ISNUMBER($D486),IF(AND($D486&gt;=1,MOD($D486,1)=0),"－",IF(MOD($D486,1)&lt;$L$6,"朝",IF(MOD($D486,1)&lt;$L$7,"昼",IF(MOD($D486,1)&lt;$L$8,"夕方","夜")))),IF(OR($D486="朝",$D486="昼",$D486="夕方",$D486="夜"),$D486,"⚠ 不明"))))</f>
        <v/>
      </c>
    </row>
    <row r="487" customFormat="false" ht="15" hidden="false" customHeight="false" outlineLevel="0" collapsed="false">
      <c r="A487" s="75"/>
      <c r="B487" s="76"/>
      <c r="C487" s="77"/>
      <c r="D487" s="78"/>
      <c r="E487" s="77"/>
      <c r="F487" s="76"/>
      <c r="G487" s="76"/>
      <c r="I487" s="79" t="str">
        <f aca="false">IF($B487="","",IF(ISNUMBER(MATCH($B487,日別データ!$B$13:$B$32,0)),"✔ OK","⚠ 未登録"))</f>
        <v/>
      </c>
      <c r="J487" s="80" t="str">
        <f aca="false">IF($B487="","",IF($D487="","－",IF(ISNUMBER($D487),IF(AND($D487&gt;=1,MOD($D487,1)=0),"－",IF(MOD($D487,1)&lt;$L$6,"朝",IF(MOD($D487,1)&lt;$L$7,"昼",IF(MOD($D487,1)&lt;$L$8,"夕方","夜")))),IF(OR($D487="朝",$D487="昼",$D487="夕方",$D487="夜"),$D487,"⚠ 不明"))))</f>
        <v/>
      </c>
    </row>
    <row r="488" customFormat="false" ht="15" hidden="false" customHeight="false" outlineLevel="0" collapsed="false">
      <c r="A488" s="75"/>
      <c r="B488" s="76"/>
      <c r="C488" s="77"/>
      <c r="D488" s="78"/>
      <c r="E488" s="77"/>
      <c r="F488" s="76"/>
      <c r="G488" s="76"/>
      <c r="I488" s="79" t="str">
        <f aca="false">IF($B488="","",IF(ISNUMBER(MATCH($B488,日別データ!$B$13:$B$32,0)),"✔ OK","⚠ 未登録"))</f>
        <v/>
      </c>
      <c r="J488" s="80" t="str">
        <f aca="false">IF($B488="","",IF($D488="","－",IF(ISNUMBER($D488),IF(AND($D488&gt;=1,MOD($D488,1)=0),"－",IF(MOD($D488,1)&lt;$L$6,"朝",IF(MOD($D488,1)&lt;$L$7,"昼",IF(MOD($D488,1)&lt;$L$8,"夕方","夜")))),IF(OR($D488="朝",$D488="昼",$D488="夕方",$D488="夜"),$D488,"⚠ 不明"))))</f>
        <v/>
      </c>
    </row>
    <row r="489" customFormat="false" ht="15" hidden="false" customHeight="false" outlineLevel="0" collapsed="false">
      <c r="A489" s="75"/>
      <c r="B489" s="76"/>
      <c r="C489" s="77"/>
      <c r="D489" s="78"/>
      <c r="E489" s="77"/>
      <c r="F489" s="76"/>
      <c r="G489" s="76"/>
      <c r="I489" s="79" t="str">
        <f aca="false">IF($B489="","",IF(ISNUMBER(MATCH($B489,日別データ!$B$13:$B$32,0)),"✔ OK","⚠ 未登録"))</f>
        <v/>
      </c>
      <c r="J489" s="80" t="str">
        <f aca="false">IF($B489="","",IF($D489="","－",IF(ISNUMBER($D489),IF(AND($D489&gt;=1,MOD($D489,1)=0),"－",IF(MOD($D489,1)&lt;$L$6,"朝",IF(MOD($D489,1)&lt;$L$7,"昼",IF(MOD($D489,1)&lt;$L$8,"夕方","夜")))),IF(OR($D489="朝",$D489="昼",$D489="夕方",$D489="夜"),$D489,"⚠ 不明"))))</f>
        <v/>
      </c>
    </row>
    <row r="490" customFormat="false" ht="15" hidden="false" customHeight="false" outlineLevel="0" collapsed="false">
      <c r="A490" s="75"/>
      <c r="B490" s="76"/>
      <c r="C490" s="77"/>
      <c r="D490" s="78"/>
      <c r="E490" s="77"/>
      <c r="F490" s="76"/>
      <c r="G490" s="76"/>
      <c r="I490" s="79" t="str">
        <f aca="false">IF($B490="","",IF(ISNUMBER(MATCH($B490,日別データ!$B$13:$B$32,0)),"✔ OK","⚠ 未登録"))</f>
        <v/>
      </c>
      <c r="J490" s="80" t="str">
        <f aca="false">IF($B490="","",IF($D490="","－",IF(ISNUMBER($D490),IF(AND($D490&gt;=1,MOD($D490,1)=0),"－",IF(MOD($D490,1)&lt;$L$6,"朝",IF(MOD($D490,1)&lt;$L$7,"昼",IF(MOD($D490,1)&lt;$L$8,"夕方","夜")))),IF(OR($D490="朝",$D490="昼",$D490="夕方",$D490="夜"),$D490,"⚠ 不明"))))</f>
        <v/>
      </c>
    </row>
    <row r="491" customFormat="false" ht="15" hidden="false" customHeight="false" outlineLevel="0" collapsed="false">
      <c r="A491" s="75"/>
      <c r="B491" s="76"/>
      <c r="C491" s="77"/>
      <c r="D491" s="78"/>
      <c r="E491" s="77"/>
      <c r="F491" s="76"/>
      <c r="G491" s="76"/>
      <c r="I491" s="79" t="str">
        <f aca="false">IF($B491="","",IF(ISNUMBER(MATCH($B491,日別データ!$B$13:$B$32,0)),"✔ OK","⚠ 未登録"))</f>
        <v/>
      </c>
      <c r="J491" s="80" t="str">
        <f aca="false">IF($B491="","",IF($D491="","－",IF(ISNUMBER($D491),IF(AND($D491&gt;=1,MOD($D491,1)=0),"－",IF(MOD($D491,1)&lt;$L$6,"朝",IF(MOD($D491,1)&lt;$L$7,"昼",IF(MOD($D491,1)&lt;$L$8,"夕方","夜")))),IF(OR($D491="朝",$D491="昼",$D491="夕方",$D491="夜"),$D491,"⚠ 不明"))))</f>
        <v/>
      </c>
    </row>
    <row r="492" customFormat="false" ht="15" hidden="false" customHeight="false" outlineLevel="0" collapsed="false">
      <c r="A492" s="75"/>
      <c r="B492" s="76"/>
      <c r="C492" s="77"/>
      <c r="D492" s="78"/>
      <c r="E492" s="77"/>
      <c r="F492" s="76"/>
      <c r="G492" s="76"/>
      <c r="I492" s="79" t="str">
        <f aca="false">IF($B492="","",IF(ISNUMBER(MATCH($B492,日別データ!$B$13:$B$32,0)),"✔ OK","⚠ 未登録"))</f>
        <v/>
      </c>
      <c r="J492" s="80" t="str">
        <f aca="false">IF($B492="","",IF($D492="","－",IF(ISNUMBER($D492),IF(AND($D492&gt;=1,MOD($D492,1)=0),"－",IF(MOD($D492,1)&lt;$L$6,"朝",IF(MOD($D492,1)&lt;$L$7,"昼",IF(MOD($D492,1)&lt;$L$8,"夕方","夜")))),IF(OR($D492="朝",$D492="昼",$D492="夕方",$D492="夜"),$D492,"⚠ 不明"))))</f>
        <v/>
      </c>
    </row>
    <row r="493" customFormat="false" ht="15" hidden="false" customHeight="false" outlineLevel="0" collapsed="false">
      <c r="A493" s="75"/>
      <c r="B493" s="76"/>
      <c r="C493" s="77"/>
      <c r="D493" s="78"/>
      <c r="E493" s="77"/>
      <c r="F493" s="76"/>
      <c r="G493" s="76"/>
      <c r="I493" s="79" t="str">
        <f aca="false">IF($B493="","",IF(ISNUMBER(MATCH($B493,日別データ!$B$13:$B$32,0)),"✔ OK","⚠ 未登録"))</f>
        <v/>
      </c>
      <c r="J493" s="80" t="str">
        <f aca="false">IF($B493="","",IF($D493="","－",IF(ISNUMBER($D493),IF(AND($D493&gt;=1,MOD($D493,1)=0),"－",IF(MOD($D493,1)&lt;$L$6,"朝",IF(MOD($D493,1)&lt;$L$7,"昼",IF(MOD($D493,1)&lt;$L$8,"夕方","夜")))),IF(OR($D493="朝",$D493="昼",$D493="夕方",$D493="夜"),$D493,"⚠ 不明"))))</f>
        <v/>
      </c>
    </row>
    <row r="494" customFormat="false" ht="15" hidden="false" customHeight="false" outlineLevel="0" collapsed="false">
      <c r="A494" s="75"/>
      <c r="B494" s="76"/>
      <c r="C494" s="77"/>
      <c r="D494" s="78"/>
      <c r="E494" s="77"/>
      <c r="F494" s="76"/>
      <c r="G494" s="76"/>
      <c r="I494" s="79" t="str">
        <f aca="false">IF($B494="","",IF(ISNUMBER(MATCH($B494,日別データ!$B$13:$B$32,0)),"✔ OK","⚠ 未登録"))</f>
        <v/>
      </c>
      <c r="J494" s="80" t="str">
        <f aca="false">IF($B494="","",IF($D494="","－",IF(ISNUMBER($D494),IF(AND($D494&gt;=1,MOD($D494,1)=0),"－",IF(MOD($D494,1)&lt;$L$6,"朝",IF(MOD($D494,1)&lt;$L$7,"昼",IF(MOD($D494,1)&lt;$L$8,"夕方","夜")))),IF(OR($D494="朝",$D494="昼",$D494="夕方",$D494="夜"),$D494,"⚠ 不明"))))</f>
        <v/>
      </c>
    </row>
    <row r="495" customFormat="false" ht="15" hidden="false" customHeight="false" outlineLevel="0" collapsed="false">
      <c r="A495" s="75"/>
      <c r="B495" s="76"/>
      <c r="C495" s="77"/>
      <c r="D495" s="78"/>
      <c r="E495" s="77"/>
      <c r="F495" s="76"/>
      <c r="G495" s="76"/>
      <c r="I495" s="79" t="str">
        <f aca="false">IF($B495="","",IF(ISNUMBER(MATCH($B495,日別データ!$B$13:$B$32,0)),"✔ OK","⚠ 未登録"))</f>
        <v/>
      </c>
      <c r="J495" s="80" t="str">
        <f aca="false">IF($B495="","",IF($D495="","－",IF(ISNUMBER($D495),IF(AND($D495&gt;=1,MOD($D495,1)=0),"－",IF(MOD($D495,1)&lt;$L$6,"朝",IF(MOD($D495,1)&lt;$L$7,"昼",IF(MOD($D495,1)&lt;$L$8,"夕方","夜")))),IF(OR($D495="朝",$D495="昼",$D495="夕方",$D495="夜"),$D495,"⚠ 不明"))))</f>
        <v/>
      </c>
    </row>
    <row r="496" customFormat="false" ht="15" hidden="false" customHeight="false" outlineLevel="0" collapsed="false">
      <c r="A496" s="75"/>
      <c r="B496" s="76"/>
      <c r="C496" s="77"/>
      <c r="D496" s="78"/>
      <c r="E496" s="77"/>
      <c r="F496" s="76"/>
      <c r="G496" s="76"/>
      <c r="I496" s="79" t="str">
        <f aca="false">IF($B496="","",IF(ISNUMBER(MATCH($B496,日別データ!$B$13:$B$32,0)),"✔ OK","⚠ 未登録"))</f>
        <v/>
      </c>
      <c r="J496" s="80" t="str">
        <f aca="false">IF($B496="","",IF($D496="","－",IF(ISNUMBER($D496),IF(AND($D496&gt;=1,MOD($D496,1)=0),"－",IF(MOD($D496,1)&lt;$L$6,"朝",IF(MOD($D496,1)&lt;$L$7,"昼",IF(MOD($D496,1)&lt;$L$8,"夕方","夜")))),IF(OR($D496="朝",$D496="昼",$D496="夕方",$D496="夜"),$D496,"⚠ 不明"))))</f>
        <v/>
      </c>
    </row>
    <row r="497" customFormat="false" ht="15" hidden="false" customHeight="false" outlineLevel="0" collapsed="false">
      <c r="A497" s="75"/>
      <c r="B497" s="76"/>
      <c r="C497" s="77"/>
      <c r="D497" s="78"/>
      <c r="E497" s="77"/>
      <c r="F497" s="76"/>
      <c r="G497" s="76"/>
      <c r="I497" s="79" t="str">
        <f aca="false">IF($B497="","",IF(ISNUMBER(MATCH($B497,日別データ!$B$13:$B$32,0)),"✔ OK","⚠ 未登録"))</f>
        <v/>
      </c>
      <c r="J497" s="80" t="str">
        <f aca="false">IF($B497="","",IF($D497="","－",IF(ISNUMBER($D497),IF(AND($D497&gt;=1,MOD($D497,1)=0),"－",IF(MOD($D497,1)&lt;$L$6,"朝",IF(MOD($D497,1)&lt;$L$7,"昼",IF(MOD($D497,1)&lt;$L$8,"夕方","夜")))),IF(OR($D497="朝",$D497="昼",$D497="夕方",$D497="夜"),$D497,"⚠ 不明"))))</f>
        <v/>
      </c>
    </row>
    <row r="498" customFormat="false" ht="15" hidden="false" customHeight="false" outlineLevel="0" collapsed="false">
      <c r="A498" s="75"/>
      <c r="B498" s="76"/>
      <c r="C498" s="77"/>
      <c r="D498" s="78"/>
      <c r="E498" s="77"/>
      <c r="F498" s="76"/>
      <c r="G498" s="76"/>
      <c r="I498" s="79" t="str">
        <f aca="false">IF($B498="","",IF(ISNUMBER(MATCH($B498,日別データ!$B$13:$B$32,0)),"✔ OK","⚠ 未登録"))</f>
        <v/>
      </c>
      <c r="J498" s="80" t="str">
        <f aca="false">IF($B498="","",IF($D498="","－",IF(ISNUMBER($D498),IF(AND($D498&gt;=1,MOD($D498,1)=0),"－",IF(MOD($D498,1)&lt;$L$6,"朝",IF(MOD($D498,1)&lt;$L$7,"昼",IF(MOD($D498,1)&lt;$L$8,"夕方","夜")))),IF(OR($D498="朝",$D498="昼",$D498="夕方",$D498="夜"),$D498,"⚠ 不明"))))</f>
        <v/>
      </c>
    </row>
    <row r="499" customFormat="false" ht="15" hidden="false" customHeight="false" outlineLevel="0" collapsed="false">
      <c r="A499" s="75"/>
      <c r="B499" s="76"/>
      <c r="C499" s="77"/>
      <c r="D499" s="78"/>
      <c r="E499" s="77"/>
      <c r="F499" s="76"/>
      <c r="G499" s="76"/>
      <c r="I499" s="79" t="str">
        <f aca="false">IF($B499="","",IF(ISNUMBER(MATCH($B499,日別データ!$B$13:$B$32,0)),"✔ OK","⚠ 未登録"))</f>
        <v/>
      </c>
      <c r="J499" s="80" t="str">
        <f aca="false">IF($B499="","",IF($D499="","－",IF(ISNUMBER($D499),IF(AND($D499&gt;=1,MOD($D499,1)=0),"－",IF(MOD($D499,1)&lt;$L$6,"朝",IF(MOD($D499,1)&lt;$L$7,"昼",IF(MOD($D499,1)&lt;$L$8,"夕方","夜")))),IF(OR($D499="朝",$D499="昼",$D499="夕方",$D499="夜"),$D499,"⚠ 不明"))))</f>
        <v/>
      </c>
    </row>
    <row r="500" customFormat="false" ht="15" hidden="false" customHeight="false" outlineLevel="0" collapsed="false">
      <c r="A500" s="75"/>
      <c r="B500" s="76"/>
      <c r="C500" s="77"/>
      <c r="D500" s="78"/>
      <c r="E500" s="77"/>
      <c r="F500" s="76"/>
      <c r="G500" s="76"/>
      <c r="I500" s="79" t="str">
        <f aca="false">IF($B500="","",IF(ISNUMBER(MATCH($B500,日別データ!$B$13:$B$32,0)),"✔ OK","⚠ 未登録"))</f>
        <v/>
      </c>
      <c r="J500" s="80" t="str">
        <f aca="false">IF($B500="","",IF($D500="","－",IF(ISNUMBER($D500),IF(AND($D500&gt;=1,MOD($D500,1)=0),"－",IF(MOD($D500,1)&lt;$L$6,"朝",IF(MOD($D500,1)&lt;$L$7,"昼",IF(MOD($D500,1)&lt;$L$8,"夕方","夜")))),IF(OR($D500="朝",$D500="昼",$D500="夕方",$D500="夜"),$D500,"⚠ 不明"))))</f>
        <v/>
      </c>
    </row>
    <row r="501" customFormat="false" ht="15" hidden="false" customHeight="false" outlineLevel="0" collapsed="false">
      <c r="A501" s="75"/>
      <c r="B501" s="76"/>
      <c r="C501" s="77"/>
      <c r="D501" s="78"/>
      <c r="E501" s="77"/>
      <c r="F501" s="76"/>
      <c r="G501" s="76"/>
      <c r="I501" s="79" t="str">
        <f aca="false">IF($B501="","",IF(ISNUMBER(MATCH($B501,日別データ!$B$13:$B$32,0)),"✔ OK","⚠ 未登録"))</f>
        <v/>
      </c>
      <c r="J501" s="80" t="str">
        <f aca="false">IF($B501="","",IF($D501="","－",IF(ISNUMBER($D501),IF(AND($D501&gt;=1,MOD($D501,1)=0),"－",IF(MOD($D501,1)&lt;$L$6,"朝",IF(MOD($D501,1)&lt;$L$7,"昼",IF(MOD($D501,1)&lt;$L$8,"夕方","夜")))),IF(OR($D501="朝",$D501="昼",$D501="夕方",$D501="夜"),$D501,"⚠ 不明"))))</f>
        <v/>
      </c>
    </row>
    <row r="502" customFormat="false" ht="15" hidden="false" customHeight="false" outlineLevel="0" collapsed="false">
      <c r="A502" s="75"/>
      <c r="B502" s="76"/>
      <c r="C502" s="77"/>
      <c r="D502" s="78"/>
      <c r="E502" s="77"/>
      <c r="F502" s="76"/>
      <c r="G502" s="76"/>
      <c r="I502" s="79" t="str">
        <f aca="false">IF($B502="","",IF(ISNUMBER(MATCH($B502,日別データ!$B$13:$B$32,0)),"✔ OK","⚠ 未登録"))</f>
        <v/>
      </c>
      <c r="J502" s="80" t="str">
        <f aca="false">IF($B502="","",IF($D502="","－",IF(ISNUMBER($D502),IF(AND($D502&gt;=1,MOD($D502,1)=0),"－",IF(MOD($D502,1)&lt;$L$6,"朝",IF(MOD($D502,1)&lt;$L$7,"昼",IF(MOD($D502,1)&lt;$L$8,"夕方","夜")))),IF(OR($D502="朝",$D502="昼",$D502="夕方",$D502="夜"),$D502,"⚠ 不明"))))</f>
        <v/>
      </c>
    </row>
    <row r="503" customFormat="false" ht="15" hidden="false" customHeight="false" outlineLevel="0" collapsed="false">
      <c r="A503" s="75"/>
      <c r="B503" s="76"/>
      <c r="C503" s="77"/>
      <c r="D503" s="78"/>
      <c r="E503" s="77"/>
      <c r="F503" s="76"/>
      <c r="G503" s="76"/>
      <c r="I503" s="79" t="str">
        <f aca="false">IF($B503="","",IF(ISNUMBER(MATCH($B503,日別データ!$B$13:$B$32,0)),"✔ OK","⚠ 未登録"))</f>
        <v/>
      </c>
      <c r="J503" s="80" t="str">
        <f aca="false">IF($B503="","",IF($D503="","－",IF(ISNUMBER($D503),IF(AND($D503&gt;=1,MOD($D503,1)=0),"－",IF(MOD($D503,1)&lt;$L$6,"朝",IF(MOD($D503,1)&lt;$L$7,"昼",IF(MOD($D503,1)&lt;$L$8,"夕方","夜")))),IF(OR($D503="朝",$D503="昼",$D503="夕方",$D503="夜"),$D503,"⚠ 不明"))))</f>
        <v/>
      </c>
    </row>
    <row r="504" customFormat="false" ht="15" hidden="false" customHeight="false" outlineLevel="0" collapsed="false">
      <c r="A504" s="75"/>
      <c r="B504" s="76"/>
      <c r="C504" s="77"/>
      <c r="D504" s="78"/>
      <c r="E504" s="77"/>
      <c r="F504" s="76"/>
      <c r="G504" s="76"/>
      <c r="I504" s="79" t="str">
        <f aca="false">IF($B504="","",IF(ISNUMBER(MATCH($B504,日別データ!$B$13:$B$32,0)),"✔ OK","⚠ 未登録"))</f>
        <v/>
      </c>
      <c r="J504" s="80" t="str">
        <f aca="false">IF($B504="","",IF($D504="","－",IF(ISNUMBER($D504),IF(AND($D504&gt;=1,MOD($D504,1)=0),"－",IF(MOD($D504,1)&lt;$L$6,"朝",IF(MOD($D504,1)&lt;$L$7,"昼",IF(MOD($D504,1)&lt;$L$8,"夕方","夜")))),IF(OR($D504="朝",$D504="昼",$D504="夕方",$D504="夜"),$D504,"⚠ 不明"))))</f>
        <v/>
      </c>
    </row>
    <row r="505" customFormat="false" ht="15" hidden="false" customHeight="false" outlineLevel="0" collapsed="false">
      <c r="A505" s="75"/>
      <c r="B505" s="76"/>
      <c r="C505" s="77"/>
      <c r="D505" s="78"/>
      <c r="E505" s="77"/>
      <c r="F505" s="76"/>
      <c r="G505" s="76"/>
      <c r="I505" s="79" t="str">
        <f aca="false">IF($B505="","",IF(ISNUMBER(MATCH($B505,日別データ!$B$13:$B$32,0)),"✔ OK","⚠ 未登録"))</f>
        <v/>
      </c>
      <c r="J505" s="80" t="str">
        <f aca="false">IF($B505="","",IF($D505="","－",IF(ISNUMBER($D505),IF(AND($D505&gt;=1,MOD($D505,1)=0),"－",IF(MOD($D505,1)&lt;$L$6,"朝",IF(MOD($D505,1)&lt;$L$7,"昼",IF(MOD($D505,1)&lt;$L$8,"夕方","夜")))),IF(OR($D505="朝",$D505="昼",$D505="夕方",$D505="夜"),$D505,"⚠ 不明"))))</f>
        <v/>
      </c>
    </row>
    <row r="506" customFormat="false" ht="15" hidden="false" customHeight="false" outlineLevel="0" collapsed="false">
      <c r="A506" s="75"/>
      <c r="B506" s="76"/>
      <c r="C506" s="77"/>
      <c r="D506" s="78"/>
      <c r="E506" s="77"/>
      <c r="F506" s="76"/>
      <c r="G506" s="76"/>
      <c r="I506" s="79" t="str">
        <f aca="false">IF($B506="","",IF(ISNUMBER(MATCH($B506,日別データ!$B$13:$B$32,0)),"✔ OK","⚠ 未登録"))</f>
        <v/>
      </c>
      <c r="J506" s="80" t="str">
        <f aca="false">IF($B506="","",IF($D506="","－",IF(ISNUMBER($D506),IF(AND($D506&gt;=1,MOD($D506,1)=0),"－",IF(MOD($D506,1)&lt;$L$6,"朝",IF(MOD($D506,1)&lt;$L$7,"昼",IF(MOD($D506,1)&lt;$L$8,"夕方","夜")))),IF(OR($D506="朝",$D506="昼",$D506="夕方",$D506="夜"),$D506,"⚠ 不明"))))</f>
        <v/>
      </c>
    </row>
    <row r="507" customFormat="false" ht="15" hidden="false" customHeight="false" outlineLevel="0" collapsed="false">
      <c r="A507" s="75"/>
      <c r="B507" s="76"/>
      <c r="C507" s="77"/>
      <c r="D507" s="78"/>
      <c r="E507" s="77"/>
      <c r="F507" s="76"/>
      <c r="G507" s="76"/>
      <c r="I507" s="79" t="str">
        <f aca="false">IF($B507="","",IF(ISNUMBER(MATCH($B507,日別データ!$B$13:$B$32,0)),"✔ OK","⚠ 未登録"))</f>
        <v/>
      </c>
      <c r="J507" s="80" t="str">
        <f aca="false">IF($B507="","",IF($D507="","－",IF(ISNUMBER($D507),IF(AND($D507&gt;=1,MOD($D507,1)=0),"－",IF(MOD($D507,1)&lt;$L$6,"朝",IF(MOD($D507,1)&lt;$L$7,"昼",IF(MOD($D507,1)&lt;$L$8,"夕方","夜")))),IF(OR($D507="朝",$D507="昼",$D507="夕方",$D507="夜"),$D507,"⚠ 不明"))))</f>
        <v/>
      </c>
    </row>
    <row r="508" customFormat="false" ht="15" hidden="false" customHeight="false" outlineLevel="0" collapsed="false">
      <c r="A508" s="75"/>
      <c r="B508" s="76"/>
      <c r="C508" s="77"/>
      <c r="D508" s="78"/>
      <c r="E508" s="77"/>
      <c r="F508" s="76"/>
      <c r="G508" s="76"/>
      <c r="I508" s="79" t="str">
        <f aca="false">IF($B508="","",IF(ISNUMBER(MATCH($B508,日別データ!$B$13:$B$32,0)),"✔ OK","⚠ 未登録"))</f>
        <v/>
      </c>
      <c r="J508" s="80" t="str">
        <f aca="false">IF($B508="","",IF($D508="","－",IF(ISNUMBER($D508),IF(AND($D508&gt;=1,MOD($D508,1)=0),"－",IF(MOD($D508,1)&lt;$L$6,"朝",IF(MOD($D508,1)&lt;$L$7,"昼",IF(MOD($D508,1)&lt;$L$8,"夕方","夜")))),IF(OR($D508="朝",$D508="昼",$D508="夕方",$D508="夜"),$D508,"⚠ 不明"))))</f>
        <v/>
      </c>
    </row>
    <row r="509" customFormat="false" ht="15" hidden="false" customHeight="false" outlineLevel="0" collapsed="false">
      <c r="A509" s="75"/>
      <c r="B509" s="76"/>
      <c r="C509" s="77"/>
      <c r="D509" s="78"/>
      <c r="E509" s="77"/>
      <c r="F509" s="76"/>
      <c r="G509" s="76"/>
      <c r="I509" s="79" t="str">
        <f aca="false">IF($B509="","",IF(ISNUMBER(MATCH($B509,日別データ!$B$13:$B$32,0)),"✔ OK","⚠ 未登録"))</f>
        <v/>
      </c>
      <c r="J509" s="80" t="str">
        <f aca="false">IF($B509="","",IF($D509="","－",IF(ISNUMBER($D509),IF(AND($D509&gt;=1,MOD($D509,1)=0),"－",IF(MOD($D509,1)&lt;$L$6,"朝",IF(MOD($D509,1)&lt;$L$7,"昼",IF(MOD($D509,1)&lt;$L$8,"夕方","夜")))),IF(OR($D509="朝",$D509="昼",$D509="夕方",$D509="夜"),$D509,"⚠ 不明"))))</f>
        <v/>
      </c>
    </row>
    <row r="510" customFormat="false" ht="15" hidden="false" customHeight="false" outlineLevel="0" collapsed="false">
      <c r="A510" s="75"/>
      <c r="B510" s="76"/>
      <c r="C510" s="77"/>
      <c r="D510" s="78"/>
      <c r="E510" s="77"/>
      <c r="F510" s="76"/>
      <c r="G510" s="76"/>
      <c r="I510" s="79" t="str">
        <f aca="false">IF($B510="","",IF(ISNUMBER(MATCH($B510,日別データ!$B$13:$B$32,0)),"✔ OK","⚠ 未登録"))</f>
        <v/>
      </c>
      <c r="J510" s="80" t="str">
        <f aca="false">IF($B510="","",IF($D510="","－",IF(ISNUMBER($D510),IF(AND($D510&gt;=1,MOD($D510,1)=0),"－",IF(MOD($D510,1)&lt;$L$6,"朝",IF(MOD($D510,1)&lt;$L$7,"昼",IF(MOD($D510,1)&lt;$L$8,"夕方","夜")))),IF(OR($D510="朝",$D510="昼",$D510="夕方",$D510="夜"),$D510,"⚠ 不明"))))</f>
        <v/>
      </c>
    </row>
    <row r="511" customFormat="false" ht="15" hidden="false" customHeight="false" outlineLevel="0" collapsed="false">
      <c r="A511" s="75"/>
      <c r="B511" s="76"/>
      <c r="C511" s="77"/>
      <c r="D511" s="78"/>
      <c r="E511" s="77"/>
      <c r="F511" s="76"/>
      <c r="G511" s="76"/>
      <c r="I511" s="79" t="str">
        <f aca="false">IF($B511="","",IF(ISNUMBER(MATCH($B511,日別データ!$B$13:$B$32,0)),"✔ OK","⚠ 未登録"))</f>
        <v/>
      </c>
      <c r="J511" s="80" t="str">
        <f aca="false">IF($B511="","",IF($D511="","－",IF(ISNUMBER($D511),IF(AND($D511&gt;=1,MOD($D511,1)=0),"－",IF(MOD($D511,1)&lt;$L$6,"朝",IF(MOD($D511,1)&lt;$L$7,"昼",IF(MOD($D511,1)&lt;$L$8,"夕方","夜")))),IF(OR($D511="朝",$D511="昼",$D511="夕方",$D511="夜"),$D511,"⚠ 不明"))))</f>
        <v/>
      </c>
    </row>
    <row r="512" customFormat="false" ht="15" hidden="false" customHeight="false" outlineLevel="0" collapsed="false">
      <c r="A512" s="75"/>
      <c r="B512" s="76"/>
      <c r="C512" s="77"/>
      <c r="D512" s="78"/>
      <c r="E512" s="77"/>
      <c r="F512" s="76"/>
      <c r="G512" s="76"/>
      <c r="I512" s="79" t="str">
        <f aca="false">IF($B512="","",IF(ISNUMBER(MATCH($B512,日別データ!$B$13:$B$32,0)),"✔ OK","⚠ 未登録"))</f>
        <v/>
      </c>
      <c r="J512" s="80" t="str">
        <f aca="false">IF($B512="","",IF($D512="","－",IF(ISNUMBER($D512),IF(AND($D512&gt;=1,MOD($D512,1)=0),"－",IF(MOD($D512,1)&lt;$L$6,"朝",IF(MOD($D512,1)&lt;$L$7,"昼",IF(MOD($D512,1)&lt;$L$8,"夕方","夜")))),IF(OR($D512="朝",$D512="昼",$D512="夕方",$D512="夜"),$D512,"⚠ 不明"))))</f>
        <v/>
      </c>
    </row>
    <row r="513" customFormat="false" ht="15" hidden="false" customHeight="false" outlineLevel="0" collapsed="false">
      <c r="A513" s="75"/>
      <c r="B513" s="76"/>
      <c r="C513" s="77"/>
      <c r="D513" s="78"/>
      <c r="E513" s="77"/>
      <c r="F513" s="76"/>
      <c r="G513" s="76"/>
      <c r="I513" s="79" t="str">
        <f aca="false">IF($B513="","",IF(ISNUMBER(MATCH($B513,日別データ!$B$13:$B$32,0)),"✔ OK","⚠ 未登録"))</f>
        <v/>
      </c>
      <c r="J513" s="80" t="str">
        <f aca="false">IF($B513="","",IF($D513="","－",IF(ISNUMBER($D513),IF(AND($D513&gt;=1,MOD($D513,1)=0),"－",IF(MOD($D513,1)&lt;$L$6,"朝",IF(MOD($D513,1)&lt;$L$7,"昼",IF(MOD($D513,1)&lt;$L$8,"夕方","夜")))),IF(OR($D513="朝",$D513="昼",$D513="夕方",$D513="夜"),$D513,"⚠ 不明"))))</f>
        <v/>
      </c>
    </row>
    <row r="514" customFormat="false" ht="15" hidden="false" customHeight="false" outlineLevel="0" collapsed="false">
      <c r="A514" s="75"/>
      <c r="B514" s="76"/>
      <c r="C514" s="77"/>
      <c r="D514" s="78"/>
      <c r="E514" s="77"/>
      <c r="F514" s="76"/>
      <c r="G514" s="76"/>
      <c r="I514" s="79" t="str">
        <f aca="false">IF($B514="","",IF(ISNUMBER(MATCH($B514,日別データ!$B$13:$B$32,0)),"✔ OK","⚠ 未登録"))</f>
        <v/>
      </c>
      <c r="J514" s="80" t="str">
        <f aca="false">IF($B514="","",IF($D514="","－",IF(ISNUMBER($D514),IF(AND($D514&gt;=1,MOD($D514,1)=0),"－",IF(MOD($D514,1)&lt;$L$6,"朝",IF(MOD($D514,1)&lt;$L$7,"昼",IF(MOD($D514,1)&lt;$L$8,"夕方","夜")))),IF(OR($D514="朝",$D514="昼",$D514="夕方",$D514="夜"),$D514,"⚠ 不明"))))</f>
        <v/>
      </c>
    </row>
    <row r="515" customFormat="false" ht="15" hidden="false" customHeight="false" outlineLevel="0" collapsed="false">
      <c r="A515" s="75"/>
      <c r="B515" s="76"/>
      <c r="C515" s="77"/>
      <c r="D515" s="78"/>
      <c r="E515" s="77"/>
      <c r="F515" s="76"/>
      <c r="G515" s="76"/>
      <c r="I515" s="79" t="str">
        <f aca="false">IF($B515="","",IF(ISNUMBER(MATCH($B515,日別データ!$B$13:$B$32,0)),"✔ OK","⚠ 未登録"))</f>
        <v/>
      </c>
      <c r="J515" s="80" t="str">
        <f aca="false">IF($B515="","",IF($D515="","－",IF(ISNUMBER($D515),IF(AND($D515&gt;=1,MOD($D515,1)=0),"－",IF(MOD($D515,1)&lt;$L$6,"朝",IF(MOD($D515,1)&lt;$L$7,"昼",IF(MOD($D515,1)&lt;$L$8,"夕方","夜")))),IF(OR($D515="朝",$D515="昼",$D515="夕方",$D515="夜"),$D515,"⚠ 不明"))))</f>
        <v/>
      </c>
    </row>
    <row r="516" customFormat="false" ht="15" hidden="false" customHeight="false" outlineLevel="0" collapsed="false">
      <c r="A516" s="75"/>
      <c r="B516" s="76"/>
      <c r="C516" s="77"/>
      <c r="D516" s="78"/>
      <c r="E516" s="77"/>
      <c r="F516" s="76"/>
      <c r="G516" s="76"/>
      <c r="I516" s="79" t="str">
        <f aca="false">IF($B516="","",IF(ISNUMBER(MATCH($B516,日別データ!$B$13:$B$32,0)),"✔ OK","⚠ 未登録"))</f>
        <v/>
      </c>
      <c r="J516" s="80" t="str">
        <f aca="false">IF($B516="","",IF($D516="","－",IF(ISNUMBER($D516),IF(AND($D516&gt;=1,MOD($D516,1)=0),"－",IF(MOD($D516,1)&lt;$L$6,"朝",IF(MOD($D516,1)&lt;$L$7,"昼",IF(MOD($D516,1)&lt;$L$8,"夕方","夜")))),IF(OR($D516="朝",$D516="昼",$D516="夕方",$D516="夜"),$D516,"⚠ 不明"))))</f>
        <v/>
      </c>
    </row>
    <row r="517" customFormat="false" ht="15" hidden="false" customHeight="false" outlineLevel="0" collapsed="false">
      <c r="A517" s="75"/>
      <c r="B517" s="76"/>
      <c r="C517" s="77"/>
      <c r="D517" s="78"/>
      <c r="E517" s="77"/>
      <c r="F517" s="76"/>
      <c r="G517" s="76"/>
      <c r="I517" s="79" t="str">
        <f aca="false">IF($B517="","",IF(ISNUMBER(MATCH($B517,日別データ!$B$13:$B$32,0)),"✔ OK","⚠ 未登録"))</f>
        <v/>
      </c>
      <c r="J517" s="80" t="str">
        <f aca="false">IF($B517="","",IF($D517="","－",IF(ISNUMBER($D517),IF(AND($D517&gt;=1,MOD($D517,1)=0),"－",IF(MOD($D517,1)&lt;$L$6,"朝",IF(MOD($D517,1)&lt;$L$7,"昼",IF(MOD($D517,1)&lt;$L$8,"夕方","夜")))),IF(OR($D517="朝",$D517="昼",$D517="夕方",$D517="夜"),$D517,"⚠ 不明"))))</f>
        <v/>
      </c>
    </row>
    <row r="518" customFormat="false" ht="15" hidden="false" customHeight="false" outlineLevel="0" collapsed="false">
      <c r="A518" s="75"/>
      <c r="B518" s="76"/>
      <c r="C518" s="77"/>
      <c r="D518" s="78"/>
      <c r="E518" s="77"/>
      <c r="F518" s="76"/>
      <c r="G518" s="76"/>
      <c r="I518" s="79" t="str">
        <f aca="false">IF($B518="","",IF(ISNUMBER(MATCH($B518,日別データ!$B$13:$B$32,0)),"✔ OK","⚠ 未登録"))</f>
        <v/>
      </c>
      <c r="J518" s="80" t="str">
        <f aca="false">IF($B518="","",IF($D518="","－",IF(ISNUMBER($D518),IF(AND($D518&gt;=1,MOD($D518,1)=0),"－",IF(MOD($D518,1)&lt;$L$6,"朝",IF(MOD($D518,1)&lt;$L$7,"昼",IF(MOD($D518,1)&lt;$L$8,"夕方","夜")))),IF(OR($D518="朝",$D518="昼",$D518="夕方",$D518="夜"),$D518,"⚠ 不明"))))</f>
        <v/>
      </c>
    </row>
    <row r="519" customFormat="false" ht="15" hidden="false" customHeight="false" outlineLevel="0" collapsed="false">
      <c r="A519" s="75"/>
      <c r="B519" s="76"/>
      <c r="C519" s="77"/>
      <c r="D519" s="78"/>
      <c r="E519" s="77"/>
      <c r="F519" s="76"/>
      <c r="G519" s="76"/>
      <c r="I519" s="79" t="str">
        <f aca="false">IF($B519="","",IF(ISNUMBER(MATCH($B519,日別データ!$B$13:$B$32,0)),"✔ OK","⚠ 未登録"))</f>
        <v/>
      </c>
      <c r="J519" s="80" t="str">
        <f aca="false">IF($B519="","",IF($D519="","－",IF(ISNUMBER($D519),IF(AND($D519&gt;=1,MOD($D519,1)=0),"－",IF(MOD($D519,1)&lt;$L$6,"朝",IF(MOD($D519,1)&lt;$L$7,"昼",IF(MOD($D519,1)&lt;$L$8,"夕方","夜")))),IF(OR($D519="朝",$D519="昼",$D519="夕方",$D519="夜"),$D519,"⚠ 不明"))))</f>
        <v/>
      </c>
    </row>
    <row r="520" customFormat="false" ht="15" hidden="false" customHeight="false" outlineLevel="0" collapsed="false">
      <c r="A520" s="75"/>
      <c r="B520" s="76"/>
      <c r="C520" s="77"/>
      <c r="D520" s="78"/>
      <c r="E520" s="77"/>
      <c r="F520" s="76"/>
      <c r="G520" s="76"/>
      <c r="I520" s="79" t="str">
        <f aca="false">IF($B520="","",IF(ISNUMBER(MATCH($B520,日別データ!$B$13:$B$32,0)),"✔ OK","⚠ 未登録"))</f>
        <v/>
      </c>
      <c r="J520" s="80" t="str">
        <f aca="false">IF($B520="","",IF($D520="","－",IF(ISNUMBER($D520),IF(AND($D520&gt;=1,MOD($D520,1)=0),"－",IF(MOD($D520,1)&lt;$L$6,"朝",IF(MOD($D520,1)&lt;$L$7,"昼",IF(MOD($D520,1)&lt;$L$8,"夕方","夜")))),IF(OR($D520="朝",$D520="昼",$D520="夕方",$D520="夜"),$D520,"⚠ 不明"))))</f>
        <v/>
      </c>
    </row>
    <row r="521" customFormat="false" ht="15" hidden="false" customHeight="false" outlineLevel="0" collapsed="false">
      <c r="A521" s="75"/>
      <c r="B521" s="76"/>
      <c r="C521" s="77"/>
      <c r="D521" s="78"/>
      <c r="E521" s="77"/>
      <c r="F521" s="76"/>
      <c r="G521" s="76"/>
      <c r="I521" s="79" t="str">
        <f aca="false">IF($B521="","",IF(ISNUMBER(MATCH($B521,日別データ!$B$13:$B$32,0)),"✔ OK","⚠ 未登録"))</f>
        <v/>
      </c>
      <c r="J521" s="80" t="str">
        <f aca="false">IF($B521="","",IF($D521="","－",IF(ISNUMBER($D521),IF(AND($D521&gt;=1,MOD($D521,1)=0),"－",IF(MOD($D521,1)&lt;$L$6,"朝",IF(MOD($D521,1)&lt;$L$7,"昼",IF(MOD($D521,1)&lt;$L$8,"夕方","夜")))),IF(OR($D521="朝",$D521="昼",$D521="夕方",$D521="夜"),$D521,"⚠ 不明"))))</f>
        <v/>
      </c>
    </row>
    <row r="522" customFormat="false" ht="15" hidden="false" customHeight="false" outlineLevel="0" collapsed="false">
      <c r="A522" s="75"/>
      <c r="B522" s="76"/>
      <c r="C522" s="77"/>
      <c r="D522" s="78"/>
      <c r="E522" s="77"/>
      <c r="F522" s="76"/>
      <c r="G522" s="76"/>
      <c r="I522" s="79" t="str">
        <f aca="false">IF($B522="","",IF(ISNUMBER(MATCH($B522,日別データ!$B$13:$B$32,0)),"✔ OK","⚠ 未登録"))</f>
        <v/>
      </c>
      <c r="J522" s="80" t="str">
        <f aca="false">IF($B522="","",IF($D522="","－",IF(ISNUMBER($D522),IF(AND($D522&gt;=1,MOD($D522,1)=0),"－",IF(MOD($D522,1)&lt;$L$6,"朝",IF(MOD($D522,1)&lt;$L$7,"昼",IF(MOD($D522,1)&lt;$L$8,"夕方","夜")))),IF(OR($D522="朝",$D522="昼",$D522="夕方",$D522="夜"),$D522,"⚠ 不明"))))</f>
        <v/>
      </c>
    </row>
    <row r="523" customFormat="false" ht="15" hidden="false" customHeight="false" outlineLevel="0" collapsed="false">
      <c r="A523" s="75"/>
      <c r="B523" s="76"/>
      <c r="C523" s="77"/>
      <c r="D523" s="78"/>
      <c r="E523" s="77"/>
      <c r="F523" s="76"/>
      <c r="G523" s="76"/>
      <c r="I523" s="79" t="str">
        <f aca="false">IF($B523="","",IF(ISNUMBER(MATCH($B523,日別データ!$B$13:$B$32,0)),"✔ OK","⚠ 未登録"))</f>
        <v/>
      </c>
      <c r="J523" s="80" t="str">
        <f aca="false">IF($B523="","",IF($D523="","－",IF(ISNUMBER($D523),IF(AND($D523&gt;=1,MOD($D523,1)=0),"－",IF(MOD($D523,1)&lt;$L$6,"朝",IF(MOD($D523,1)&lt;$L$7,"昼",IF(MOD($D523,1)&lt;$L$8,"夕方","夜")))),IF(OR($D523="朝",$D523="昼",$D523="夕方",$D523="夜"),$D523,"⚠ 不明"))))</f>
        <v/>
      </c>
    </row>
    <row r="524" customFormat="false" ht="15" hidden="false" customHeight="false" outlineLevel="0" collapsed="false">
      <c r="A524" s="75"/>
      <c r="B524" s="76"/>
      <c r="C524" s="77"/>
      <c r="D524" s="78"/>
      <c r="E524" s="77"/>
      <c r="F524" s="76"/>
      <c r="G524" s="76"/>
      <c r="I524" s="79" t="str">
        <f aca="false">IF($B524="","",IF(ISNUMBER(MATCH($B524,日別データ!$B$13:$B$32,0)),"✔ OK","⚠ 未登録"))</f>
        <v/>
      </c>
      <c r="J524" s="80" t="str">
        <f aca="false">IF($B524="","",IF($D524="","－",IF(ISNUMBER($D524),IF(AND($D524&gt;=1,MOD($D524,1)=0),"－",IF(MOD($D524,1)&lt;$L$6,"朝",IF(MOD($D524,1)&lt;$L$7,"昼",IF(MOD($D524,1)&lt;$L$8,"夕方","夜")))),IF(OR($D524="朝",$D524="昼",$D524="夕方",$D524="夜"),$D524,"⚠ 不明"))))</f>
        <v/>
      </c>
    </row>
    <row r="525" customFormat="false" ht="15" hidden="false" customHeight="false" outlineLevel="0" collapsed="false">
      <c r="A525" s="75"/>
      <c r="B525" s="76"/>
      <c r="C525" s="77"/>
      <c r="D525" s="78"/>
      <c r="E525" s="77"/>
      <c r="F525" s="76"/>
      <c r="G525" s="76"/>
      <c r="I525" s="79" t="str">
        <f aca="false">IF($B525="","",IF(ISNUMBER(MATCH($B525,日別データ!$B$13:$B$32,0)),"✔ OK","⚠ 未登録"))</f>
        <v/>
      </c>
      <c r="J525" s="80" t="str">
        <f aca="false">IF($B525="","",IF($D525="","－",IF(ISNUMBER($D525),IF(AND($D525&gt;=1,MOD($D525,1)=0),"－",IF(MOD($D525,1)&lt;$L$6,"朝",IF(MOD($D525,1)&lt;$L$7,"昼",IF(MOD($D525,1)&lt;$L$8,"夕方","夜")))),IF(OR($D525="朝",$D525="昼",$D525="夕方",$D525="夜"),$D525,"⚠ 不明"))))</f>
        <v/>
      </c>
    </row>
    <row r="526" customFormat="false" ht="15" hidden="false" customHeight="false" outlineLevel="0" collapsed="false">
      <c r="A526" s="75"/>
      <c r="B526" s="76"/>
      <c r="C526" s="77"/>
      <c r="D526" s="78"/>
      <c r="E526" s="77"/>
      <c r="F526" s="76"/>
      <c r="G526" s="76"/>
      <c r="I526" s="79" t="str">
        <f aca="false">IF($B526="","",IF(ISNUMBER(MATCH($B526,日別データ!$B$13:$B$32,0)),"✔ OK","⚠ 未登録"))</f>
        <v/>
      </c>
      <c r="J526" s="80" t="str">
        <f aca="false">IF($B526="","",IF($D526="","－",IF(ISNUMBER($D526),IF(AND($D526&gt;=1,MOD($D526,1)=0),"－",IF(MOD($D526,1)&lt;$L$6,"朝",IF(MOD($D526,1)&lt;$L$7,"昼",IF(MOD($D526,1)&lt;$L$8,"夕方","夜")))),IF(OR($D526="朝",$D526="昼",$D526="夕方",$D526="夜"),$D526,"⚠ 不明"))))</f>
        <v/>
      </c>
    </row>
    <row r="527" customFormat="false" ht="15" hidden="false" customHeight="false" outlineLevel="0" collapsed="false">
      <c r="A527" s="75"/>
      <c r="B527" s="76"/>
      <c r="C527" s="77"/>
      <c r="D527" s="78"/>
      <c r="E527" s="77"/>
      <c r="F527" s="76"/>
      <c r="G527" s="76"/>
      <c r="I527" s="79" t="str">
        <f aca="false">IF($B527="","",IF(ISNUMBER(MATCH($B527,日別データ!$B$13:$B$32,0)),"✔ OK","⚠ 未登録"))</f>
        <v/>
      </c>
      <c r="J527" s="80" t="str">
        <f aca="false">IF($B527="","",IF($D527="","－",IF(ISNUMBER($D527),IF(AND($D527&gt;=1,MOD($D527,1)=0),"－",IF(MOD($D527,1)&lt;$L$6,"朝",IF(MOD($D527,1)&lt;$L$7,"昼",IF(MOD($D527,1)&lt;$L$8,"夕方","夜")))),IF(OR($D527="朝",$D527="昼",$D527="夕方",$D527="夜"),$D527,"⚠ 不明"))))</f>
        <v/>
      </c>
    </row>
    <row r="528" customFormat="false" ht="15" hidden="false" customHeight="false" outlineLevel="0" collapsed="false">
      <c r="A528" s="75"/>
      <c r="B528" s="76"/>
      <c r="C528" s="77"/>
      <c r="D528" s="78"/>
      <c r="E528" s="77"/>
      <c r="F528" s="76"/>
      <c r="G528" s="76"/>
      <c r="I528" s="79" t="str">
        <f aca="false">IF($B528="","",IF(ISNUMBER(MATCH($B528,日別データ!$B$13:$B$32,0)),"✔ OK","⚠ 未登録"))</f>
        <v/>
      </c>
      <c r="J528" s="80" t="str">
        <f aca="false">IF($B528="","",IF($D528="","－",IF(ISNUMBER($D528),IF(AND($D528&gt;=1,MOD($D528,1)=0),"－",IF(MOD($D528,1)&lt;$L$6,"朝",IF(MOD($D528,1)&lt;$L$7,"昼",IF(MOD($D528,1)&lt;$L$8,"夕方","夜")))),IF(OR($D528="朝",$D528="昼",$D528="夕方",$D528="夜"),$D528,"⚠ 不明"))))</f>
        <v/>
      </c>
    </row>
    <row r="529" customFormat="false" ht="15" hidden="false" customHeight="false" outlineLevel="0" collapsed="false">
      <c r="A529" s="75"/>
      <c r="B529" s="76"/>
      <c r="C529" s="77"/>
      <c r="D529" s="78"/>
      <c r="E529" s="77"/>
      <c r="F529" s="76"/>
      <c r="G529" s="76"/>
      <c r="I529" s="79" t="str">
        <f aca="false">IF($B529="","",IF(ISNUMBER(MATCH($B529,日別データ!$B$13:$B$32,0)),"✔ OK","⚠ 未登録"))</f>
        <v/>
      </c>
      <c r="J529" s="80" t="str">
        <f aca="false">IF($B529="","",IF($D529="","－",IF(ISNUMBER($D529),IF(AND($D529&gt;=1,MOD($D529,1)=0),"－",IF(MOD($D529,1)&lt;$L$6,"朝",IF(MOD($D529,1)&lt;$L$7,"昼",IF(MOD($D529,1)&lt;$L$8,"夕方","夜")))),IF(OR($D529="朝",$D529="昼",$D529="夕方",$D529="夜"),$D529,"⚠ 不明"))))</f>
        <v/>
      </c>
    </row>
    <row r="530" customFormat="false" ht="15" hidden="false" customHeight="false" outlineLevel="0" collapsed="false">
      <c r="A530" s="75"/>
      <c r="B530" s="76"/>
      <c r="C530" s="77"/>
      <c r="D530" s="78"/>
      <c r="E530" s="77"/>
      <c r="F530" s="76"/>
      <c r="G530" s="76"/>
      <c r="I530" s="79" t="str">
        <f aca="false">IF($B530="","",IF(ISNUMBER(MATCH($B530,日別データ!$B$13:$B$32,0)),"✔ OK","⚠ 未登録"))</f>
        <v/>
      </c>
      <c r="J530" s="80" t="str">
        <f aca="false">IF($B530="","",IF($D530="","－",IF(ISNUMBER($D530),IF(AND($D530&gt;=1,MOD($D530,1)=0),"－",IF(MOD($D530,1)&lt;$L$6,"朝",IF(MOD($D530,1)&lt;$L$7,"昼",IF(MOD($D530,1)&lt;$L$8,"夕方","夜")))),IF(OR($D530="朝",$D530="昼",$D530="夕方",$D530="夜"),$D530,"⚠ 不明"))))</f>
        <v/>
      </c>
    </row>
    <row r="531" customFormat="false" ht="15" hidden="false" customHeight="false" outlineLevel="0" collapsed="false">
      <c r="A531" s="75"/>
      <c r="B531" s="76"/>
      <c r="C531" s="77"/>
      <c r="D531" s="78"/>
      <c r="E531" s="77"/>
      <c r="F531" s="76"/>
      <c r="G531" s="76"/>
      <c r="I531" s="79" t="str">
        <f aca="false">IF($B531="","",IF(ISNUMBER(MATCH($B531,日別データ!$B$13:$B$32,0)),"✔ OK","⚠ 未登録"))</f>
        <v/>
      </c>
      <c r="J531" s="80" t="str">
        <f aca="false">IF($B531="","",IF($D531="","－",IF(ISNUMBER($D531),IF(AND($D531&gt;=1,MOD($D531,1)=0),"－",IF(MOD($D531,1)&lt;$L$6,"朝",IF(MOD($D531,1)&lt;$L$7,"昼",IF(MOD($D531,1)&lt;$L$8,"夕方","夜")))),IF(OR($D531="朝",$D531="昼",$D531="夕方",$D531="夜"),$D531,"⚠ 不明"))))</f>
        <v/>
      </c>
    </row>
    <row r="532" customFormat="false" ht="15" hidden="false" customHeight="false" outlineLevel="0" collapsed="false">
      <c r="A532" s="75"/>
      <c r="B532" s="76"/>
      <c r="C532" s="77"/>
      <c r="D532" s="78"/>
      <c r="E532" s="77"/>
      <c r="F532" s="76"/>
      <c r="G532" s="76"/>
      <c r="I532" s="79" t="str">
        <f aca="false">IF($B532="","",IF(ISNUMBER(MATCH($B532,日別データ!$B$13:$B$32,0)),"✔ OK","⚠ 未登録"))</f>
        <v/>
      </c>
      <c r="J532" s="80" t="str">
        <f aca="false">IF($B532="","",IF($D532="","－",IF(ISNUMBER($D532),IF(AND($D532&gt;=1,MOD($D532,1)=0),"－",IF(MOD($D532,1)&lt;$L$6,"朝",IF(MOD($D532,1)&lt;$L$7,"昼",IF(MOD($D532,1)&lt;$L$8,"夕方","夜")))),IF(OR($D532="朝",$D532="昼",$D532="夕方",$D532="夜"),$D532,"⚠ 不明"))))</f>
        <v/>
      </c>
    </row>
    <row r="533" customFormat="false" ht="15" hidden="false" customHeight="false" outlineLevel="0" collapsed="false">
      <c r="A533" s="75"/>
      <c r="B533" s="76"/>
      <c r="C533" s="77"/>
      <c r="D533" s="78"/>
      <c r="E533" s="77"/>
      <c r="F533" s="76"/>
      <c r="G533" s="76"/>
      <c r="I533" s="79" t="str">
        <f aca="false">IF($B533="","",IF(ISNUMBER(MATCH($B533,日別データ!$B$13:$B$32,0)),"✔ OK","⚠ 未登録"))</f>
        <v/>
      </c>
      <c r="J533" s="80" t="str">
        <f aca="false">IF($B533="","",IF($D533="","－",IF(ISNUMBER($D533),IF(AND($D533&gt;=1,MOD($D533,1)=0),"－",IF(MOD($D533,1)&lt;$L$6,"朝",IF(MOD($D533,1)&lt;$L$7,"昼",IF(MOD($D533,1)&lt;$L$8,"夕方","夜")))),IF(OR($D533="朝",$D533="昼",$D533="夕方",$D533="夜"),$D533,"⚠ 不明"))))</f>
        <v/>
      </c>
    </row>
    <row r="534" customFormat="false" ht="15" hidden="false" customHeight="false" outlineLevel="0" collapsed="false">
      <c r="A534" s="75"/>
      <c r="B534" s="76"/>
      <c r="C534" s="77"/>
      <c r="D534" s="78"/>
      <c r="E534" s="77"/>
      <c r="F534" s="76"/>
      <c r="G534" s="76"/>
      <c r="I534" s="79" t="str">
        <f aca="false">IF($B534="","",IF(ISNUMBER(MATCH($B534,日別データ!$B$13:$B$32,0)),"✔ OK","⚠ 未登録"))</f>
        <v/>
      </c>
      <c r="J534" s="80" t="str">
        <f aca="false">IF($B534="","",IF($D534="","－",IF(ISNUMBER($D534),IF(AND($D534&gt;=1,MOD($D534,1)=0),"－",IF(MOD($D534,1)&lt;$L$6,"朝",IF(MOD($D534,1)&lt;$L$7,"昼",IF(MOD($D534,1)&lt;$L$8,"夕方","夜")))),IF(OR($D534="朝",$D534="昼",$D534="夕方",$D534="夜"),$D534,"⚠ 不明"))))</f>
        <v/>
      </c>
    </row>
    <row r="535" customFormat="false" ht="15" hidden="false" customHeight="false" outlineLevel="0" collapsed="false">
      <c r="A535" s="75"/>
      <c r="B535" s="76"/>
      <c r="C535" s="77"/>
      <c r="D535" s="78"/>
      <c r="E535" s="77"/>
      <c r="F535" s="76"/>
      <c r="G535" s="76"/>
      <c r="I535" s="79" t="str">
        <f aca="false">IF($B535="","",IF(ISNUMBER(MATCH($B535,日別データ!$B$13:$B$32,0)),"✔ OK","⚠ 未登録"))</f>
        <v/>
      </c>
      <c r="J535" s="80" t="str">
        <f aca="false">IF($B535="","",IF($D535="","－",IF(ISNUMBER($D535),IF(AND($D535&gt;=1,MOD($D535,1)=0),"－",IF(MOD($D535,1)&lt;$L$6,"朝",IF(MOD($D535,1)&lt;$L$7,"昼",IF(MOD($D535,1)&lt;$L$8,"夕方","夜")))),IF(OR($D535="朝",$D535="昼",$D535="夕方",$D535="夜"),$D535,"⚠ 不明"))))</f>
        <v/>
      </c>
    </row>
    <row r="536" customFormat="false" ht="15" hidden="false" customHeight="false" outlineLevel="0" collapsed="false">
      <c r="A536" s="75"/>
      <c r="B536" s="76"/>
      <c r="C536" s="77"/>
      <c r="D536" s="78"/>
      <c r="E536" s="77"/>
      <c r="F536" s="76"/>
      <c r="G536" s="76"/>
      <c r="I536" s="79" t="str">
        <f aca="false">IF($B536="","",IF(ISNUMBER(MATCH($B536,日別データ!$B$13:$B$32,0)),"✔ OK","⚠ 未登録"))</f>
        <v/>
      </c>
      <c r="J536" s="80" t="str">
        <f aca="false">IF($B536="","",IF($D536="","－",IF(ISNUMBER($D536),IF(AND($D536&gt;=1,MOD($D536,1)=0),"－",IF(MOD($D536,1)&lt;$L$6,"朝",IF(MOD($D536,1)&lt;$L$7,"昼",IF(MOD($D536,1)&lt;$L$8,"夕方","夜")))),IF(OR($D536="朝",$D536="昼",$D536="夕方",$D536="夜"),$D536,"⚠ 不明"))))</f>
        <v/>
      </c>
    </row>
    <row r="537" customFormat="false" ht="15" hidden="false" customHeight="false" outlineLevel="0" collapsed="false">
      <c r="A537" s="75"/>
      <c r="B537" s="76"/>
      <c r="C537" s="77"/>
      <c r="D537" s="78"/>
      <c r="E537" s="77"/>
      <c r="F537" s="76"/>
      <c r="G537" s="76"/>
      <c r="I537" s="79" t="str">
        <f aca="false">IF($B537="","",IF(ISNUMBER(MATCH($B537,日別データ!$B$13:$B$32,0)),"✔ OK","⚠ 未登録"))</f>
        <v/>
      </c>
      <c r="J537" s="80" t="str">
        <f aca="false">IF($B537="","",IF($D537="","－",IF(ISNUMBER($D537),IF(AND($D537&gt;=1,MOD($D537,1)=0),"－",IF(MOD($D537,1)&lt;$L$6,"朝",IF(MOD($D537,1)&lt;$L$7,"昼",IF(MOD($D537,1)&lt;$L$8,"夕方","夜")))),IF(OR($D537="朝",$D537="昼",$D537="夕方",$D537="夜"),$D537,"⚠ 不明"))))</f>
        <v/>
      </c>
    </row>
    <row r="538" customFormat="false" ht="15" hidden="false" customHeight="false" outlineLevel="0" collapsed="false">
      <c r="A538" s="75"/>
      <c r="B538" s="76"/>
      <c r="C538" s="77"/>
      <c r="D538" s="78"/>
      <c r="E538" s="77"/>
      <c r="F538" s="76"/>
      <c r="G538" s="76"/>
      <c r="I538" s="79" t="str">
        <f aca="false">IF($B538="","",IF(ISNUMBER(MATCH($B538,日別データ!$B$13:$B$32,0)),"✔ OK","⚠ 未登録"))</f>
        <v/>
      </c>
      <c r="J538" s="80" t="str">
        <f aca="false">IF($B538="","",IF($D538="","－",IF(ISNUMBER($D538),IF(AND($D538&gt;=1,MOD($D538,1)=0),"－",IF(MOD($D538,1)&lt;$L$6,"朝",IF(MOD($D538,1)&lt;$L$7,"昼",IF(MOD($D538,1)&lt;$L$8,"夕方","夜")))),IF(OR($D538="朝",$D538="昼",$D538="夕方",$D538="夜"),$D538,"⚠ 不明"))))</f>
        <v/>
      </c>
    </row>
    <row r="539" customFormat="false" ht="15" hidden="false" customHeight="false" outlineLevel="0" collapsed="false">
      <c r="A539" s="75"/>
      <c r="B539" s="76"/>
      <c r="C539" s="77"/>
      <c r="D539" s="78"/>
      <c r="E539" s="77"/>
      <c r="F539" s="76"/>
      <c r="G539" s="76"/>
      <c r="I539" s="79" t="str">
        <f aca="false">IF($B539="","",IF(ISNUMBER(MATCH($B539,日別データ!$B$13:$B$32,0)),"✔ OK","⚠ 未登録"))</f>
        <v/>
      </c>
      <c r="J539" s="80" t="str">
        <f aca="false">IF($B539="","",IF($D539="","－",IF(ISNUMBER($D539),IF(AND($D539&gt;=1,MOD($D539,1)=0),"－",IF(MOD($D539,1)&lt;$L$6,"朝",IF(MOD($D539,1)&lt;$L$7,"昼",IF(MOD($D539,1)&lt;$L$8,"夕方","夜")))),IF(OR($D539="朝",$D539="昼",$D539="夕方",$D539="夜"),$D539,"⚠ 不明"))))</f>
        <v/>
      </c>
    </row>
    <row r="540" customFormat="false" ht="15" hidden="false" customHeight="false" outlineLevel="0" collapsed="false">
      <c r="A540" s="75"/>
      <c r="B540" s="76"/>
      <c r="C540" s="77"/>
      <c r="D540" s="78"/>
      <c r="E540" s="77"/>
      <c r="F540" s="76"/>
      <c r="G540" s="76"/>
      <c r="I540" s="79" t="str">
        <f aca="false">IF($B540="","",IF(ISNUMBER(MATCH($B540,日別データ!$B$13:$B$32,0)),"✔ OK","⚠ 未登録"))</f>
        <v/>
      </c>
      <c r="J540" s="80" t="str">
        <f aca="false">IF($B540="","",IF($D540="","－",IF(ISNUMBER($D540),IF(AND($D540&gt;=1,MOD($D540,1)=0),"－",IF(MOD($D540,1)&lt;$L$6,"朝",IF(MOD($D540,1)&lt;$L$7,"昼",IF(MOD($D540,1)&lt;$L$8,"夕方","夜")))),IF(OR($D540="朝",$D540="昼",$D540="夕方",$D540="夜"),$D540,"⚠ 不明"))))</f>
        <v/>
      </c>
    </row>
    <row r="541" customFormat="false" ht="15" hidden="false" customHeight="false" outlineLevel="0" collapsed="false">
      <c r="A541" s="75"/>
      <c r="B541" s="76"/>
      <c r="C541" s="77"/>
      <c r="D541" s="78"/>
      <c r="E541" s="77"/>
      <c r="F541" s="76"/>
      <c r="G541" s="76"/>
      <c r="I541" s="79" t="str">
        <f aca="false">IF($B541="","",IF(ISNUMBER(MATCH($B541,日別データ!$B$13:$B$32,0)),"✔ OK","⚠ 未登録"))</f>
        <v/>
      </c>
      <c r="J541" s="80" t="str">
        <f aca="false">IF($B541="","",IF($D541="","－",IF(ISNUMBER($D541),IF(AND($D541&gt;=1,MOD($D541,1)=0),"－",IF(MOD($D541,1)&lt;$L$6,"朝",IF(MOD($D541,1)&lt;$L$7,"昼",IF(MOD($D541,1)&lt;$L$8,"夕方","夜")))),IF(OR($D541="朝",$D541="昼",$D541="夕方",$D541="夜"),$D541,"⚠ 不明"))))</f>
        <v/>
      </c>
    </row>
    <row r="542" customFormat="false" ht="15" hidden="false" customHeight="false" outlineLevel="0" collapsed="false">
      <c r="A542" s="75"/>
      <c r="B542" s="76"/>
      <c r="C542" s="77"/>
      <c r="D542" s="78"/>
      <c r="E542" s="77"/>
      <c r="F542" s="76"/>
      <c r="G542" s="76"/>
      <c r="I542" s="79" t="str">
        <f aca="false">IF($B542="","",IF(ISNUMBER(MATCH($B542,日別データ!$B$13:$B$32,0)),"✔ OK","⚠ 未登録"))</f>
        <v/>
      </c>
      <c r="J542" s="80" t="str">
        <f aca="false">IF($B542="","",IF($D542="","－",IF(ISNUMBER($D542),IF(AND($D542&gt;=1,MOD($D542,1)=0),"－",IF(MOD($D542,1)&lt;$L$6,"朝",IF(MOD($D542,1)&lt;$L$7,"昼",IF(MOD($D542,1)&lt;$L$8,"夕方","夜")))),IF(OR($D542="朝",$D542="昼",$D542="夕方",$D542="夜"),$D542,"⚠ 不明"))))</f>
        <v/>
      </c>
    </row>
    <row r="543" customFormat="false" ht="15" hidden="false" customHeight="false" outlineLevel="0" collapsed="false">
      <c r="A543" s="75"/>
      <c r="B543" s="76"/>
      <c r="C543" s="77"/>
      <c r="D543" s="78"/>
      <c r="E543" s="77"/>
      <c r="F543" s="76"/>
      <c r="G543" s="76"/>
      <c r="I543" s="79" t="str">
        <f aca="false">IF($B543="","",IF(ISNUMBER(MATCH($B543,日別データ!$B$13:$B$32,0)),"✔ OK","⚠ 未登録"))</f>
        <v/>
      </c>
      <c r="J543" s="80" t="str">
        <f aca="false">IF($B543="","",IF($D543="","－",IF(ISNUMBER($D543),IF(AND($D543&gt;=1,MOD($D543,1)=0),"－",IF(MOD($D543,1)&lt;$L$6,"朝",IF(MOD($D543,1)&lt;$L$7,"昼",IF(MOD($D543,1)&lt;$L$8,"夕方","夜")))),IF(OR($D543="朝",$D543="昼",$D543="夕方",$D543="夜"),$D543,"⚠ 不明"))))</f>
        <v/>
      </c>
    </row>
    <row r="544" customFormat="false" ht="15" hidden="false" customHeight="false" outlineLevel="0" collapsed="false">
      <c r="A544" s="75"/>
      <c r="B544" s="76"/>
      <c r="C544" s="77"/>
      <c r="D544" s="78"/>
      <c r="E544" s="77"/>
      <c r="F544" s="76"/>
      <c r="G544" s="76"/>
      <c r="I544" s="79" t="str">
        <f aca="false">IF($B544="","",IF(ISNUMBER(MATCH($B544,日別データ!$B$13:$B$32,0)),"✔ OK","⚠ 未登録"))</f>
        <v/>
      </c>
      <c r="J544" s="80" t="str">
        <f aca="false">IF($B544="","",IF($D544="","－",IF(ISNUMBER($D544),IF(AND($D544&gt;=1,MOD($D544,1)=0),"－",IF(MOD($D544,1)&lt;$L$6,"朝",IF(MOD($D544,1)&lt;$L$7,"昼",IF(MOD($D544,1)&lt;$L$8,"夕方","夜")))),IF(OR($D544="朝",$D544="昼",$D544="夕方",$D544="夜"),$D544,"⚠ 不明"))))</f>
        <v/>
      </c>
    </row>
    <row r="545" customFormat="false" ht="15" hidden="false" customHeight="false" outlineLevel="0" collapsed="false">
      <c r="A545" s="75"/>
      <c r="B545" s="76"/>
      <c r="C545" s="77"/>
      <c r="D545" s="78"/>
      <c r="E545" s="77"/>
      <c r="F545" s="76"/>
      <c r="G545" s="76"/>
      <c r="I545" s="79" t="str">
        <f aca="false">IF($B545="","",IF(ISNUMBER(MATCH($B545,日別データ!$B$13:$B$32,0)),"✔ OK","⚠ 未登録"))</f>
        <v/>
      </c>
      <c r="J545" s="80" t="str">
        <f aca="false">IF($B545="","",IF($D545="","－",IF(ISNUMBER($D545),IF(AND($D545&gt;=1,MOD($D545,1)=0),"－",IF(MOD($D545,1)&lt;$L$6,"朝",IF(MOD($D545,1)&lt;$L$7,"昼",IF(MOD($D545,1)&lt;$L$8,"夕方","夜")))),IF(OR($D545="朝",$D545="昼",$D545="夕方",$D545="夜"),$D545,"⚠ 不明"))))</f>
        <v/>
      </c>
    </row>
    <row r="546" customFormat="false" ht="15" hidden="false" customHeight="false" outlineLevel="0" collapsed="false">
      <c r="A546" s="75"/>
      <c r="B546" s="76"/>
      <c r="C546" s="77"/>
      <c r="D546" s="78"/>
      <c r="E546" s="77"/>
      <c r="F546" s="76"/>
      <c r="G546" s="76"/>
      <c r="I546" s="79" t="str">
        <f aca="false">IF($B546="","",IF(ISNUMBER(MATCH($B546,日別データ!$B$13:$B$32,0)),"✔ OK","⚠ 未登録"))</f>
        <v/>
      </c>
      <c r="J546" s="80" t="str">
        <f aca="false">IF($B546="","",IF($D546="","－",IF(ISNUMBER($D546),IF(AND($D546&gt;=1,MOD($D546,1)=0),"－",IF(MOD($D546,1)&lt;$L$6,"朝",IF(MOD($D546,1)&lt;$L$7,"昼",IF(MOD($D546,1)&lt;$L$8,"夕方","夜")))),IF(OR($D546="朝",$D546="昼",$D546="夕方",$D546="夜"),$D546,"⚠ 不明"))))</f>
        <v/>
      </c>
    </row>
    <row r="547" customFormat="false" ht="15" hidden="false" customHeight="false" outlineLevel="0" collapsed="false">
      <c r="A547" s="75"/>
      <c r="B547" s="76"/>
      <c r="C547" s="77"/>
      <c r="D547" s="78"/>
      <c r="E547" s="77"/>
      <c r="F547" s="76"/>
      <c r="G547" s="76"/>
      <c r="I547" s="79" t="str">
        <f aca="false">IF($B547="","",IF(ISNUMBER(MATCH($B547,日別データ!$B$13:$B$32,0)),"✔ OK","⚠ 未登録"))</f>
        <v/>
      </c>
      <c r="J547" s="80" t="str">
        <f aca="false">IF($B547="","",IF($D547="","－",IF(ISNUMBER($D547),IF(AND($D547&gt;=1,MOD($D547,1)=0),"－",IF(MOD($D547,1)&lt;$L$6,"朝",IF(MOD($D547,1)&lt;$L$7,"昼",IF(MOD($D547,1)&lt;$L$8,"夕方","夜")))),IF(OR($D547="朝",$D547="昼",$D547="夕方",$D547="夜"),$D547,"⚠ 不明"))))</f>
        <v/>
      </c>
    </row>
    <row r="548" customFormat="false" ht="15" hidden="false" customHeight="false" outlineLevel="0" collapsed="false">
      <c r="A548" s="75"/>
      <c r="B548" s="76"/>
      <c r="C548" s="77"/>
      <c r="D548" s="78"/>
      <c r="E548" s="77"/>
      <c r="F548" s="76"/>
      <c r="G548" s="76"/>
      <c r="I548" s="79" t="str">
        <f aca="false">IF($B548="","",IF(ISNUMBER(MATCH($B548,日別データ!$B$13:$B$32,0)),"✔ OK","⚠ 未登録"))</f>
        <v/>
      </c>
      <c r="J548" s="80" t="str">
        <f aca="false">IF($B548="","",IF($D548="","－",IF(ISNUMBER($D548),IF(AND($D548&gt;=1,MOD($D548,1)=0),"－",IF(MOD($D548,1)&lt;$L$6,"朝",IF(MOD($D548,1)&lt;$L$7,"昼",IF(MOD($D548,1)&lt;$L$8,"夕方","夜")))),IF(OR($D548="朝",$D548="昼",$D548="夕方",$D548="夜"),$D548,"⚠ 不明"))))</f>
        <v/>
      </c>
    </row>
    <row r="549" customFormat="false" ht="15" hidden="false" customHeight="false" outlineLevel="0" collapsed="false">
      <c r="A549" s="75"/>
      <c r="B549" s="76"/>
      <c r="C549" s="77"/>
      <c r="D549" s="78"/>
      <c r="E549" s="77"/>
      <c r="F549" s="76"/>
      <c r="G549" s="76"/>
      <c r="I549" s="79" t="str">
        <f aca="false">IF($B549="","",IF(ISNUMBER(MATCH($B549,日別データ!$B$13:$B$32,0)),"✔ OK","⚠ 未登録"))</f>
        <v/>
      </c>
      <c r="J549" s="80" t="str">
        <f aca="false">IF($B549="","",IF($D549="","－",IF(ISNUMBER($D549),IF(AND($D549&gt;=1,MOD($D549,1)=0),"－",IF(MOD($D549,1)&lt;$L$6,"朝",IF(MOD($D549,1)&lt;$L$7,"昼",IF(MOD($D549,1)&lt;$L$8,"夕方","夜")))),IF(OR($D549="朝",$D549="昼",$D549="夕方",$D549="夜"),$D549,"⚠ 不明"))))</f>
        <v/>
      </c>
    </row>
    <row r="550" customFormat="false" ht="15" hidden="false" customHeight="false" outlineLevel="0" collapsed="false">
      <c r="A550" s="75"/>
      <c r="B550" s="76"/>
      <c r="C550" s="77"/>
      <c r="D550" s="78"/>
      <c r="E550" s="77"/>
      <c r="F550" s="76"/>
      <c r="G550" s="76"/>
      <c r="I550" s="79" t="str">
        <f aca="false">IF($B550="","",IF(ISNUMBER(MATCH($B550,日別データ!$B$13:$B$32,0)),"✔ OK","⚠ 未登録"))</f>
        <v/>
      </c>
      <c r="J550" s="80" t="str">
        <f aca="false">IF($B550="","",IF($D550="","－",IF(ISNUMBER($D550),IF(AND($D550&gt;=1,MOD($D550,1)=0),"－",IF(MOD($D550,1)&lt;$L$6,"朝",IF(MOD($D550,1)&lt;$L$7,"昼",IF(MOD($D550,1)&lt;$L$8,"夕方","夜")))),IF(OR($D550="朝",$D550="昼",$D550="夕方",$D550="夜"),$D550,"⚠ 不明"))))</f>
        <v/>
      </c>
    </row>
    <row r="551" customFormat="false" ht="15" hidden="false" customHeight="false" outlineLevel="0" collapsed="false">
      <c r="A551" s="75"/>
      <c r="B551" s="76"/>
      <c r="C551" s="77"/>
      <c r="D551" s="78"/>
      <c r="E551" s="77"/>
      <c r="F551" s="76"/>
      <c r="G551" s="76"/>
      <c r="I551" s="79" t="str">
        <f aca="false">IF($B551="","",IF(ISNUMBER(MATCH($B551,日別データ!$B$13:$B$32,0)),"✔ OK","⚠ 未登録"))</f>
        <v/>
      </c>
      <c r="J551" s="80" t="str">
        <f aca="false">IF($B551="","",IF($D551="","－",IF(ISNUMBER($D551),IF(AND($D551&gt;=1,MOD($D551,1)=0),"－",IF(MOD($D551,1)&lt;$L$6,"朝",IF(MOD($D551,1)&lt;$L$7,"昼",IF(MOD($D551,1)&lt;$L$8,"夕方","夜")))),IF(OR($D551="朝",$D551="昼",$D551="夕方",$D551="夜"),$D551,"⚠ 不明"))))</f>
        <v/>
      </c>
    </row>
    <row r="552" customFormat="false" ht="15" hidden="false" customHeight="false" outlineLevel="0" collapsed="false">
      <c r="A552" s="75"/>
      <c r="B552" s="76"/>
      <c r="C552" s="77"/>
      <c r="D552" s="78"/>
      <c r="E552" s="77"/>
      <c r="F552" s="76"/>
      <c r="G552" s="76"/>
      <c r="I552" s="79" t="str">
        <f aca="false">IF($B552="","",IF(ISNUMBER(MATCH($B552,日別データ!$B$13:$B$32,0)),"✔ OK","⚠ 未登録"))</f>
        <v/>
      </c>
      <c r="J552" s="80" t="str">
        <f aca="false">IF($B552="","",IF($D552="","－",IF(ISNUMBER($D552),IF(AND($D552&gt;=1,MOD($D552,1)=0),"－",IF(MOD($D552,1)&lt;$L$6,"朝",IF(MOD($D552,1)&lt;$L$7,"昼",IF(MOD($D552,1)&lt;$L$8,"夕方","夜")))),IF(OR($D552="朝",$D552="昼",$D552="夕方",$D552="夜"),$D552,"⚠ 不明"))))</f>
        <v/>
      </c>
    </row>
    <row r="553" customFormat="false" ht="15" hidden="false" customHeight="false" outlineLevel="0" collapsed="false">
      <c r="A553" s="75"/>
      <c r="B553" s="76"/>
      <c r="C553" s="77"/>
      <c r="D553" s="78"/>
      <c r="E553" s="77"/>
      <c r="F553" s="76"/>
      <c r="G553" s="76"/>
      <c r="I553" s="79" t="str">
        <f aca="false">IF($B553="","",IF(ISNUMBER(MATCH($B553,日別データ!$B$13:$B$32,0)),"✔ OK","⚠ 未登録"))</f>
        <v/>
      </c>
      <c r="J553" s="80" t="str">
        <f aca="false">IF($B553="","",IF($D553="","－",IF(ISNUMBER($D553),IF(AND($D553&gt;=1,MOD($D553,1)=0),"－",IF(MOD($D553,1)&lt;$L$6,"朝",IF(MOD($D553,1)&lt;$L$7,"昼",IF(MOD($D553,1)&lt;$L$8,"夕方","夜")))),IF(OR($D553="朝",$D553="昼",$D553="夕方",$D553="夜"),$D553,"⚠ 不明"))))</f>
        <v/>
      </c>
    </row>
    <row r="554" customFormat="false" ht="15" hidden="false" customHeight="false" outlineLevel="0" collapsed="false">
      <c r="A554" s="75"/>
      <c r="B554" s="76"/>
      <c r="C554" s="77"/>
      <c r="D554" s="78"/>
      <c r="E554" s="77"/>
      <c r="F554" s="76"/>
      <c r="G554" s="76"/>
      <c r="I554" s="79" t="str">
        <f aca="false">IF($B554="","",IF(ISNUMBER(MATCH($B554,日別データ!$B$13:$B$32,0)),"✔ OK","⚠ 未登録"))</f>
        <v/>
      </c>
      <c r="J554" s="80" t="str">
        <f aca="false">IF($B554="","",IF($D554="","－",IF(ISNUMBER($D554),IF(AND($D554&gt;=1,MOD($D554,1)=0),"－",IF(MOD($D554,1)&lt;$L$6,"朝",IF(MOD($D554,1)&lt;$L$7,"昼",IF(MOD($D554,1)&lt;$L$8,"夕方","夜")))),IF(OR($D554="朝",$D554="昼",$D554="夕方",$D554="夜"),$D554,"⚠ 不明"))))</f>
        <v/>
      </c>
    </row>
    <row r="555" customFormat="false" ht="15" hidden="false" customHeight="false" outlineLevel="0" collapsed="false">
      <c r="A555" s="75"/>
      <c r="B555" s="76"/>
      <c r="C555" s="77"/>
      <c r="D555" s="78"/>
      <c r="E555" s="77"/>
      <c r="F555" s="76"/>
      <c r="G555" s="76"/>
      <c r="I555" s="79" t="str">
        <f aca="false">IF($B555="","",IF(ISNUMBER(MATCH($B555,日別データ!$B$13:$B$32,0)),"✔ OK","⚠ 未登録"))</f>
        <v/>
      </c>
      <c r="J555" s="80" t="str">
        <f aca="false">IF($B555="","",IF($D555="","－",IF(ISNUMBER($D555),IF(AND($D555&gt;=1,MOD($D555,1)=0),"－",IF(MOD($D555,1)&lt;$L$6,"朝",IF(MOD($D555,1)&lt;$L$7,"昼",IF(MOD($D555,1)&lt;$L$8,"夕方","夜")))),IF(OR($D555="朝",$D555="昼",$D555="夕方",$D555="夜"),$D555,"⚠ 不明"))))</f>
        <v/>
      </c>
    </row>
    <row r="556" customFormat="false" ht="15" hidden="false" customHeight="false" outlineLevel="0" collapsed="false">
      <c r="A556" s="75"/>
      <c r="B556" s="76"/>
      <c r="C556" s="77"/>
      <c r="D556" s="78"/>
      <c r="E556" s="77"/>
      <c r="F556" s="76"/>
      <c r="G556" s="76"/>
      <c r="I556" s="79" t="str">
        <f aca="false">IF($B556="","",IF(ISNUMBER(MATCH($B556,日別データ!$B$13:$B$32,0)),"✔ OK","⚠ 未登録"))</f>
        <v/>
      </c>
      <c r="J556" s="80" t="str">
        <f aca="false">IF($B556="","",IF($D556="","－",IF(ISNUMBER($D556),IF(AND($D556&gt;=1,MOD($D556,1)=0),"－",IF(MOD($D556,1)&lt;$L$6,"朝",IF(MOD($D556,1)&lt;$L$7,"昼",IF(MOD($D556,1)&lt;$L$8,"夕方","夜")))),IF(OR($D556="朝",$D556="昼",$D556="夕方",$D556="夜"),$D556,"⚠ 不明"))))</f>
        <v/>
      </c>
    </row>
    <row r="557" customFormat="false" ht="15" hidden="false" customHeight="false" outlineLevel="0" collapsed="false">
      <c r="A557" s="75"/>
      <c r="B557" s="76"/>
      <c r="C557" s="77"/>
      <c r="D557" s="78"/>
      <c r="E557" s="77"/>
      <c r="F557" s="76"/>
      <c r="G557" s="76"/>
      <c r="I557" s="79" t="str">
        <f aca="false">IF($B557="","",IF(ISNUMBER(MATCH($B557,日別データ!$B$13:$B$32,0)),"✔ OK","⚠ 未登録"))</f>
        <v/>
      </c>
      <c r="J557" s="80" t="str">
        <f aca="false">IF($B557="","",IF($D557="","－",IF(ISNUMBER($D557),IF(AND($D557&gt;=1,MOD($D557,1)=0),"－",IF(MOD($D557,1)&lt;$L$6,"朝",IF(MOD($D557,1)&lt;$L$7,"昼",IF(MOD($D557,1)&lt;$L$8,"夕方","夜")))),IF(OR($D557="朝",$D557="昼",$D557="夕方",$D557="夜"),$D557,"⚠ 不明"))))</f>
        <v/>
      </c>
    </row>
    <row r="558" customFormat="false" ht="15" hidden="false" customHeight="false" outlineLevel="0" collapsed="false">
      <c r="A558" s="75"/>
      <c r="B558" s="76"/>
      <c r="C558" s="77"/>
      <c r="D558" s="78"/>
      <c r="E558" s="77"/>
      <c r="F558" s="76"/>
      <c r="G558" s="76"/>
      <c r="I558" s="79" t="str">
        <f aca="false">IF($B558="","",IF(ISNUMBER(MATCH($B558,日別データ!$B$13:$B$32,0)),"✔ OK","⚠ 未登録"))</f>
        <v/>
      </c>
      <c r="J558" s="80" t="str">
        <f aca="false">IF($B558="","",IF($D558="","－",IF(ISNUMBER($D558),IF(AND($D558&gt;=1,MOD($D558,1)=0),"－",IF(MOD($D558,1)&lt;$L$6,"朝",IF(MOD($D558,1)&lt;$L$7,"昼",IF(MOD($D558,1)&lt;$L$8,"夕方","夜")))),IF(OR($D558="朝",$D558="昼",$D558="夕方",$D558="夜"),$D558,"⚠ 不明"))))</f>
        <v/>
      </c>
    </row>
    <row r="559" customFormat="false" ht="15" hidden="false" customHeight="false" outlineLevel="0" collapsed="false">
      <c r="A559" s="75"/>
      <c r="B559" s="76"/>
      <c r="C559" s="77"/>
      <c r="D559" s="78"/>
      <c r="E559" s="77"/>
      <c r="F559" s="76"/>
      <c r="G559" s="76"/>
      <c r="I559" s="79" t="str">
        <f aca="false">IF($B559="","",IF(ISNUMBER(MATCH($B559,日別データ!$B$13:$B$32,0)),"✔ OK","⚠ 未登録"))</f>
        <v/>
      </c>
      <c r="J559" s="80" t="str">
        <f aca="false">IF($B559="","",IF($D559="","－",IF(ISNUMBER($D559),IF(AND($D559&gt;=1,MOD($D559,1)=0),"－",IF(MOD($D559,1)&lt;$L$6,"朝",IF(MOD($D559,1)&lt;$L$7,"昼",IF(MOD($D559,1)&lt;$L$8,"夕方","夜")))),IF(OR($D559="朝",$D559="昼",$D559="夕方",$D559="夜"),$D559,"⚠ 不明"))))</f>
        <v/>
      </c>
    </row>
    <row r="560" customFormat="false" ht="15" hidden="false" customHeight="false" outlineLevel="0" collapsed="false">
      <c r="A560" s="75"/>
      <c r="B560" s="76"/>
      <c r="C560" s="77"/>
      <c r="D560" s="78"/>
      <c r="E560" s="77"/>
      <c r="F560" s="76"/>
      <c r="G560" s="76"/>
      <c r="I560" s="79" t="str">
        <f aca="false">IF($B560="","",IF(ISNUMBER(MATCH($B560,日別データ!$B$13:$B$32,0)),"✔ OK","⚠ 未登録"))</f>
        <v/>
      </c>
      <c r="J560" s="80" t="str">
        <f aca="false">IF($B560="","",IF($D560="","－",IF(ISNUMBER($D560),IF(AND($D560&gt;=1,MOD($D560,1)=0),"－",IF(MOD($D560,1)&lt;$L$6,"朝",IF(MOD($D560,1)&lt;$L$7,"昼",IF(MOD($D560,1)&lt;$L$8,"夕方","夜")))),IF(OR($D560="朝",$D560="昼",$D560="夕方",$D560="夜"),$D560,"⚠ 不明"))))</f>
        <v/>
      </c>
    </row>
    <row r="561" customFormat="false" ht="15" hidden="false" customHeight="false" outlineLevel="0" collapsed="false">
      <c r="A561" s="75"/>
      <c r="B561" s="76"/>
      <c r="C561" s="77"/>
      <c r="D561" s="78"/>
      <c r="E561" s="77"/>
      <c r="F561" s="76"/>
      <c r="G561" s="76"/>
      <c r="I561" s="79" t="str">
        <f aca="false">IF($B561="","",IF(ISNUMBER(MATCH($B561,日別データ!$B$13:$B$32,0)),"✔ OK","⚠ 未登録"))</f>
        <v/>
      </c>
      <c r="J561" s="80" t="str">
        <f aca="false">IF($B561="","",IF($D561="","－",IF(ISNUMBER($D561),IF(AND($D561&gt;=1,MOD($D561,1)=0),"－",IF(MOD($D561,1)&lt;$L$6,"朝",IF(MOD($D561,1)&lt;$L$7,"昼",IF(MOD($D561,1)&lt;$L$8,"夕方","夜")))),IF(OR($D561="朝",$D561="昼",$D561="夕方",$D561="夜"),$D561,"⚠ 不明"))))</f>
        <v/>
      </c>
    </row>
    <row r="562" customFormat="false" ht="15" hidden="false" customHeight="false" outlineLevel="0" collapsed="false">
      <c r="A562" s="75"/>
      <c r="B562" s="76"/>
      <c r="C562" s="77"/>
      <c r="D562" s="78"/>
      <c r="E562" s="77"/>
      <c r="F562" s="76"/>
      <c r="G562" s="76"/>
      <c r="I562" s="79" t="str">
        <f aca="false">IF($B562="","",IF(ISNUMBER(MATCH($B562,日別データ!$B$13:$B$32,0)),"✔ OK","⚠ 未登録"))</f>
        <v/>
      </c>
      <c r="J562" s="80" t="str">
        <f aca="false">IF($B562="","",IF($D562="","－",IF(ISNUMBER($D562),IF(AND($D562&gt;=1,MOD($D562,1)=0),"－",IF(MOD($D562,1)&lt;$L$6,"朝",IF(MOD($D562,1)&lt;$L$7,"昼",IF(MOD($D562,1)&lt;$L$8,"夕方","夜")))),IF(OR($D562="朝",$D562="昼",$D562="夕方",$D562="夜"),$D562,"⚠ 不明"))))</f>
        <v/>
      </c>
    </row>
    <row r="563" customFormat="false" ht="15" hidden="false" customHeight="false" outlineLevel="0" collapsed="false">
      <c r="A563" s="75"/>
      <c r="B563" s="76"/>
      <c r="C563" s="77"/>
      <c r="D563" s="78"/>
      <c r="E563" s="77"/>
      <c r="F563" s="76"/>
      <c r="G563" s="76"/>
      <c r="I563" s="79" t="str">
        <f aca="false">IF($B563="","",IF(ISNUMBER(MATCH($B563,日別データ!$B$13:$B$32,0)),"✔ OK","⚠ 未登録"))</f>
        <v/>
      </c>
      <c r="J563" s="80" t="str">
        <f aca="false">IF($B563="","",IF($D563="","－",IF(ISNUMBER($D563),IF(AND($D563&gt;=1,MOD($D563,1)=0),"－",IF(MOD($D563,1)&lt;$L$6,"朝",IF(MOD($D563,1)&lt;$L$7,"昼",IF(MOD($D563,1)&lt;$L$8,"夕方","夜")))),IF(OR($D563="朝",$D563="昼",$D563="夕方",$D563="夜"),$D563,"⚠ 不明"))))</f>
        <v/>
      </c>
    </row>
    <row r="564" customFormat="false" ht="15" hidden="false" customHeight="false" outlineLevel="0" collapsed="false">
      <c r="A564" s="75"/>
      <c r="B564" s="76"/>
      <c r="C564" s="77"/>
      <c r="D564" s="78"/>
      <c r="E564" s="77"/>
      <c r="F564" s="76"/>
      <c r="G564" s="76"/>
      <c r="I564" s="79" t="str">
        <f aca="false">IF($B564="","",IF(ISNUMBER(MATCH($B564,日別データ!$B$13:$B$32,0)),"✔ OK","⚠ 未登録"))</f>
        <v/>
      </c>
      <c r="J564" s="80" t="str">
        <f aca="false">IF($B564="","",IF($D564="","－",IF(ISNUMBER($D564),IF(AND($D564&gt;=1,MOD($D564,1)=0),"－",IF(MOD($D564,1)&lt;$L$6,"朝",IF(MOD($D564,1)&lt;$L$7,"昼",IF(MOD($D564,1)&lt;$L$8,"夕方","夜")))),IF(OR($D564="朝",$D564="昼",$D564="夕方",$D564="夜"),$D564,"⚠ 不明"))))</f>
        <v/>
      </c>
    </row>
    <row r="565" customFormat="false" ht="15" hidden="false" customHeight="false" outlineLevel="0" collapsed="false">
      <c r="A565" s="75"/>
      <c r="B565" s="76"/>
      <c r="C565" s="77"/>
      <c r="D565" s="78"/>
      <c r="E565" s="77"/>
      <c r="F565" s="76"/>
      <c r="G565" s="76"/>
      <c r="I565" s="79" t="str">
        <f aca="false">IF($B565="","",IF(ISNUMBER(MATCH($B565,日別データ!$B$13:$B$32,0)),"✔ OK","⚠ 未登録"))</f>
        <v/>
      </c>
      <c r="J565" s="80" t="str">
        <f aca="false">IF($B565="","",IF($D565="","－",IF(ISNUMBER($D565),IF(AND($D565&gt;=1,MOD($D565,1)=0),"－",IF(MOD($D565,1)&lt;$L$6,"朝",IF(MOD($D565,1)&lt;$L$7,"昼",IF(MOD($D565,1)&lt;$L$8,"夕方","夜")))),IF(OR($D565="朝",$D565="昼",$D565="夕方",$D565="夜"),$D565,"⚠ 不明"))))</f>
        <v/>
      </c>
    </row>
    <row r="566" customFormat="false" ht="15" hidden="false" customHeight="false" outlineLevel="0" collapsed="false">
      <c r="A566" s="75"/>
      <c r="B566" s="76"/>
      <c r="C566" s="77"/>
      <c r="D566" s="78"/>
      <c r="E566" s="77"/>
      <c r="F566" s="76"/>
      <c r="G566" s="76"/>
      <c r="I566" s="79" t="str">
        <f aca="false">IF($B566="","",IF(ISNUMBER(MATCH($B566,日別データ!$B$13:$B$32,0)),"✔ OK","⚠ 未登録"))</f>
        <v/>
      </c>
      <c r="J566" s="80" t="str">
        <f aca="false">IF($B566="","",IF($D566="","－",IF(ISNUMBER($D566),IF(AND($D566&gt;=1,MOD($D566,1)=0),"－",IF(MOD($D566,1)&lt;$L$6,"朝",IF(MOD($D566,1)&lt;$L$7,"昼",IF(MOD($D566,1)&lt;$L$8,"夕方","夜")))),IF(OR($D566="朝",$D566="昼",$D566="夕方",$D566="夜"),$D566,"⚠ 不明"))))</f>
        <v/>
      </c>
    </row>
    <row r="567" customFormat="false" ht="15" hidden="false" customHeight="false" outlineLevel="0" collapsed="false">
      <c r="A567" s="75"/>
      <c r="B567" s="76"/>
      <c r="C567" s="77"/>
      <c r="D567" s="78"/>
      <c r="E567" s="77"/>
      <c r="F567" s="76"/>
      <c r="G567" s="76"/>
      <c r="I567" s="79" t="str">
        <f aca="false">IF($B567="","",IF(ISNUMBER(MATCH($B567,日別データ!$B$13:$B$32,0)),"✔ OK","⚠ 未登録"))</f>
        <v/>
      </c>
      <c r="J567" s="80" t="str">
        <f aca="false">IF($B567="","",IF($D567="","－",IF(ISNUMBER($D567),IF(AND($D567&gt;=1,MOD($D567,1)=0),"－",IF(MOD($D567,1)&lt;$L$6,"朝",IF(MOD($D567,1)&lt;$L$7,"昼",IF(MOD($D567,1)&lt;$L$8,"夕方","夜")))),IF(OR($D567="朝",$D567="昼",$D567="夕方",$D567="夜"),$D567,"⚠ 不明"))))</f>
        <v/>
      </c>
    </row>
    <row r="568" customFormat="false" ht="15" hidden="false" customHeight="false" outlineLevel="0" collapsed="false">
      <c r="A568" s="75"/>
      <c r="B568" s="76"/>
      <c r="C568" s="77"/>
      <c r="D568" s="78"/>
      <c r="E568" s="77"/>
      <c r="F568" s="76"/>
      <c r="G568" s="76"/>
      <c r="I568" s="79" t="str">
        <f aca="false">IF($B568="","",IF(ISNUMBER(MATCH($B568,日別データ!$B$13:$B$32,0)),"✔ OK","⚠ 未登録"))</f>
        <v/>
      </c>
      <c r="J568" s="80" t="str">
        <f aca="false">IF($B568="","",IF($D568="","－",IF(ISNUMBER($D568),IF(AND($D568&gt;=1,MOD($D568,1)=0),"－",IF(MOD($D568,1)&lt;$L$6,"朝",IF(MOD($D568,1)&lt;$L$7,"昼",IF(MOD($D568,1)&lt;$L$8,"夕方","夜")))),IF(OR($D568="朝",$D568="昼",$D568="夕方",$D568="夜"),$D568,"⚠ 不明"))))</f>
        <v/>
      </c>
    </row>
    <row r="569" customFormat="false" ht="15" hidden="false" customHeight="false" outlineLevel="0" collapsed="false">
      <c r="A569" s="75"/>
      <c r="B569" s="76"/>
      <c r="C569" s="77"/>
      <c r="D569" s="78"/>
      <c r="E569" s="77"/>
      <c r="F569" s="76"/>
      <c r="G569" s="76"/>
      <c r="I569" s="79" t="str">
        <f aca="false">IF($B569="","",IF(ISNUMBER(MATCH($B569,日別データ!$B$13:$B$32,0)),"✔ OK","⚠ 未登録"))</f>
        <v/>
      </c>
      <c r="J569" s="80" t="str">
        <f aca="false">IF($B569="","",IF($D569="","－",IF(ISNUMBER($D569),IF(AND($D569&gt;=1,MOD($D569,1)=0),"－",IF(MOD($D569,1)&lt;$L$6,"朝",IF(MOD($D569,1)&lt;$L$7,"昼",IF(MOD($D569,1)&lt;$L$8,"夕方","夜")))),IF(OR($D569="朝",$D569="昼",$D569="夕方",$D569="夜"),$D569,"⚠ 不明"))))</f>
        <v/>
      </c>
    </row>
    <row r="570" customFormat="false" ht="15" hidden="false" customHeight="false" outlineLevel="0" collapsed="false">
      <c r="A570" s="75"/>
      <c r="B570" s="76"/>
      <c r="C570" s="77"/>
      <c r="D570" s="78"/>
      <c r="E570" s="77"/>
      <c r="F570" s="76"/>
      <c r="G570" s="76"/>
      <c r="I570" s="79" t="str">
        <f aca="false">IF($B570="","",IF(ISNUMBER(MATCH($B570,日別データ!$B$13:$B$32,0)),"✔ OK","⚠ 未登録"))</f>
        <v/>
      </c>
      <c r="J570" s="80" t="str">
        <f aca="false">IF($B570="","",IF($D570="","－",IF(ISNUMBER($D570),IF(AND($D570&gt;=1,MOD($D570,1)=0),"－",IF(MOD($D570,1)&lt;$L$6,"朝",IF(MOD($D570,1)&lt;$L$7,"昼",IF(MOD($D570,1)&lt;$L$8,"夕方","夜")))),IF(OR($D570="朝",$D570="昼",$D570="夕方",$D570="夜"),$D570,"⚠ 不明"))))</f>
        <v/>
      </c>
    </row>
    <row r="571" customFormat="false" ht="15" hidden="false" customHeight="false" outlineLevel="0" collapsed="false">
      <c r="A571" s="75"/>
      <c r="B571" s="76"/>
      <c r="C571" s="77"/>
      <c r="D571" s="78"/>
      <c r="E571" s="77"/>
      <c r="F571" s="76"/>
      <c r="G571" s="76"/>
      <c r="I571" s="79" t="str">
        <f aca="false">IF($B571="","",IF(ISNUMBER(MATCH($B571,日別データ!$B$13:$B$32,0)),"✔ OK","⚠ 未登録"))</f>
        <v/>
      </c>
      <c r="J571" s="80" t="str">
        <f aca="false">IF($B571="","",IF($D571="","－",IF(ISNUMBER($D571),IF(AND($D571&gt;=1,MOD($D571,1)=0),"－",IF(MOD($D571,1)&lt;$L$6,"朝",IF(MOD($D571,1)&lt;$L$7,"昼",IF(MOD($D571,1)&lt;$L$8,"夕方","夜")))),IF(OR($D571="朝",$D571="昼",$D571="夕方",$D571="夜"),$D571,"⚠ 不明"))))</f>
        <v/>
      </c>
    </row>
    <row r="572" customFormat="false" ht="15" hidden="false" customHeight="false" outlineLevel="0" collapsed="false">
      <c r="A572" s="75"/>
      <c r="B572" s="76"/>
      <c r="C572" s="77"/>
      <c r="D572" s="78"/>
      <c r="E572" s="77"/>
      <c r="F572" s="76"/>
      <c r="G572" s="76"/>
      <c r="I572" s="79" t="str">
        <f aca="false">IF($B572="","",IF(ISNUMBER(MATCH($B572,日別データ!$B$13:$B$32,0)),"✔ OK","⚠ 未登録"))</f>
        <v/>
      </c>
      <c r="J572" s="80" t="str">
        <f aca="false">IF($B572="","",IF($D572="","－",IF(ISNUMBER($D572),IF(AND($D572&gt;=1,MOD($D572,1)=0),"－",IF(MOD($D572,1)&lt;$L$6,"朝",IF(MOD($D572,1)&lt;$L$7,"昼",IF(MOD($D572,1)&lt;$L$8,"夕方","夜")))),IF(OR($D572="朝",$D572="昼",$D572="夕方",$D572="夜"),$D572,"⚠ 不明"))))</f>
        <v/>
      </c>
    </row>
    <row r="573" customFormat="false" ht="15" hidden="false" customHeight="false" outlineLevel="0" collapsed="false">
      <c r="A573" s="75"/>
      <c r="B573" s="76"/>
      <c r="C573" s="77"/>
      <c r="D573" s="78"/>
      <c r="E573" s="77"/>
      <c r="F573" s="76"/>
      <c r="G573" s="76"/>
      <c r="I573" s="79" t="str">
        <f aca="false">IF($B573="","",IF(ISNUMBER(MATCH($B573,日別データ!$B$13:$B$32,0)),"✔ OK","⚠ 未登録"))</f>
        <v/>
      </c>
      <c r="J573" s="80" t="str">
        <f aca="false">IF($B573="","",IF($D573="","－",IF(ISNUMBER($D573),IF(AND($D573&gt;=1,MOD($D573,1)=0),"－",IF(MOD($D573,1)&lt;$L$6,"朝",IF(MOD($D573,1)&lt;$L$7,"昼",IF(MOD($D573,1)&lt;$L$8,"夕方","夜")))),IF(OR($D573="朝",$D573="昼",$D573="夕方",$D573="夜"),$D573,"⚠ 不明"))))</f>
        <v/>
      </c>
    </row>
    <row r="574" customFormat="false" ht="15" hidden="false" customHeight="false" outlineLevel="0" collapsed="false">
      <c r="A574" s="75"/>
      <c r="B574" s="76"/>
      <c r="C574" s="77"/>
      <c r="D574" s="78"/>
      <c r="E574" s="77"/>
      <c r="F574" s="76"/>
      <c r="G574" s="76"/>
      <c r="I574" s="79" t="str">
        <f aca="false">IF($B574="","",IF(ISNUMBER(MATCH($B574,日別データ!$B$13:$B$32,0)),"✔ OK","⚠ 未登録"))</f>
        <v/>
      </c>
      <c r="J574" s="80" t="str">
        <f aca="false">IF($B574="","",IF($D574="","－",IF(ISNUMBER($D574),IF(AND($D574&gt;=1,MOD($D574,1)=0),"－",IF(MOD($D574,1)&lt;$L$6,"朝",IF(MOD($D574,1)&lt;$L$7,"昼",IF(MOD($D574,1)&lt;$L$8,"夕方","夜")))),IF(OR($D574="朝",$D574="昼",$D574="夕方",$D574="夜"),$D574,"⚠ 不明"))))</f>
        <v/>
      </c>
    </row>
    <row r="575" customFormat="false" ht="15" hidden="false" customHeight="false" outlineLevel="0" collapsed="false">
      <c r="A575" s="75"/>
      <c r="B575" s="76"/>
      <c r="C575" s="77"/>
      <c r="D575" s="78"/>
      <c r="E575" s="77"/>
      <c r="F575" s="76"/>
      <c r="G575" s="76"/>
      <c r="I575" s="79" t="str">
        <f aca="false">IF($B575="","",IF(ISNUMBER(MATCH($B575,日別データ!$B$13:$B$32,0)),"✔ OK","⚠ 未登録"))</f>
        <v/>
      </c>
      <c r="J575" s="80" t="str">
        <f aca="false">IF($B575="","",IF($D575="","－",IF(ISNUMBER($D575),IF(AND($D575&gt;=1,MOD($D575,1)=0),"－",IF(MOD($D575,1)&lt;$L$6,"朝",IF(MOD($D575,1)&lt;$L$7,"昼",IF(MOD($D575,1)&lt;$L$8,"夕方","夜")))),IF(OR($D575="朝",$D575="昼",$D575="夕方",$D575="夜"),$D575,"⚠ 不明"))))</f>
        <v/>
      </c>
    </row>
    <row r="576" customFormat="false" ht="15" hidden="false" customHeight="false" outlineLevel="0" collapsed="false">
      <c r="A576" s="75"/>
      <c r="B576" s="76"/>
      <c r="C576" s="77"/>
      <c r="D576" s="78"/>
      <c r="E576" s="77"/>
      <c r="F576" s="76"/>
      <c r="G576" s="76"/>
      <c r="I576" s="79" t="str">
        <f aca="false">IF($B576="","",IF(ISNUMBER(MATCH($B576,日別データ!$B$13:$B$32,0)),"✔ OK","⚠ 未登録"))</f>
        <v/>
      </c>
      <c r="J576" s="80" t="str">
        <f aca="false">IF($B576="","",IF($D576="","－",IF(ISNUMBER($D576),IF(AND($D576&gt;=1,MOD($D576,1)=0),"－",IF(MOD($D576,1)&lt;$L$6,"朝",IF(MOD($D576,1)&lt;$L$7,"昼",IF(MOD($D576,1)&lt;$L$8,"夕方","夜")))),IF(OR($D576="朝",$D576="昼",$D576="夕方",$D576="夜"),$D576,"⚠ 不明"))))</f>
        <v/>
      </c>
    </row>
    <row r="577" customFormat="false" ht="15" hidden="false" customHeight="false" outlineLevel="0" collapsed="false">
      <c r="A577" s="75"/>
      <c r="B577" s="76"/>
      <c r="C577" s="77"/>
      <c r="D577" s="78"/>
      <c r="E577" s="77"/>
      <c r="F577" s="76"/>
      <c r="G577" s="76"/>
      <c r="I577" s="79" t="str">
        <f aca="false">IF($B577="","",IF(ISNUMBER(MATCH($B577,日別データ!$B$13:$B$32,0)),"✔ OK","⚠ 未登録"))</f>
        <v/>
      </c>
      <c r="J577" s="80" t="str">
        <f aca="false">IF($B577="","",IF($D577="","－",IF(ISNUMBER($D577),IF(AND($D577&gt;=1,MOD($D577,1)=0),"－",IF(MOD($D577,1)&lt;$L$6,"朝",IF(MOD($D577,1)&lt;$L$7,"昼",IF(MOD($D577,1)&lt;$L$8,"夕方","夜")))),IF(OR($D577="朝",$D577="昼",$D577="夕方",$D577="夜"),$D577,"⚠ 不明"))))</f>
        <v/>
      </c>
    </row>
    <row r="578" customFormat="false" ht="15" hidden="false" customHeight="false" outlineLevel="0" collapsed="false">
      <c r="A578" s="75"/>
      <c r="B578" s="76"/>
      <c r="C578" s="77"/>
      <c r="D578" s="78"/>
      <c r="E578" s="77"/>
      <c r="F578" s="76"/>
      <c r="G578" s="76"/>
      <c r="I578" s="79" t="str">
        <f aca="false">IF($B578="","",IF(ISNUMBER(MATCH($B578,日別データ!$B$13:$B$32,0)),"✔ OK","⚠ 未登録"))</f>
        <v/>
      </c>
      <c r="J578" s="80" t="str">
        <f aca="false">IF($B578="","",IF($D578="","－",IF(ISNUMBER($D578),IF(AND($D578&gt;=1,MOD($D578,1)=0),"－",IF(MOD($D578,1)&lt;$L$6,"朝",IF(MOD($D578,1)&lt;$L$7,"昼",IF(MOD($D578,1)&lt;$L$8,"夕方","夜")))),IF(OR($D578="朝",$D578="昼",$D578="夕方",$D578="夜"),$D578,"⚠ 不明"))))</f>
        <v/>
      </c>
    </row>
    <row r="579" customFormat="false" ht="15" hidden="false" customHeight="false" outlineLevel="0" collapsed="false">
      <c r="A579" s="75"/>
      <c r="B579" s="76"/>
      <c r="C579" s="77"/>
      <c r="D579" s="78"/>
      <c r="E579" s="77"/>
      <c r="F579" s="76"/>
      <c r="G579" s="76"/>
      <c r="I579" s="79" t="str">
        <f aca="false">IF($B579="","",IF(ISNUMBER(MATCH($B579,日別データ!$B$13:$B$32,0)),"✔ OK","⚠ 未登録"))</f>
        <v/>
      </c>
      <c r="J579" s="80" t="str">
        <f aca="false">IF($B579="","",IF($D579="","－",IF(ISNUMBER($D579),IF(AND($D579&gt;=1,MOD($D579,1)=0),"－",IF(MOD($D579,1)&lt;$L$6,"朝",IF(MOD($D579,1)&lt;$L$7,"昼",IF(MOD($D579,1)&lt;$L$8,"夕方","夜")))),IF(OR($D579="朝",$D579="昼",$D579="夕方",$D579="夜"),$D579,"⚠ 不明"))))</f>
        <v/>
      </c>
    </row>
    <row r="580" customFormat="false" ht="15" hidden="false" customHeight="false" outlineLevel="0" collapsed="false">
      <c r="A580" s="75"/>
      <c r="B580" s="76"/>
      <c r="C580" s="77"/>
      <c r="D580" s="78"/>
      <c r="E580" s="77"/>
      <c r="F580" s="76"/>
      <c r="G580" s="76"/>
      <c r="I580" s="79" t="str">
        <f aca="false">IF($B580="","",IF(ISNUMBER(MATCH($B580,日別データ!$B$13:$B$32,0)),"✔ OK","⚠ 未登録"))</f>
        <v/>
      </c>
      <c r="J580" s="80" t="str">
        <f aca="false">IF($B580="","",IF($D580="","－",IF(ISNUMBER($D580),IF(AND($D580&gt;=1,MOD($D580,1)=0),"－",IF(MOD($D580,1)&lt;$L$6,"朝",IF(MOD($D580,1)&lt;$L$7,"昼",IF(MOD($D580,1)&lt;$L$8,"夕方","夜")))),IF(OR($D580="朝",$D580="昼",$D580="夕方",$D580="夜"),$D580,"⚠ 不明"))))</f>
        <v/>
      </c>
    </row>
    <row r="581" customFormat="false" ht="15" hidden="false" customHeight="false" outlineLevel="0" collapsed="false">
      <c r="A581" s="75"/>
      <c r="B581" s="76"/>
      <c r="C581" s="77"/>
      <c r="D581" s="78"/>
      <c r="E581" s="77"/>
      <c r="F581" s="76"/>
      <c r="G581" s="76"/>
      <c r="I581" s="79" t="str">
        <f aca="false">IF($B581="","",IF(ISNUMBER(MATCH($B581,日別データ!$B$13:$B$32,0)),"✔ OK","⚠ 未登録"))</f>
        <v/>
      </c>
      <c r="J581" s="80" t="str">
        <f aca="false">IF($B581="","",IF($D581="","－",IF(ISNUMBER($D581),IF(AND($D581&gt;=1,MOD($D581,1)=0),"－",IF(MOD($D581,1)&lt;$L$6,"朝",IF(MOD($D581,1)&lt;$L$7,"昼",IF(MOD($D581,1)&lt;$L$8,"夕方","夜")))),IF(OR($D581="朝",$D581="昼",$D581="夕方",$D581="夜"),$D581,"⚠ 不明"))))</f>
        <v/>
      </c>
    </row>
    <row r="582" customFormat="false" ht="15" hidden="false" customHeight="false" outlineLevel="0" collapsed="false">
      <c r="A582" s="75"/>
      <c r="B582" s="76"/>
      <c r="C582" s="77"/>
      <c r="D582" s="78"/>
      <c r="E582" s="77"/>
      <c r="F582" s="76"/>
      <c r="G582" s="76"/>
      <c r="I582" s="79" t="str">
        <f aca="false">IF($B582="","",IF(ISNUMBER(MATCH($B582,日別データ!$B$13:$B$32,0)),"✔ OK","⚠ 未登録"))</f>
        <v/>
      </c>
      <c r="J582" s="80" t="str">
        <f aca="false">IF($B582="","",IF($D582="","－",IF(ISNUMBER($D582),IF(AND($D582&gt;=1,MOD($D582,1)=0),"－",IF(MOD($D582,1)&lt;$L$6,"朝",IF(MOD($D582,1)&lt;$L$7,"昼",IF(MOD($D582,1)&lt;$L$8,"夕方","夜")))),IF(OR($D582="朝",$D582="昼",$D582="夕方",$D582="夜"),$D582,"⚠ 不明"))))</f>
        <v/>
      </c>
    </row>
    <row r="583" customFormat="false" ht="15" hidden="false" customHeight="false" outlineLevel="0" collapsed="false">
      <c r="A583" s="75"/>
      <c r="B583" s="76"/>
      <c r="C583" s="77"/>
      <c r="D583" s="78"/>
      <c r="E583" s="77"/>
      <c r="F583" s="76"/>
      <c r="G583" s="76"/>
      <c r="I583" s="79" t="str">
        <f aca="false">IF($B583="","",IF(ISNUMBER(MATCH($B583,日別データ!$B$13:$B$32,0)),"✔ OK","⚠ 未登録"))</f>
        <v/>
      </c>
      <c r="J583" s="80" t="str">
        <f aca="false">IF($B583="","",IF($D583="","－",IF(ISNUMBER($D583),IF(AND($D583&gt;=1,MOD($D583,1)=0),"－",IF(MOD($D583,1)&lt;$L$6,"朝",IF(MOD($D583,1)&lt;$L$7,"昼",IF(MOD($D583,1)&lt;$L$8,"夕方","夜")))),IF(OR($D583="朝",$D583="昼",$D583="夕方",$D583="夜"),$D583,"⚠ 不明"))))</f>
        <v/>
      </c>
    </row>
    <row r="584" customFormat="false" ht="15" hidden="false" customHeight="false" outlineLevel="0" collapsed="false">
      <c r="A584" s="75"/>
      <c r="B584" s="76"/>
      <c r="C584" s="77"/>
      <c r="D584" s="78"/>
      <c r="E584" s="77"/>
      <c r="F584" s="76"/>
      <c r="G584" s="76"/>
      <c r="I584" s="79" t="str">
        <f aca="false">IF($B584="","",IF(ISNUMBER(MATCH($B584,日別データ!$B$13:$B$32,0)),"✔ OK","⚠ 未登録"))</f>
        <v/>
      </c>
      <c r="J584" s="80" t="str">
        <f aca="false">IF($B584="","",IF($D584="","－",IF(ISNUMBER($D584),IF(AND($D584&gt;=1,MOD($D584,1)=0),"－",IF(MOD($D584,1)&lt;$L$6,"朝",IF(MOD($D584,1)&lt;$L$7,"昼",IF(MOD($D584,1)&lt;$L$8,"夕方","夜")))),IF(OR($D584="朝",$D584="昼",$D584="夕方",$D584="夜"),$D584,"⚠ 不明"))))</f>
        <v/>
      </c>
    </row>
    <row r="585" customFormat="false" ht="15" hidden="false" customHeight="false" outlineLevel="0" collapsed="false">
      <c r="A585" s="75"/>
      <c r="B585" s="76"/>
      <c r="C585" s="77"/>
      <c r="D585" s="78"/>
      <c r="E585" s="77"/>
      <c r="F585" s="76"/>
      <c r="G585" s="76"/>
      <c r="I585" s="79" t="str">
        <f aca="false">IF($B585="","",IF(ISNUMBER(MATCH($B585,日別データ!$B$13:$B$32,0)),"✔ OK","⚠ 未登録"))</f>
        <v/>
      </c>
      <c r="J585" s="80" t="str">
        <f aca="false">IF($B585="","",IF($D585="","－",IF(ISNUMBER($D585),IF(AND($D585&gt;=1,MOD($D585,1)=0),"－",IF(MOD($D585,1)&lt;$L$6,"朝",IF(MOD($D585,1)&lt;$L$7,"昼",IF(MOD($D585,1)&lt;$L$8,"夕方","夜")))),IF(OR($D585="朝",$D585="昼",$D585="夕方",$D585="夜"),$D585,"⚠ 不明"))))</f>
        <v/>
      </c>
    </row>
    <row r="586" customFormat="false" ht="15" hidden="false" customHeight="false" outlineLevel="0" collapsed="false">
      <c r="A586" s="75"/>
      <c r="B586" s="76"/>
      <c r="C586" s="77"/>
      <c r="D586" s="78"/>
      <c r="E586" s="77"/>
      <c r="F586" s="76"/>
      <c r="G586" s="76"/>
      <c r="I586" s="79" t="str">
        <f aca="false">IF($B586="","",IF(ISNUMBER(MATCH($B586,日別データ!$B$13:$B$32,0)),"✔ OK","⚠ 未登録"))</f>
        <v/>
      </c>
      <c r="J586" s="80" t="str">
        <f aca="false">IF($B586="","",IF($D586="","－",IF(ISNUMBER($D586),IF(AND($D586&gt;=1,MOD($D586,1)=0),"－",IF(MOD($D586,1)&lt;$L$6,"朝",IF(MOD($D586,1)&lt;$L$7,"昼",IF(MOD($D586,1)&lt;$L$8,"夕方","夜")))),IF(OR($D586="朝",$D586="昼",$D586="夕方",$D586="夜"),$D586,"⚠ 不明"))))</f>
        <v/>
      </c>
    </row>
    <row r="587" customFormat="false" ht="15" hidden="false" customHeight="false" outlineLevel="0" collapsed="false">
      <c r="A587" s="75"/>
      <c r="B587" s="76"/>
      <c r="C587" s="77"/>
      <c r="D587" s="78"/>
      <c r="E587" s="77"/>
      <c r="F587" s="76"/>
      <c r="G587" s="76"/>
      <c r="I587" s="79" t="str">
        <f aca="false">IF($B587="","",IF(ISNUMBER(MATCH($B587,日別データ!$B$13:$B$32,0)),"✔ OK","⚠ 未登録"))</f>
        <v/>
      </c>
      <c r="J587" s="80" t="str">
        <f aca="false">IF($B587="","",IF($D587="","－",IF(ISNUMBER($D587),IF(AND($D587&gt;=1,MOD($D587,1)=0),"－",IF(MOD($D587,1)&lt;$L$6,"朝",IF(MOD($D587,1)&lt;$L$7,"昼",IF(MOD($D587,1)&lt;$L$8,"夕方","夜")))),IF(OR($D587="朝",$D587="昼",$D587="夕方",$D587="夜"),$D587,"⚠ 不明"))))</f>
        <v/>
      </c>
    </row>
    <row r="588" customFormat="false" ht="15" hidden="false" customHeight="false" outlineLevel="0" collapsed="false">
      <c r="A588" s="75"/>
      <c r="B588" s="76"/>
      <c r="C588" s="77"/>
      <c r="D588" s="78"/>
      <c r="E588" s="77"/>
      <c r="F588" s="76"/>
      <c r="G588" s="76"/>
      <c r="I588" s="79" t="str">
        <f aca="false">IF($B588="","",IF(ISNUMBER(MATCH($B588,日別データ!$B$13:$B$32,0)),"✔ OK","⚠ 未登録"))</f>
        <v/>
      </c>
      <c r="J588" s="80" t="str">
        <f aca="false">IF($B588="","",IF($D588="","－",IF(ISNUMBER($D588),IF(AND($D588&gt;=1,MOD($D588,1)=0),"－",IF(MOD($D588,1)&lt;$L$6,"朝",IF(MOD($D588,1)&lt;$L$7,"昼",IF(MOD($D588,1)&lt;$L$8,"夕方","夜")))),IF(OR($D588="朝",$D588="昼",$D588="夕方",$D588="夜"),$D588,"⚠ 不明"))))</f>
        <v/>
      </c>
    </row>
    <row r="589" customFormat="false" ht="15" hidden="false" customHeight="false" outlineLevel="0" collapsed="false">
      <c r="A589" s="75"/>
      <c r="B589" s="76"/>
      <c r="C589" s="77"/>
      <c r="D589" s="78"/>
      <c r="E589" s="77"/>
      <c r="F589" s="76"/>
      <c r="G589" s="76"/>
      <c r="I589" s="79" t="str">
        <f aca="false">IF($B589="","",IF(ISNUMBER(MATCH($B589,日別データ!$B$13:$B$32,0)),"✔ OK","⚠ 未登録"))</f>
        <v/>
      </c>
      <c r="J589" s="80" t="str">
        <f aca="false">IF($B589="","",IF($D589="","－",IF(ISNUMBER($D589),IF(AND($D589&gt;=1,MOD($D589,1)=0),"－",IF(MOD($D589,1)&lt;$L$6,"朝",IF(MOD($D589,1)&lt;$L$7,"昼",IF(MOD($D589,1)&lt;$L$8,"夕方","夜")))),IF(OR($D589="朝",$D589="昼",$D589="夕方",$D589="夜"),$D589,"⚠ 不明"))))</f>
        <v/>
      </c>
    </row>
    <row r="590" customFormat="false" ht="15" hidden="false" customHeight="false" outlineLevel="0" collapsed="false">
      <c r="A590" s="75"/>
      <c r="B590" s="76"/>
      <c r="C590" s="77"/>
      <c r="D590" s="78"/>
      <c r="E590" s="77"/>
      <c r="F590" s="76"/>
      <c r="G590" s="76"/>
      <c r="I590" s="79" t="str">
        <f aca="false">IF($B590="","",IF(ISNUMBER(MATCH($B590,日別データ!$B$13:$B$32,0)),"✔ OK","⚠ 未登録"))</f>
        <v/>
      </c>
      <c r="J590" s="80" t="str">
        <f aca="false">IF($B590="","",IF($D590="","－",IF(ISNUMBER($D590),IF(AND($D590&gt;=1,MOD($D590,1)=0),"－",IF(MOD($D590,1)&lt;$L$6,"朝",IF(MOD($D590,1)&lt;$L$7,"昼",IF(MOD($D590,1)&lt;$L$8,"夕方","夜")))),IF(OR($D590="朝",$D590="昼",$D590="夕方",$D590="夜"),$D590,"⚠ 不明"))))</f>
        <v/>
      </c>
    </row>
    <row r="591" customFormat="false" ht="15" hidden="false" customHeight="false" outlineLevel="0" collapsed="false">
      <c r="A591" s="75"/>
      <c r="B591" s="76"/>
      <c r="C591" s="77"/>
      <c r="D591" s="78"/>
      <c r="E591" s="77"/>
      <c r="F591" s="76"/>
      <c r="G591" s="76"/>
      <c r="I591" s="79" t="str">
        <f aca="false">IF($B591="","",IF(ISNUMBER(MATCH($B591,日別データ!$B$13:$B$32,0)),"✔ OK","⚠ 未登録"))</f>
        <v/>
      </c>
      <c r="J591" s="80" t="str">
        <f aca="false">IF($B591="","",IF($D591="","－",IF(ISNUMBER($D591),IF(AND($D591&gt;=1,MOD($D591,1)=0),"－",IF(MOD($D591,1)&lt;$L$6,"朝",IF(MOD($D591,1)&lt;$L$7,"昼",IF(MOD($D591,1)&lt;$L$8,"夕方","夜")))),IF(OR($D591="朝",$D591="昼",$D591="夕方",$D591="夜"),$D591,"⚠ 不明"))))</f>
        <v/>
      </c>
    </row>
    <row r="592" customFormat="false" ht="15" hidden="false" customHeight="false" outlineLevel="0" collapsed="false">
      <c r="A592" s="75"/>
      <c r="B592" s="76"/>
      <c r="C592" s="77"/>
      <c r="D592" s="78"/>
      <c r="E592" s="77"/>
      <c r="F592" s="76"/>
      <c r="G592" s="76"/>
      <c r="I592" s="79" t="str">
        <f aca="false">IF($B592="","",IF(ISNUMBER(MATCH($B592,日別データ!$B$13:$B$32,0)),"✔ OK","⚠ 未登録"))</f>
        <v/>
      </c>
      <c r="J592" s="80" t="str">
        <f aca="false">IF($B592="","",IF($D592="","－",IF(ISNUMBER($D592),IF(AND($D592&gt;=1,MOD($D592,1)=0),"－",IF(MOD($D592,1)&lt;$L$6,"朝",IF(MOD($D592,1)&lt;$L$7,"昼",IF(MOD($D592,1)&lt;$L$8,"夕方","夜")))),IF(OR($D592="朝",$D592="昼",$D592="夕方",$D592="夜"),$D592,"⚠ 不明"))))</f>
        <v/>
      </c>
    </row>
    <row r="593" customFormat="false" ht="15" hidden="false" customHeight="false" outlineLevel="0" collapsed="false">
      <c r="A593" s="75"/>
      <c r="B593" s="76"/>
      <c r="C593" s="77"/>
      <c r="D593" s="78"/>
      <c r="E593" s="77"/>
      <c r="F593" s="76"/>
      <c r="G593" s="76"/>
      <c r="I593" s="79" t="str">
        <f aca="false">IF($B593="","",IF(ISNUMBER(MATCH($B593,日別データ!$B$13:$B$32,0)),"✔ OK","⚠ 未登録"))</f>
        <v/>
      </c>
      <c r="J593" s="80" t="str">
        <f aca="false">IF($B593="","",IF($D593="","－",IF(ISNUMBER($D593),IF(AND($D593&gt;=1,MOD($D593,1)=0),"－",IF(MOD($D593,1)&lt;$L$6,"朝",IF(MOD($D593,1)&lt;$L$7,"昼",IF(MOD($D593,1)&lt;$L$8,"夕方","夜")))),IF(OR($D593="朝",$D593="昼",$D593="夕方",$D593="夜"),$D593,"⚠ 不明"))))</f>
        <v/>
      </c>
    </row>
    <row r="594" customFormat="false" ht="15" hidden="false" customHeight="false" outlineLevel="0" collapsed="false">
      <c r="A594" s="75"/>
      <c r="B594" s="76"/>
      <c r="C594" s="77"/>
      <c r="D594" s="78"/>
      <c r="E594" s="77"/>
      <c r="F594" s="76"/>
      <c r="G594" s="76"/>
      <c r="I594" s="79" t="str">
        <f aca="false">IF($B594="","",IF(ISNUMBER(MATCH($B594,日別データ!$B$13:$B$32,0)),"✔ OK","⚠ 未登録"))</f>
        <v/>
      </c>
      <c r="J594" s="80" t="str">
        <f aca="false">IF($B594="","",IF($D594="","－",IF(ISNUMBER($D594),IF(AND($D594&gt;=1,MOD($D594,1)=0),"－",IF(MOD($D594,1)&lt;$L$6,"朝",IF(MOD($D594,1)&lt;$L$7,"昼",IF(MOD($D594,1)&lt;$L$8,"夕方","夜")))),IF(OR($D594="朝",$D594="昼",$D594="夕方",$D594="夜"),$D594,"⚠ 不明"))))</f>
        <v/>
      </c>
    </row>
    <row r="595" customFormat="false" ht="15" hidden="false" customHeight="false" outlineLevel="0" collapsed="false">
      <c r="A595" s="75"/>
      <c r="B595" s="76"/>
      <c r="C595" s="77"/>
      <c r="D595" s="78"/>
      <c r="E595" s="77"/>
      <c r="F595" s="76"/>
      <c r="G595" s="76"/>
      <c r="I595" s="79" t="str">
        <f aca="false">IF($B595="","",IF(ISNUMBER(MATCH($B595,日別データ!$B$13:$B$32,0)),"✔ OK","⚠ 未登録"))</f>
        <v/>
      </c>
      <c r="J595" s="80" t="str">
        <f aca="false">IF($B595="","",IF($D595="","－",IF(ISNUMBER($D595),IF(AND($D595&gt;=1,MOD($D595,1)=0),"－",IF(MOD($D595,1)&lt;$L$6,"朝",IF(MOD($D595,1)&lt;$L$7,"昼",IF(MOD($D595,1)&lt;$L$8,"夕方","夜")))),IF(OR($D595="朝",$D595="昼",$D595="夕方",$D595="夜"),$D595,"⚠ 不明"))))</f>
        <v/>
      </c>
    </row>
    <row r="596" customFormat="false" ht="15" hidden="false" customHeight="false" outlineLevel="0" collapsed="false">
      <c r="A596" s="75"/>
      <c r="B596" s="76"/>
      <c r="C596" s="77"/>
      <c r="D596" s="78"/>
      <c r="E596" s="77"/>
      <c r="F596" s="76"/>
      <c r="G596" s="76"/>
      <c r="I596" s="79" t="str">
        <f aca="false">IF($B596="","",IF(ISNUMBER(MATCH($B596,日別データ!$B$13:$B$32,0)),"✔ OK","⚠ 未登録"))</f>
        <v/>
      </c>
      <c r="J596" s="80" t="str">
        <f aca="false">IF($B596="","",IF($D596="","－",IF(ISNUMBER($D596),IF(AND($D596&gt;=1,MOD($D596,1)=0),"－",IF(MOD($D596,1)&lt;$L$6,"朝",IF(MOD($D596,1)&lt;$L$7,"昼",IF(MOD($D596,1)&lt;$L$8,"夕方","夜")))),IF(OR($D596="朝",$D596="昼",$D596="夕方",$D596="夜"),$D596,"⚠ 不明"))))</f>
        <v/>
      </c>
    </row>
    <row r="597" customFormat="false" ht="15" hidden="false" customHeight="false" outlineLevel="0" collapsed="false">
      <c r="A597" s="75"/>
      <c r="B597" s="76"/>
      <c r="C597" s="77"/>
      <c r="D597" s="78"/>
      <c r="E597" s="77"/>
      <c r="F597" s="76"/>
      <c r="G597" s="76"/>
      <c r="I597" s="79" t="str">
        <f aca="false">IF($B597="","",IF(ISNUMBER(MATCH($B597,日別データ!$B$13:$B$32,0)),"✔ OK","⚠ 未登録"))</f>
        <v/>
      </c>
      <c r="J597" s="80" t="str">
        <f aca="false">IF($B597="","",IF($D597="","－",IF(ISNUMBER($D597),IF(AND($D597&gt;=1,MOD($D597,1)=0),"－",IF(MOD($D597,1)&lt;$L$6,"朝",IF(MOD($D597,1)&lt;$L$7,"昼",IF(MOD($D597,1)&lt;$L$8,"夕方","夜")))),IF(OR($D597="朝",$D597="昼",$D597="夕方",$D597="夜"),$D597,"⚠ 不明"))))</f>
        <v/>
      </c>
    </row>
    <row r="598" customFormat="false" ht="15" hidden="false" customHeight="false" outlineLevel="0" collapsed="false">
      <c r="A598" s="75"/>
      <c r="B598" s="76"/>
      <c r="C598" s="77"/>
      <c r="D598" s="78"/>
      <c r="E598" s="77"/>
      <c r="F598" s="76"/>
      <c r="G598" s="76"/>
      <c r="I598" s="79" t="str">
        <f aca="false">IF($B598="","",IF(ISNUMBER(MATCH($B598,日別データ!$B$13:$B$32,0)),"✔ OK","⚠ 未登録"))</f>
        <v/>
      </c>
      <c r="J598" s="80" t="str">
        <f aca="false">IF($B598="","",IF($D598="","－",IF(ISNUMBER($D598),IF(AND($D598&gt;=1,MOD($D598,1)=0),"－",IF(MOD($D598,1)&lt;$L$6,"朝",IF(MOD($D598,1)&lt;$L$7,"昼",IF(MOD($D598,1)&lt;$L$8,"夕方","夜")))),IF(OR($D598="朝",$D598="昼",$D598="夕方",$D598="夜"),$D598,"⚠ 不明"))))</f>
        <v/>
      </c>
    </row>
    <row r="599" customFormat="false" ht="15" hidden="false" customHeight="false" outlineLevel="0" collapsed="false">
      <c r="A599" s="75"/>
      <c r="B599" s="76"/>
      <c r="C599" s="77"/>
      <c r="D599" s="78"/>
      <c r="E599" s="77"/>
      <c r="F599" s="76"/>
      <c r="G599" s="76"/>
      <c r="I599" s="79" t="str">
        <f aca="false">IF($B599="","",IF(ISNUMBER(MATCH($B599,日別データ!$B$13:$B$32,0)),"✔ OK","⚠ 未登録"))</f>
        <v/>
      </c>
      <c r="J599" s="80" t="str">
        <f aca="false">IF($B599="","",IF($D599="","－",IF(ISNUMBER($D599),IF(AND($D599&gt;=1,MOD($D599,1)=0),"－",IF(MOD($D599,1)&lt;$L$6,"朝",IF(MOD($D599,1)&lt;$L$7,"昼",IF(MOD($D599,1)&lt;$L$8,"夕方","夜")))),IF(OR($D599="朝",$D599="昼",$D599="夕方",$D599="夜"),$D599,"⚠ 不明"))))</f>
        <v/>
      </c>
    </row>
    <row r="600" customFormat="false" ht="15" hidden="false" customHeight="false" outlineLevel="0" collapsed="false">
      <c r="A600" s="75"/>
      <c r="B600" s="76"/>
      <c r="C600" s="77"/>
      <c r="D600" s="78"/>
      <c r="E600" s="77"/>
      <c r="F600" s="76"/>
      <c r="G600" s="76"/>
      <c r="I600" s="79" t="str">
        <f aca="false">IF($B600="","",IF(ISNUMBER(MATCH($B600,日別データ!$B$13:$B$32,0)),"✔ OK","⚠ 未登録"))</f>
        <v/>
      </c>
      <c r="J600" s="80" t="str">
        <f aca="false">IF($B600="","",IF($D600="","－",IF(ISNUMBER($D600),IF(AND($D600&gt;=1,MOD($D600,1)=0),"－",IF(MOD($D600,1)&lt;$L$6,"朝",IF(MOD($D600,1)&lt;$L$7,"昼",IF(MOD($D600,1)&lt;$L$8,"夕方","夜")))),IF(OR($D600="朝",$D600="昼",$D600="夕方",$D600="夜"),$D600,"⚠ 不明"))))</f>
        <v/>
      </c>
    </row>
    <row r="601" customFormat="false" ht="15" hidden="false" customHeight="false" outlineLevel="0" collapsed="false">
      <c r="A601" s="75"/>
      <c r="B601" s="76"/>
      <c r="C601" s="77"/>
      <c r="D601" s="78"/>
      <c r="E601" s="77"/>
      <c r="F601" s="76"/>
      <c r="G601" s="76"/>
      <c r="I601" s="79" t="str">
        <f aca="false">IF($B601="","",IF(ISNUMBER(MATCH($B601,日別データ!$B$13:$B$32,0)),"✔ OK","⚠ 未登録"))</f>
        <v/>
      </c>
      <c r="J601" s="80" t="str">
        <f aca="false">IF($B601="","",IF($D601="","－",IF(ISNUMBER($D601),IF(AND($D601&gt;=1,MOD($D601,1)=0),"－",IF(MOD($D601,1)&lt;$L$6,"朝",IF(MOD($D601,1)&lt;$L$7,"昼",IF(MOD($D601,1)&lt;$L$8,"夕方","夜")))),IF(OR($D601="朝",$D601="昼",$D601="夕方",$D601="夜"),$D601,"⚠ 不明"))))</f>
        <v/>
      </c>
    </row>
    <row r="602" customFormat="false" ht="15" hidden="false" customHeight="false" outlineLevel="0" collapsed="false">
      <c r="A602" s="75"/>
      <c r="B602" s="76"/>
      <c r="C602" s="77"/>
      <c r="D602" s="78"/>
      <c r="E602" s="77"/>
      <c r="F602" s="76"/>
      <c r="G602" s="76"/>
      <c r="I602" s="79" t="str">
        <f aca="false">IF($B602="","",IF(ISNUMBER(MATCH($B602,日別データ!$B$13:$B$32,0)),"✔ OK","⚠ 未登録"))</f>
        <v/>
      </c>
      <c r="J602" s="80" t="str">
        <f aca="false">IF($B602="","",IF($D602="","－",IF(ISNUMBER($D602),IF(AND($D602&gt;=1,MOD($D602,1)=0),"－",IF(MOD($D602,1)&lt;$L$6,"朝",IF(MOD($D602,1)&lt;$L$7,"昼",IF(MOD($D602,1)&lt;$L$8,"夕方","夜")))),IF(OR($D602="朝",$D602="昼",$D602="夕方",$D602="夜"),$D602,"⚠ 不明"))))</f>
        <v/>
      </c>
    </row>
    <row r="603" customFormat="false" ht="15" hidden="false" customHeight="false" outlineLevel="0" collapsed="false">
      <c r="A603" s="75"/>
      <c r="B603" s="76"/>
      <c r="C603" s="77"/>
      <c r="D603" s="78"/>
      <c r="E603" s="77"/>
      <c r="F603" s="76"/>
      <c r="G603" s="76"/>
      <c r="I603" s="79" t="str">
        <f aca="false">IF($B603="","",IF(ISNUMBER(MATCH($B603,日別データ!$B$13:$B$32,0)),"✔ OK","⚠ 未登録"))</f>
        <v/>
      </c>
      <c r="J603" s="80" t="str">
        <f aca="false">IF($B603="","",IF($D603="","－",IF(ISNUMBER($D603),IF(AND($D603&gt;=1,MOD($D603,1)=0),"－",IF(MOD($D603,1)&lt;$L$6,"朝",IF(MOD($D603,1)&lt;$L$7,"昼",IF(MOD($D603,1)&lt;$L$8,"夕方","夜")))),IF(OR($D603="朝",$D603="昼",$D603="夕方",$D603="夜"),$D603,"⚠ 不明"))))</f>
        <v/>
      </c>
    </row>
    <row r="604" customFormat="false" ht="15" hidden="false" customHeight="false" outlineLevel="0" collapsed="false">
      <c r="A604" s="75"/>
      <c r="B604" s="76"/>
      <c r="C604" s="77"/>
      <c r="D604" s="78"/>
      <c r="E604" s="77"/>
      <c r="F604" s="76"/>
      <c r="G604" s="76"/>
      <c r="I604" s="79" t="str">
        <f aca="false">IF($B604="","",IF(ISNUMBER(MATCH($B604,日別データ!$B$13:$B$32,0)),"✔ OK","⚠ 未登録"))</f>
        <v/>
      </c>
      <c r="J604" s="80" t="str">
        <f aca="false">IF($B604="","",IF($D604="","－",IF(ISNUMBER($D604),IF(AND($D604&gt;=1,MOD($D604,1)=0),"－",IF(MOD($D604,1)&lt;$L$6,"朝",IF(MOD($D604,1)&lt;$L$7,"昼",IF(MOD($D604,1)&lt;$L$8,"夕方","夜")))),IF(OR($D604="朝",$D604="昼",$D604="夕方",$D604="夜"),$D604,"⚠ 不明"))))</f>
        <v/>
      </c>
    </row>
    <row r="605" customFormat="false" ht="15" hidden="false" customHeight="false" outlineLevel="0" collapsed="false">
      <c r="A605" s="75"/>
      <c r="B605" s="76"/>
      <c r="C605" s="77"/>
      <c r="D605" s="78"/>
      <c r="E605" s="77"/>
      <c r="F605" s="76"/>
      <c r="G605" s="76"/>
      <c r="I605" s="79" t="str">
        <f aca="false">IF($B605="","",IF(ISNUMBER(MATCH($B605,日別データ!$B$13:$B$32,0)),"✔ OK","⚠ 未登録"))</f>
        <v/>
      </c>
      <c r="J605" s="80" t="str">
        <f aca="false">IF($B605="","",IF($D605="","－",IF(ISNUMBER($D605),IF(AND($D605&gt;=1,MOD($D605,1)=0),"－",IF(MOD($D605,1)&lt;$L$6,"朝",IF(MOD($D605,1)&lt;$L$7,"昼",IF(MOD($D605,1)&lt;$L$8,"夕方","夜")))),IF(OR($D605="朝",$D605="昼",$D605="夕方",$D605="夜"),$D605,"⚠ 不明"))))</f>
        <v/>
      </c>
    </row>
    <row r="606" customFormat="false" ht="15" hidden="false" customHeight="false" outlineLevel="0" collapsed="false">
      <c r="A606" s="75"/>
      <c r="B606" s="76"/>
      <c r="C606" s="77"/>
      <c r="D606" s="78"/>
      <c r="E606" s="77"/>
      <c r="F606" s="76"/>
      <c r="G606" s="76"/>
      <c r="I606" s="79" t="str">
        <f aca="false">IF($B606="","",IF(ISNUMBER(MATCH($B606,日別データ!$B$13:$B$32,0)),"✔ OK","⚠ 未登録"))</f>
        <v/>
      </c>
      <c r="J606" s="80" t="str">
        <f aca="false">IF($B606="","",IF($D606="","－",IF(ISNUMBER($D606),IF(AND($D606&gt;=1,MOD($D606,1)=0),"－",IF(MOD($D606,1)&lt;$L$6,"朝",IF(MOD($D606,1)&lt;$L$7,"昼",IF(MOD($D606,1)&lt;$L$8,"夕方","夜")))),IF(OR($D606="朝",$D606="昼",$D606="夕方",$D606="夜"),$D606,"⚠ 不明"))))</f>
        <v/>
      </c>
    </row>
    <row r="607" customFormat="false" ht="15" hidden="false" customHeight="false" outlineLevel="0" collapsed="false">
      <c r="A607" s="75"/>
      <c r="B607" s="76"/>
      <c r="C607" s="77"/>
      <c r="D607" s="78"/>
      <c r="E607" s="77"/>
      <c r="F607" s="76"/>
      <c r="G607" s="76"/>
      <c r="I607" s="79" t="str">
        <f aca="false">IF($B607="","",IF(ISNUMBER(MATCH($B607,日別データ!$B$13:$B$32,0)),"✔ OK","⚠ 未登録"))</f>
        <v/>
      </c>
      <c r="J607" s="80" t="str">
        <f aca="false">IF($B607="","",IF($D607="","－",IF(ISNUMBER($D607),IF(AND($D607&gt;=1,MOD($D607,1)=0),"－",IF(MOD($D607,1)&lt;$L$6,"朝",IF(MOD($D607,1)&lt;$L$7,"昼",IF(MOD($D607,1)&lt;$L$8,"夕方","夜")))),IF(OR($D607="朝",$D607="昼",$D607="夕方",$D607="夜"),$D607,"⚠ 不明"))))</f>
        <v/>
      </c>
    </row>
    <row r="608" customFormat="false" ht="15" hidden="false" customHeight="false" outlineLevel="0" collapsed="false">
      <c r="A608" s="75"/>
      <c r="B608" s="76"/>
      <c r="C608" s="77"/>
      <c r="D608" s="78"/>
      <c r="E608" s="77"/>
      <c r="F608" s="76"/>
      <c r="G608" s="76"/>
      <c r="I608" s="79" t="str">
        <f aca="false">IF($B608="","",IF(ISNUMBER(MATCH($B608,日別データ!$B$13:$B$32,0)),"✔ OK","⚠ 未登録"))</f>
        <v/>
      </c>
      <c r="J608" s="80" t="str">
        <f aca="false">IF($B608="","",IF($D608="","－",IF(ISNUMBER($D608),IF(AND($D608&gt;=1,MOD($D608,1)=0),"－",IF(MOD($D608,1)&lt;$L$6,"朝",IF(MOD($D608,1)&lt;$L$7,"昼",IF(MOD($D608,1)&lt;$L$8,"夕方","夜")))),IF(OR($D608="朝",$D608="昼",$D608="夕方",$D608="夜"),$D608,"⚠ 不明"))))</f>
        <v/>
      </c>
    </row>
    <row r="609" customFormat="false" ht="15" hidden="false" customHeight="false" outlineLevel="0" collapsed="false">
      <c r="A609" s="75"/>
      <c r="B609" s="76"/>
      <c r="C609" s="77"/>
      <c r="D609" s="78"/>
      <c r="E609" s="77"/>
      <c r="F609" s="76"/>
      <c r="G609" s="76"/>
      <c r="I609" s="79" t="str">
        <f aca="false">IF($B609="","",IF(ISNUMBER(MATCH($B609,日別データ!$B$13:$B$32,0)),"✔ OK","⚠ 未登録"))</f>
        <v/>
      </c>
      <c r="J609" s="80" t="str">
        <f aca="false">IF($B609="","",IF($D609="","－",IF(ISNUMBER($D609),IF(AND($D609&gt;=1,MOD($D609,1)=0),"－",IF(MOD($D609,1)&lt;$L$6,"朝",IF(MOD($D609,1)&lt;$L$7,"昼",IF(MOD($D609,1)&lt;$L$8,"夕方","夜")))),IF(OR($D609="朝",$D609="昼",$D609="夕方",$D609="夜"),$D609,"⚠ 不明"))))</f>
        <v/>
      </c>
    </row>
    <row r="610" customFormat="false" ht="15" hidden="false" customHeight="false" outlineLevel="0" collapsed="false">
      <c r="A610" s="75"/>
      <c r="B610" s="76"/>
      <c r="C610" s="77"/>
      <c r="D610" s="78"/>
      <c r="E610" s="77"/>
      <c r="F610" s="76"/>
      <c r="G610" s="76"/>
      <c r="I610" s="79" t="str">
        <f aca="false">IF($B610="","",IF(ISNUMBER(MATCH($B610,日別データ!$B$13:$B$32,0)),"✔ OK","⚠ 未登録"))</f>
        <v/>
      </c>
      <c r="J610" s="80" t="str">
        <f aca="false">IF($B610="","",IF($D610="","－",IF(ISNUMBER($D610),IF(AND($D610&gt;=1,MOD($D610,1)=0),"－",IF(MOD($D610,1)&lt;$L$6,"朝",IF(MOD($D610,1)&lt;$L$7,"昼",IF(MOD($D610,1)&lt;$L$8,"夕方","夜")))),IF(OR($D610="朝",$D610="昼",$D610="夕方",$D610="夜"),$D610,"⚠ 不明"))))</f>
        <v/>
      </c>
    </row>
    <row r="611" customFormat="false" ht="15" hidden="false" customHeight="false" outlineLevel="0" collapsed="false">
      <c r="A611" s="75"/>
      <c r="B611" s="76"/>
      <c r="C611" s="77"/>
      <c r="D611" s="78"/>
      <c r="E611" s="77"/>
      <c r="F611" s="76"/>
      <c r="G611" s="76"/>
      <c r="I611" s="79" t="str">
        <f aca="false">IF($B611="","",IF(ISNUMBER(MATCH($B611,日別データ!$B$13:$B$32,0)),"✔ OK","⚠ 未登録"))</f>
        <v/>
      </c>
      <c r="J611" s="80" t="str">
        <f aca="false">IF($B611="","",IF($D611="","－",IF(ISNUMBER($D611),IF(AND($D611&gt;=1,MOD($D611,1)=0),"－",IF(MOD($D611,1)&lt;$L$6,"朝",IF(MOD($D611,1)&lt;$L$7,"昼",IF(MOD($D611,1)&lt;$L$8,"夕方","夜")))),IF(OR($D611="朝",$D611="昼",$D611="夕方",$D611="夜"),$D611,"⚠ 不明"))))</f>
        <v/>
      </c>
    </row>
    <row r="612" customFormat="false" ht="15" hidden="false" customHeight="false" outlineLevel="0" collapsed="false">
      <c r="A612" s="75"/>
      <c r="B612" s="76"/>
      <c r="C612" s="77"/>
      <c r="D612" s="78"/>
      <c r="E612" s="77"/>
      <c r="F612" s="76"/>
      <c r="G612" s="76"/>
      <c r="I612" s="79" t="str">
        <f aca="false">IF($B612="","",IF(ISNUMBER(MATCH($B612,日別データ!$B$13:$B$32,0)),"✔ OK","⚠ 未登録"))</f>
        <v/>
      </c>
      <c r="J612" s="80" t="str">
        <f aca="false">IF($B612="","",IF($D612="","－",IF(ISNUMBER($D612),IF(AND($D612&gt;=1,MOD($D612,1)=0),"－",IF(MOD($D612,1)&lt;$L$6,"朝",IF(MOD($D612,1)&lt;$L$7,"昼",IF(MOD($D612,1)&lt;$L$8,"夕方","夜")))),IF(OR($D612="朝",$D612="昼",$D612="夕方",$D612="夜"),$D612,"⚠ 不明"))))</f>
        <v/>
      </c>
    </row>
    <row r="613" customFormat="false" ht="15" hidden="false" customHeight="false" outlineLevel="0" collapsed="false">
      <c r="A613" s="75"/>
      <c r="B613" s="76"/>
      <c r="C613" s="77"/>
      <c r="D613" s="78"/>
      <c r="E613" s="77"/>
      <c r="F613" s="76"/>
      <c r="G613" s="76"/>
      <c r="I613" s="79" t="str">
        <f aca="false">IF($B613="","",IF(ISNUMBER(MATCH($B613,日別データ!$B$13:$B$32,0)),"✔ OK","⚠ 未登録"))</f>
        <v/>
      </c>
      <c r="J613" s="80" t="str">
        <f aca="false">IF($B613="","",IF($D613="","－",IF(ISNUMBER($D613),IF(AND($D613&gt;=1,MOD($D613,1)=0),"－",IF(MOD($D613,1)&lt;$L$6,"朝",IF(MOD($D613,1)&lt;$L$7,"昼",IF(MOD($D613,1)&lt;$L$8,"夕方","夜")))),IF(OR($D613="朝",$D613="昼",$D613="夕方",$D613="夜"),$D613,"⚠ 不明"))))</f>
        <v/>
      </c>
    </row>
    <row r="614" customFormat="false" ht="15" hidden="false" customHeight="false" outlineLevel="0" collapsed="false">
      <c r="A614" s="75"/>
      <c r="B614" s="76"/>
      <c r="C614" s="77"/>
      <c r="D614" s="78"/>
      <c r="E614" s="77"/>
      <c r="F614" s="76"/>
      <c r="G614" s="76"/>
      <c r="I614" s="79" t="str">
        <f aca="false">IF($B614="","",IF(ISNUMBER(MATCH($B614,日別データ!$B$13:$B$32,0)),"✔ OK","⚠ 未登録"))</f>
        <v/>
      </c>
      <c r="J614" s="80" t="str">
        <f aca="false">IF($B614="","",IF($D614="","－",IF(ISNUMBER($D614),IF(AND($D614&gt;=1,MOD($D614,1)=0),"－",IF(MOD($D614,1)&lt;$L$6,"朝",IF(MOD($D614,1)&lt;$L$7,"昼",IF(MOD($D614,1)&lt;$L$8,"夕方","夜")))),IF(OR($D614="朝",$D614="昼",$D614="夕方",$D614="夜"),$D614,"⚠ 不明"))))</f>
        <v/>
      </c>
    </row>
    <row r="615" customFormat="false" ht="15" hidden="false" customHeight="false" outlineLevel="0" collapsed="false">
      <c r="A615" s="75"/>
      <c r="B615" s="76"/>
      <c r="C615" s="77"/>
      <c r="D615" s="78"/>
      <c r="E615" s="77"/>
      <c r="F615" s="76"/>
      <c r="G615" s="76"/>
      <c r="I615" s="79" t="str">
        <f aca="false">IF($B615="","",IF(ISNUMBER(MATCH($B615,日別データ!$B$13:$B$32,0)),"✔ OK","⚠ 未登録"))</f>
        <v/>
      </c>
      <c r="J615" s="80" t="str">
        <f aca="false">IF($B615="","",IF($D615="","－",IF(ISNUMBER($D615),IF(AND($D615&gt;=1,MOD($D615,1)=0),"－",IF(MOD($D615,1)&lt;$L$6,"朝",IF(MOD($D615,1)&lt;$L$7,"昼",IF(MOD($D615,1)&lt;$L$8,"夕方","夜")))),IF(OR($D615="朝",$D615="昼",$D615="夕方",$D615="夜"),$D615,"⚠ 不明"))))</f>
        <v/>
      </c>
    </row>
    <row r="616" customFormat="false" ht="15" hidden="false" customHeight="false" outlineLevel="0" collapsed="false">
      <c r="A616" s="75"/>
      <c r="B616" s="76"/>
      <c r="C616" s="77"/>
      <c r="D616" s="78"/>
      <c r="E616" s="77"/>
      <c r="F616" s="76"/>
      <c r="G616" s="76"/>
      <c r="I616" s="79" t="str">
        <f aca="false">IF($B616="","",IF(ISNUMBER(MATCH($B616,日別データ!$B$13:$B$32,0)),"✔ OK","⚠ 未登録"))</f>
        <v/>
      </c>
      <c r="J616" s="80" t="str">
        <f aca="false">IF($B616="","",IF($D616="","－",IF(ISNUMBER($D616),IF(AND($D616&gt;=1,MOD($D616,1)=0),"－",IF(MOD($D616,1)&lt;$L$6,"朝",IF(MOD($D616,1)&lt;$L$7,"昼",IF(MOD($D616,1)&lt;$L$8,"夕方","夜")))),IF(OR($D616="朝",$D616="昼",$D616="夕方",$D616="夜"),$D616,"⚠ 不明"))))</f>
        <v/>
      </c>
    </row>
    <row r="617" customFormat="false" ht="15" hidden="false" customHeight="false" outlineLevel="0" collapsed="false">
      <c r="A617" s="75"/>
      <c r="B617" s="76"/>
      <c r="C617" s="77"/>
      <c r="D617" s="78"/>
      <c r="E617" s="77"/>
      <c r="F617" s="76"/>
      <c r="G617" s="76"/>
      <c r="I617" s="79" t="str">
        <f aca="false">IF($B617="","",IF(ISNUMBER(MATCH($B617,日別データ!$B$13:$B$32,0)),"✔ OK","⚠ 未登録"))</f>
        <v/>
      </c>
      <c r="J617" s="80" t="str">
        <f aca="false">IF($B617="","",IF($D617="","－",IF(ISNUMBER($D617),IF(AND($D617&gt;=1,MOD($D617,1)=0),"－",IF(MOD($D617,1)&lt;$L$6,"朝",IF(MOD($D617,1)&lt;$L$7,"昼",IF(MOD($D617,1)&lt;$L$8,"夕方","夜")))),IF(OR($D617="朝",$D617="昼",$D617="夕方",$D617="夜"),$D617,"⚠ 不明"))))</f>
        <v/>
      </c>
    </row>
    <row r="618" customFormat="false" ht="15" hidden="false" customHeight="false" outlineLevel="0" collapsed="false">
      <c r="A618" s="75"/>
      <c r="B618" s="76"/>
      <c r="C618" s="77"/>
      <c r="D618" s="78"/>
      <c r="E618" s="77"/>
      <c r="F618" s="76"/>
      <c r="G618" s="76"/>
      <c r="I618" s="79" t="str">
        <f aca="false">IF($B618="","",IF(ISNUMBER(MATCH($B618,日別データ!$B$13:$B$32,0)),"✔ OK","⚠ 未登録"))</f>
        <v/>
      </c>
      <c r="J618" s="80" t="str">
        <f aca="false">IF($B618="","",IF($D618="","－",IF(ISNUMBER($D618),IF(AND($D618&gt;=1,MOD($D618,1)=0),"－",IF(MOD($D618,1)&lt;$L$6,"朝",IF(MOD($D618,1)&lt;$L$7,"昼",IF(MOD($D618,1)&lt;$L$8,"夕方","夜")))),IF(OR($D618="朝",$D618="昼",$D618="夕方",$D618="夜"),$D618,"⚠ 不明"))))</f>
        <v/>
      </c>
    </row>
    <row r="619" customFormat="false" ht="15" hidden="false" customHeight="false" outlineLevel="0" collapsed="false">
      <c r="A619" s="75"/>
      <c r="B619" s="76"/>
      <c r="C619" s="77"/>
      <c r="D619" s="78"/>
      <c r="E619" s="77"/>
      <c r="F619" s="76"/>
      <c r="G619" s="76"/>
      <c r="I619" s="79" t="str">
        <f aca="false">IF($B619="","",IF(ISNUMBER(MATCH($B619,日別データ!$B$13:$B$32,0)),"✔ OK","⚠ 未登録"))</f>
        <v/>
      </c>
      <c r="J619" s="80" t="str">
        <f aca="false">IF($B619="","",IF($D619="","－",IF(ISNUMBER($D619),IF(AND($D619&gt;=1,MOD($D619,1)=0),"－",IF(MOD($D619,1)&lt;$L$6,"朝",IF(MOD($D619,1)&lt;$L$7,"昼",IF(MOD($D619,1)&lt;$L$8,"夕方","夜")))),IF(OR($D619="朝",$D619="昼",$D619="夕方",$D619="夜"),$D619,"⚠ 不明"))))</f>
        <v/>
      </c>
    </row>
    <row r="620" customFormat="false" ht="15" hidden="false" customHeight="false" outlineLevel="0" collapsed="false">
      <c r="A620" s="75"/>
      <c r="B620" s="76"/>
      <c r="C620" s="77"/>
      <c r="D620" s="78"/>
      <c r="E620" s="77"/>
      <c r="F620" s="76"/>
      <c r="G620" s="76"/>
      <c r="I620" s="79" t="str">
        <f aca="false">IF($B620="","",IF(ISNUMBER(MATCH($B620,日別データ!$B$13:$B$32,0)),"✔ OK","⚠ 未登録"))</f>
        <v/>
      </c>
      <c r="J620" s="80" t="str">
        <f aca="false">IF($B620="","",IF($D620="","－",IF(ISNUMBER($D620),IF(AND($D620&gt;=1,MOD($D620,1)=0),"－",IF(MOD($D620,1)&lt;$L$6,"朝",IF(MOD($D620,1)&lt;$L$7,"昼",IF(MOD($D620,1)&lt;$L$8,"夕方","夜")))),IF(OR($D620="朝",$D620="昼",$D620="夕方",$D620="夜"),$D620,"⚠ 不明"))))</f>
        <v/>
      </c>
    </row>
    <row r="621" customFormat="false" ht="15" hidden="false" customHeight="false" outlineLevel="0" collapsed="false">
      <c r="A621" s="75"/>
      <c r="B621" s="76"/>
      <c r="C621" s="77"/>
      <c r="D621" s="78"/>
      <c r="E621" s="77"/>
      <c r="F621" s="76"/>
      <c r="G621" s="76"/>
      <c r="I621" s="79" t="str">
        <f aca="false">IF($B621="","",IF(ISNUMBER(MATCH($B621,日別データ!$B$13:$B$32,0)),"✔ OK","⚠ 未登録"))</f>
        <v/>
      </c>
      <c r="J621" s="80" t="str">
        <f aca="false">IF($B621="","",IF($D621="","－",IF(ISNUMBER($D621),IF(AND($D621&gt;=1,MOD($D621,1)=0),"－",IF(MOD($D621,1)&lt;$L$6,"朝",IF(MOD($D621,1)&lt;$L$7,"昼",IF(MOD($D621,1)&lt;$L$8,"夕方","夜")))),IF(OR($D621="朝",$D621="昼",$D621="夕方",$D621="夜"),$D621,"⚠ 不明"))))</f>
        <v/>
      </c>
    </row>
    <row r="622" customFormat="false" ht="15" hidden="false" customHeight="false" outlineLevel="0" collapsed="false">
      <c r="A622" s="75"/>
      <c r="B622" s="76"/>
      <c r="C622" s="77"/>
      <c r="D622" s="78"/>
      <c r="E622" s="77"/>
      <c r="F622" s="76"/>
      <c r="G622" s="76"/>
      <c r="I622" s="79" t="str">
        <f aca="false">IF($B622="","",IF(ISNUMBER(MATCH($B622,日別データ!$B$13:$B$32,0)),"✔ OK","⚠ 未登録"))</f>
        <v/>
      </c>
      <c r="J622" s="80" t="str">
        <f aca="false">IF($B622="","",IF($D622="","－",IF(ISNUMBER($D622),IF(AND($D622&gt;=1,MOD($D622,1)=0),"－",IF(MOD($D622,1)&lt;$L$6,"朝",IF(MOD($D622,1)&lt;$L$7,"昼",IF(MOD($D622,1)&lt;$L$8,"夕方","夜")))),IF(OR($D622="朝",$D622="昼",$D622="夕方",$D622="夜"),$D622,"⚠ 不明"))))</f>
        <v/>
      </c>
    </row>
    <row r="623" customFormat="false" ht="15" hidden="false" customHeight="false" outlineLevel="0" collapsed="false">
      <c r="A623" s="75"/>
      <c r="B623" s="76"/>
      <c r="C623" s="77"/>
      <c r="D623" s="78"/>
      <c r="E623" s="77"/>
      <c r="F623" s="76"/>
      <c r="G623" s="76"/>
      <c r="I623" s="79" t="str">
        <f aca="false">IF($B623="","",IF(ISNUMBER(MATCH($B623,日別データ!$B$13:$B$32,0)),"✔ OK","⚠ 未登録"))</f>
        <v/>
      </c>
      <c r="J623" s="80" t="str">
        <f aca="false">IF($B623="","",IF($D623="","－",IF(ISNUMBER($D623),IF(AND($D623&gt;=1,MOD($D623,1)=0),"－",IF(MOD($D623,1)&lt;$L$6,"朝",IF(MOD($D623,1)&lt;$L$7,"昼",IF(MOD($D623,1)&lt;$L$8,"夕方","夜")))),IF(OR($D623="朝",$D623="昼",$D623="夕方",$D623="夜"),$D623,"⚠ 不明"))))</f>
        <v/>
      </c>
    </row>
    <row r="624" customFormat="false" ht="15" hidden="false" customHeight="false" outlineLevel="0" collapsed="false">
      <c r="A624" s="75"/>
      <c r="B624" s="76"/>
      <c r="C624" s="77"/>
      <c r="D624" s="78"/>
      <c r="E624" s="77"/>
      <c r="F624" s="76"/>
      <c r="G624" s="76"/>
      <c r="I624" s="79" t="str">
        <f aca="false">IF($B624="","",IF(ISNUMBER(MATCH($B624,日別データ!$B$13:$B$32,0)),"✔ OK","⚠ 未登録"))</f>
        <v/>
      </c>
      <c r="J624" s="80" t="str">
        <f aca="false">IF($B624="","",IF($D624="","－",IF(ISNUMBER($D624),IF(AND($D624&gt;=1,MOD($D624,1)=0),"－",IF(MOD($D624,1)&lt;$L$6,"朝",IF(MOD($D624,1)&lt;$L$7,"昼",IF(MOD($D624,1)&lt;$L$8,"夕方","夜")))),IF(OR($D624="朝",$D624="昼",$D624="夕方",$D624="夜"),$D624,"⚠ 不明"))))</f>
        <v/>
      </c>
    </row>
    <row r="625" customFormat="false" ht="15" hidden="false" customHeight="false" outlineLevel="0" collapsed="false">
      <c r="A625" s="75"/>
      <c r="B625" s="76"/>
      <c r="C625" s="77"/>
      <c r="D625" s="78"/>
      <c r="E625" s="77"/>
      <c r="F625" s="76"/>
      <c r="G625" s="76"/>
      <c r="I625" s="79" t="str">
        <f aca="false">IF($B625="","",IF(ISNUMBER(MATCH($B625,日別データ!$B$13:$B$32,0)),"✔ OK","⚠ 未登録"))</f>
        <v/>
      </c>
      <c r="J625" s="80" t="str">
        <f aca="false">IF($B625="","",IF($D625="","－",IF(ISNUMBER($D625),IF(AND($D625&gt;=1,MOD($D625,1)=0),"－",IF(MOD($D625,1)&lt;$L$6,"朝",IF(MOD($D625,1)&lt;$L$7,"昼",IF(MOD($D625,1)&lt;$L$8,"夕方","夜")))),IF(OR($D625="朝",$D625="昼",$D625="夕方",$D625="夜"),$D625,"⚠ 不明"))))</f>
        <v/>
      </c>
    </row>
    <row r="626" customFormat="false" ht="15" hidden="false" customHeight="false" outlineLevel="0" collapsed="false">
      <c r="A626" s="75"/>
      <c r="B626" s="76"/>
      <c r="C626" s="77"/>
      <c r="D626" s="78"/>
      <c r="E626" s="77"/>
      <c r="F626" s="76"/>
      <c r="G626" s="76"/>
      <c r="I626" s="79" t="str">
        <f aca="false">IF($B626="","",IF(ISNUMBER(MATCH($B626,日別データ!$B$13:$B$32,0)),"✔ OK","⚠ 未登録"))</f>
        <v/>
      </c>
      <c r="J626" s="80" t="str">
        <f aca="false">IF($B626="","",IF($D626="","－",IF(ISNUMBER($D626),IF(AND($D626&gt;=1,MOD($D626,1)=0),"－",IF(MOD($D626,1)&lt;$L$6,"朝",IF(MOD($D626,1)&lt;$L$7,"昼",IF(MOD($D626,1)&lt;$L$8,"夕方","夜")))),IF(OR($D626="朝",$D626="昼",$D626="夕方",$D626="夜"),$D626,"⚠ 不明"))))</f>
        <v/>
      </c>
    </row>
    <row r="627" customFormat="false" ht="15" hidden="false" customHeight="false" outlineLevel="0" collapsed="false">
      <c r="A627" s="75"/>
      <c r="B627" s="76"/>
      <c r="C627" s="77"/>
      <c r="D627" s="78"/>
      <c r="E627" s="77"/>
      <c r="F627" s="76"/>
      <c r="G627" s="76"/>
      <c r="I627" s="79" t="str">
        <f aca="false">IF($B627="","",IF(ISNUMBER(MATCH($B627,日別データ!$B$13:$B$32,0)),"✔ OK","⚠ 未登録"))</f>
        <v/>
      </c>
      <c r="J627" s="80" t="str">
        <f aca="false">IF($B627="","",IF($D627="","－",IF(ISNUMBER($D627),IF(AND($D627&gt;=1,MOD($D627,1)=0),"－",IF(MOD($D627,1)&lt;$L$6,"朝",IF(MOD($D627,1)&lt;$L$7,"昼",IF(MOD($D627,1)&lt;$L$8,"夕方","夜")))),IF(OR($D627="朝",$D627="昼",$D627="夕方",$D627="夜"),$D627,"⚠ 不明"))))</f>
        <v/>
      </c>
    </row>
    <row r="628" customFormat="false" ht="15" hidden="false" customHeight="false" outlineLevel="0" collapsed="false">
      <c r="A628" s="75"/>
      <c r="B628" s="76"/>
      <c r="C628" s="77"/>
      <c r="D628" s="78"/>
      <c r="E628" s="77"/>
      <c r="F628" s="76"/>
      <c r="G628" s="76"/>
      <c r="I628" s="79" t="str">
        <f aca="false">IF($B628="","",IF(ISNUMBER(MATCH($B628,日別データ!$B$13:$B$32,0)),"✔ OK","⚠ 未登録"))</f>
        <v/>
      </c>
      <c r="J628" s="80" t="str">
        <f aca="false">IF($B628="","",IF($D628="","－",IF(ISNUMBER($D628),IF(AND($D628&gt;=1,MOD($D628,1)=0),"－",IF(MOD($D628,1)&lt;$L$6,"朝",IF(MOD($D628,1)&lt;$L$7,"昼",IF(MOD($D628,1)&lt;$L$8,"夕方","夜")))),IF(OR($D628="朝",$D628="昼",$D628="夕方",$D628="夜"),$D628,"⚠ 不明"))))</f>
        <v/>
      </c>
    </row>
    <row r="629" customFormat="false" ht="15" hidden="false" customHeight="false" outlineLevel="0" collapsed="false">
      <c r="A629" s="75"/>
      <c r="B629" s="76"/>
      <c r="C629" s="77"/>
      <c r="D629" s="78"/>
      <c r="E629" s="77"/>
      <c r="F629" s="76"/>
      <c r="G629" s="76"/>
      <c r="I629" s="79" t="str">
        <f aca="false">IF($B629="","",IF(ISNUMBER(MATCH($B629,日別データ!$B$13:$B$32,0)),"✔ OK","⚠ 未登録"))</f>
        <v/>
      </c>
      <c r="J629" s="80" t="str">
        <f aca="false">IF($B629="","",IF($D629="","－",IF(ISNUMBER($D629),IF(AND($D629&gt;=1,MOD($D629,1)=0),"－",IF(MOD($D629,1)&lt;$L$6,"朝",IF(MOD($D629,1)&lt;$L$7,"昼",IF(MOD($D629,1)&lt;$L$8,"夕方","夜")))),IF(OR($D629="朝",$D629="昼",$D629="夕方",$D629="夜"),$D629,"⚠ 不明"))))</f>
        <v/>
      </c>
    </row>
    <row r="630" customFormat="false" ht="15" hidden="false" customHeight="false" outlineLevel="0" collapsed="false">
      <c r="A630" s="75"/>
      <c r="B630" s="76"/>
      <c r="C630" s="77"/>
      <c r="D630" s="78"/>
      <c r="E630" s="77"/>
      <c r="F630" s="76"/>
      <c r="G630" s="76"/>
      <c r="I630" s="79" t="str">
        <f aca="false">IF($B630="","",IF(ISNUMBER(MATCH($B630,日別データ!$B$13:$B$32,0)),"✔ OK","⚠ 未登録"))</f>
        <v/>
      </c>
      <c r="J630" s="80" t="str">
        <f aca="false">IF($B630="","",IF($D630="","－",IF(ISNUMBER($D630),IF(AND($D630&gt;=1,MOD($D630,1)=0),"－",IF(MOD($D630,1)&lt;$L$6,"朝",IF(MOD($D630,1)&lt;$L$7,"昼",IF(MOD($D630,1)&lt;$L$8,"夕方","夜")))),IF(OR($D630="朝",$D630="昼",$D630="夕方",$D630="夜"),$D630,"⚠ 不明"))))</f>
        <v/>
      </c>
    </row>
    <row r="631" customFormat="false" ht="15" hidden="false" customHeight="false" outlineLevel="0" collapsed="false">
      <c r="A631" s="75"/>
      <c r="B631" s="76"/>
      <c r="C631" s="77"/>
      <c r="D631" s="78"/>
      <c r="E631" s="77"/>
      <c r="F631" s="76"/>
      <c r="G631" s="76"/>
      <c r="I631" s="79" t="str">
        <f aca="false">IF($B631="","",IF(ISNUMBER(MATCH($B631,日別データ!$B$13:$B$32,0)),"✔ OK","⚠ 未登録"))</f>
        <v/>
      </c>
      <c r="J631" s="80" t="str">
        <f aca="false">IF($B631="","",IF($D631="","－",IF(ISNUMBER($D631),IF(AND($D631&gt;=1,MOD($D631,1)=0),"－",IF(MOD($D631,1)&lt;$L$6,"朝",IF(MOD($D631,1)&lt;$L$7,"昼",IF(MOD($D631,1)&lt;$L$8,"夕方","夜")))),IF(OR($D631="朝",$D631="昼",$D631="夕方",$D631="夜"),$D631,"⚠ 不明"))))</f>
        <v/>
      </c>
    </row>
    <row r="632" customFormat="false" ht="15" hidden="false" customHeight="false" outlineLevel="0" collapsed="false">
      <c r="A632" s="75"/>
      <c r="B632" s="76"/>
      <c r="C632" s="77"/>
      <c r="D632" s="78"/>
      <c r="E632" s="77"/>
      <c r="F632" s="76"/>
      <c r="G632" s="76"/>
      <c r="I632" s="79" t="str">
        <f aca="false">IF($B632="","",IF(ISNUMBER(MATCH($B632,日別データ!$B$13:$B$32,0)),"✔ OK","⚠ 未登録"))</f>
        <v/>
      </c>
      <c r="J632" s="80" t="str">
        <f aca="false">IF($B632="","",IF($D632="","－",IF(ISNUMBER($D632),IF(AND($D632&gt;=1,MOD($D632,1)=0),"－",IF(MOD($D632,1)&lt;$L$6,"朝",IF(MOD($D632,1)&lt;$L$7,"昼",IF(MOD($D632,1)&lt;$L$8,"夕方","夜")))),IF(OR($D632="朝",$D632="昼",$D632="夕方",$D632="夜"),$D632,"⚠ 不明"))))</f>
        <v/>
      </c>
    </row>
    <row r="633" customFormat="false" ht="15" hidden="false" customHeight="false" outlineLevel="0" collapsed="false">
      <c r="A633" s="75"/>
      <c r="B633" s="76"/>
      <c r="C633" s="77"/>
      <c r="D633" s="78"/>
      <c r="E633" s="77"/>
      <c r="F633" s="76"/>
      <c r="G633" s="76"/>
      <c r="I633" s="79" t="str">
        <f aca="false">IF($B633="","",IF(ISNUMBER(MATCH($B633,日別データ!$B$13:$B$32,0)),"✔ OK","⚠ 未登録"))</f>
        <v/>
      </c>
      <c r="J633" s="80" t="str">
        <f aca="false">IF($B633="","",IF($D633="","－",IF(ISNUMBER($D633),IF(AND($D633&gt;=1,MOD($D633,1)=0),"－",IF(MOD($D633,1)&lt;$L$6,"朝",IF(MOD($D633,1)&lt;$L$7,"昼",IF(MOD($D633,1)&lt;$L$8,"夕方","夜")))),IF(OR($D633="朝",$D633="昼",$D633="夕方",$D633="夜"),$D633,"⚠ 不明"))))</f>
        <v/>
      </c>
    </row>
    <row r="634" customFormat="false" ht="15" hidden="false" customHeight="false" outlineLevel="0" collapsed="false">
      <c r="A634" s="75"/>
      <c r="B634" s="76"/>
      <c r="C634" s="77"/>
      <c r="D634" s="78"/>
      <c r="E634" s="77"/>
      <c r="F634" s="76"/>
      <c r="G634" s="76"/>
      <c r="I634" s="79" t="str">
        <f aca="false">IF($B634="","",IF(ISNUMBER(MATCH($B634,日別データ!$B$13:$B$32,0)),"✔ OK","⚠ 未登録"))</f>
        <v/>
      </c>
      <c r="J634" s="80" t="str">
        <f aca="false">IF($B634="","",IF($D634="","－",IF(ISNUMBER($D634),IF(AND($D634&gt;=1,MOD($D634,1)=0),"－",IF(MOD($D634,1)&lt;$L$6,"朝",IF(MOD($D634,1)&lt;$L$7,"昼",IF(MOD($D634,1)&lt;$L$8,"夕方","夜")))),IF(OR($D634="朝",$D634="昼",$D634="夕方",$D634="夜"),$D634,"⚠ 不明"))))</f>
        <v/>
      </c>
    </row>
    <row r="635" customFormat="false" ht="15" hidden="false" customHeight="false" outlineLevel="0" collapsed="false">
      <c r="A635" s="75"/>
      <c r="B635" s="76"/>
      <c r="C635" s="77"/>
      <c r="D635" s="78"/>
      <c r="E635" s="77"/>
      <c r="F635" s="76"/>
      <c r="G635" s="76"/>
      <c r="I635" s="79" t="str">
        <f aca="false">IF($B635="","",IF(ISNUMBER(MATCH($B635,日別データ!$B$13:$B$32,0)),"✔ OK","⚠ 未登録"))</f>
        <v/>
      </c>
      <c r="J635" s="80" t="str">
        <f aca="false">IF($B635="","",IF($D635="","－",IF(ISNUMBER($D635),IF(AND($D635&gt;=1,MOD($D635,1)=0),"－",IF(MOD($D635,1)&lt;$L$6,"朝",IF(MOD($D635,1)&lt;$L$7,"昼",IF(MOD($D635,1)&lt;$L$8,"夕方","夜")))),IF(OR($D635="朝",$D635="昼",$D635="夕方",$D635="夜"),$D635,"⚠ 不明"))))</f>
        <v/>
      </c>
    </row>
    <row r="636" customFormat="false" ht="15" hidden="false" customHeight="false" outlineLevel="0" collapsed="false">
      <c r="A636" s="75"/>
      <c r="B636" s="76"/>
      <c r="C636" s="77"/>
      <c r="D636" s="78"/>
      <c r="E636" s="77"/>
      <c r="F636" s="76"/>
      <c r="G636" s="76"/>
      <c r="I636" s="79" t="str">
        <f aca="false">IF($B636="","",IF(ISNUMBER(MATCH($B636,日別データ!$B$13:$B$32,0)),"✔ OK","⚠ 未登録"))</f>
        <v/>
      </c>
      <c r="J636" s="80" t="str">
        <f aca="false">IF($B636="","",IF($D636="","－",IF(ISNUMBER($D636),IF(AND($D636&gt;=1,MOD($D636,1)=0),"－",IF(MOD($D636,1)&lt;$L$6,"朝",IF(MOD($D636,1)&lt;$L$7,"昼",IF(MOD($D636,1)&lt;$L$8,"夕方","夜")))),IF(OR($D636="朝",$D636="昼",$D636="夕方",$D636="夜"),$D636,"⚠ 不明"))))</f>
        <v/>
      </c>
    </row>
    <row r="637" customFormat="false" ht="15" hidden="false" customHeight="false" outlineLevel="0" collapsed="false">
      <c r="A637" s="75"/>
      <c r="B637" s="76"/>
      <c r="C637" s="77"/>
      <c r="D637" s="78"/>
      <c r="E637" s="77"/>
      <c r="F637" s="76"/>
      <c r="G637" s="76"/>
      <c r="I637" s="79" t="str">
        <f aca="false">IF($B637="","",IF(ISNUMBER(MATCH($B637,日別データ!$B$13:$B$32,0)),"✔ OK","⚠ 未登録"))</f>
        <v/>
      </c>
      <c r="J637" s="80" t="str">
        <f aca="false">IF($B637="","",IF($D637="","－",IF(ISNUMBER($D637),IF(AND($D637&gt;=1,MOD($D637,1)=0),"－",IF(MOD($D637,1)&lt;$L$6,"朝",IF(MOD($D637,1)&lt;$L$7,"昼",IF(MOD($D637,1)&lt;$L$8,"夕方","夜")))),IF(OR($D637="朝",$D637="昼",$D637="夕方",$D637="夜"),$D637,"⚠ 不明"))))</f>
        <v/>
      </c>
    </row>
    <row r="638" customFormat="false" ht="15" hidden="false" customHeight="false" outlineLevel="0" collapsed="false">
      <c r="A638" s="75"/>
      <c r="B638" s="76"/>
      <c r="C638" s="77"/>
      <c r="D638" s="78"/>
      <c r="E638" s="77"/>
      <c r="F638" s="76"/>
      <c r="G638" s="76"/>
      <c r="I638" s="79" t="str">
        <f aca="false">IF($B638="","",IF(ISNUMBER(MATCH($B638,日別データ!$B$13:$B$32,0)),"✔ OK","⚠ 未登録"))</f>
        <v/>
      </c>
      <c r="J638" s="80" t="str">
        <f aca="false">IF($B638="","",IF($D638="","－",IF(ISNUMBER($D638),IF(AND($D638&gt;=1,MOD($D638,1)=0),"－",IF(MOD($D638,1)&lt;$L$6,"朝",IF(MOD($D638,1)&lt;$L$7,"昼",IF(MOD($D638,1)&lt;$L$8,"夕方","夜")))),IF(OR($D638="朝",$D638="昼",$D638="夕方",$D638="夜"),$D638,"⚠ 不明"))))</f>
        <v/>
      </c>
    </row>
    <row r="639" customFormat="false" ht="15" hidden="false" customHeight="false" outlineLevel="0" collapsed="false">
      <c r="A639" s="75"/>
      <c r="B639" s="76"/>
      <c r="C639" s="77"/>
      <c r="D639" s="78"/>
      <c r="E639" s="77"/>
      <c r="F639" s="76"/>
      <c r="G639" s="76"/>
      <c r="I639" s="79" t="str">
        <f aca="false">IF($B639="","",IF(ISNUMBER(MATCH($B639,日別データ!$B$13:$B$32,0)),"✔ OK","⚠ 未登録"))</f>
        <v/>
      </c>
      <c r="J639" s="80" t="str">
        <f aca="false">IF($B639="","",IF($D639="","－",IF(ISNUMBER($D639),IF(AND($D639&gt;=1,MOD($D639,1)=0),"－",IF(MOD($D639,1)&lt;$L$6,"朝",IF(MOD($D639,1)&lt;$L$7,"昼",IF(MOD($D639,1)&lt;$L$8,"夕方","夜")))),IF(OR($D639="朝",$D639="昼",$D639="夕方",$D639="夜"),$D639,"⚠ 不明"))))</f>
        <v/>
      </c>
    </row>
    <row r="640" customFormat="false" ht="15" hidden="false" customHeight="false" outlineLevel="0" collapsed="false">
      <c r="A640" s="75"/>
      <c r="B640" s="76"/>
      <c r="C640" s="77"/>
      <c r="D640" s="78"/>
      <c r="E640" s="77"/>
      <c r="F640" s="76"/>
      <c r="G640" s="76"/>
      <c r="I640" s="79" t="str">
        <f aca="false">IF($B640="","",IF(ISNUMBER(MATCH($B640,日別データ!$B$13:$B$32,0)),"✔ OK","⚠ 未登録"))</f>
        <v/>
      </c>
      <c r="J640" s="80" t="str">
        <f aca="false">IF($B640="","",IF($D640="","－",IF(ISNUMBER($D640),IF(AND($D640&gt;=1,MOD($D640,1)=0),"－",IF(MOD($D640,1)&lt;$L$6,"朝",IF(MOD($D640,1)&lt;$L$7,"昼",IF(MOD($D640,1)&lt;$L$8,"夕方","夜")))),IF(OR($D640="朝",$D640="昼",$D640="夕方",$D640="夜"),$D640,"⚠ 不明"))))</f>
        <v/>
      </c>
    </row>
    <row r="641" customFormat="false" ht="15" hidden="false" customHeight="false" outlineLevel="0" collapsed="false">
      <c r="A641" s="75"/>
      <c r="B641" s="76"/>
      <c r="C641" s="77"/>
      <c r="D641" s="78"/>
      <c r="E641" s="77"/>
      <c r="F641" s="76"/>
      <c r="G641" s="76"/>
      <c r="I641" s="79" t="str">
        <f aca="false">IF($B641="","",IF(ISNUMBER(MATCH($B641,日別データ!$B$13:$B$32,0)),"✔ OK","⚠ 未登録"))</f>
        <v/>
      </c>
      <c r="J641" s="80" t="str">
        <f aca="false">IF($B641="","",IF($D641="","－",IF(ISNUMBER($D641),IF(AND($D641&gt;=1,MOD($D641,1)=0),"－",IF(MOD($D641,1)&lt;$L$6,"朝",IF(MOD($D641,1)&lt;$L$7,"昼",IF(MOD($D641,1)&lt;$L$8,"夕方","夜")))),IF(OR($D641="朝",$D641="昼",$D641="夕方",$D641="夜"),$D641,"⚠ 不明"))))</f>
        <v/>
      </c>
    </row>
    <row r="642" customFormat="false" ht="15" hidden="false" customHeight="false" outlineLevel="0" collapsed="false">
      <c r="A642" s="75"/>
      <c r="B642" s="76"/>
      <c r="C642" s="77"/>
      <c r="D642" s="78"/>
      <c r="E642" s="77"/>
      <c r="F642" s="76"/>
      <c r="G642" s="76"/>
      <c r="I642" s="79" t="str">
        <f aca="false">IF($B642="","",IF(ISNUMBER(MATCH($B642,日別データ!$B$13:$B$32,0)),"✔ OK","⚠ 未登録"))</f>
        <v/>
      </c>
      <c r="J642" s="80" t="str">
        <f aca="false">IF($B642="","",IF($D642="","－",IF(ISNUMBER($D642),IF(AND($D642&gt;=1,MOD($D642,1)=0),"－",IF(MOD($D642,1)&lt;$L$6,"朝",IF(MOD($D642,1)&lt;$L$7,"昼",IF(MOD($D642,1)&lt;$L$8,"夕方","夜")))),IF(OR($D642="朝",$D642="昼",$D642="夕方",$D642="夜"),$D642,"⚠ 不明"))))</f>
        <v/>
      </c>
    </row>
    <row r="643" customFormat="false" ht="15" hidden="false" customHeight="false" outlineLevel="0" collapsed="false">
      <c r="A643" s="75"/>
      <c r="B643" s="76"/>
      <c r="C643" s="77"/>
      <c r="D643" s="78"/>
      <c r="E643" s="77"/>
      <c r="F643" s="76"/>
      <c r="G643" s="76"/>
      <c r="I643" s="79" t="str">
        <f aca="false">IF($B643="","",IF(ISNUMBER(MATCH($B643,日別データ!$B$13:$B$32,0)),"✔ OK","⚠ 未登録"))</f>
        <v/>
      </c>
      <c r="J643" s="80" t="str">
        <f aca="false">IF($B643="","",IF($D643="","－",IF(ISNUMBER($D643),IF(AND($D643&gt;=1,MOD($D643,1)=0),"－",IF(MOD($D643,1)&lt;$L$6,"朝",IF(MOD($D643,1)&lt;$L$7,"昼",IF(MOD($D643,1)&lt;$L$8,"夕方","夜")))),IF(OR($D643="朝",$D643="昼",$D643="夕方",$D643="夜"),$D643,"⚠ 不明"))))</f>
        <v/>
      </c>
    </row>
    <row r="644" customFormat="false" ht="15" hidden="false" customHeight="false" outlineLevel="0" collapsed="false">
      <c r="A644" s="75"/>
      <c r="B644" s="76"/>
      <c r="C644" s="77"/>
      <c r="D644" s="78"/>
      <c r="E644" s="77"/>
      <c r="F644" s="76"/>
      <c r="G644" s="76"/>
      <c r="I644" s="79" t="str">
        <f aca="false">IF($B644="","",IF(ISNUMBER(MATCH($B644,日別データ!$B$13:$B$32,0)),"✔ OK","⚠ 未登録"))</f>
        <v/>
      </c>
      <c r="J644" s="80" t="str">
        <f aca="false">IF($B644="","",IF($D644="","－",IF(ISNUMBER($D644),IF(AND($D644&gt;=1,MOD($D644,1)=0),"－",IF(MOD($D644,1)&lt;$L$6,"朝",IF(MOD($D644,1)&lt;$L$7,"昼",IF(MOD($D644,1)&lt;$L$8,"夕方","夜")))),IF(OR($D644="朝",$D644="昼",$D644="夕方",$D644="夜"),$D644,"⚠ 不明"))))</f>
        <v/>
      </c>
    </row>
    <row r="645" customFormat="false" ht="15" hidden="false" customHeight="false" outlineLevel="0" collapsed="false">
      <c r="A645" s="75"/>
      <c r="B645" s="76"/>
      <c r="C645" s="77"/>
      <c r="D645" s="78"/>
      <c r="E645" s="77"/>
      <c r="F645" s="76"/>
      <c r="G645" s="76"/>
      <c r="I645" s="79" t="str">
        <f aca="false">IF($B645="","",IF(ISNUMBER(MATCH($B645,日別データ!$B$13:$B$32,0)),"✔ OK","⚠ 未登録"))</f>
        <v/>
      </c>
      <c r="J645" s="80" t="str">
        <f aca="false">IF($B645="","",IF($D645="","－",IF(ISNUMBER($D645),IF(AND($D645&gt;=1,MOD($D645,1)=0),"－",IF(MOD($D645,1)&lt;$L$6,"朝",IF(MOD($D645,1)&lt;$L$7,"昼",IF(MOD($D645,1)&lt;$L$8,"夕方","夜")))),IF(OR($D645="朝",$D645="昼",$D645="夕方",$D645="夜"),$D645,"⚠ 不明"))))</f>
        <v/>
      </c>
    </row>
    <row r="646" customFormat="false" ht="15" hidden="false" customHeight="false" outlineLevel="0" collapsed="false">
      <c r="A646" s="75"/>
      <c r="B646" s="76"/>
      <c r="C646" s="77"/>
      <c r="D646" s="78"/>
      <c r="E646" s="77"/>
      <c r="F646" s="76"/>
      <c r="G646" s="76"/>
      <c r="I646" s="79" t="str">
        <f aca="false">IF($B646="","",IF(ISNUMBER(MATCH($B646,日別データ!$B$13:$B$32,0)),"✔ OK","⚠ 未登録"))</f>
        <v/>
      </c>
      <c r="J646" s="80" t="str">
        <f aca="false">IF($B646="","",IF($D646="","－",IF(ISNUMBER($D646),IF(AND($D646&gt;=1,MOD($D646,1)=0),"－",IF(MOD($D646,1)&lt;$L$6,"朝",IF(MOD($D646,1)&lt;$L$7,"昼",IF(MOD($D646,1)&lt;$L$8,"夕方","夜")))),IF(OR($D646="朝",$D646="昼",$D646="夕方",$D646="夜"),$D646,"⚠ 不明"))))</f>
        <v/>
      </c>
    </row>
    <row r="647" customFormat="false" ht="15" hidden="false" customHeight="false" outlineLevel="0" collapsed="false">
      <c r="A647" s="75"/>
      <c r="B647" s="76"/>
      <c r="C647" s="77"/>
      <c r="D647" s="78"/>
      <c r="E647" s="77"/>
      <c r="F647" s="76"/>
      <c r="G647" s="76"/>
      <c r="I647" s="79" t="str">
        <f aca="false">IF($B647="","",IF(ISNUMBER(MATCH($B647,日別データ!$B$13:$B$32,0)),"✔ OK","⚠ 未登録"))</f>
        <v/>
      </c>
      <c r="J647" s="80" t="str">
        <f aca="false">IF($B647="","",IF($D647="","－",IF(ISNUMBER($D647),IF(AND($D647&gt;=1,MOD($D647,1)=0),"－",IF(MOD($D647,1)&lt;$L$6,"朝",IF(MOD($D647,1)&lt;$L$7,"昼",IF(MOD($D647,1)&lt;$L$8,"夕方","夜")))),IF(OR($D647="朝",$D647="昼",$D647="夕方",$D647="夜"),$D647,"⚠ 不明"))))</f>
        <v/>
      </c>
    </row>
    <row r="648" customFormat="false" ht="15" hidden="false" customHeight="false" outlineLevel="0" collapsed="false">
      <c r="A648" s="75"/>
      <c r="B648" s="76"/>
      <c r="C648" s="77"/>
      <c r="D648" s="78"/>
      <c r="E648" s="77"/>
      <c r="F648" s="76"/>
      <c r="G648" s="76"/>
      <c r="I648" s="79" t="str">
        <f aca="false">IF($B648="","",IF(ISNUMBER(MATCH($B648,日別データ!$B$13:$B$32,0)),"✔ OK","⚠ 未登録"))</f>
        <v/>
      </c>
      <c r="J648" s="80" t="str">
        <f aca="false">IF($B648="","",IF($D648="","－",IF(ISNUMBER($D648),IF(AND($D648&gt;=1,MOD($D648,1)=0),"－",IF(MOD($D648,1)&lt;$L$6,"朝",IF(MOD($D648,1)&lt;$L$7,"昼",IF(MOD($D648,1)&lt;$L$8,"夕方","夜")))),IF(OR($D648="朝",$D648="昼",$D648="夕方",$D648="夜"),$D648,"⚠ 不明"))))</f>
        <v/>
      </c>
    </row>
    <row r="649" customFormat="false" ht="15" hidden="false" customHeight="false" outlineLevel="0" collapsed="false">
      <c r="A649" s="75"/>
      <c r="B649" s="76"/>
      <c r="C649" s="77"/>
      <c r="D649" s="78"/>
      <c r="E649" s="77"/>
      <c r="F649" s="76"/>
      <c r="G649" s="76"/>
      <c r="I649" s="79" t="str">
        <f aca="false">IF($B649="","",IF(ISNUMBER(MATCH($B649,日別データ!$B$13:$B$32,0)),"✔ OK","⚠ 未登録"))</f>
        <v/>
      </c>
      <c r="J649" s="80" t="str">
        <f aca="false">IF($B649="","",IF($D649="","－",IF(ISNUMBER($D649),IF(AND($D649&gt;=1,MOD($D649,1)=0),"－",IF(MOD($D649,1)&lt;$L$6,"朝",IF(MOD($D649,1)&lt;$L$7,"昼",IF(MOD($D649,1)&lt;$L$8,"夕方","夜")))),IF(OR($D649="朝",$D649="昼",$D649="夕方",$D649="夜"),$D649,"⚠ 不明"))))</f>
        <v/>
      </c>
    </row>
    <row r="650" customFormat="false" ht="15" hidden="false" customHeight="false" outlineLevel="0" collapsed="false">
      <c r="A650" s="75"/>
      <c r="B650" s="76"/>
      <c r="C650" s="77"/>
      <c r="D650" s="78"/>
      <c r="E650" s="77"/>
      <c r="F650" s="76"/>
      <c r="G650" s="76"/>
      <c r="I650" s="79" t="str">
        <f aca="false">IF($B650="","",IF(ISNUMBER(MATCH($B650,日別データ!$B$13:$B$32,0)),"✔ OK","⚠ 未登録"))</f>
        <v/>
      </c>
      <c r="J650" s="80" t="str">
        <f aca="false">IF($B650="","",IF($D650="","－",IF(ISNUMBER($D650),IF(AND($D650&gt;=1,MOD($D650,1)=0),"－",IF(MOD($D650,1)&lt;$L$6,"朝",IF(MOD($D650,1)&lt;$L$7,"昼",IF(MOD($D650,1)&lt;$L$8,"夕方","夜")))),IF(OR($D650="朝",$D650="昼",$D650="夕方",$D650="夜"),$D650,"⚠ 不明"))))</f>
        <v/>
      </c>
    </row>
    <row r="651" customFormat="false" ht="15" hidden="false" customHeight="false" outlineLevel="0" collapsed="false">
      <c r="A651" s="75"/>
      <c r="B651" s="76"/>
      <c r="C651" s="77"/>
      <c r="D651" s="78"/>
      <c r="E651" s="77"/>
      <c r="F651" s="76"/>
      <c r="G651" s="76"/>
      <c r="I651" s="79" t="str">
        <f aca="false">IF($B651="","",IF(ISNUMBER(MATCH($B651,日別データ!$B$13:$B$32,0)),"✔ OK","⚠ 未登録"))</f>
        <v/>
      </c>
      <c r="J651" s="80" t="str">
        <f aca="false">IF($B651="","",IF($D651="","－",IF(ISNUMBER($D651),IF(AND($D651&gt;=1,MOD($D651,1)=0),"－",IF(MOD($D651,1)&lt;$L$6,"朝",IF(MOD($D651,1)&lt;$L$7,"昼",IF(MOD($D651,1)&lt;$L$8,"夕方","夜")))),IF(OR($D651="朝",$D651="昼",$D651="夕方",$D651="夜"),$D651,"⚠ 不明"))))</f>
        <v/>
      </c>
    </row>
    <row r="652" customFormat="false" ht="15" hidden="false" customHeight="false" outlineLevel="0" collapsed="false">
      <c r="A652" s="75"/>
      <c r="B652" s="76"/>
      <c r="C652" s="77"/>
      <c r="D652" s="78"/>
      <c r="E652" s="77"/>
      <c r="F652" s="76"/>
      <c r="G652" s="76"/>
      <c r="I652" s="79" t="str">
        <f aca="false">IF($B652="","",IF(ISNUMBER(MATCH($B652,日別データ!$B$13:$B$32,0)),"✔ OK","⚠ 未登録"))</f>
        <v/>
      </c>
      <c r="J652" s="80" t="str">
        <f aca="false">IF($B652="","",IF($D652="","－",IF(ISNUMBER($D652),IF(AND($D652&gt;=1,MOD($D652,1)=0),"－",IF(MOD($D652,1)&lt;$L$6,"朝",IF(MOD($D652,1)&lt;$L$7,"昼",IF(MOD($D652,1)&lt;$L$8,"夕方","夜")))),IF(OR($D652="朝",$D652="昼",$D652="夕方",$D652="夜"),$D652,"⚠ 不明"))))</f>
        <v/>
      </c>
    </row>
    <row r="653" customFormat="false" ht="15" hidden="false" customHeight="false" outlineLevel="0" collapsed="false">
      <c r="A653" s="75"/>
      <c r="B653" s="76"/>
      <c r="C653" s="77"/>
      <c r="D653" s="78"/>
      <c r="E653" s="77"/>
      <c r="F653" s="76"/>
      <c r="G653" s="76"/>
      <c r="I653" s="79" t="str">
        <f aca="false">IF($B653="","",IF(ISNUMBER(MATCH($B653,日別データ!$B$13:$B$32,0)),"✔ OK","⚠ 未登録"))</f>
        <v/>
      </c>
      <c r="J653" s="80" t="str">
        <f aca="false">IF($B653="","",IF($D653="","－",IF(ISNUMBER($D653),IF(AND($D653&gt;=1,MOD($D653,1)=0),"－",IF(MOD($D653,1)&lt;$L$6,"朝",IF(MOD($D653,1)&lt;$L$7,"昼",IF(MOD($D653,1)&lt;$L$8,"夕方","夜")))),IF(OR($D653="朝",$D653="昼",$D653="夕方",$D653="夜"),$D653,"⚠ 不明"))))</f>
        <v/>
      </c>
    </row>
    <row r="654" customFormat="false" ht="15" hidden="false" customHeight="false" outlineLevel="0" collapsed="false">
      <c r="A654" s="75"/>
      <c r="B654" s="76"/>
      <c r="C654" s="77"/>
      <c r="D654" s="78"/>
      <c r="E654" s="77"/>
      <c r="F654" s="76"/>
      <c r="G654" s="76"/>
      <c r="I654" s="79" t="str">
        <f aca="false">IF($B654="","",IF(ISNUMBER(MATCH($B654,日別データ!$B$13:$B$32,0)),"✔ OK","⚠ 未登録"))</f>
        <v/>
      </c>
      <c r="J654" s="80" t="str">
        <f aca="false">IF($B654="","",IF($D654="","－",IF(ISNUMBER($D654),IF(AND($D654&gt;=1,MOD($D654,1)=0),"－",IF(MOD($D654,1)&lt;$L$6,"朝",IF(MOD($D654,1)&lt;$L$7,"昼",IF(MOD($D654,1)&lt;$L$8,"夕方","夜")))),IF(OR($D654="朝",$D654="昼",$D654="夕方",$D654="夜"),$D654,"⚠ 不明"))))</f>
        <v/>
      </c>
    </row>
    <row r="655" customFormat="false" ht="15" hidden="false" customHeight="false" outlineLevel="0" collapsed="false">
      <c r="A655" s="75"/>
      <c r="B655" s="76"/>
      <c r="C655" s="77"/>
      <c r="D655" s="78"/>
      <c r="E655" s="77"/>
      <c r="F655" s="76"/>
      <c r="G655" s="76"/>
      <c r="I655" s="79" t="str">
        <f aca="false">IF($B655="","",IF(ISNUMBER(MATCH($B655,日別データ!$B$13:$B$32,0)),"✔ OK","⚠ 未登録"))</f>
        <v/>
      </c>
      <c r="J655" s="80" t="str">
        <f aca="false">IF($B655="","",IF($D655="","－",IF(ISNUMBER($D655),IF(AND($D655&gt;=1,MOD($D655,1)=0),"－",IF(MOD($D655,1)&lt;$L$6,"朝",IF(MOD($D655,1)&lt;$L$7,"昼",IF(MOD($D655,1)&lt;$L$8,"夕方","夜")))),IF(OR($D655="朝",$D655="昼",$D655="夕方",$D655="夜"),$D655,"⚠ 不明"))))</f>
        <v/>
      </c>
    </row>
    <row r="656" customFormat="false" ht="15" hidden="false" customHeight="false" outlineLevel="0" collapsed="false">
      <c r="A656" s="75"/>
      <c r="B656" s="76"/>
      <c r="C656" s="77"/>
      <c r="D656" s="78"/>
      <c r="E656" s="77"/>
      <c r="F656" s="76"/>
      <c r="G656" s="76"/>
      <c r="I656" s="79" t="str">
        <f aca="false">IF($B656="","",IF(ISNUMBER(MATCH($B656,日別データ!$B$13:$B$32,0)),"✔ OK","⚠ 未登録"))</f>
        <v/>
      </c>
      <c r="J656" s="80" t="str">
        <f aca="false">IF($B656="","",IF($D656="","－",IF(ISNUMBER($D656),IF(AND($D656&gt;=1,MOD($D656,1)=0),"－",IF(MOD($D656,1)&lt;$L$6,"朝",IF(MOD($D656,1)&lt;$L$7,"昼",IF(MOD($D656,1)&lt;$L$8,"夕方","夜")))),IF(OR($D656="朝",$D656="昼",$D656="夕方",$D656="夜"),$D656,"⚠ 不明"))))</f>
        <v/>
      </c>
    </row>
    <row r="657" customFormat="false" ht="15" hidden="false" customHeight="false" outlineLevel="0" collapsed="false">
      <c r="A657" s="75"/>
      <c r="B657" s="76"/>
      <c r="C657" s="77"/>
      <c r="D657" s="78"/>
      <c r="E657" s="77"/>
      <c r="F657" s="76"/>
      <c r="G657" s="76"/>
      <c r="I657" s="79" t="str">
        <f aca="false">IF($B657="","",IF(ISNUMBER(MATCH($B657,日別データ!$B$13:$B$32,0)),"✔ OK","⚠ 未登録"))</f>
        <v/>
      </c>
      <c r="J657" s="80" t="str">
        <f aca="false">IF($B657="","",IF($D657="","－",IF(ISNUMBER($D657),IF(AND($D657&gt;=1,MOD($D657,1)=0),"－",IF(MOD($D657,1)&lt;$L$6,"朝",IF(MOD($D657,1)&lt;$L$7,"昼",IF(MOD($D657,1)&lt;$L$8,"夕方","夜")))),IF(OR($D657="朝",$D657="昼",$D657="夕方",$D657="夜"),$D657,"⚠ 不明"))))</f>
        <v/>
      </c>
    </row>
    <row r="658" customFormat="false" ht="15" hidden="false" customHeight="false" outlineLevel="0" collapsed="false">
      <c r="A658" s="75"/>
      <c r="B658" s="76"/>
      <c r="C658" s="77"/>
      <c r="D658" s="78"/>
      <c r="E658" s="77"/>
      <c r="F658" s="76"/>
      <c r="G658" s="76"/>
      <c r="I658" s="79" t="str">
        <f aca="false">IF($B658="","",IF(ISNUMBER(MATCH($B658,日別データ!$B$13:$B$32,0)),"✔ OK","⚠ 未登録"))</f>
        <v/>
      </c>
      <c r="J658" s="80" t="str">
        <f aca="false">IF($B658="","",IF($D658="","－",IF(ISNUMBER($D658),IF(AND($D658&gt;=1,MOD($D658,1)=0),"－",IF(MOD($D658,1)&lt;$L$6,"朝",IF(MOD($D658,1)&lt;$L$7,"昼",IF(MOD($D658,1)&lt;$L$8,"夕方","夜")))),IF(OR($D658="朝",$D658="昼",$D658="夕方",$D658="夜"),$D658,"⚠ 不明"))))</f>
        <v/>
      </c>
    </row>
    <row r="659" customFormat="false" ht="15" hidden="false" customHeight="false" outlineLevel="0" collapsed="false">
      <c r="A659" s="75"/>
      <c r="B659" s="76"/>
      <c r="C659" s="77"/>
      <c r="D659" s="78"/>
      <c r="E659" s="77"/>
      <c r="F659" s="76"/>
      <c r="G659" s="76"/>
      <c r="I659" s="79" t="str">
        <f aca="false">IF($B659="","",IF(ISNUMBER(MATCH($B659,日別データ!$B$13:$B$32,0)),"✔ OK","⚠ 未登録"))</f>
        <v/>
      </c>
      <c r="J659" s="80" t="str">
        <f aca="false">IF($B659="","",IF($D659="","－",IF(ISNUMBER($D659),IF(AND($D659&gt;=1,MOD($D659,1)=0),"－",IF(MOD($D659,1)&lt;$L$6,"朝",IF(MOD($D659,1)&lt;$L$7,"昼",IF(MOD($D659,1)&lt;$L$8,"夕方","夜")))),IF(OR($D659="朝",$D659="昼",$D659="夕方",$D659="夜"),$D659,"⚠ 不明"))))</f>
        <v/>
      </c>
    </row>
    <row r="660" customFormat="false" ht="15" hidden="false" customHeight="false" outlineLevel="0" collapsed="false">
      <c r="A660" s="75"/>
      <c r="B660" s="76"/>
      <c r="C660" s="77"/>
      <c r="D660" s="78"/>
      <c r="E660" s="77"/>
      <c r="F660" s="76"/>
      <c r="G660" s="76"/>
      <c r="I660" s="79" t="str">
        <f aca="false">IF($B660="","",IF(ISNUMBER(MATCH($B660,日別データ!$B$13:$B$32,0)),"✔ OK","⚠ 未登録"))</f>
        <v/>
      </c>
      <c r="J660" s="80" t="str">
        <f aca="false">IF($B660="","",IF($D660="","－",IF(ISNUMBER($D660),IF(AND($D660&gt;=1,MOD($D660,1)=0),"－",IF(MOD($D660,1)&lt;$L$6,"朝",IF(MOD($D660,1)&lt;$L$7,"昼",IF(MOD($D660,1)&lt;$L$8,"夕方","夜")))),IF(OR($D660="朝",$D660="昼",$D660="夕方",$D660="夜"),$D660,"⚠ 不明"))))</f>
        <v/>
      </c>
    </row>
    <row r="661" customFormat="false" ht="15" hidden="false" customHeight="false" outlineLevel="0" collapsed="false">
      <c r="A661" s="75"/>
      <c r="B661" s="76"/>
      <c r="C661" s="77"/>
      <c r="D661" s="78"/>
      <c r="E661" s="77"/>
      <c r="F661" s="76"/>
      <c r="G661" s="76"/>
      <c r="I661" s="79" t="str">
        <f aca="false">IF($B661="","",IF(ISNUMBER(MATCH($B661,日別データ!$B$13:$B$32,0)),"✔ OK","⚠ 未登録"))</f>
        <v/>
      </c>
      <c r="J661" s="80" t="str">
        <f aca="false">IF($B661="","",IF($D661="","－",IF(ISNUMBER($D661),IF(AND($D661&gt;=1,MOD($D661,1)=0),"－",IF(MOD($D661,1)&lt;$L$6,"朝",IF(MOD($D661,1)&lt;$L$7,"昼",IF(MOD($D661,1)&lt;$L$8,"夕方","夜")))),IF(OR($D661="朝",$D661="昼",$D661="夕方",$D661="夜"),$D661,"⚠ 不明"))))</f>
        <v/>
      </c>
    </row>
    <row r="662" customFormat="false" ht="15" hidden="false" customHeight="false" outlineLevel="0" collapsed="false">
      <c r="A662" s="75"/>
      <c r="B662" s="76"/>
      <c r="C662" s="77"/>
      <c r="D662" s="78"/>
      <c r="E662" s="77"/>
      <c r="F662" s="76"/>
      <c r="G662" s="76"/>
      <c r="I662" s="79" t="str">
        <f aca="false">IF($B662="","",IF(ISNUMBER(MATCH($B662,日別データ!$B$13:$B$32,0)),"✔ OK","⚠ 未登録"))</f>
        <v/>
      </c>
      <c r="J662" s="80" t="str">
        <f aca="false">IF($B662="","",IF($D662="","－",IF(ISNUMBER($D662),IF(AND($D662&gt;=1,MOD($D662,1)=0),"－",IF(MOD($D662,1)&lt;$L$6,"朝",IF(MOD($D662,1)&lt;$L$7,"昼",IF(MOD($D662,1)&lt;$L$8,"夕方","夜")))),IF(OR($D662="朝",$D662="昼",$D662="夕方",$D662="夜"),$D662,"⚠ 不明"))))</f>
        <v/>
      </c>
    </row>
    <row r="663" customFormat="false" ht="15" hidden="false" customHeight="false" outlineLevel="0" collapsed="false">
      <c r="A663" s="75"/>
      <c r="B663" s="76"/>
      <c r="C663" s="77"/>
      <c r="D663" s="78"/>
      <c r="E663" s="77"/>
      <c r="F663" s="76"/>
      <c r="G663" s="76"/>
      <c r="I663" s="79" t="str">
        <f aca="false">IF($B663="","",IF(ISNUMBER(MATCH($B663,日別データ!$B$13:$B$32,0)),"✔ OK","⚠ 未登録"))</f>
        <v/>
      </c>
      <c r="J663" s="80" t="str">
        <f aca="false">IF($B663="","",IF($D663="","－",IF(ISNUMBER($D663),IF(AND($D663&gt;=1,MOD($D663,1)=0),"－",IF(MOD($D663,1)&lt;$L$6,"朝",IF(MOD($D663,1)&lt;$L$7,"昼",IF(MOD($D663,1)&lt;$L$8,"夕方","夜")))),IF(OR($D663="朝",$D663="昼",$D663="夕方",$D663="夜"),$D663,"⚠ 不明"))))</f>
        <v/>
      </c>
    </row>
    <row r="664" customFormat="false" ht="15" hidden="false" customHeight="false" outlineLevel="0" collapsed="false">
      <c r="A664" s="75"/>
      <c r="B664" s="76"/>
      <c r="C664" s="77"/>
      <c r="D664" s="78"/>
      <c r="E664" s="77"/>
      <c r="F664" s="76"/>
      <c r="G664" s="76"/>
      <c r="I664" s="79" t="str">
        <f aca="false">IF($B664="","",IF(ISNUMBER(MATCH($B664,日別データ!$B$13:$B$32,0)),"✔ OK","⚠ 未登録"))</f>
        <v/>
      </c>
      <c r="J664" s="80" t="str">
        <f aca="false">IF($B664="","",IF($D664="","－",IF(ISNUMBER($D664),IF(AND($D664&gt;=1,MOD($D664,1)=0),"－",IF(MOD($D664,1)&lt;$L$6,"朝",IF(MOD($D664,1)&lt;$L$7,"昼",IF(MOD($D664,1)&lt;$L$8,"夕方","夜")))),IF(OR($D664="朝",$D664="昼",$D664="夕方",$D664="夜"),$D664,"⚠ 不明"))))</f>
        <v/>
      </c>
    </row>
    <row r="665" customFormat="false" ht="15" hidden="false" customHeight="false" outlineLevel="0" collapsed="false">
      <c r="A665" s="75"/>
      <c r="B665" s="76"/>
      <c r="C665" s="77"/>
      <c r="D665" s="78"/>
      <c r="E665" s="77"/>
      <c r="F665" s="76"/>
      <c r="G665" s="76"/>
      <c r="I665" s="79" t="str">
        <f aca="false">IF($B665="","",IF(ISNUMBER(MATCH($B665,日別データ!$B$13:$B$32,0)),"✔ OK","⚠ 未登録"))</f>
        <v/>
      </c>
      <c r="J665" s="80" t="str">
        <f aca="false">IF($B665="","",IF($D665="","－",IF(ISNUMBER($D665),IF(AND($D665&gt;=1,MOD($D665,1)=0),"－",IF(MOD($D665,1)&lt;$L$6,"朝",IF(MOD($D665,1)&lt;$L$7,"昼",IF(MOD($D665,1)&lt;$L$8,"夕方","夜")))),IF(OR($D665="朝",$D665="昼",$D665="夕方",$D665="夜"),$D665,"⚠ 不明"))))</f>
        <v/>
      </c>
    </row>
    <row r="666" customFormat="false" ht="15" hidden="false" customHeight="false" outlineLevel="0" collapsed="false">
      <c r="A666" s="75"/>
      <c r="B666" s="76"/>
      <c r="C666" s="77"/>
      <c r="D666" s="78"/>
      <c r="E666" s="77"/>
      <c r="F666" s="76"/>
      <c r="G666" s="76"/>
      <c r="I666" s="79" t="str">
        <f aca="false">IF($B666="","",IF(ISNUMBER(MATCH($B666,日別データ!$B$13:$B$32,0)),"✔ OK","⚠ 未登録"))</f>
        <v/>
      </c>
      <c r="J666" s="80" t="str">
        <f aca="false">IF($B666="","",IF($D666="","－",IF(ISNUMBER($D666),IF(AND($D666&gt;=1,MOD($D666,1)=0),"－",IF(MOD($D666,1)&lt;$L$6,"朝",IF(MOD($D666,1)&lt;$L$7,"昼",IF(MOD($D666,1)&lt;$L$8,"夕方","夜")))),IF(OR($D666="朝",$D666="昼",$D666="夕方",$D666="夜"),$D666,"⚠ 不明"))))</f>
        <v/>
      </c>
    </row>
    <row r="667" customFormat="false" ht="15" hidden="false" customHeight="false" outlineLevel="0" collapsed="false">
      <c r="A667" s="75"/>
      <c r="B667" s="76"/>
      <c r="C667" s="77"/>
      <c r="D667" s="78"/>
      <c r="E667" s="77"/>
      <c r="F667" s="76"/>
      <c r="G667" s="76"/>
      <c r="I667" s="79" t="str">
        <f aca="false">IF($B667="","",IF(ISNUMBER(MATCH($B667,日別データ!$B$13:$B$32,0)),"✔ OK","⚠ 未登録"))</f>
        <v/>
      </c>
      <c r="J667" s="80" t="str">
        <f aca="false">IF($B667="","",IF($D667="","－",IF(ISNUMBER($D667),IF(AND($D667&gt;=1,MOD($D667,1)=0),"－",IF(MOD($D667,1)&lt;$L$6,"朝",IF(MOD($D667,1)&lt;$L$7,"昼",IF(MOD($D667,1)&lt;$L$8,"夕方","夜")))),IF(OR($D667="朝",$D667="昼",$D667="夕方",$D667="夜"),$D667,"⚠ 不明"))))</f>
        <v/>
      </c>
    </row>
    <row r="668" customFormat="false" ht="15" hidden="false" customHeight="false" outlineLevel="0" collapsed="false">
      <c r="A668" s="75"/>
      <c r="B668" s="76"/>
      <c r="C668" s="77"/>
      <c r="D668" s="78"/>
      <c r="E668" s="77"/>
      <c r="F668" s="76"/>
      <c r="G668" s="76"/>
      <c r="I668" s="79" t="str">
        <f aca="false">IF($B668="","",IF(ISNUMBER(MATCH($B668,日別データ!$B$13:$B$32,0)),"✔ OK","⚠ 未登録"))</f>
        <v/>
      </c>
      <c r="J668" s="80" t="str">
        <f aca="false">IF($B668="","",IF($D668="","－",IF(ISNUMBER($D668),IF(AND($D668&gt;=1,MOD($D668,1)=0),"－",IF(MOD($D668,1)&lt;$L$6,"朝",IF(MOD($D668,1)&lt;$L$7,"昼",IF(MOD($D668,1)&lt;$L$8,"夕方","夜")))),IF(OR($D668="朝",$D668="昼",$D668="夕方",$D668="夜"),$D668,"⚠ 不明"))))</f>
        <v/>
      </c>
    </row>
    <row r="669" customFormat="false" ht="15" hidden="false" customHeight="false" outlineLevel="0" collapsed="false">
      <c r="A669" s="75"/>
      <c r="B669" s="76"/>
      <c r="C669" s="77"/>
      <c r="D669" s="78"/>
      <c r="E669" s="77"/>
      <c r="F669" s="76"/>
      <c r="G669" s="76"/>
      <c r="I669" s="79" t="str">
        <f aca="false">IF($B669="","",IF(ISNUMBER(MATCH($B669,日別データ!$B$13:$B$32,0)),"✔ OK","⚠ 未登録"))</f>
        <v/>
      </c>
      <c r="J669" s="80" t="str">
        <f aca="false">IF($B669="","",IF($D669="","－",IF(ISNUMBER($D669),IF(AND($D669&gt;=1,MOD($D669,1)=0),"－",IF(MOD($D669,1)&lt;$L$6,"朝",IF(MOD($D669,1)&lt;$L$7,"昼",IF(MOD($D669,1)&lt;$L$8,"夕方","夜")))),IF(OR($D669="朝",$D669="昼",$D669="夕方",$D669="夜"),$D669,"⚠ 不明"))))</f>
        <v/>
      </c>
    </row>
    <row r="670" customFormat="false" ht="15" hidden="false" customHeight="false" outlineLevel="0" collapsed="false">
      <c r="A670" s="75"/>
      <c r="B670" s="76"/>
      <c r="C670" s="77"/>
      <c r="D670" s="78"/>
      <c r="E670" s="77"/>
      <c r="F670" s="76"/>
      <c r="G670" s="76"/>
      <c r="I670" s="79" t="str">
        <f aca="false">IF($B670="","",IF(ISNUMBER(MATCH($B670,日別データ!$B$13:$B$32,0)),"✔ OK","⚠ 未登録"))</f>
        <v/>
      </c>
      <c r="J670" s="80" t="str">
        <f aca="false">IF($B670="","",IF($D670="","－",IF(ISNUMBER($D670),IF(AND($D670&gt;=1,MOD($D670,1)=0),"－",IF(MOD($D670,1)&lt;$L$6,"朝",IF(MOD($D670,1)&lt;$L$7,"昼",IF(MOD($D670,1)&lt;$L$8,"夕方","夜")))),IF(OR($D670="朝",$D670="昼",$D670="夕方",$D670="夜"),$D670,"⚠ 不明"))))</f>
        <v/>
      </c>
    </row>
    <row r="671" customFormat="false" ht="15" hidden="false" customHeight="false" outlineLevel="0" collapsed="false">
      <c r="A671" s="75"/>
      <c r="B671" s="76"/>
      <c r="C671" s="77"/>
      <c r="D671" s="78"/>
      <c r="E671" s="77"/>
      <c r="F671" s="76"/>
      <c r="G671" s="76"/>
      <c r="I671" s="79" t="str">
        <f aca="false">IF($B671="","",IF(ISNUMBER(MATCH($B671,日別データ!$B$13:$B$32,0)),"✔ OK","⚠ 未登録"))</f>
        <v/>
      </c>
      <c r="J671" s="80" t="str">
        <f aca="false">IF($B671="","",IF($D671="","－",IF(ISNUMBER($D671),IF(AND($D671&gt;=1,MOD($D671,1)=0),"－",IF(MOD($D671,1)&lt;$L$6,"朝",IF(MOD($D671,1)&lt;$L$7,"昼",IF(MOD($D671,1)&lt;$L$8,"夕方","夜")))),IF(OR($D671="朝",$D671="昼",$D671="夕方",$D671="夜"),$D671,"⚠ 不明"))))</f>
        <v/>
      </c>
    </row>
    <row r="672" customFormat="false" ht="15" hidden="false" customHeight="false" outlineLevel="0" collapsed="false">
      <c r="A672" s="75"/>
      <c r="B672" s="76"/>
      <c r="C672" s="77"/>
      <c r="D672" s="78"/>
      <c r="E672" s="77"/>
      <c r="F672" s="76"/>
      <c r="G672" s="76"/>
      <c r="I672" s="79" t="str">
        <f aca="false">IF($B672="","",IF(ISNUMBER(MATCH($B672,日別データ!$B$13:$B$32,0)),"✔ OK","⚠ 未登録"))</f>
        <v/>
      </c>
      <c r="J672" s="80" t="str">
        <f aca="false">IF($B672="","",IF($D672="","－",IF(ISNUMBER($D672),IF(AND($D672&gt;=1,MOD($D672,1)=0),"－",IF(MOD($D672,1)&lt;$L$6,"朝",IF(MOD($D672,1)&lt;$L$7,"昼",IF(MOD($D672,1)&lt;$L$8,"夕方","夜")))),IF(OR($D672="朝",$D672="昼",$D672="夕方",$D672="夜"),$D672,"⚠ 不明"))))</f>
        <v/>
      </c>
    </row>
    <row r="673" customFormat="false" ht="15" hidden="false" customHeight="false" outlineLevel="0" collapsed="false">
      <c r="A673" s="75"/>
      <c r="B673" s="76"/>
      <c r="C673" s="77"/>
      <c r="D673" s="78"/>
      <c r="E673" s="77"/>
      <c r="F673" s="76"/>
      <c r="G673" s="76"/>
      <c r="I673" s="79" t="str">
        <f aca="false">IF($B673="","",IF(ISNUMBER(MATCH($B673,日別データ!$B$13:$B$32,0)),"✔ OK","⚠ 未登録"))</f>
        <v/>
      </c>
      <c r="J673" s="80" t="str">
        <f aca="false">IF($B673="","",IF($D673="","－",IF(ISNUMBER($D673),IF(AND($D673&gt;=1,MOD($D673,1)=0),"－",IF(MOD($D673,1)&lt;$L$6,"朝",IF(MOD($D673,1)&lt;$L$7,"昼",IF(MOD($D673,1)&lt;$L$8,"夕方","夜")))),IF(OR($D673="朝",$D673="昼",$D673="夕方",$D673="夜"),$D673,"⚠ 不明"))))</f>
        <v/>
      </c>
    </row>
    <row r="674" customFormat="false" ht="15" hidden="false" customHeight="false" outlineLevel="0" collapsed="false">
      <c r="A674" s="75"/>
      <c r="B674" s="76"/>
      <c r="C674" s="77"/>
      <c r="D674" s="78"/>
      <c r="E674" s="77"/>
      <c r="F674" s="76"/>
      <c r="G674" s="76"/>
      <c r="I674" s="79" t="str">
        <f aca="false">IF($B674="","",IF(ISNUMBER(MATCH($B674,日別データ!$B$13:$B$32,0)),"✔ OK","⚠ 未登録"))</f>
        <v/>
      </c>
      <c r="J674" s="80" t="str">
        <f aca="false">IF($B674="","",IF($D674="","－",IF(ISNUMBER($D674),IF(AND($D674&gt;=1,MOD($D674,1)=0),"－",IF(MOD($D674,1)&lt;$L$6,"朝",IF(MOD($D674,1)&lt;$L$7,"昼",IF(MOD($D674,1)&lt;$L$8,"夕方","夜")))),IF(OR($D674="朝",$D674="昼",$D674="夕方",$D674="夜"),$D674,"⚠ 不明"))))</f>
        <v/>
      </c>
    </row>
    <row r="675" customFormat="false" ht="15" hidden="false" customHeight="false" outlineLevel="0" collapsed="false">
      <c r="A675" s="75"/>
      <c r="B675" s="76"/>
      <c r="C675" s="77"/>
      <c r="D675" s="78"/>
      <c r="E675" s="77"/>
      <c r="F675" s="76"/>
      <c r="G675" s="76"/>
      <c r="I675" s="79" t="str">
        <f aca="false">IF($B675="","",IF(ISNUMBER(MATCH($B675,日別データ!$B$13:$B$32,0)),"✔ OK","⚠ 未登録"))</f>
        <v/>
      </c>
      <c r="J675" s="80" t="str">
        <f aca="false">IF($B675="","",IF($D675="","－",IF(ISNUMBER($D675),IF(AND($D675&gt;=1,MOD($D675,1)=0),"－",IF(MOD($D675,1)&lt;$L$6,"朝",IF(MOD($D675,1)&lt;$L$7,"昼",IF(MOD($D675,1)&lt;$L$8,"夕方","夜")))),IF(OR($D675="朝",$D675="昼",$D675="夕方",$D675="夜"),$D675,"⚠ 不明"))))</f>
        <v/>
      </c>
    </row>
    <row r="676" customFormat="false" ht="15" hidden="false" customHeight="false" outlineLevel="0" collapsed="false">
      <c r="A676" s="75"/>
      <c r="B676" s="76"/>
      <c r="C676" s="77"/>
      <c r="D676" s="78"/>
      <c r="E676" s="77"/>
      <c r="F676" s="76"/>
      <c r="G676" s="76"/>
      <c r="I676" s="79" t="str">
        <f aca="false">IF($B676="","",IF(ISNUMBER(MATCH($B676,日別データ!$B$13:$B$32,0)),"✔ OK","⚠ 未登録"))</f>
        <v/>
      </c>
      <c r="J676" s="80" t="str">
        <f aca="false">IF($B676="","",IF($D676="","－",IF(ISNUMBER($D676),IF(AND($D676&gt;=1,MOD($D676,1)=0),"－",IF(MOD($D676,1)&lt;$L$6,"朝",IF(MOD($D676,1)&lt;$L$7,"昼",IF(MOD($D676,1)&lt;$L$8,"夕方","夜")))),IF(OR($D676="朝",$D676="昼",$D676="夕方",$D676="夜"),$D676,"⚠ 不明"))))</f>
        <v/>
      </c>
    </row>
    <row r="677" customFormat="false" ht="15" hidden="false" customHeight="false" outlineLevel="0" collapsed="false">
      <c r="A677" s="75"/>
      <c r="B677" s="76"/>
      <c r="C677" s="77"/>
      <c r="D677" s="78"/>
      <c r="E677" s="77"/>
      <c r="F677" s="76"/>
      <c r="G677" s="76"/>
      <c r="I677" s="79" t="str">
        <f aca="false">IF($B677="","",IF(ISNUMBER(MATCH($B677,日別データ!$B$13:$B$32,0)),"✔ OK","⚠ 未登録"))</f>
        <v/>
      </c>
      <c r="J677" s="80" t="str">
        <f aca="false">IF($B677="","",IF($D677="","－",IF(ISNUMBER($D677),IF(AND($D677&gt;=1,MOD($D677,1)=0),"－",IF(MOD($D677,1)&lt;$L$6,"朝",IF(MOD($D677,1)&lt;$L$7,"昼",IF(MOD($D677,1)&lt;$L$8,"夕方","夜")))),IF(OR($D677="朝",$D677="昼",$D677="夕方",$D677="夜"),$D677,"⚠ 不明"))))</f>
        <v/>
      </c>
    </row>
    <row r="678" customFormat="false" ht="15" hidden="false" customHeight="false" outlineLevel="0" collapsed="false">
      <c r="A678" s="75"/>
      <c r="B678" s="76"/>
      <c r="C678" s="77"/>
      <c r="D678" s="78"/>
      <c r="E678" s="77"/>
      <c r="F678" s="76"/>
      <c r="G678" s="76"/>
      <c r="I678" s="79" t="str">
        <f aca="false">IF($B678="","",IF(ISNUMBER(MATCH($B678,日別データ!$B$13:$B$32,0)),"✔ OK","⚠ 未登録"))</f>
        <v/>
      </c>
      <c r="J678" s="80" t="str">
        <f aca="false">IF($B678="","",IF($D678="","－",IF(ISNUMBER($D678),IF(AND($D678&gt;=1,MOD($D678,1)=0),"－",IF(MOD($D678,1)&lt;$L$6,"朝",IF(MOD($D678,1)&lt;$L$7,"昼",IF(MOD($D678,1)&lt;$L$8,"夕方","夜")))),IF(OR($D678="朝",$D678="昼",$D678="夕方",$D678="夜"),$D678,"⚠ 不明"))))</f>
        <v/>
      </c>
    </row>
    <row r="679" customFormat="false" ht="15" hidden="false" customHeight="false" outlineLevel="0" collapsed="false">
      <c r="A679" s="75"/>
      <c r="B679" s="76"/>
      <c r="C679" s="77"/>
      <c r="D679" s="78"/>
      <c r="E679" s="77"/>
      <c r="F679" s="76"/>
      <c r="G679" s="76"/>
      <c r="I679" s="79" t="str">
        <f aca="false">IF($B679="","",IF(ISNUMBER(MATCH($B679,日別データ!$B$13:$B$32,0)),"✔ OK","⚠ 未登録"))</f>
        <v/>
      </c>
      <c r="J679" s="80" t="str">
        <f aca="false">IF($B679="","",IF($D679="","－",IF(ISNUMBER($D679),IF(AND($D679&gt;=1,MOD($D679,1)=0),"－",IF(MOD($D679,1)&lt;$L$6,"朝",IF(MOD($D679,1)&lt;$L$7,"昼",IF(MOD($D679,1)&lt;$L$8,"夕方","夜")))),IF(OR($D679="朝",$D679="昼",$D679="夕方",$D679="夜"),$D679,"⚠ 不明"))))</f>
        <v/>
      </c>
    </row>
    <row r="680" customFormat="false" ht="15" hidden="false" customHeight="false" outlineLevel="0" collapsed="false">
      <c r="A680" s="75"/>
      <c r="B680" s="76"/>
      <c r="C680" s="77"/>
      <c r="D680" s="78"/>
      <c r="E680" s="77"/>
      <c r="F680" s="76"/>
      <c r="G680" s="76"/>
      <c r="I680" s="79" t="str">
        <f aca="false">IF($B680="","",IF(ISNUMBER(MATCH($B680,日別データ!$B$13:$B$32,0)),"✔ OK","⚠ 未登録"))</f>
        <v/>
      </c>
      <c r="J680" s="80" t="str">
        <f aca="false">IF($B680="","",IF($D680="","－",IF(ISNUMBER($D680),IF(AND($D680&gt;=1,MOD($D680,1)=0),"－",IF(MOD($D680,1)&lt;$L$6,"朝",IF(MOD($D680,1)&lt;$L$7,"昼",IF(MOD($D680,1)&lt;$L$8,"夕方","夜")))),IF(OR($D680="朝",$D680="昼",$D680="夕方",$D680="夜"),$D680,"⚠ 不明"))))</f>
        <v/>
      </c>
    </row>
    <row r="681" customFormat="false" ht="15" hidden="false" customHeight="false" outlineLevel="0" collapsed="false">
      <c r="A681" s="75"/>
      <c r="B681" s="76"/>
      <c r="C681" s="77"/>
      <c r="D681" s="78"/>
      <c r="E681" s="77"/>
      <c r="F681" s="76"/>
      <c r="G681" s="76"/>
      <c r="I681" s="79" t="str">
        <f aca="false">IF($B681="","",IF(ISNUMBER(MATCH($B681,日別データ!$B$13:$B$32,0)),"✔ OK","⚠ 未登録"))</f>
        <v/>
      </c>
      <c r="J681" s="80" t="str">
        <f aca="false">IF($B681="","",IF($D681="","－",IF(ISNUMBER($D681),IF(AND($D681&gt;=1,MOD($D681,1)=0),"－",IF(MOD($D681,1)&lt;$L$6,"朝",IF(MOD($D681,1)&lt;$L$7,"昼",IF(MOD($D681,1)&lt;$L$8,"夕方","夜")))),IF(OR($D681="朝",$D681="昼",$D681="夕方",$D681="夜"),$D681,"⚠ 不明"))))</f>
        <v/>
      </c>
    </row>
    <row r="682" customFormat="false" ht="15" hidden="false" customHeight="false" outlineLevel="0" collapsed="false">
      <c r="A682" s="75"/>
      <c r="B682" s="76"/>
      <c r="C682" s="77"/>
      <c r="D682" s="78"/>
      <c r="E682" s="77"/>
      <c r="F682" s="76"/>
      <c r="G682" s="76"/>
      <c r="I682" s="79" t="str">
        <f aca="false">IF($B682="","",IF(ISNUMBER(MATCH($B682,日別データ!$B$13:$B$32,0)),"✔ OK","⚠ 未登録"))</f>
        <v/>
      </c>
      <c r="J682" s="80" t="str">
        <f aca="false">IF($B682="","",IF($D682="","－",IF(ISNUMBER($D682),IF(AND($D682&gt;=1,MOD($D682,1)=0),"－",IF(MOD($D682,1)&lt;$L$6,"朝",IF(MOD($D682,1)&lt;$L$7,"昼",IF(MOD($D682,1)&lt;$L$8,"夕方","夜")))),IF(OR($D682="朝",$D682="昼",$D682="夕方",$D682="夜"),$D682,"⚠ 不明"))))</f>
        <v/>
      </c>
    </row>
    <row r="683" customFormat="false" ht="15" hidden="false" customHeight="false" outlineLevel="0" collapsed="false">
      <c r="A683" s="75"/>
      <c r="B683" s="76"/>
      <c r="C683" s="77"/>
      <c r="D683" s="78"/>
      <c r="E683" s="77"/>
      <c r="F683" s="76"/>
      <c r="G683" s="76"/>
      <c r="I683" s="79" t="str">
        <f aca="false">IF($B683="","",IF(ISNUMBER(MATCH($B683,日別データ!$B$13:$B$32,0)),"✔ OK","⚠ 未登録"))</f>
        <v/>
      </c>
      <c r="J683" s="80" t="str">
        <f aca="false">IF($B683="","",IF($D683="","－",IF(ISNUMBER($D683),IF(AND($D683&gt;=1,MOD($D683,1)=0),"－",IF(MOD($D683,1)&lt;$L$6,"朝",IF(MOD($D683,1)&lt;$L$7,"昼",IF(MOD($D683,1)&lt;$L$8,"夕方","夜")))),IF(OR($D683="朝",$D683="昼",$D683="夕方",$D683="夜"),$D683,"⚠ 不明"))))</f>
        <v/>
      </c>
    </row>
    <row r="684" customFormat="false" ht="15" hidden="false" customHeight="false" outlineLevel="0" collapsed="false">
      <c r="A684" s="75"/>
      <c r="B684" s="76"/>
      <c r="C684" s="77"/>
      <c r="D684" s="78"/>
      <c r="E684" s="77"/>
      <c r="F684" s="76"/>
      <c r="G684" s="76"/>
      <c r="I684" s="79" t="str">
        <f aca="false">IF($B684="","",IF(ISNUMBER(MATCH($B684,日別データ!$B$13:$B$32,0)),"✔ OK","⚠ 未登録"))</f>
        <v/>
      </c>
      <c r="J684" s="80" t="str">
        <f aca="false">IF($B684="","",IF($D684="","－",IF(ISNUMBER($D684),IF(AND($D684&gt;=1,MOD($D684,1)=0),"－",IF(MOD($D684,1)&lt;$L$6,"朝",IF(MOD($D684,1)&lt;$L$7,"昼",IF(MOD($D684,1)&lt;$L$8,"夕方","夜")))),IF(OR($D684="朝",$D684="昼",$D684="夕方",$D684="夜"),$D684,"⚠ 不明"))))</f>
        <v/>
      </c>
    </row>
    <row r="685" customFormat="false" ht="15" hidden="false" customHeight="false" outlineLevel="0" collapsed="false">
      <c r="A685" s="75"/>
      <c r="B685" s="76"/>
      <c r="C685" s="77"/>
      <c r="D685" s="78"/>
      <c r="E685" s="77"/>
      <c r="F685" s="76"/>
      <c r="G685" s="76"/>
      <c r="I685" s="79" t="str">
        <f aca="false">IF($B685="","",IF(ISNUMBER(MATCH($B685,日別データ!$B$13:$B$32,0)),"✔ OK","⚠ 未登録"))</f>
        <v/>
      </c>
      <c r="J685" s="80" t="str">
        <f aca="false">IF($B685="","",IF($D685="","－",IF(ISNUMBER($D685),IF(AND($D685&gt;=1,MOD($D685,1)=0),"－",IF(MOD($D685,1)&lt;$L$6,"朝",IF(MOD($D685,1)&lt;$L$7,"昼",IF(MOD($D685,1)&lt;$L$8,"夕方","夜")))),IF(OR($D685="朝",$D685="昼",$D685="夕方",$D685="夜"),$D685,"⚠ 不明"))))</f>
        <v/>
      </c>
    </row>
    <row r="686" customFormat="false" ht="15" hidden="false" customHeight="false" outlineLevel="0" collapsed="false">
      <c r="A686" s="75"/>
      <c r="B686" s="76"/>
      <c r="C686" s="77"/>
      <c r="D686" s="78"/>
      <c r="E686" s="77"/>
      <c r="F686" s="76"/>
      <c r="G686" s="76"/>
      <c r="I686" s="79" t="str">
        <f aca="false">IF($B686="","",IF(ISNUMBER(MATCH($B686,日別データ!$B$13:$B$32,0)),"✔ OK","⚠ 未登録"))</f>
        <v/>
      </c>
      <c r="J686" s="80" t="str">
        <f aca="false">IF($B686="","",IF($D686="","－",IF(ISNUMBER($D686),IF(AND($D686&gt;=1,MOD($D686,1)=0),"－",IF(MOD($D686,1)&lt;$L$6,"朝",IF(MOD($D686,1)&lt;$L$7,"昼",IF(MOD($D686,1)&lt;$L$8,"夕方","夜")))),IF(OR($D686="朝",$D686="昼",$D686="夕方",$D686="夜"),$D686,"⚠ 不明"))))</f>
        <v/>
      </c>
    </row>
    <row r="687" customFormat="false" ht="15" hidden="false" customHeight="false" outlineLevel="0" collapsed="false">
      <c r="A687" s="75"/>
      <c r="B687" s="76"/>
      <c r="C687" s="77"/>
      <c r="D687" s="78"/>
      <c r="E687" s="77"/>
      <c r="F687" s="76"/>
      <c r="G687" s="76"/>
      <c r="I687" s="79" t="str">
        <f aca="false">IF($B687="","",IF(ISNUMBER(MATCH($B687,日別データ!$B$13:$B$32,0)),"✔ OK","⚠ 未登録"))</f>
        <v/>
      </c>
      <c r="J687" s="80" t="str">
        <f aca="false">IF($B687="","",IF($D687="","－",IF(ISNUMBER($D687),IF(AND($D687&gt;=1,MOD($D687,1)=0),"－",IF(MOD($D687,1)&lt;$L$6,"朝",IF(MOD($D687,1)&lt;$L$7,"昼",IF(MOD($D687,1)&lt;$L$8,"夕方","夜")))),IF(OR($D687="朝",$D687="昼",$D687="夕方",$D687="夜"),$D687,"⚠ 不明"))))</f>
        <v/>
      </c>
    </row>
    <row r="688" customFormat="false" ht="15" hidden="false" customHeight="false" outlineLevel="0" collapsed="false">
      <c r="A688" s="75"/>
      <c r="B688" s="76"/>
      <c r="C688" s="77"/>
      <c r="D688" s="78"/>
      <c r="E688" s="77"/>
      <c r="F688" s="76"/>
      <c r="G688" s="76"/>
      <c r="I688" s="79" t="str">
        <f aca="false">IF($B688="","",IF(ISNUMBER(MATCH($B688,日別データ!$B$13:$B$32,0)),"✔ OK","⚠ 未登録"))</f>
        <v/>
      </c>
      <c r="J688" s="80" t="str">
        <f aca="false">IF($B688="","",IF($D688="","－",IF(ISNUMBER($D688),IF(AND($D688&gt;=1,MOD($D688,1)=0),"－",IF(MOD($D688,1)&lt;$L$6,"朝",IF(MOD($D688,1)&lt;$L$7,"昼",IF(MOD($D688,1)&lt;$L$8,"夕方","夜")))),IF(OR($D688="朝",$D688="昼",$D688="夕方",$D688="夜"),$D688,"⚠ 不明"))))</f>
        <v/>
      </c>
    </row>
    <row r="689" customFormat="false" ht="15" hidden="false" customHeight="false" outlineLevel="0" collapsed="false">
      <c r="A689" s="75"/>
      <c r="B689" s="76"/>
      <c r="C689" s="77"/>
      <c r="D689" s="78"/>
      <c r="E689" s="77"/>
      <c r="F689" s="76"/>
      <c r="G689" s="76"/>
      <c r="I689" s="79" t="str">
        <f aca="false">IF($B689="","",IF(ISNUMBER(MATCH($B689,日別データ!$B$13:$B$32,0)),"✔ OK","⚠ 未登録"))</f>
        <v/>
      </c>
      <c r="J689" s="80" t="str">
        <f aca="false">IF($B689="","",IF($D689="","－",IF(ISNUMBER($D689),IF(AND($D689&gt;=1,MOD($D689,1)=0),"－",IF(MOD($D689,1)&lt;$L$6,"朝",IF(MOD($D689,1)&lt;$L$7,"昼",IF(MOD($D689,1)&lt;$L$8,"夕方","夜")))),IF(OR($D689="朝",$D689="昼",$D689="夕方",$D689="夜"),$D689,"⚠ 不明"))))</f>
        <v/>
      </c>
    </row>
    <row r="690" customFormat="false" ht="15" hidden="false" customHeight="false" outlineLevel="0" collapsed="false">
      <c r="A690" s="75"/>
      <c r="B690" s="76"/>
      <c r="C690" s="77"/>
      <c r="D690" s="78"/>
      <c r="E690" s="77"/>
      <c r="F690" s="76"/>
      <c r="G690" s="76"/>
      <c r="I690" s="79" t="str">
        <f aca="false">IF($B690="","",IF(ISNUMBER(MATCH($B690,日別データ!$B$13:$B$32,0)),"✔ OK","⚠ 未登録"))</f>
        <v/>
      </c>
      <c r="J690" s="80" t="str">
        <f aca="false">IF($B690="","",IF($D690="","－",IF(ISNUMBER($D690),IF(AND($D690&gt;=1,MOD($D690,1)=0),"－",IF(MOD($D690,1)&lt;$L$6,"朝",IF(MOD($D690,1)&lt;$L$7,"昼",IF(MOD($D690,1)&lt;$L$8,"夕方","夜")))),IF(OR($D690="朝",$D690="昼",$D690="夕方",$D690="夜"),$D690,"⚠ 不明"))))</f>
        <v/>
      </c>
    </row>
    <row r="691" customFormat="false" ht="15" hidden="false" customHeight="false" outlineLevel="0" collapsed="false">
      <c r="A691" s="75"/>
      <c r="B691" s="76"/>
      <c r="C691" s="77"/>
      <c r="D691" s="78"/>
      <c r="E691" s="77"/>
      <c r="F691" s="76"/>
      <c r="G691" s="76"/>
      <c r="I691" s="79" t="str">
        <f aca="false">IF($B691="","",IF(ISNUMBER(MATCH($B691,日別データ!$B$13:$B$32,0)),"✔ OK","⚠ 未登録"))</f>
        <v/>
      </c>
      <c r="J691" s="80" t="str">
        <f aca="false">IF($B691="","",IF($D691="","－",IF(ISNUMBER($D691),IF(AND($D691&gt;=1,MOD($D691,1)=0),"－",IF(MOD($D691,1)&lt;$L$6,"朝",IF(MOD($D691,1)&lt;$L$7,"昼",IF(MOD($D691,1)&lt;$L$8,"夕方","夜")))),IF(OR($D691="朝",$D691="昼",$D691="夕方",$D691="夜"),$D691,"⚠ 不明"))))</f>
        <v/>
      </c>
    </row>
    <row r="692" customFormat="false" ht="15" hidden="false" customHeight="false" outlineLevel="0" collapsed="false">
      <c r="A692" s="75"/>
      <c r="B692" s="76"/>
      <c r="C692" s="77"/>
      <c r="D692" s="78"/>
      <c r="E692" s="77"/>
      <c r="F692" s="76"/>
      <c r="G692" s="76"/>
      <c r="I692" s="79" t="str">
        <f aca="false">IF($B692="","",IF(ISNUMBER(MATCH($B692,日別データ!$B$13:$B$32,0)),"✔ OK","⚠ 未登録"))</f>
        <v/>
      </c>
      <c r="J692" s="80" t="str">
        <f aca="false">IF($B692="","",IF($D692="","－",IF(ISNUMBER($D692),IF(AND($D692&gt;=1,MOD($D692,1)=0),"－",IF(MOD($D692,1)&lt;$L$6,"朝",IF(MOD($D692,1)&lt;$L$7,"昼",IF(MOD($D692,1)&lt;$L$8,"夕方","夜")))),IF(OR($D692="朝",$D692="昼",$D692="夕方",$D692="夜"),$D692,"⚠ 不明"))))</f>
        <v/>
      </c>
    </row>
    <row r="693" customFormat="false" ht="15" hidden="false" customHeight="false" outlineLevel="0" collapsed="false">
      <c r="A693" s="75"/>
      <c r="B693" s="76"/>
      <c r="C693" s="77"/>
      <c r="D693" s="78"/>
      <c r="E693" s="77"/>
      <c r="F693" s="76"/>
      <c r="G693" s="76"/>
      <c r="I693" s="79" t="str">
        <f aca="false">IF($B693="","",IF(ISNUMBER(MATCH($B693,日別データ!$B$13:$B$32,0)),"✔ OK","⚠ 未登録"))</f>
        <v/>
      </c>
      <c r="J693" s="80" t="str">
        <f aca="false">IF($B693="","",IF($D693="","－",IF(ISNUMBER($D693),IF(AND($D693&gt;=1,MOD($D693,1)=0),"－",IF(MOD($D693,1)&lt;$L$6,"朝",IF(MOD($D693,1)&lt;$L$7,"昼",IF(MOD($D693,1)&lt;$L$8,"夕方","夜")))),IF(OR($D693="朝",$D693="昼",$D693="夕方",$D693="夜"),$D693,"⚠ 不明"))))</f>
        <v/>
      </c>
    </row>
    <row r="694" customFormat="false" ht="15" hidden="false" customHeight="false" outlineLevel="0" collapsed="false">
      <c r="A694" s="75"/>
      <c r="B694" s="76"/>
      <c r="C694" s="77"/>
      <c r="D694" s="78"/>
      <c r="E694" s="77"/>
      <c r="F694" s="76"/>
      <c r="G694" s="76"/>
      <c r="I694" s="79" t="str">
        <f aca="false">IF($B694="","",IF(ISNUMBER(MATCH($B694,日別データ!$B$13:$B$32,0)),"✔ OK","⚠ 未登録"))</f>
        <v/>
      </c>
      <c r="J694" s="80" t="str">
        <f aca="false">IF($B694="","",IF($D694="","－",IF(ISNUMBER($D694),IF(AND($D694&gt;=1,MOD($D694,1)=0),"－",IF(MOD($D694,1)&lt;$L$6,"朝",IF(MOD($D694,1)&lt;$L$7,"昼",IF(MOD($D694,1)&lt;$L$8,"夕方","夜")))),IF(OR($D694="朝",$D694="昼",$D694="夕方",$D694="夜"),$D694,"⚠ 不明"))))</f>
        <v/>
      </c>
    </row>
    <row r="695" customFormat="false" ht="15" hidden="false" customHeight="false" outlineLevel="0" collapsed="false">
      <c r="A695" s="75"/>
      <c r="B695" s="76"/>
      <c r="C695" s="77"/>
      <c r="D695" s="78"/>
      <c r="E695" s="77"/>
      <c r="F695" s="76"/>
      <c r="G695" s="76"/>
      <c r="I695" s="79" t="str">
        <f aca="false">IF($B695="","",IF(ISNUMBER(MATCH($B695,日別データ!$B$13:$B$32,0)),"✔ OK","⚠ 未登録"))</f>
        <v/>
      </c>
      <c r="J695" s="80" t="str">
        <f aca="false">IF($B695="","",IF($D695="","－",IF(ISNUMBER($D695),IF(AND($D695&gt;=1,MOD($D695,1)=0),"－",IF(MOD($D695,1)&lt;$L$6,"朝",IF(MOD($D695,1)&lt;$L$7,"昼",IF(MOD($D695,1)&lt;$L$8,"夕方","夜")))),IF(OR($D695="朝",$D695="昼",$D695="夕方",$D695="夜"),$D695,"⚠ 不明"))))</f>
        <v/>
      </c>
    </row>
    <row r="696" customFormat="false" ht="15" hidden="false" customHeight="false" outlineLevel="0" collapsed="false">
      <c r="A696" s="75"/>
      <c r="B696" s="76"/>
      <c r="C696" s="77"/>
      <c r="D696" s="78"/>
      <c r="E696" s="77"/>
      <c r="F696" s="76"/>
      <c r="G696" s="76"/>
      <c r="I696" s="79" t="str">
        <f aca="false">IF($B696="","",IF(ISNUMBER(MATCH($B696,日別データ!$B$13:$B$32,0)),"✔ OK","⚠ 未登録"))</f>
        <v/>
      </c>
      <c r="J696" s="80" t="str">
        <f aca="false">IF($B696="","",IF($D696="","－",IF(ISNUMBER($D696),IF(AND($D696&gt;=1,MOD($D696,1)=0),"－",IF(MOD($D696,1)&lt;$L$6,"朝",IF(MOD($D696,1)&lt;$L$7,"昼",IF(MOD($D696,1)&lt;$L$8,"夕方","夜")))),IF(OR($D696="朝",$D696="昼",$D696="夕方",$D696="夜"),$D696,"⚠ 不明"))))</f>
        <v/>
      </c>
    </row>
    <row r="697" customFormat="false" ht="15" hidden="false" customHeight="false" outlineLevel="0" collapsed="false">
      <c r="A697" s="75"/>
      <c r="B697" s="76"/>
      <c r="C697" s="77"/>
      <c r="D697" s="78"/>
      <c r="E697" s="77"/>
      <c r="F697" s="76"/>
      <c r="G697" s="76"/>
      <c r="I697" s="79" t="str">
        <f aca="false">IF($B697="","",IF(ISNUMBER(MATCH($B697,日別データ!$B$13:$B$32,0)),"✔ OK","⚠ 未登録"))</f>
        <v/>
      </c>
      <c r="J697" s="80" t="str">
        <f aca="false">IF($B697="","",IF($D697="","－",IF(ISNUMBER($D697),IF(AND($D697&gt;=1,MOD($D697,1)=0),"－",IF(MOD($D697,1)&lt;$L$6,"朝",IF(MOD($D697,1)&lt;$L$7,"昼",IF(MOD($D697,1)&lt;$L$8,"夕方","夜")))),IF(OR($D697="朝",$D697="昼",$D697="夕方",$D697="夜"),$D697,"⚠ 不明"))))</f>
        <v/>
      </c>
    </row>
    <row r="698" customFormat="false" ht="15" hidden="false" customHeight="false" outlineLevel="0" collapsed="false">
      <c r="A698" s="75"/>
      <c r="B698" s="76"/>
      <c r="C698" s="77"/>
      <c r="D698" s="78"/>
      <c r="E698" s="77"/>
      <c r="F698" s="76"/>
      <c r="G698" s="76"/>
      <c r="I698" s="79" t="str">
        <f aca="false">IF($B698="","",IF(ISNUMBER(MATCH($B698,日別データ!$B$13:$B$32,0)),"✔ OK","⚠ 未登録"))</f>
        <v/>
      </c>
      <c r="J698" s="80" t="str">
        <f aca="false">IF($B698="","",IF($D698="","－",IF(ISNUMBER($D698),IF(AND($D698&gt;=1,MOD($D698,1)=0),"－",IF(MOD($D698,1)&lt;$L$6,"朝",IF(MOD($D698,1)&lt;$L$7,"昼",IF(MOD($D698,1)&lt;$L$8,"夕方","夜")))),IF(OR($D698="朝",$D698="昼",$D698="夕方",$D698="夜"),$D698,"⚠ 不明"))))</f>
        <v/>
      </c>
    </row>
    <row r="699" customFormat="false" ht="15" hidden="false" customHeight="false" outlineLevel="0" collapsed="false">
      <c r="A699" s="75"/>
      <c r="B699" s="76"/>
      <c r="C699" s="77"/>
      <c r="D699" s="78"/>
      <c r="E699" s="77"/>
      <c r="F699" s="76"/>
      <c r="G699" s="76"/>
      <c r="I699" s="79" t="str">
        <f aca="false">IF($B699="","",IF(ISNUMBER(MATCH($B699,日別データ!$B$13:$B$32,0)),"✔ OK","⚠ 未登録"))</f>
        <v/>
      </c>
      <c r="J699" s="80" t="str">
        <f aca="false">IF($B699="","",IF($D699="","－",IF(ISNUMBER($D699),IF(AND($D699&gt;=1,MOD($D699,1)=0),"－",IF(MOD($D699,1)&lt;$L$6,"朝",IF(MOD($D699,1)&lt;$L$7,"昼",IF(MOD($D699,1)&lt;$L$8,"夕方","夜")))),IF(OR($D699="朝",$D699="昼",$D699="夕方",$D699="夜"),$D699,"⚠ 不明"))))</f>
        <v/>
      </c>
    </row>
    <row r="700" customFormat="false" ht="15" hidden="false" customHeight="false" outlineLevel="0" collapsed="false">
      <c r="A700" s="75"/>
      <c r="B700" s="76"/>
      <c r="C700" s="77"/>
      <c r="D700" s="78"/>
      <c r="E700" s="77"/>
      <c r="F700" s="76"/>
      <c r="G700" s="76"/>
      <c r="I700" s="79" t="str">
        <f aca="false">IF($B700="","",IF(ISNUMBER(MATCH($B700,日別データ!$B$13:$B$32,0)),"✔ OK","⚠ 未登録"))</f>
        <v/>
      </c>
      <c r="J700" s="80" t="str">
        <f aca="false">IF($B700="","",IF($D700="","－",IF(ISNUMBER($D700),IF(AND($D700&gt;=1,MOD($D700,1)=0),"－",IF(MOD($D700,1)&lt;$L$6,"朝",IF(MOD($D700,1)&lt;$L$7,"昼",IF(MOD($D700,1)&lt;$L$8,"夕方","夜")))),IF(OR($D700="朝",$D700="昼",$D700="夕方",$D700="夜"),$D700,"⚠ 不明"))))</f>
        <v/>
      </c>
    </row>
    <row r="701" customFormat="false" ht="15" hidden="false" customHeight="false" outlineLevel="0" collapsed="false">
      <c r="A701" s="75"/>
      <c r="B701" s="76"/>
      <c r="C701" s="77"/>
      <c r="D701" s="78"/>
      <c r="E701" s="77"/>
      <c r="F701" s="76"/>
      <c r="G701" s="76"/>
      <c r="I701" s="79" t="str">
        <f aca="false">IF($B701="","",IF(ISNUMBER(MATCH($B701,日別データ!$B$13:$B$32,0)),"✔ OK","⚠ 未登録"))</f>
        <v/>
      </c>
      <c r="J701" s="80" t="str">
        <f aca="false">IF($B701="","",IF($D701="","－",IF(ISNUMBER($D701),IF(AND($D701&gt;=1,MOD($D701,1)=0),"－",IF(MOD($D701,1)&lt;$L$6,"朝",IF(MOD($D701,1)&lt;$L$7,"昼",IF(MOD($D701,1)&lt;$L$8,"夕方","夜")))),IF(OR($D701="朝",$D701="昼",$D701="夕方",$D701="夜"),$D701,"⚠ 不明"))))</f>
        <v/>
      </c>
    </row>
    <row r="702" customFormat="false" ht="15" hidden="false" customHeight="false" outlineLevel="0" collapsed="false">
      <c r="A702" s="75"/>
      <c r="B702" s="76"/>
      <c r="C702" s="77"/>
      <c r="D702" s="78"/>
      <c r="E702" s="77"/>
      <c r="F702" s="76"/>
      <c r="G702" s="76"/>
      <c r="I702" s="79" t="str">
        <f aca="false">IF($B702="","",IF(ISNUMBER(MATCH($B702,日別データ!$B$13:$B$32,0)),"✔ OK","⚠ 未登録"))</f>
        <v/>
      </c>
      <c r="J702" s="80" t="str">
        <f aca="false">IF($B702="","",IF($D702="","－",IF(ISNUMBER($D702),IF(AND($D702&gt;=1,MOD($D702,1)=0),"－",IF(MOD($D702,1)&lt;$L$6,"朝",IF(MOD($D702,1)&lt;$L$7,"昼",IF(MOD($D702,1)&lt;$L$8,"夕方","夜")))),IF(OR($D702="朝",$D702="昼",$D702="夕方",$D702="夜"),$D702,"⚠ 不明"))))</f>
        <v/>
      </c>
    </row>
    <row r="703" customFormat="false" ht="15" hidden="false" customHeight="false" outlineLevel="0" collapsed="false">
      <c r="A703" s="75"/>
      <c r="B703" s="76"/>
      <c r="C703" s="77"/>
      <c r="D703" s="78"/>
      <c r="E703" s="77"/>
      <c r="F703" s="76"/>
      <c r="G703" s="76"/>
      <c r="I703" s="79" t="str">
        <f aca="false">IF($B703="","",IF(ISNUMBER(MATCH($B703,日別データ!$B$13:$B$32,0)),"✔ OK","⚠ 未登録"))</f>
        <v/>
      </c>
      <c r="J703" s="80" t="str">
        <f aca="false">IF($B703="","",IF($D703="","－",IF(ISNUMBER($D703),IF(AND($D703&gt;=1,MOD($D703,1)=0),"－",IF(MOD($D703,1)&lt;$L$6,"朝",IF(MOD($D703,1)&lt;$L$7,"昼",IF(MOD($D703,1)&lt;$L$8,"夕方","夜")))),IF(OR($D703="朝",$D703="昼",$D703="夕方",$D703="夜"),$D703,"⚠ 不明"))))</f>
        <v/>
      </c>
    </row>
    <row r="704" customFormat="false" ht="15" hidden="false" customHeight="false" outlineLevel="0" collapsed="false">
      <c r="A704" s="75"/>
      <c r="B704" s="76"/>
      <c r="C704" s="77"/>
      <c r="D704" s="78"/>
      <c r="E704" s="77"/>
      <c r="F704" s="76"/>
      <c r="G704" s="76"/>
      <c r="I704" s="79" t="str">
        <f aca="false">IF($B704="","",IF(ISNUMBER(MATCH($B704,日別データ!$B$13:$B$32,0)),"✔ OK","⚠ 未登録"))</f>
        <v/>
      </c>
      <c r="J704" s="80" t="str">
        <f aca="false">IF($B704="","",IF($D704="","－",IF(ISNUMBER($D704),IF(AND($D704&gt;=1,MOD($D704,1)=0),"－",IF(MOD($D704,1)&lt;$L$6,"朝",IF(MOD($D704,1)&lt;$L$7,"昼",IF(MOD($D704,1)&lt;$L$8,"夕方","夜")))),IF(OR($D704="朝",$D704="昼",$D704="夕方",$D704="夜"),$D704,"⚠ 不明"))))</f>
        <v/>
      </c>
    </row>
    <row r="705" customFormat="false" ht="15" hidden="false" customHeight="false" outlineLevel="0" collapsed="false">
      <c r="A705" s="75"/>
      <c r="B705" s="76"/>
      <c r="C705" s="77"/>
      <c r="D705" s="78"/>
      <c r="E705" s="77"/>
      <c r="F705" s="76"/>
      <c r="G705" s="76"/>
      <c r="I705" s="79" t="str">
        <f aca="false">IF($B705="","",IF(ISNUMBER(MATCH($B705,日別データ!$B$13:$B$32,0)),"✔ OK","⚠ 未登録"))</f>
        <v/>
      </c>
      <c r="J705" s="80" t="str">
        <f aca="false">IF($B705="","",IF($D705="","－",IF(ISNUMBER($D705),IF(AND($D705&gt;=1,MOD($D705,1)=0),"－",IF(MOD($D705,1)&lt;$L$6,"朝",IF(MOD($D705,1)&lt;$L$7,"昼",IF(MOD($D705,1)&lt;$L$8,"夕方","夜")))),IF(OR($D705="朝",$D705="昼",$D705="夕方",$D705="夜"),$D705,"⚠ 不明"))))</f>
        <v/>
      </c>
    </row>
    <row r="706" customFormat="false" ht="15" hidden="false" customHeight="false" outlineLevel="0" collapsed="false">
      <c r="A706" s="75"/>
      <c r="B706" s="76"/>
      <c r="C706" s="77"/>
      <c r="D706" s="78"/>
      <c r="E706" s="77"/>
      <c r="F706" s="76"/>
      <c r="G706" s="76"/>
      <c r="I706" s="79" t="str">
        <f aca="false">IF($B706="","",IF(ISNUMBER(MATCH($B706,日別データ!$B$13:$B$32,0)),"✔ OK","⚠ 未登録"))</f>
        <v/>
      </c>
      <c r="J706" s="80" t="str">
        <f aca="false">IF($B706="","",IF($D706="","－",IF(ISNUMBER($D706),IF(AND($D706&gt;=1,MOD($D706,1)=0),"－",IF(MOD($D706,1)&lt;$L$6,"朝",IF(MOD($D706,1)&lt;$L$7,"昼",IF(MOD($D706,1)&lt;$L$8,"夕方","夜")))),IF(OR($D706="朝",$D706="昼",$D706="夕方",$D706="夜"),$D706,"⚠ 不明"))))</f>
        <v/>
      </c>
    </row>
    <row r="707" customFormat="false" ht="15" hidden="false" customHeight="false" outlineLevel="0" collapsed="false">
      <c r="A707" s="75"/>
      <c r="B707" s="76"/>
      <c r="C707" s="77"/>
      <c r="D707" s="78"/>
      <c r="E707" s="77"/>
      <c r="F707" s="76"/>
      <c r="G707" s="76"/>
      <c r="I707" s="79" t="str">
        <f aca="false">IF($B707="","",IF(ISNUMBER(MATCH($B707,日別データ!$B$13:$B$32,0)),"✔ OK","⚠ 未登録"))</f>
        <v/>
      </c>
      <c r="J707" s="80" t="str">
        <f aca="false">IF($B707="","",IF($D707="","－",IF(ISNUMBER($D707),IF(AND($D707&gt;=1,MOD($D707,1)=0),"－",IF(MOD($D707,1)&lt;$L$6,"朝",IF(MOD($D707,1)&lt;$L$7,"昼",IF(MOD($D707,1)&lt;$L$8,"夕方","夜")))),IF(OR($D707="朝",$D707="昼",$D707="夕方",$D707="夜"),$D707,"⚠ 不明"))))</f>
        <v/>
      </c>
    </row>
    <row r="708" customFormat="false" ht="15" hidden="false" customHeight="false" outlineLevel="0" collapsed="false">
      <c r="A708" s="75"/>
      <c r="B708" s="76"/>
      <c r="C708" s="77"/>
      <c r="D708" s="78"/>
      <c r="E708" s="77"/>
      <c r="F708" s="76"/>
      <c r="G708" s="76"/>
      <c r="I708" s="79" t="str">
        <f aca="false">IF($B708="","",IF(ISNUMBER(MATCH($B708,日別データ!$B$13:$B$32,0)),"✔ OK","⚠ 未登録"))</f>
        <v/>
      </c>
      <c r="J708" s="80" t="str">
        <f aca="false">IF($B708="","",IF($D708="","－",IF(ISNUMBER($D708),IF(AND($D708&gt;=1,MOD($D708,1)=0),"－",IF(MOD($D708,1)&lt;$L$6,"朝",IF(MOD($D708,1)&lt;$L$7,"昼",IF(MOD($D708,1)&lt;$L$8,"夕方","夜")))),IF(OR($D708="朝",$D708="昼",$D708="夕方",$D708="夜"),$D708,"⚠ 不明"))))</f>
        <v/>
      </c>
    </row>
    <row r="709" customFormat="false" ht="15" hidden="false" customHeight="false" outlineLevel="0" collapsed="false">
      <c r="A709" s="75"/>
      <c r="B709" s="76"/>
      <c r="C709" s="77"/>
      <c r="D709" s="78"/>
      <c r="E709" s="77"/>
      <c r="F709" s="76"/>
      <c r="G709" s="76"/>
      <c r="I709" s="79" t="str">
        <f aca="false">IF($B709="","",IF(ISNUMBER(MATCH($B709,日別データ!$B$13:$B$32,0)),"✔ OK","⚠ 未登録"))</f>
        <v/>
      </c>
      <c r="J709" s="80" t="str">
        <f aca="false">IF($B709="","",IF($D709="","－",IF(ISNUMBER($D709),IF(AND($D709&gt;=1,MOD($D709,1)=0),"－",IF(MOD($D709,1)&lt;$L$6,"朝",IF(MOD($D709,1)&lt;$L$7,"昼",IF(MOD($D709,1)&lt;$L$8,"夕方","夜")))),IF(OR($D709="朝",$D709="昼",$D709="夕方",$D709="夜"),$D709,"⚠ 不明"))))</f>
        <v/>
      </c>
    </row>
    <row r="710" customFormat="false" ht="15" hidden="false" customHeight="false" outlineLevel="0" collapsed="false">
      <c r="A710" s="75"/>
      <c r="B710" s="76"/>
      <c r="C710" s="77"/>
      <c r="D710" s="78"/>
      <c r="E710" s="77"/>
      <c r="F710" s="76"/>
      <c r="G710" s="76"/>
      <c r="I710" s="79" t="str">
        <f aca="false">IF($B710="","",IF(ISNUMBER(MATCH($B710,日別データ!$B$13:$B$32,0)),"✔ OK","⚠ 未登録"))</f>
        <v/>
      </c>
      <c r="J710" s="80" t="str">
        <f aca="false">IF($B710="","",IF($D710="","－",IF(ISNUMBER($D710),IF(AND($D710&gt;=1,MOD($D710,1)=0),"－",IF(MOD($D710,1)&lt;$L$6,"朝",IF(MOD($D710,1)&lt;$L$7,"昼",IF(MOD($D710,1)&lt;$L$8,"夕方","夜")))),IF(OR($D710="朝",$D710="昼",$D710="夕方",$D710="夜"),$D710,"⚠ 不明"))))</f>
        <v/>
      </c>
    </row>
    <row r="711" customFormat="false" ht="15" hidden="false" customHeight="false" outlineLevel="0" collapsed="false">
      <c r="A711" s="75"/>
      <c r="B711" s="76"/>
      <c r="C711" s="77"/>
      <c r="D711" s="78"/>
      <c r="E711" s="77"/>
      <c r="F711" s="76"/>
      <c r="G711" s="76"/>
      <c r="I711" s="79" t="str">
        <f aca="false">IF($B711="","",IF(ISNUMBER(MATCH($B711,日別データ!$B$13:$B$32,0)),"✔ OK","⚠ 未登録"))</f>
        <v/>
      </c>
      <c r="J711" s="80" t="str">
        <f aca="false">IF($B711="","",IF($D711="","－",IF(ISNUMBER($D711),IF(AND($D711&gt;=1,MOD($D711,1)=0),"－",IF(MOD($D711,1)&lt;$L$6,"朝",IF(MOD($D711,1)&lt;$L$7,"昼",IF(MOD($D711,1)&lt;$L$8,"夕方","夜")))),IF(OR($D711="朝",$D711="昼",$D711="夕方",$D711="夜"),$D711,"⚠ 不明"))))</f>
        <v/>
      </c>
    </row>
    <row r="712" customFormat="false" ht="15" hidden="false" customHeight="false" outlineLevel="0" collapsed="false">
      <c r="A712" s="75"/>
      <c r="B712" s="76"/>
      <c r="C712" s="77"/>
      <c r="D712" s="78"/>
      <c r="E712" s="77"/>
      <c r="F712" s="76"/>
      <c r="G712" s="76"/>
      <c r="I712" s="79" t="str">
        <f aca="false">IF($B712="","",IF(ISNUMBER(MATCH($B712,日別データ!$B$13:$B$32,0)),"✔ OK","⚠ 未登録"))</f>
        <v/>
      </c>
      <c r="J712" s="80" t="str">
        <f aca="false">IF($B712="","",IF($D712="","－",IF(ISNUMBER($D712),IF(AND($D712&gt;=1,MOD($D712,1)=0),"－",IF(MOD($D712,1)&lt;$L$6,"朝",IF(MOD($D712,1)&lt;$L$7,"昼",IF(MOD($D712,1)&lt;$L$8,"夕方","夜")))),IF(OR($D712="朝",$D712="昼",$D712="夕方",$D712="夜"),$D712,"⚠ 不明"))))</f>
        <v/>
      </c>
    </row>
    <row r="713" customFormat="false" ht="15" hidden="false" customHeight="false" outlineLevel="0" collapsed="false">
      <c r="A713" s="75"/>
      <c r="B713" s="76"/>
      <c r="C713" s="77"/>
      <c r="D713" s="78"/>
      <c r="E713" s="77"/>
      <c r="F713" s="76"/>
      <c r="G713" s="76"/>
      <c r="I713" s="79" t="str">
        <f aca="false">IF($B713="","",IF(ISNUMBER(MATCH($B713,日別データ!$B$13:$B$32,0)),"✔ OK","⚠ 未登録"))</f>
        <v/>
      </c>
      <c r="J713" s="80" t="str">
        <f aca="false">IF($B713="","",IF($D713="","－",IF(ISNUMBER($D713),IF(AND($D713&gt;=1,MOD($D713,1)=0),"－",IF(MOD($D713,1)&lt;$L$6,"朝",IF(MOD($D713,1)&lt;$L$7,"昼",IF(MOD($D713,1)&lt;$L$8,"夕方","夜")))),IF(OR($D713="朝",$D713="昼",$D713="夕方",$D713="夜"),$D713,"⚠ 不明"))))</f>
        <v/>
      </c>
    </row>
    <row r="714" customFormat="false" ht="15" hidden="false" customHeight="false" outlineLevel="0" collapsed="false">
      <c r="A714" s="75"/>
      <c r="B714" s="76"/>
      <c r="C714" s="77"/>
      <c r="D714" s="78"/>
      <c r="E714" s="77"/>
      <c r="F714" s="76"/>
      <c r="G714" s="76"/>
      <c r="I714" s="79" t="str">
        <f aca="false">IF($B714="","",IF(ISNUMBER(MATCH($B714,日別データ!$B$13:$B$32,0)),"✔ OK","⚠ 未登録"))</f>
        <v/>
      </c>
      <c r="J714" s="80" t="str">
        <f aca="false">IF($B714="","",IF($D714="","－",IF(ISNUMBER($D714),IF(AND($D714&gt;=1,MOD($D714,1)=0),"－",IF(MOD($D714,1)&lt;$L$6,"朝",IF(MOD($D714,1)&lt;$L$7,"昼",IF(MOD($D714,1)&lt;$L$8,"夕方","夜")))),IF(OR($D714="朝",$D714="昼",$D714="夕方",$D714="夜"),$D714,"⚠ 不明"))))</f>
        <v/>
      </c>
    </row>
    <row r="715" customFormat="false" ht="15" hidden="false" customHeight="false" outlineLevel="0" collapsed="false">
      <c r="A715" s="75"/>
      <c r="B715" s="76"/>
      <c r="C715" s="77"/>
      <c r="D715" s="78"/>
      <c r="E715" s="77"/>
      <c r="F715" s="76"/>
      <c r="G715" s="76"/>
      <c r="I715" s="79" t="str">
        <f aca="false">IF($B715="","",IF(ISNUMBER(MATCH($B715,日別データ!$B$13:$B$32,0)),"✔ OK","⚠ 未登録"))</f>
        <v/>
      </c>
      <c r="J715" s="80" t="str">
        <f aca="false">IF($B715="","",IF($D715="","－",IF(ISNUMBER($D715),IF(AND($D715&gt;=1,MOD($D715,1)=0),"－",IF(MOD($D715,1)&lt;$L$6,"朝",IF(MOD($D715,1)&lt;$L$7,"昼",IF(MOD($D715,1)&lt;$L$8,"夕方","夜")))),IF(OR($D715="朝",$D715="昼",$D715="夕方",$D715="夜"),$D715,"⚠ 不明"))))</f>
        <v/>
      </c>
    </row>
    <row r="716" customFormat="false" ht="15" hidden="false" customHeight="false" outlineLevel="0" collapsed="false">
      <c r="A716" s="75"/>
      <c r="B716" s="76"/>
      <c r="C716" s="77"/>
      <c r="D716" s="78"/>
      <c r="E716" s="77"/>
      <c r="F716" s="76"/>
      <c r="G716" s="76"/>
      <c r="I716" s="79" t="str">
        <f aca="false">IF($B716="","",IF(ISNUMBER(MATCH($B716,日別データ!$B$13:$B$32,0)),"✔ OK","⚠ 未登録"))</f>
        <v/>
      </c>
      <c r="J716" s="80" t="str">
        <f aca="false">IF($B716="","",IF($D716="","－",IF(ISNUMBER($D716),IF(AND($D716&gt;=1,MOD($D716,1)=0),"－",IF(MOD($D716,1)&lt;$L$6,"朝",IF(MOD($D716,1)&lt;$L$7,"昼",IF(MOD($D716,1)&lt;$L$8,"夕方","夜")))),IF(OR($D716="朝",$D716="昼",$D716="夕方",$D716="夜"),$D716,"⚠ 不明"))))</f>
        <v/>
      </c>
    </row>
    <row r="717" customFormat="false" ht="15" hidden="false" customHeight="false" outlineLevel="0" collapsed="false">
      <c r="A717" s="75"/>
      <c r="B717" s="76"/>
      <c r="C717" s="77"/>
      <c r="D717" s="78"/>
      <c r="E717" s="77"/>
      <c r="F717" s="76"/>
      <c r="G717" s="76"/>
      <c r="I717" s="79" t="str">
        <f aca="false">IF($B717="","",IF(ISNUMBER(MATCH($B717,日別データ!$B$13:$B$32,0)),"✔ OK","⚠ 未登録"))</f>
        <v/>
      </c>
      <c r="J717" s="80" t="str">
        <f aca="false">IF($B717="","",IF($D717="","－",IF(ISNUMBER($D717),IF(AND($D717&gt;=1,MOD($D717,1)=0),"－",IF(MOD($D717,1)&lt;$L$6,"朝",IF(MOD($D717,1)&lt;$L$7,"昼",IF(MOD($D717,1)&lt;$L$8,"夕方","夜")))),IF(OR($D717="朝",$D717="昼",$D717="夕方",$D717="夜"),$D717,"⚠ 不明"))))</f>
        <v/>
      </c>
    </row>
    <row r="718" customFormat="false" ht="15" hidden="false" customHeight="false" outlineLevel="0" collapsed="false">
      <c r="A718" s="75"/>
      <c r="B718" s="76"/>
      <c r="C718" s="77"/>
      <c r="D718" s="78"/>
      <c r="E718" s="77"/>
      <c r="F718" s="76"/>
      <c r="G718" s="76"/>
      <c r="I718" s="79" t="str">
        <f aca="false">IF($B718="","",IF(ISNUMBER(MATCH($B718,日別データ!$B$13:$B$32,0)),"✔ OK","⚠ 未登録"))</f>
        <v/>
      </c>
      <c r="J718" s="80" t="str">
        <f aca="false">IF($B718="","",IF($D718="","－",IF(ISNUMBER($D718),IF(AND($D718&gt;=1,MOD($D718,1)=0),"－",IF(MOD($D718,1)&lt;$L$6,"朝",IF(MOD($D718,1)&lt;$L$7,"昼",IF(MOD($D718,1)&lt;$L$8,"夕方","夜")))),IF(OR($D718="朝",$D718="昼",$D718="夕方",$D718="夜"),$D718,"⚠ 不明"))))</f>
        <v/>
      </c>
    </row>
    <row r="719" customFormat="false" ht="15" hidden="false" customHeight="false" outlineLevel="0" collapsed="false">
      <c r="A719" s="75"/>
      <c r="B719" s="76"/>
      <c r="C719" s="77"/>
      <c r="D719" s="78"/>
      <c r="E719" s="77"/>
      <c r="F719" s="76"/>
      <c r="G719" s="76"/>
      <c r="I719" s="79" t="str">
        <f aca="false">IF($B719="","",IF(ISNUMBER(MATCH($B719,日別データ!$B$13:$B$32,0)),"✔ OK","⚠ 未登録"))</f>
        <v/>
      </c>
      <c r="J719" s="80" t="str">
        <f aca="false">IF($B719="","",IF($D719="","－",IF(ISNUMBER($D719),IF(AND($D719&gt;=1,MOD($D719,1)=0),"－",IF(MOD($D719,1)&lt;$L$6,"朝",IF(MOD($D719,1)&lt;$L$7,"昼",IF(MOD($D719,1)&lt;$L$8,"夕方","夜")))),IF(OR($D719="朝",$D719="昼",$D719="夕方",$D719="夜"),$D719,"⚠ 不明"))))</f>
        <v/>
      </c>
    </row>
    <row r="720" customFormat="false" ht="15" hidden="false" customHeight="false" outlineLevel="0" collapsed="false">
      <c r="A720" s="75"/>
      <c r="B720" s="76"/>
      <c r="C720" s="77"/>
      <c r="D720" s="78"/>
      <c r="E720" s="77"/>
      <c r="F720" s="76"/>
      <c r="G720" s="76"/>
      <c r="I720" s="79" t="str">
        <f aca="false">IF($B720="","",IF(ISNUMBER(MATCH($B720,日別データ!$B$13:$B$32,0)),"✔ OK","⚠ 未登録"))</f>
        <v/>
      </c>
      <c r="J720" s="80" t="str">
        <f aca="false">IF($B720="","",IF($D720="","－",IF(ISNUMBER($D720),IF(AND($D720&gt;=1,MOD($D720,1)=0),"－",IF(MOD($D720,1)&lt;$L$6,"朝",IF(MOD($D720,1)&lt;$L$7,"昼",IF(MOD($D720,1)&lt;$L$8,"夕方","夜")))),IF(OR($D720="朝",$D720="昼",$D720="夕方",$D720="夜"),$D720,"⚠ 不明"))))</f>
        <v/>
      </c>
    </row>
    <row r="721" customFormat="false" ht="15" hidden="false" customHeight="false" outlineLevel="0" collapsed="false">
      <c r="A721" s="75"/>
      <c r="B721" s="76"/>
      <c r="C721" s="77"/>
      <c r="D721" s="78"/>
      <c r="E721" s="77"/>
      <c r="F721" s="76"/>
      <c r="G721" s="76"/>
      <c r="I721" s="79" t="str">
        <f aca="false">IF($B721="","",IF(ISNUMBER(MATCH($B721,日別データ!$B$13:$B$32,0)),"✔ OK","⚠ 未登録"))</f>
        <v/>
      </c>
      <c r="J721" s="80" t="str">
        <f aca="false">IF($B721="","",IF($D721="","－",IF(ISNUMBER($D721),IF(AND($D721&gt;=1,MOD($D721,1)=0),"－",IF(MOD($D721,1)&lt;$L$6,"朝",IF(MOD($D721,1)&lt;$L$7,"昼",IF(MOD($D721,1)&lt;$L$8,"夕方","夜")))),IF(OR($D721="朝",$D721="昼",$D721="夕方",$D721="夜"),$D721,"⚠ 不明"))))</f>
        <v/>
      </c>
    </row>
    <row r="722" customFormat="false" ht="15" hidden="false" customHeight="false" outlineLevel="0" collapsed="false">
      <c r="A722" s="75"/>
      <c r="B722" s="76"/>
      <c r="C722" s="77"/>
      <c r="D722" s="78"/>
      <c r="E722" s="77"/>
      <c r="F722" s="76"/>
      <c r="G722" s="76"/>
      <c r="I722" s="79" t="str">
        <f aca="false">IF($B722="","",IF(ISNUMBER(MATCH($B722,日別データ!$B$13:$B$32,0)),"✔ OK","⚠ 未登録"))</f>
        <v/>
      </c>
      <c r="J722" s="80" t="str">
        <f aca="false">IF($B722="","",IF($D722="","－",IF(ISNUMBER($D722),IF(AND($D722&gt;=1,MOD($D722,1)=0),"－",IF(MOD($D722,1)&lt;$L$6,"朝",IF(MOD($D722,1)&lt;$L$7,"昼",IF(MOD($D722,1)&lt;$L$8,"夕方","夜")))),IF(OR($D722="朝",$D722="昼",$D722="夕方",$D722="夜"),$D722,"⚠ 不明"))))</f>
        <v/>
      </c>
    </row>
    <row r="723" customFormat="false" ht="15" hidden="false" customHeight="false" outlineLevel="0" collapsed="false">
      <c r="A723" s="75"/>
      <c r="B723" s="76"/>
      <c r="C723" s="77"/>
      <c r="D723" s="78"/>
      <c r="E723" s="77"/>
      <c r="F723" s="76"/>
      <c r="G723" s="76"/>
      <c r="I723" s="79" t="str">
        <f aca="false">IF($B723="","",IF(ISNUMBER(MATCH($B723,日別データ!$B$13:$B$32,0)),"✔ OK","⚠ 未登録"))</f>
        <v/>
      </c>
      <c r="J723" s="80" t="str">
        <f aca="false">IF($B723="","",IF($D723="","－",IF(ISNUMBER($D723),IF(AND($D723&gt;=1,MOD($D723,1)=0),"－",IF(MOD($D723,1)&lt;$L$6,"朝",IF(MOD($D723,1)&lt;$L$7,"昼",IF(MOD($D723,1)&lt;$L$8,"夕方","夜")))),IF(OR($D723="朝",$D723="昼",$D723="夕方",$D723="夜"),$D723,"⚠ 不明"))))</f>
        <v/>
      </c>
    </row>
    <row r="724" customFormat="false" ht="15" hidden="false" customHeight="false" outlineLevel="0" collapsed="false">
      <c r="A724" s="75"/>
      <c r="B724" s="76"/>
      <c r="C724" s="77"/>
      <c r="D724" s="78"/>
      <c r="E724" s="77"/>
      <c r="F724" s="76"/>
      <c r="G724" s="76"/>
      <c r="I724" s="79" t="str">
        <f aca="false">IF($B724="","",IF(ISNUMBER(MATCH($B724,日別データ!$B$13:$B$32,0)),"✔ OK","⚠ 未登録"))</f>
        <v/>
      </c>
      <c r="J724" s="80" t="str">
        <f aca="false">IF($B724="","",IF($D724="","－",IF(ISNUMBER($D724),IF(AND($D724&gt;=1,MOD($D724,1)=0),"－",IF(MOD($D724,1)&lt;$L$6,"朝",IF(MOD($D724,1)&lt;$L$7,"昼",IF(MOD($D724,1)&lt;$L$8,"夕方","夜")))),IF(OR($D724="朝",$D724="昼",$D724="夕方",$D724="夜"),$D724,"⚠ 不明"))))</f>
        <v/>
      </c>
    </row>
    <row r="725" customFormat="false" ht="15" hidden="false" customHeight="false" outlineLevel="0" collapsed="false">
      <c r="A725" s="75"/>
      <c r="B725" s="76"/>
      <c r="C725" s="77"/>
      <c r="D725" s="78"/>
      <c r="E725" s="77"/>
      <c r="F725" s="76"/>
      <c r="G725" s="76"/>
      <c r="I725" s="79" t="str">
        <f aca="false">IF($B725="","",IF(ISNUMBER(MATCH($B725,日別データ!$B$13:$B$32,0)),"✔ OK","⚠ 未登録"))</f>
        <v/>
      </c>
      <c r="J725" s="80" t="str">
        <f aca="false">IF($B725="","",IF($D725="","－",IF(ISNUMBER($D725),IF(AND($D725&gt;=1,MOD($D725,1)=0),"－",IF(MOD($D725,1)&lt;$L$6,"朝",IF(MOD($D725,1)&lt;$L$7,"昼",IF(MOD($D725,1)&lt;$L$8,"夕方","夜")))),IF(OR($D725="朝",$D725="昼",$D725="夕方",$D725="夜"),$D725,"⚠ 不明"))))</f>
        <v/>
      </c>
    </row>
    <row r="726" customFormat="false" ht="15" hidden="false" customHeight="false" outlineLevel="0" collapsed="false">
      <c r="A726" s="75"/>
      <c r="B726" s="76"/>
      <c r="C726" s="77"/>
      <c r="D726" s="78"/>
      <c r="E726" s="77"/>
      <c r="F726" s="76"/>
      <c r="G726" s="76"/>
      <c r="I726" s="79" t="str">
        <f aca="false">IF($B726="","",IF(ISNUMBER(MATCH($B726,日別データ!$B$13:$B$32,0)),"✔ OK","⚠ 未登録"))</f>
        <v/>
      </c>
      <c r="J726" s="80" t="str">
        <f aca="false">IF($B726="","",IF($D726="","－",IF(ISNUMBER($D726),IF(AND($D726&gt;=1,MOD($D726,1)=0),"－",IF(MOD($D726,1)&lt;$L$6,"朝",IF(MOD($D726,1)&lt;$L$7,"昼",IF(MOD($D726,1)&lt;$L$8,"夕方","夜")))),IF(OR($D726="朝",$D726="昼",$D726="夕方",$D726="夜"),$D726,"⚠ 不明"))))</f>
        <v/>
      </c>
    </row>
    <row r="727" customFormat="false" ht="15" hidden="false" customHeight="false" outlineLevel="0" collapsed="false">
      <c r="A727" s="75"/>
      <c r="B727" s="76"/>
      <c r="C727" s="77"/>
      <c r="D727" s="78"/>
      <c r="E727" s="77"/>
      <c r="F727" s="76"/>
      <c r="G727" s="76"/>
      <c r="I727" s="79" t="str">
        <f aca="false">IF($B727="","",IF(ISNUMBER(MATCH($B727,日別データ!$B$13:$B$32,0)),"✔ OK","⚠ 未登録"))</f>
        <v/>
      </c>
      <c r="J727" s="80" t="str">
        <f aca="false">IF($B727="","",IF($D727="","－",IF(ISNUMBER($D727),IF(AND($D727&gt;=1,MOD($D727,1)=0),"－",IF(MOD($D727,1)&lt;$L$6,"朝",IF(MOD($D727,1)&lt;$L$7,"昼",IF(MOD($D727,1)&lt;$L$8,"夕方","夜")))),IF(OR($D727="朝",$D727="昼",$D727="夕方",$D727="夜"),$D727,"⚠ 不明"))))</f>
        <v/>
      </c>
    </row>
    <row r="728" customFormat="false" ht="15" hidden="false" customHeight="false" outlineLevel="0" collapsed="false">
      <c r="A728" s="75"/>
      <c r="B728" s="76"/>
      <c r="C728" s="77"/>
      <c r="D728" s="78"/>
      <c r="E728" s="77"/>
      <c r="F728" s="76"/>
      <c r="G728" s="76"/>
      <c r="I728" s="79" t="str">
        <f aca="false">IF($B728="","",IF(ISNUMBER(MATCH($B728,日別データ!$B$13:$B$32,0)),"✔ OK","⚠ 未登録"))</f>
        <v/>
      </c>
      <c r="J728" s="80" t="str">
        <f aca="false">IF($B728="","",IF($D728="","－",IF(ISNUMBER($D728),IF(AND($D728&gt;=1,MOD($D728,1)=0),"－",IF(MOD($D728,1)&lt;$L$6,"朝",IF(MOD($D728,1)&lt;$L$7,"昼",IF(MOD($D728,1)&lt;$L$8,"夕方","夜")))),IF(OR($D728="朝",$D728="昼",$D728="夕方",$D728="夜"),$D728,"⚠ 不明"))))</f>
        <v/>
      </c>
    </row>
    <row r="729" customFormat="false" ht="15" hidden="false" customHeight="false" outlineLevel="0" collapsed="false">
      <c r="A729" s="75"/>
      <c r="B729" s="76"/>
      <c r="C729" s="77"/>
      <c r="D729" s="78"/>
      <c r="E729" s="77"/>
      <c r="F729" s="76"/>
      <c r="G729" s="76"/>
      <c r="I729" s="79" t="str">
        <f aca="false">IF($B729="","",IF(ISNUMBER(MATCH($B729,日別データ!$B$13:$B$32,0)),"✔ OK","⚠ 未登録"))</f>
        <v/>
      </c>
      <c r="J729" s="80" t="str">
        <f aca="false">IF($B729="","",IF($D729="","－",IF(ISNUMBER($D729),IF(AND($D729&gt;=1,MOD($D729,1)=0),"－",IF(MOD($D729,1)&lt;$L$6,"朝",IF(MOD($D729,1)&lt;$L$7,"昼",IF(MOD($D729,1)&lt;$L$8,"夕方","夜")))),IF(OR($D729="朝",$D729="昼",$D729="夕方",$D729="夜"),$D729,"⚠ 不明"))))</f>
        <v/>
      </c>
    </row>
    <row r="730" customFormat="false" ht="15" hidden="false" customHeight="false" outlineLevel="0" collapsed="false">
      <c r="A730" s="75"/>
      <c r="B730" s="76"/>
      <c r="C730" s="77"/>
      <c r="D730" s="78"/>
      <c r="E730" s="77"/>
      <c r="F730" s="76"/>
      <c r="G730" s="76"/>
      <c r="I730" s="79" t="str">
        <f aca="false">IF($B730="","",IF(ISNUMBER(MATCH($B730,日別データ!$B$13:$B$32,0)),"✔ OK","⚠ 未登録"))</f>
        <v/>
      </c>
      <c r="J730" s="80" t="str">
        <f aca="false">IF($B730="","",IF($D730="","－",IF(ISNUMBER($D730),IF(AND($D730&gt;=1,MOD($D730,1)=0),"－",IF(MOD($D730,1)&lt;$L$6,"朝",IF(MOD($D730,1)&lt;$L$7,"昼",IF(MOD($D730,1)&lt;$L$8,"夕方","夜")))),IF(OR($D730="朝",$D730="昼",$D730="夕方",$D730="夜"),$D730,"⚠ 不明"))))</f>
        <v/>
      </c>
    </row>
    <row r="731" customFormat="false" ht="15" hidden="false" customHeight="false" outlineLevel="0" collapsed="false">
      <c r="A731" s="75"/>
      <c r="B731" s="76"/>
      <c r="C731" s="77"/>
      <c r="D731" s="78"/>
      <c r="E731" s="77"/>
      <c r="F731" s="76"/>
      <c r="G731" s="76"/>
      <c r="I731" s="79" t="str">
        <f aca="false">IF($B731="","",IF(ISNUMBER(MATCH($B731,日別データ!$B$13:$B$32,0)),"✔ OK","⚠ 未登録"))</f>
        <v/>
      </c>
      <c r="J731" s="80" t="str">
        <f aca="false">IF($B731="","",IF($D731="","－",IF(ISNUMBER($D731),IF(AND($D731&gt;=1,MOD($D731,1)=0),"－",IF(MOD($D731,1)&lt;$L$6,"朝",IF(MOD($D731,1)&lt;$L$7,"昼",IF(MOD($D731,1)&lt;$L$8,"夕方","夜")))),IF(OR($D731="朝",$D731="昼",$D731="夕方",$D731="夜"),$D731,"⚠ 不明"))))</f>
        <v/>
      </c>
    </row>
    <row r="732" customFormat="false" ht="15" hidden="false" customHeight="false" outlineLevel="0" collapsed="false">
      <c r="A732" s="75"/>
      <c r="B732" s="76"/>
      <c r="C732" s="77"/>
      <c r="D732" s="78"/>
      <c r="E732" s="77"/>
      <c r="F732" s="76"/>
      <c r="G732" s="76"/>
      <c r="I732" s="79" t="str">
        <f aca="false">IF($B732="","",IF(ISNUMBER(MATCH($B732,日別データ!$B$13:$B$32,0)),"✔ OK","⚠ 未登録"))</f>
        <v/>
      </c>
      <c r="J732" s="80" t="str">
        <f aca="false">IF($B732="","",IF($D732="","－",IF(ISNUMBER($D732),IF(AND($D732&gt;=1,MOD($D732,1)=0),"－",IF(MOD($D732,1)&lt;$L$6,"朝",IF(MOD($D732,1)&lt;$L$7,"昼",IF(MOD($D732,1)&lt;$L$8,"夕方","夜")))),IF(OR($D732="朝",$D732="昼",$D732="夕方",$D732="夜"),$D732,"⚠ 不明"))))</f>
        <v/>
      </c>
    </row>
    <row r="733" customFormat="false" ht="15" hidden="false" customHeight="false" outlineLevel="0" collapsed="false">
      <c r="A733" s="75"/>
      <c r="B733" s="76"/>
      <c r="C733" s="77"/>
      <c r="D733" s="78"/>
      <c r="E733" s="77"/>
      <c r="F733" s="76"/>
      <c r="G733" s="76"/>
      <c r="I733" s="79" t="str">
        <f aca="false">IF($B733="","",IF(ISNUMBER(MATCH($B733,日別データ!$B$13:$B$32,0)),"✔ OK","⚠ 未登録"))</f>
        <v/>
      </c>
      <c r="J733" s="80" t="str">
        <f aca="false">IF($B733="","",IF($D733="","－",IF(ISNUMBER($D733),IF(AND($D733&gt;=1,MOD($D733,1)=0),"－",IF(MOD($D733,1)&lt;$L$6,"朝",IF(MOD($D733,1)&lt;$L$7,"昼",IF(MOD($D733,1)&lt;$L$8,"夕方","夜")))),IF(OR($D733="朝",$D733="昼",$D733="夕方",$D733="夜"),$D733,"⚠ 不明"))))</f>
        <v/>
      </c>
    </row>
    <row r="734" customFormat="false" ht="15" hidden="false" customHeight="false" outlineLevel="0" collapsed="false">
      <c r="A734" s="75"/>
      <c r="B734" s="76"/>
      <c r="C734" s="77"/>
      <c r="D734" s="78"/>
      <c r="E734" s="77"/>
      <c r="F734" s="76"/>
      <c r="G734" s="76"/>
      <c r="I734" s="79" t="str">
        <f aca="false">IF($B734="","",IF(ISNUMBER(MATCH($B734,日別データ!$B$13:$B$32,0)),"✔ OK","⚠ 未登録"))</f>
        <v/>
      </c>
      <c r="J734" s="80" t="str">
        <f aca="false">IF($B734="","",IF($D734="","－",IF(ISNUMBER($D734),IF(AND($D734&gt;=1,MOD($D734,1)=0),"－",IF(MOD($D734,1)&lt;$L$6,"朝",IF(MOD($D734,1)&lt;$L$7,"昼",IF(MOD($D734,1)&lt;$L$8,"夕方","夜")))),IF(OR($D734="朝",$D734="昼",$D734="夕方",$D734="夜"),$D734,"⚠ 不明"))))</f>
        <v/>
      </c>
    </row>
    <row r="735" customFormat="false" ht="15" hidden="false" customHeight="false" outlineLevel="0" collapsed="false">
      <c r="A735" s="75"/>
      <c r="B735" s="76"/>
      <c r="C735" s="77"/>
      <c r="D735" s="78"/>
      <c r="E735" s="77"/>
      <c r="F735" s="76"/>
      <c r="G735" s="76"/>
      <c r="I735" s="79" t="str">
        <f aca="false">IF($B735="","",IF(ISNUMBER(MATCH($B735,日別データ!$B$13:$B$32,0)),"✔ OK","⚠ 未登録"))</f>
        <v/>
      </c>
      <c r="J735" s="80" t="str">
        <f aca="false">IF($B735="","",IF($D735="","－",IF(ISNUMBER($D735),IF(AND($D735&gt;=1,MOD($D735,1)=0),"－",IF(MOD($D735,1)&lt;$L$6,"朝",IF(MOD($D735,1)&lt;$L$7,"昼",IF(MOD($D735,1)&lt;$L$8,"夕方","夜")))),IF(OR($D735="朝",$D735="昼",$D735="夕方",$D735="夜"),$D735,"⚠ 不明"))))</f>
        <v/>
      </c>
    </row>
    <row r="736" customFormat="false" ht="15" hidden="false" customHeight="false" outlineLevel="0" collapsed="false">
      <c r="A736" s="75"/>
      <c r="B736" s="76"/>
      <c r="C736" s="77"/>
      <c r="D736" s="78"/>
      <c r="E736" s="77"/>
      <c r="F736" s="76"/>
      <c r="G736" s="76"/>
      <c r="I736" s="79" t="str">
        <f aca="false">IF($B736="","",IF(ISNUMBER(MATCH($B736,日別データ!$B$13:$B$32,0)),"✔ OK","⚠ 未登録"))</f>
        <v/>
      </c>
      <c r="J736" s="80" t="str">
        <f aca="false">IF($B736="","",IF($D736="","－",IF(ISNUMBER($D736),IF(AND($D736&gt;=1,MOD($D736,1)=0),"－",IF(MOD($D736,1)&lt;$L$6,"朝",IF(MOD($D736,1)&lt;$L$7,"昼",IF(MOD($D736,1)&lt;$L$8,"夕方","夜")))),IF(OR($D736="朝",$D736="昼",$D736="夕方",$D736="夜"),$D736,"⚠ 不明"))))</f>
        <v/>
      </c>
    </row>
    <row r="737" customFormat="false" ht="15" hidden="false" customHeight="false" outlineLevel="0" collapsed="false">
      <c r="A737" s="75"/>
      <c r="B737" s="76"/>
      <c r="C737" s="77"/>
      <c r="D737" s="78"/>
      <c r="E737" s="77"/>
      <c r="F737" s="76"/>
      <c r="G737" s="76"/>
      <c r="I737" s="79" t="str">
        <f aca="false">IF($B737="","",IF(ISNUMBER(MATCH($B737,日別データ!$B$13:$B$32,0)),"✔ OK","⚠ 未登録"))</f>
        <v/>
      </c>
      <c r="J737" s="80" t="str">
        <f aca="false">IF($B737="","",IF($D737="","－",IF(ISNUMBER($D737),IF(AND($D737&gt;=1,MOD($D737,1)=0),"－",IF(MOD($D737,1)&lt;$L$6,"朝",IF(MOD($D737,1)&lt;$L$7,"昼",IF(MOD($D737,1)&lt;$L$8,"夕方","夜")))),IF(OR($D737="朝",$D737="昼",$D737="夕方",$D737="夜"),$D737,"⚠ 不明"))))</f>
        <v/>
      </c>
    </row>
    <row r="738" customFormat="false" ht="15" hidden="false" customHeight="false" outlineLevel="0" collapsed="false">
      <c r="A738" s="75"/>
      <c r="B738" s="76"/>
      <c r="C738" s="77"/>
      <c r="D738" s="78"/>
      <c r="E738" s="77"/>
      <c r="F738" s="76"/>
      <c r="G738" s="76"/>
      <c r="I738" s="79" t="str">
        <f aca="false">IF($B738="","",IF(ISNUMBER(MATCH($B738,日別データ!$B$13:$B$32,0)),"✔ OK","⚠ 未登録"))</f>
        <v/>
      </c>
      <c r="J738" s="80" t="str">
        <f aca="false">IF($B738="","",IF($D738="","－",IF(ISNUMBER($D738),IF(AND($D738&gt;=1,MOD($D738,1)=0),"－",IF(MOD($D738,1)&lt;$L$6,"朝",IF(MOD($D738,1)&lt;$L$7,"昼",IF(MOD($D738,1)&lt;$L$8,"夕方","夜")))),IF(OR($D738="朝",$D738="昼",$D738="夕方",$D738="夜"),$D738,"⚠ 不明"))))</f>
        <v/>
      </c>
    </row>
    <row r="739" customFormat="false" ht="15" hidden="false" customHeight="false" outlineLevel="0" collapsed="false">
      <c r="A739" s="75"/>
      <c r="B739" s="76"/>
      <c r="C739" s="77"/>
      <c r="D739" s="78"/>
      <c r="E739" s="77"/>
      <c r="F739" s="76"/>
      <c r="G739" s="76"/>
      <c r="I739" s="79" t="str">
        <f aca="false">IF($B739="","",IF(ISNUMBER(MATCH($B739,日別データ!$B$13:$B$32,0)),"✔ OK","⚠ 未登録"))</f>
        <v/>
      </c>
      <c r="J739" s="80" t="str">
        <f aca="false">IF($B739="","",IF($D739="","－",IF(ISNUMBER($D739),IF(AND($D739&gt;=1,MOD($D739,1)=0),"－",IF(MOD($D739,1)&lt;$L$6,"朝",IF(MOD($D739,1)&lt;$L$7,"昼",IF(MOD($D739,1)&lt;$L$8,"夕方","夜")))),IF(OR($D739="朝",$D739="昼",$D739="夕方",$D739="夜"),$D739,"⚠ 不明"))))</f>
        <v/>
      </c>
    </row>
    <row r="740" customFormat="false" ht="15" hidden="false" customHeight="false" outlineLevel="0" collapsed="false">
      <c r="A740" s="75"/>
      <c r="B740" s="76"/>
      <c r="C740" s="77"/>
      <c r="D740" s="78"/>
      <c r="E740" s="77"/>
      <c r="F740" s="76"/>
      <c r="G740" s="76"/>
      <c r="I740" s="79" t="str">
        <f aca="false">IF($B740="","",IF(ISNUMBER(MATCH($B740,日別データ!$B$13:$B$32,0)),"✔ OK","⚠ 未登録"))</f>
        <v/>
      </c>
      <c r="J740" s="80" t="str">
        <f aca="false">IF($B740="","",IF($D740="","－",IF(ISNUMBER($D740),IF(AND($D740&gt;=1,MOD($D740,1)=0),"－",IF(MOD($D740,1)&lt;$L$6,"朝",IF(MOD($D740,1)&lt;$L$7,"昼",IF(MOD($D740,1)&lt;$L$8,"夕方","夜")))),IF(OR($D740="朝",$D740="昼",$D740="夕方",$D740="夜"),$D740,"⚠ 不明"))))</f>
        <v/>
      </c>
    </row>
    <row r="741" customFormat="false" ht="15" hidden="false" customHeight="false" outlineLevel="0" collapsed="false">
      <c r="A741" s="75"/>
      <c r="B741" s="76"/>
      <c r="C741" s="77"/>
      <c r="D741" s="78"/>
      <c r="E741" s="77"/>
      <c r="F741" s="76"/>
      <c r="G741" s="76"/>
      <c r="I741" s="79" t="str">
        <f aca="false">IF($B741="","",IF(ISNUMBER(MATCH($B741,日別データ!$B$13:$B$32,0)),"✔ OK","⚠ 未登録"))</f>
        <v/>
      </c>
      <c r="J741" s="80" t="str">
        <f aca="false">IF($B741="","",IF($D741="","－",IF(ISNUMBER($D741),IF(AND($D741&gt;=1,MOD($D741,1)=0),"－",IF(MOD($D741,1)&lt;$L$6,"朝",IF(MOD($D741,1)&lt;$L$7,"昼",IF(MOD($D741,1)&lt;$L$8,"夕方","夜")))),IF(OR($D741="朝",$D741="昼",$D741="夕方",$D741="夜"),$D741,"⚠ 不明"))))</f>
        <v/>
      </c>
    </row>
    <row r="742" customFormat="false" ht="15" hidden="false" customHeight="false" outlineLevel="0" collapsed="false">
      <c r="A742" s="75"/>
      <c r="B742" s="76"/>
      <c r="C742" s="77"/>
      <c r="D742" s="78"/>
      <c r="E742" s="77"/>
      <c r="F742" s="76"/>
      <c r="G742" s="76"/>
      <c r="I742" s="79" t="str">
        <f aca="false">IF($B742="","",IF(ISNUMBER(MATCH($B742,日別データ!$B$13:$B$32,0)),"✔ OK","⚠ 未登録"))</f>
        <v/>
      </c>
      <c r="J742" s="80" t="str">
        <f aca="false">IF($B742="","",IF($D742="","－",IF(ISNUMBER($D742),IF(AND($D742&gt;=1,MOD($D742,1)=0),"－",IF(MOD($D742,1)&lt;$L$6,"朝",IF(MOD($D742,1)&lt;$L$7,"昼",IF(MOD($D742,1)&lt;$L$8,"夕方","夜")))),IF(OR($D742="朝",$D742="昼",$D742="夕方",$D742="夜"),$D742,"⚠ 不明"))))</f>
        <v/>
      </c>
    </row>
    <row r="743" customFormat="false" ht="15" hidden="false" customHeight="false" outlineLevel="0" collapsed="false">
      <c r="A743" s="75"/>
      <c r="B743" s="76"/>
      <c r="C743" s="77"/>
      <c r="D743" s="78"/>
      <c r="E743" s="77"/>
      <c r="F743" s="76"/>
      <c r="G743" s="76"/>
      <c r="I743" s="79" t="str">
        <f aca="false">IF($B743="","",IF(ISNUMBER(MATCH($B743,日別データ!$B$13:$B$32,0)),"✔ OK","⚠ 未登録"))</f>
        <v/>
      </c>
      <c r="J743" s="80" t="str">
        <f aca="false">IF($B743="","",IF($D743="","－",IF(ISNUMBER($D743),IF(AND($D743&gt;=1,MOD($D743,1)=0),"－",IF(MOD($D743,1)&lt;$L$6,"朝",IF(MOD($D743,1)&lt;$L$7,"昼",IF(MOD($D743,1)&lt;$L$8,"夕方","夜")))),IF(OR($D743="朝",$D743="昼",$D743="夕方",$D743="夜"),$D743,"⚠ 不明"))))</f>
        <v/>
      </c>
    </row>
    <row r="744" customFormat="false" ht="15" hidden="false" customHeight="false" outlineLevel="0" collapsed="false">
      <c r="A744" s="75"/>
      <c r="B744" s="76"/>
      <c r="C744" s="77"/>
      <c r="D744" s="78"/>
      <c r="E744" s="77"/>
      <c r="F744" s="76"/>
      <c r="G744" s="76"/>
      <c r="I744" s="79" t="str">
        <f aca="false">IF($B744="","",IF(ISNUMBER(MATCH($B744,日別データ!$B$13:$B$32,0)),"✔ OK","⚠ 未登録"))</f>
        <v/>
      </c>
      <c r="J744" s="80" t="str">
        <f aca="false">IF($B744="","",IF($D744="","－",IF(ISNUMBER($D744),IF(AND($D744&gt;=1,MOD($D744,1)=0),"－",IF(MOD($D744,1)&lt;$L$6,"朝",IF(MOD($D744,1)&lt;$L$7,"昼",IF(MOD($D744,1)&lt;$L$8,"夕方","夜")))),IF(OR($D744="朝",$D744="昼",$D744="夕方",$D744="夜"),$D744,"⚠ 不明"))))</f>
        <v/>
      </c>
    </row>
    <row r="745" customFormat="false" ht="15" hidden="false" customHeight="false" outlineLevel="0" collapsed="false">
      <c r="A745" s="75"/>
      <c r="B745" s="76"/>
      <c r="C745" s="77"/>
      <c r="D745" s="78"/>
      <c r="E745" s="77"/>
      <c r="F745" s="76"/>
      <c r="G745" s="76"/>
      <c r="I745" s="79" t="str">
        <f aca="false">IF($B745="","",IF(ISNUMBER(MATCH($B745,日別データ!$B$13:$B$32,0)),"✔ OK","⚠ 未登録"))</f>
        <v/>
      </c>
      <c r="J745" s="80" t="str">
        <f aca="false">IF($B745="","",IF($D745="","－",IF(ISNUMBER($D745),IF(AND($D745&gt;=1,MOD($D745,1)=0),"－",IF(MOD($D745,1)&lt;$L$6,"朝",IF(MOD($D745,1)&lt;$L$7,"昼",IF(MOD($D745,1)&lt;$L$8,"夕方","夜")))),IF(OR($D745="朝",$D745="昼",$D745="夕方",$D745="夜"),$D745,"⚠ 不明"))))</f>
        <v/>
      </c>
    </row>
    <row r="746" customFormat="false" ht="15" hidden="false" customHeight="false" outlineLevel="0" collapsed="false">
      <c r="A746" s="75"/>
      <c r="B746" s="76"/>
      <c r="C746" s="77"/>
      <c r="D746" s="78"/>
      <c r="E746" s="77"/>
      <c r="F746" s="76"/>
      <c r="G746" s="76"/>
      <c r="I746" s="79" t="str">
        <f aca="false">IF($B746="","",IF(ISNUMBER(MATCH($B746,日別データ!$B$13:$B$32,0)),"✔ OK","⚠ 未登録"))</f>
        <v/>
      </c>
      <c r="J746" s="80" t="str">
        <f aca="false">IF($B746="","",IF($D746="","－",IF(ISNUMBER($D746),IF(AND($D746&gt;=1,MOD($D746,1)=0),"－",IF(MOD($D746,1)&lt;$L$6,"朝",IF(MOD($D746,1)&lt;$L$7,"昼",IF(MOD($D746,1)&lt;$L$8,"夕方","夜")))),IF(OR($D746="朝",$D746="昼",$D746="夕方",$D746="夜"),$D746,"⚠ 不明"))))</f>
        <v/>
      </c>
    </row>
    <row r="747" customFormat="false" ht="15" hidden="false" customHeight="false" outlineLevel="0" collapsed="false">
      <c r="A747" s="75"/>
      <c r="B747" s="76"/>
      <c r="C747" s="77"/>
      <c r="D747" s="78"/>
      <c r="E747" s="77"/>
      <c r="F747" s="76"/>
      <c r="G747" s="76"/>
      <c r="I747" s="79" t="str">
        <f aca="false">IF($B747="","",IF(ISNUMBER(MATCH($B747,日別データ!$B$13:$B$32,0)),"✔ OK","⚠ 未登録"))</f>
        <v/>
      </c>
      <c r="J747" s="80" t="str">
        <f aca="false">IF($B747="","",IF($D747="","－",IF(ISNUMBER($D747),IF(AND($D747&gt;=1,MOD($D747,1)=0),"－",IF(MOD($D747,1)&lt;$L$6,"朝",IF(MOD($D747,1)&lt;$L$7,"昼",IF(MOD($D747,1)&lt;$L$8,"夕方","夜")))),IF(OR($D747="朝",$D747="昼",$D747="夕方",$D747="夜"),$D747,"⚠ 不明"))))</f>
        <v/>
      </c>
    </row>
    <row r="748" customFormat="false" ht="15" hidden="false" customHeight="false" outlineLevel="0" collapsed="false">
      <c r="A748" s="75"/>
      <c r="B748" s="76"/>
      <c r="C748" s="77"/>
      <c r="D748" s="78"/>
      <c r="E748" s="77"/>
      <c r="F748" s="76"/>
      <c r="G748" s="76"/>
      <c r="I748" s="79" t="str">
        <f aca="false">IF($B748="","",IF(ISNUMBER(MATCH($B748,日別データ!$B$13:$B$32,0)),"✔ OK","⚠ 未登録"))</f>
        <v/>
      </c>
      <c r="J748" s="80" t="str">
        <f aca="false">IF($B748="","",IF($D748="","－",IF(ISNUMBER($D748),IF(AND($D748&gt;=1,MOD($D748,1)=0),"－",IF(MOD($D748,1)&lt;$L$6,"朝",IF(MOD($D748,1)&lt;$L$7,"昼",IF(MOD($D748,1)&lt;$L$8,"夕方","夜")))),IF(OR($D748="朝",$D748="昼",$D748="夕方",$D748="夜"),$D748,"⚠ 不明"))))</f>
        <v/>
      </c>
    </row>
    <row r="749" customFormat="false" ht="15" hidden="false" customHeight="false" outlineLevel="0" collapsed="false">
      <c r="A749" s="75"/>
      <c r="B749" s="76"/>
      <c r="C749" s="77"/>
      <c r="D749" s="78"/>
      <c r="E749" s="77"/>
      <c r="F749" s="76"/>
      <c r="G749" s="76"/>
      <c r="I749" s="79" t="str">
        <f aca="false">IF($B749="","",IF(ISNUMBER(MATCH($B749,日別データ!$B$13:$B$32,0)),"✔ OK","⚠ 未登録"))</f>
        <v/>
      </c>
      <c r="J749" s="80" t="str">
        <f aca="false">IF($B749="","",IF($D749="","－",IF(ISNUMBER($D749),IF(AND($D749&gt;=1,MOD($D749,1)=0),"－",IF(MOD($D749,1)&lt;$L$6,"朝",IF(MOD($D749,1)&lt;$L$7,"昼",IF(MOD($D749,1)&lt;$L$8,"夕方","夜")))),IF(OR($D749="朝",$D749="昼",$D749="夕方",$D749="夜"),$D749,"⚠ 不明"))))</f>
        <v/>
      </c>
    </row>
    <row r="750" customFormat="false" ht="15" hidden="false" customHeight="false" outlineLevel="0" collapsed="false">
      <c r="A750" s="75"/>
      <c r="B750" s="76"/>
      <c r="C750" s="77"/>
      <c r="D750" s="78"/>
      <c r="E750" s="77"/>
      <c r="F750" s="76"/>
      <c r="G750" s="76"/>
      <c r="I750" s="79" t="str">
        <f aca="false">IF($B750="","",IF(ISNUMBER(MATCH($B750,日別データ!$B$13:$B$32,0)),"✔ OK","⚠ 未登録"))</f>
        <v/>
      </c>
      <c r="J750" s="80" t="str">
        <f aca="false">IF($B750="","",IF($D750="","－",IF(ISNUMBER($D750),IF(AND($D750&gt;=1,MOD($D750,1)=0),"－",IF(MOD($D750,1)&lt;$L$6,"朝",IF(MOD($D750,1)&lt;$L$7,"昼",IF(MOD($D750,1)&lt;$L$8,"夕方","夜")))),IF(OR($D750="朝",$D750="昼",$D750="夕方",$D750="夜"),$D750,"⚠ 不明"))))</f>
        <v/>
      </c>
    </row>
    <row r="751" customFormat="false" ht="15" hidden="false" customHeight="false" outlineLevel="0" collapsed="false">
      <c r="A751" s="75"/>
      <c r="B751" s="76"/>
      <c r="C751" s="77"/>
      <c r="D751" s="78"/>
      <c r="E751" s="77"/>
      <c r="F751" s="76"/>
      <c r="G751" s="76"/>
      <c r="I751" s="79" t="str">
        <f aca="false">IF($B751="","",IF(ISNUMBER(MATCH($B751,日別データ!$B$13:$B$32,0)),"✔ OK","⚠ 未登録"))</f>
        <v/>
      </c>
      <c r="J751" s="80" t="str">
        <f aca="false">IF($B751="","",IF($D751="","－",IF(ISNUMBER($D751),IF(AND($D751&gt;=1,MOD($D751,1)=0),"－",IF(MOD($D751,1)&lt;$L$6,"朝",IF(MOD($D751,1)&lt;$L$7,"昼",IF(MOD($D751,1)&lt;$L$8,"夕方","夜")))),IF(OR($D751="朝",$D751="昼",$D751="夕方",$D751="夜"),$D751,"⚠ 不明"))))</f>
        <v/>
      </c>
    </row>
    <row r="752" customFormat="false" ht="15" hidden="false" customHeight="false" outlineLevel="0" collapsed="false">
      <c r="A752" s="75"/>
      <c r="B752" s="76"/>
      <c r="C752" s="77"/>
      <c r="D752" s="78"/>
      <c r="E752" s="77"/>
      <c r="F752" s="76"/>
      <c r="G752" s="76"/>
      <c r="I752" s="79" t="str">
        <f aca="false">IF($B752="","",IF(ISNUMBER(MATCH($B752,日別データ!$B$13:$B$32,0)),"✔ OK","⚠ 未登録"))</f>
        <v/>
      </c>
      <c r="J752" s="80" t="str">
        <f aca="false">IF($B752="","",IF($D752="","－",IF(ISNUMBER($D752),IF(AND($D752&gt;=1,MOD($D752,1)=0),"－",IF(MOD($D752,1)&lt;$L$6,"朝",IF(MOD($D752,1)&lt;$L$7,"昼",IF(MOD($D752,1)&lt;$L$8,"夕方","夜")))),IF(OR($D752="朝",$D752="昼",$D752="夕方",$D752="夜"),$D752,"⚠ 不明"))))</f>
        <v/>
      </c>
    </row>
    <row r="753" customFormat="false" ht="15" hidden="false" customHeight="false" outlineLevel="0" collapsed="false">
      <c r="A753" s="75"/>
      <c r="B753" s="76"/>
      <c r="C753" s="77"/>
      <c r="D753" s="78"/>
      <c r="E753" s="77"/>
      <c r="F753" s="76"/>
      <c r="G753" s="76"/>
      <c r="I753" s="79" t="str">
        <f aca="false">IF($B753="","",IF(ISNUMBER(MATCH($B753,日別データ!$B$13:$B$32,0)),"✔ OK","⚠ 未登録"))</f>
        <v/>
      </c>
      <c r="J753" s="80" t="str">
        <f aca="false">IF($B753="","",IF($D753="","－",IF(ISNUMBER($D753),IF(AND($D753&gt;=1,MOD($D753,1)=0),"－",IF(MOD($D753,1)&lt;$L$6,"朝",IF(MOD($D753,1)&lt;$L$7,"昼",IF(MOD($D753,1)&lt;$L$8,"夕方","夜")))),IF(OR($D753="朝",$D753="昼",$D753="夕方",$D753="夜"),$D753,"⚠ 不明"))))</f>
        <v/>
      </c>
    </row>
    <row r="754" customFormat="false" ht="15" hidden="false" customHeight="false" outlineLevel="0" collapsed="false">
      <c r="A754" s="75"/>
      <c r="B754" s="76"/>
      <c r="C754" s="77"/>
      <c r="D754" s="78"/>
      <c r="E754" s="77"/>
      <c r="F754" s="76"/>
      <c r="G754" s="76"/>
      <c r="I754" s="79" t="str">
        <f aca="false">IF($B754="","",IF(ISNUMBER(MATCH($B754,日別データ!$B$13:$B$32,0)),"✔ OK","⚠ 未登録"))</f>
        <v/>
      </c>
      <c r="J754" s="80" t="str">
        <f aca="false">IF($B754="","",IF($D754="","－",IF(ISNUMBER($D754),IF(AND($D754&gt;=1,MOD($D754,1)=0),"－",IF(MOD($D754,1)&lt;$L$6,"朝",IF(MOD($D754,1)&lt;$L$7,"昼",IF(MOD($D754,1)&lt;$L$8,"夕方","夜")))),IF(OR($D754="朝",$D754="昼",$D754="夕方",$D754="夜"),$D754,"⚠ 不明"))))</f>
        <v/>
      </c>
    </row>
    <row r="755" customFormat="false" ht="15" hidden="false" customHeight="false" outlineLevel="0" collapsed="false">
      <c r="A755" s="75"/>
      <c r="B755" s="76"/>
      <c r="C755" s="77"/>
      <c r="D755" s="78"/>
      <c r="E755" s="77"/>
      <c r="F755" s="76"/>
      <c r="G755" s="76"/>
      <c r="I755" s="79" t="str">
        <f aca="false">IF($B755="","",IF(ISNUMBER(MATCH($B755,日別データ!$B$13:$B$32,0)),"✔ OK","⚠ 未登録"))</f>
        <v/>
      </c>
      <c r="J755" s="80" t="str">
        <f aca="false">IF($B755="","",IF($D755="","－",IF(ISNUMBER($D755),IF(AND($D755&gt;=1,MOD($D755,1)=0),"－",IF(MOD($D755,1)&lt;$L$6,"朝",IF(MOD($D755,1)&lt;$L$7,"昼",IF(MOD($D755,1)&lt;$L$8,"夕方","夜")))),IF(OR($D755="朝",$D755="昼",$D755="夕方",$D755="夜"),$D755,"⚠ 不明"))))</f>
        <v/>
      </c>
    </row>
    <row r="756" customFormat="false" ht="15" hidden="false" customHeight="false" outlineLevel="0" collapsed="false">
      <c r="A756" s="75"/>
      <c r="B756" s="76"/>
      <c r="C756" s="77"/>
      <c r="D756" s="78"/>
      <c r="E756" s="77"/>
      <c r="F756" s="76"/>
      <c r="G756" s="76"/>
      <c r="I756" s="79" t="str">
        <f aca="false">IF($B756="","",IF(ISNUMBER(MATCH($B756,日別データ!$B$13:$B$32,0)),"✔ OK","⚠ 未登録"))</f>
        <v/>
      </c>
      <c r="J756" s="80" t="str">
        <f aca="false">IF($B756="","",IF($D756="","－",IF(ISNUMBER($D756),IF(AND($D756&gt;=1,MOD($D756,1)=0),"－",IF(MOD($D756,1)&lt;$L$6,"朝",IF(MOD($D756,1)&lt;$L$7,"昼",IF(MOD($D756,1)&lt;$L$8,"夕方","夜")))),IF(OR($D756="朝",$D756="昼",$D756="夕方",$D756="夜"),$D756,"⚠ 不明"))))</f>
        <v/>
      </c>
    </row>
    <row r="757" customFormat="false" ht="15" hidden="false" customHeight="false" outlineLevel="0" collapsed="false">
      <c r="A757" s="75"/>
      <c r="B757" s="76"/>
      <c r="C757" s="77"/>
      <c r="D757" s="78"/>
      <c r="E757" s="77"/>
      <c r="F757" s="76"/>
      <c r="G757" s="76"/>
      <c r="I757" s="79" t="str">
        <f aca="false">IF($B757="","",IF(ISNUMBER(MATCH($B757,日別データ!$B$13:$B$32,0)),"✔ OK","⚠ 未登録"))</f>
        <v/>
      </c>
      <c r="J757" s="80" t="str">
        <f aca="false">IF($B757="","",IF($D757="","－",IF(ISNUMBER($D757),IF(AND($D757&gt;=1,MOD($D757,1)=0),"－",IF(MOD($D757,1)&lt;$L$6,"朝",IF(MOD($D757,1)&lt;$L$7,"昼",IF(MOD($D757,1)&lt;$L$8,"夕方","夜")))),IF(OR($D757="朝",$D757="昼",$D757="夕方",$D757="夜"),$D757,"⚠ 不明"))))</f>
        <v/>
      </c>
    </row>
    <row r="758" customFormat="false" ht="15" hidden="false" customHeight="false" outlineLevel="0" collapsed="false">
      <c r="A758" s="75"/>
      <c r="B758" s="76"/>
      <c r="C758" s="77"/>
      <c r="D758" s="78"/>
      <c r="E758" s="77"/>
      <c r="F758" s="76"/>
      <c r="G758" s="76"/>
      <c r="I758" s="79" t="str">
        <f aca="false">IF($B758="","",IF(ISNUMBER(MATCH($B758,日別データ!$B$13:$B$32,0)),"✔ OK","⚠ 未登録"))</f>
        <v/>
      </c>
      <c r="J758" s="80" t="str">
        <f aca="false">IF($B758="","",IF($D758="","－",IF(ISNUMBER($D758),IF(AND($D758&gt;=1,MOD($D758,1)=0),"－",IF(MOD($D758,1)&lt;$L$6,"朝",IF(MOD($D758,1)&lt;$L$7,"昼",IF(MOD($D758,1)&lt;$L$8,"夕方","夜")))),IF(OR($D758="朝",$D758="昼",$D758="夕方",$D758="夜"),$D758,"⚠ 不明"))))</f>
        <v/>
      </c>
    </row>
    <row r="759" customFormat="false" ht="15" hidden="false" customHeight="false" outlineLevel="0" collapsed="false">
      <c r="A759" s="75"/>
      <c r="B759" s="76"/>
      <c r="C759" s="77"/>
      <c r="D759" s="78"/>
      <c r="E759" s="77"/>
      <c r="F759" s="76"/>
      <c r="G759" s="76"/>
      <c r="I759" s="79" t="str">
        <f aca="false">IF($B759="","",IF(ISNUMBER(MATCH($B759,日別データ!$B$13:$B$32,0)),"✔ OK","⚠ 未登録"))</f>
        <v/>
      </c>
      <c r="J759" s="80" t="str">
        <f aca="false">IF($B759="","",IF($D759="","－",IF(ISNUMBER($D759),IF(AND($D759&gt;=1,MOD($D759,1)=0),"－",IF(MOD($D759,1)&lt;$L$6,"朝",IF(MOD($D759,1)&lt;$L$7,"昼",IF(MOD($D759,1)&lt;$L$8,"夕方","夜")))),IF(OR($D759="朝",$D759="昼",$D759="夕方",$D759="夜"),$D759,"⚠ 不明"))))</f>
        <v/>
      </c>
    </row>
    <row r="760" customFormat="false" ht="15" hidden="false" customHeight="false" outlineLevel="0" collapsed="false">
      <c r="A760" s="75"/>
      <c r="B760" s="76"/>
      <c r="C760" s="77"/>
      <c r="D760" s="78"/>
      <c r="E760" s="77"/>
      <c r="F760" s="76"/>
      <c r="G760" s="76"/>
      <c r="I760" s="79" t="str">
        <f aca="false">IF($B760="","",IF(ISNUMBER(MATCH($B760,日別データ!$B$13:$B$32,0)),"✔ OK","⚠ 未登録"))</f>
        <v/>
      </c>
      <c r="J760" s="80" t="str">
        <f aca="false">IF($B760="","",IF($D760="","－",IF(ISNUMBER($D760),IF(AND($D760&gt;=1,MOD($D760,1)=0),"－",IF(MOD($D760,1)&lt;$L$6,"朝",IF(MOD($D760,1)&lt;$L$7,"昼",IF(MOD($D760,1)&lt;$L$8,"夕方","夜")))),IF(OR($D760="朝",$D760="昼",$D760="夕方",$D760="夜"),$D760,"⚠ 不明"))))</f>
        <v/>
      </c>
    </row>
    <row r="761" customFormat="false" ht="15" hidden="false" customHeight="false" outlineLevel="0" collapsed="false">
      <c r="A761" s="75"/>
      <c r="B761" s="76"/>
      <c r="C761" s="77"/>
      <c r="D761" s="78"/>
      <c r="E761" s="77"/>
      <c r="F761" s="76"/>
      <c r="G761" s="76"/>
      <c r="I761" s="79" t="str">
        <f aca="false">IF($B761="","",IF(ISNUMBER(MATCH($B761,日別データ!$B$13:$B$32,0)),"✔ OK","⚠ 未登録"))</f>
        <v/>
      </c>
      <c r="J761" s="80" t="str">
        <f aca="false">IF($B761="","",IF($D761="","－",IF(ISNUMBER($D761),IF(AND($D761&gt;=1,MOD($D761,1)=0),"－",IF(MOD($D761,1)&lt;$L$6,"朝",IF(MOD($D761,1)&lt;$L$7,"昼",IF(MOD($D761,1)&lt;$L$8,"夕方","夜")))),IF(OR($D761="朝",$D761="昼",$D761="夕方",$D761="夜"),$D761,"⚠ 不明"))))</f>
        <v/>
      </c>
    </row>
    <row r="762" customFormat="false" ht="15" hidden="false" customHeight="false" outlineLevel="0" collapsed="false">
      <c r="A762" s="75"/>
      <c r="B762" s="76"/>
      <c r="C762" s="77"/>
      <c r="D762" s="78"/>
      <c r="E762" s="77"/>
      <c r="F762" s="76"/>
      <c r="G762" s="76"/>
      <c r="I762" s="79" t="str">
        <f aca="false">IF($B762="","",IF(ISNUMBER(MATCH($B762,日別データ!$B$13:$B$32,0)),"✔ OK","⚠ 未登録"))</f>
        <v/>
      </c>
      <c r="J762" s="80" t="str">
        <f aca="false">IF($B762="","",IF($D762="","－",IF(ISNUMBER($D762),IF(AND($D762&gt;=1,MOD($D762,1)=0),"－",IF(MOD($D762,1)&lt;$L$6,"朝",IF(MOD($D762,1)&lt;$L$7,"昼",IF(MOD($D762,1)&lt;$L$8,"夕方","夜")))),IF(OR($D762="朝",$D762="昼",$D762="夕方",$D762="夜"),$D762,"⚠ 不明"))))</f>
        <v/>
      </c>
    </row>
    <row r="763" customFormat="false" ht="15" hidden="false" customHeight="false" outlineLevel="0" collapsed="false">
      <c r="A763" s="75"/>
      <c r="B763" s="76"/>
      <c r="C763" s="77"/>
      <c r="D763" s="78"/>
      <c r="E763" s="77"/>
      <c r="F763" s="76"/>
      <c r="G763" s="76"/>
      <c r="I763" s="79" t="str">
        <f aca="false">IF($B763="","",IF(ISNUMBER(MATCH($B763,日別データ!$B$13:$B$32,0)),"✔ OK","⚠ 未登録"))</f>
        <v/>
      </c>
      <c r="J763" s="80" t="str">
        <f aca="false">IF($B763="","",IF($D763="","－",IF(ISNUMBER($D763),IF(AND($D763&gt;=1,MOD($D763,1)=0),"－",IF(MOD($D763,1)&lt;$L$6,"朝",IF(MOD($D763,1)&lt;$L$7,"昼",IF(MOD($D763,1)&lt;$L$8,"夕方","夜")))),IF(OR($D763="朝",$D763="昼",$D763="夕方",$D763="夜"),$D763,"⚠ 不明"))))</f>
        <v/>
      </c>
    </row>
    <row r="764" customFormat="false" ht="15" hidden="false" customHeight="false" outlineLevel="0" collapsed="false">
      <c r="A764" s="75"/>
      <c r="B764" s="76"/>
      <c r="C764" s="77"/>
      <c r="D764" s="78"/>
      <c r="E764" s="77"/>
      <c r="F764" s="76"/>
      <c r="G764" s="76"/>
      <c r="I764" s="79" t="str">
        <f aca="false">IF($B764="","",IF(ISNUMBER(MATCH($B764,日別データ!$B$13:$B$32,0)),"✔ OK","⚠ 未登録"))</f>
        <v/>
      </c>
      <c r="J764" s="80" t="str">
        <f aca="false">IF($B764="","",IF($D764="","－",IF(ISNUMBER($D764),IF(AND($D764&gt;=1,MOD($D764,1)=0),"－",IF(MOD($D764,1)&lt;$L$6,"朝",IF(MOD($D764,1)&lt;$L$7,"昼",IF(MOD($D764,1)&lt;$L$8,"夕方","夜")))),IF(OR($D764="朝",$D764="昼",$D764="夕方",$D764="夜"),$D764,"⚠ 不明"))))</f>
        <v/>
      </c>
    </row>
    <row r="765" customFormat="false" ht="15" hidden="false" customHeight="false" outlineLevel="0" collapsed="false">
      <c r="A765" s="75"/>
      <c r="B765" s="76"/>
      <c r="C765" s="77"/>
      <c r="D765" s="78"/>
      <c r="E765" s="77"/>
      <c r="F765" s="76"/>
      <c r="G765" s="76"/>
      <c r="I765" s="79" t="str">
        <f aca="false">IF($B765="","",IF(ISNUMBER(MATCH($B765,日別データ!$B$13:$B$32,0)),"✔ OK","⚠ 未登録"))</f>
        <v/>
      </c>
      <c r="J765" s="80" t="str">
        <f aca="false">IF($B765="","",IF($D765="","－",IF(ISNUMBER($D765),IF(AND($D765&gt;=1,MOD($D765,1)=0),"－",IF(MOD($D765,1)&lt;$L$6,"朝",IF(MOD($D765,1)&lt;$L$7,"昼",IF(MOD($D765,1)&lt;$L$8,"夕方","夜")))),IF(OR($D765="朝",$D765="昼",$D765="夕方",$D765="夜"),$D765,"⚠ 不明"))))</f>
        <v/>
      </c>
    </row>
    <row r="766" customFormat="false" ht="15" hidden="false" customHeight="false" outlineLevel="0" collapsed="false">
      <c r="A766" s="75"/>
      <c r="B766" s="76"/>
      <c r="C766" s="77"/>
      <c r="D766" s="78"/>
      <c r="E766" s="77"/>
      <c r="F766" s="76"/>
      <c r="G766" s="76"/>
      <c r="I766" s="79" t="str">
        <f aca="false">IF($B766="","",IF(ISNUMBER(MATCH($B766,日別データ!$B$13:$B$32,0)),"✔ OK","⚠ 未登録"))</f>
        <v/>
      </c>
      <c r="J766" s="80" t="str">
        <f aca="false">IF($B766="","",IF($D766="","－",IF(ISNUMBER($D766),IF(AND($D766&gt;=1,MOD($D766,1)=0),"－",IF(MOD($D766,1)&lt;$L$6,"朝",IF(MOD($D766,1)&lt;$L$7,"昼",IF(MOD($D766,1)&lt;$L$8,"夕方","夜")))),IF(OR($D766="朝",$D766="昼",$D766="夕方",$D766="夜"),$D766,"⚠ 不明"))))</f>
        <v/>
      </c>
    </row>
    <row r="767" customFormat="false" ht="15" hidden="false" customHeight="false" outlineLevel="0" collapsed="false">
      <c r="A767" s="75"/>
      <c r="B767" s="76"/>
      <c r="C767" s="77"/>
      <c r="D767" s="78"/>
      <c r="E767" s="77"/>
      <c r="F767" s="76"/>
      <c r="G767" s="76"/>
      <c r="I767" s="79" t="str">
        <f aca="false">IF($B767="","",IF(ISNUMBER(MATCH($B767,日別データ!$B$13:$B$32,0)),"✔ OK","⚠ 未登録"))</f>
        <v/>
      </c>
      <c r="J767" s="80" t="str">
        <f aca="false">IF($B767="","",IF($D767="","－",IF(ISNUMBER($D767),IF(AND($D767&gt;=1,MOD($D767,1)=0),"－",IF(MOD($D767,1)&lt;$L$6,"朝",IF(MOD($D767,1)&lt;$L$7,"昼",IF(MOD($D767,1)&lt;$L$8,"夕方","夜")))),IF(OR($D767="朝",$D767="昼",$D767="夕方",$D767="夜"),$D767,"⚠ 不明"))))</f>
        <v/>
      </c>
    </row>
    <row r="768" customFormat="false" ht="15" hidden="false" customHeight="false" outlineLevel="0" collapsed="false">
      <c r="A768" s="75"/>
      <c r="B768" s="76"/>
      <c r="C768" s="77"/>
      <c r="D768" s="78"/>
      <c r="E768" s="77"/>
      <c r="F768" s="76"/>
      <c r="G768" s="76"/>
      <c r="I768" s="79" t="str">
        <f aca="false">IF($B768="","",IF(ISNUMBER(MATCH($B768,日別データ!$B$13:$B$32,0)),"✔ OK","⚠ 未登録"))</f>
        <v/>
      </c>
      <c r="J768" s="80" t="str">
        <f aca="false">IF($B768="","",IF($D768="","－",IF(ISNUMBER($D768),IF(AND($D768&gt;=1,MOD($D768,1)=0),"－",IF(MOD($D768,1)&lt;$L$6,"朝",IF(MOD($D768,1)&lt;$L$7,"昼",IF(MOD($D768,1)&lt;$L$8,"夕方","夜")))),IF(OR($D768="朝",$D768="昼",$D768="夕方",$D768="夜"),$D768,"⚠ 不明"))))</f>
        <v/>
      </c>
    </row>
    <row r="769" customFormat="false" ht="15" hidden="false" customHeight="false" outlineLevel="0" collapsed="false">
      <c r="A769" s="75"/>
      <c r="B769" s="76"/>
      <c r="C769" s="77"/>
      <c r="D769" s="78"/>
      <c r="E769" s="77"/>
      <c r="F769" s="76"/>
      <c r="G769" s="76"/>
      <c r="I769" s="79" t="str">
        <f aca="false">IF($B769="","",IF(ISNUMBER(MATCH($B769,日別データ!$B$13:$B$32,0)),"✔ OK","⚠ 未登録"))</f>
        <v/>
      </c>
      <c r="J769" s="80" t="str">
        <f aca="false">IF($B769="","",IF($D769="","－",IF(ISNUMBER($D769),IF(AND($D769&gt;=1,MOD($D769,1)=0),"－",IF(MOD($D769,1)&lt;$L$6,"朝",IF(MOD($D769,1)&lt;$L$7,"昼",IF(MOD($D769,1)&lt;$L$8,"夕方","夜")))),IF(OR($D769="朝",$D769="昼",$D769="夕方",$D769="夜"),$D769,"⚠ 不明"))))</f>
        <v/>
      </c>
    </row>
    <row r="770" customFormat="false" ht="15" hidden="false" customHeight="false" outlineLevel="0" collapsed="false">
      <c r="A770" s="75"/>
      <c r="B770" s="76"/>
      <c r="C770" s="77"/>
      <c r="D770" s="78"/>
      <c r="E770" s="77"/>
      <c r="F770" s="76"/>
      <c r="G770" s="76"/>
      <c r="I770" s="79" t="str">
        <f aca="false">IF($B770="","",IF(ISNUMBER(MATCH($B770,日別データ!$B$13:$B$32,0)),"✔ OK","⚠ 未登録"))</f>
        <v/>
      </c>
      <c r="J770" s="80" t="str">
        <f aca="false">IF($B770="","",IF($D770="","－",IF(ISNUMBER($D770),IF(AND($D770&gt;=1,MOD($D770,1)=0),"－",IF(MOD($D770,1)&lt;$L$6,"朝",IF(MOD($D770,1)&lt;$L$7,"昼",IF(MOD($D770,1)&lt;$L$8,"夕方","夜")))),IF(OR($D770="朝",$D770="昼",$D770="夕方",$D770="夜"),$D770,"⚠ 不明"))))</f>
        <v/>
      </c>
    </row>
    <row r="771" customFormat="false" ht="15" hidden="false" customHeight="false" outlineLevel="0" collapsed="false">
      <c r="A771" s="75"/>
      <c r="B771" s="76"/>
      <c r="C771" s="77"/>
      <c r="D771" s="78"/>
      <c r="E771" s="77"/>
      <c r="F771" s="76"/>
      <c r="G771" s="76"/>
      <c r="I771" s="79" t="str">
        <f aca="false">IF($B771="","",IF(ISNUMBER(MATCH($B771,日別データ!$B$13:$B$32,0)),"✔ OK","⚠ 未登録"))</f>
        <v/>
      </c>
      <c r="J771" s="80" t="str">
        <f aca="false">IF($B771="","",IF($D771="","－",IF(ISNUMBER($D771),IF(AND($D771&gt;=1,MOD($D771,1)=0),"－",IF(MOD($D771,1)&lt;$L$6,"朝",IF(MOD($D771,1)&lt;$L$7,"昼",IF(MOD($D771,1)&lt;$L$8,"夕方","夜")))),IF(OR($D771="朝",$D771="昼",$D771="夕方",$D771="夜"),$D771,"⚠ 不明"))))</f>
        <v/>
      </c>
    </row>
    <row r="772" customFormat="false" ht="15" hidden="false" customHeight="false" outlineLevel="0" collapsed="false">
      <c r="A772" s="75"/>
      <c r="B772" s="76"/>
      <c r="C772" s="77"/>
      <c r="D772" s="78"/>
      <c r="E772" s="77"/>
      <c r="F772" s="76"/>
      <c r="G772" s="76"/>
      <c r="I772" s="79" t="str">
        <f aca="false">IF($B772="","",IF(ISNUMBER(MATCH($B772,日別データ!$B$13:$B$32,0)),"✔ OK","⚠ 未登録"))</f>
        <v/>
      </c>
      <c r="J772" s="80" t="str">
        <f aca="false">IF($B772="","",IF($D772="","－",IF(ISNUMBER($D772),IF(AND($D772&gt;=1,MOD($D772,1)=0),"－",IF(MOD($D772,1)&lt;$L$6,"朝",IF(MOD($D772,1)&lt;$L$7,"昼",IF(MOD($D772,1)&lt;$L$8,"夕方","夜")))),IF(OR($D772="朝",$D772="昼",$D772="夕方",$D772="夜"),$D772,"⚠ 不明"))))</f>
        <v/>
      </c>
    </row>
    <row r="773" customFormat="false" ht="15" hidden="false" customHeight="false" outlineLevel="0" collapsed="false">
      <c r="A773" s="75"/>
      <c r="B773" s="76"/>
      <c r="C773" s="77"/>
      <c r="D773" s="78"/>
      <c r="E773" s="77"/>
      <c r="F773" s="76"/>
      <c r="G773" s="76"/>
      <c r="I773" s="79" t="str">
        <f aca="false">IF($B773="","",IF(ISNUMBER(MATCH($B773,日別データ!$B$13:$B$32,0)),"✔ OK","⚠ 未登録"))</f>
        <v/>
      </c>
      <c r="J773" s="80" t="str">
        <f aca="false">IF($B773="","",IF($D773="","－",IF(ISNUMBER($D773),IF(AND($D773&gt;=1,MOD($D773,1)=0),"－",IF(MOD($D773,1)&lt;$L$6,"朝",IF(MOD($D773,1)&lt;$L$7,"昼",IF(MOD($D773,1)&lt;$L$8,"夕方","夜")))),IF(OR($D773="朝",$D773="昼",$D773="夕方",$D773="夜"),$D773,"⚠ 不明"))))</f>
        <v/>
      </c>
    </row>
    <row r="774" customFormat="false" ht="15" hidden="false" customHeight="false" outlineLevel="0" collapsed="false">
      <c r="A774" s="75"/>
      <c r="B774" s="76"/>
      <c r="C774" s="77"/>
      <c r="D774" s="78"/>
      <c r="E774" s="77"/>
      <c r="F774" s="76"/>
      <c r="G774" s="76"/>
      <c r="I774" s="79" t="str">
        <f aca="false">IF($B774="","",IF(ISNUMBER(MATCH($B774,日別データ!$B$13:$B$32,0)),"✔ OK","⚠ 未登録"))</f>
        <v/>
      </c>
      <c r="J774" s="80" t="str">
        <f aca="false">IF($B774="","",IF($D774="","－",IF(ISNUMBER($D774),IF(AND($D774&gt;=1,MOD($D774,1)=0),"－",IF(MOD($D774,1)&lt;$L$6,"朝",IF(MOD($D774,1)&lt;$L$7,"昼",IF(MOD($D774,1)&lt;$L$8,"夕方","夜")))),IF(OR($D774="朝",$D774="昼",$D774="夕方",$D774="夜"),$D774,"⚠ 不明"))))</f>
        <v/>
      </c>
    </row>
    <row r="775" customFormat="false" ht="15" hidden="false" customHeight="false" outlineLevel="0" collapsed="false">
      <c r="A775" s="75"/>
      <c r="B775" s="76"/>
      <c r="C775" s="77"/>
      <c r="D775" s="78"/>
      <c r="E775" s="77"/>
      <c r="F775" s="76"/>
      <c r="G775" s="76"/>
      <c r="I775" s="79" t="str">
        <f aca="false">IF($B775="","",IF(ISNUMBER(MATCH($B775,日別データ!$B$13:$B$32,0)),"✔ OK","⚠ 未登録"))</f>
        <v/>
      </c>
      <c r="J775" s="80" t="str">
        <f aca="false">IF($B775="","",IF($D775="","－",IF(ISNUMBER($D775),IF(AND($D775&gt;=1,MOD($D775,1)=0),"－",IF(MOD($D775,1)&lt;$L$6,"朝",IF(MOD($D775,1)&lt;$L$7,"昼",IF(MOD($D775,1)&lt;$L$8,"夕方","夜")))),IF(OR($D775="朝",$D775="昼",$D775="夕方",$D775="夜"),$D775,"⚠ 不明"))))</f>
        <v/>
      </c>
    </row>
    <row r="776" customFormat="false" ht="15" hidden="false" customHeight="false" outlineLevel="0" collapsed="false">
      <c r="A776" s="75"/>
      <c r="B776" s="76"/>
      <c r="C776" s="77"/>
      <c r="D776" s="78"/>
      <c r="E776" s="77"/>
      <c r="F776" s="76"/>
      <c r="G776" s="76"/>
      <c r="I776" s="79" t="str">
        <f aca="false">IF($B776="","",IF(ISNUMBER(MATCH($B776,日別データ!$B$13:$B$32,0)),"✔ OK","⚠ 未登録"))</f>
        <v/>
      </c>
      <c r="J776" s="80" t="str">
        <f aca="false">IF($B776="","",IF($D776="","－",IF(ISNUMBER($D776),IF(AND($D776&gt;=1,MOD($D776,1)=0),"－",IF(MOD($D776,1)&lt;$L$6,"朝",IF(MOD($D776,1)&lt;$L$7,"昼",IF(MOD($D776,1)&lt;$L$8,"夕方","夜")))),IF(OR($D776="朝",$D776="昼",$D776="夕方",$D776="夜"),$D776,"⚠ 不明"))))</f>
        <v/>
      </c>
    </row>
    <row r="777" customFormat="false" ht="15" hidden="false" customHeight="false" outlineLevel="0" collapsed="false">
      <c r="A777" s="75"/>
      <c r="B777" s="76"/>
      <c r="C777" s="77"/>
      <c r="D777" s="78"/>
      <c r="E777" s="77"/>
      <c r="F777" s="76"/>
      <c r="G777" s="76"/>
      <c r="I777" s="79" t="str">
        <f aca="false">IF($B777="","",IF(ISNUMBER(MATCH($B777,日別データ!$B$13:$B$32,0)),"✔ OK","⚠ 未登録"))</f>
        <v/>
      </c>
      <c r="J777" s="80" t="str">
        <f aca="false">IF($B777="","",IF($D777="","－",IF(ISNUMBER($D777),IF(AND($D777&gt;=1,MOD($D777,1)=0),"－",IF(MOD($D777,1)&lt;$L$6,"朝",IF(MOD($D777,1)&lt;$L$7,"昼",IF(MOD($D777,1)&lt;$L$8,"夕方","夜")))),IF(OR($D777="朝",$D777="昼",$D777="夕方",$D777="夜"),$D777,"⚠ 不明"))))</f>
        <v/>
      </c>
    </row>
    <row r="778" customFormat="false" ht="15" hidden="false" customHeight="false" outlineLevel="0" collapsed="false">
      <c r="A778" s="75"/>
      <c r="B778" s="76"/>
      <c r="C778" s="77"/>
      <c r="D778" s="78"/>
      <c r="E778" s="77"/>
      <c r="F778" s="76"/>
      <c r="G778" s="76"/>
      <c r="I778" s="79" t="str">
        <f aca="false">IF($B778="","",IF(ISNUMBER(MATCH($B778,日別データ!$B$13:$B$32,0)),"✔ OK","⚠ 未登録"))</f>
        <v/>
      </c>
      <c r="J778" s="80" t="str">
        <f aca="false">IF($B778="","",IF($D778="","－",IF(ISNUMBER($D778),IF(AND($D778&gt;=1,MOD($D778,1)=0),"－",IF(MOD($D778,1)&lt;$L$6,"朝",IF(MOD($D778,1)&lt;$L$7,"昼",IF(MOD($D778,1)&lt;$L$8,"夕方","夜")))),IF(OR($D778="朝",$D778="昼",$D778="夕方",$D778="夜"),$D778,"⚠ 不明"))))</f>
        <v/>
      </c>
    </row>
    <row r="779" customFormat="false" ht="15" hidden="false" customHeight="false" outlineLevel="0" collapsed="false">
      <c r="A779" s="75"/>
      <c r="B779" s="76"/>
      <c r="C779" s="77"/>
      <c r="D779" s="78"/>
      <c r="E779" s="77"/>
      <c r="F779" s="76"/>
      <c r="G779" s="76"/>
      <c r="I779" s="79" t="str">
        <f aca="false">IF($B779="","",IF(ISNUMBER(MATCH($B779,日別データ!$B$13:$B$32,0)),"✔ OK","⚠ 未登録"))</f>
        <v/>
      </c>
      <c r="J779" s="80" t="str">
        <f aca="false">IF($B779="","",IF($D779="","－",IF(ISNUMBER($D779),IF(AND($D779&gt;=1,MOD($D779,1)=0),"－",IF(MOD($D779,1)&lt;$L$6,"朝",IF(MOD($D779,1)&lt;$L$7,"昼",IF(MOD($D779,1)&lt;$L$8,"夕方","夜")))),IF(OR($D779="朝",$D779="昼",$D779="夕方",$D779="夜"),$D779,"⚠ 不明"))))</f>
        <v/>
      </c>
    </row>
    <row r="780" customFormat="false" ht="15" hidden="false" customHeight="false" outlineLevel="0" collapsed="false">
      <c r="A780" s="75"/>
      <c r="B780" s="76"/>
      <c r="C780" s="77"/>
      <c r="D780" s="78"/>
      <c r="E780" s="77"/>
      <c r="F780" s="76"/>
      <c r="G780" s="76"/>
      <c r="I780" s="79" t="str">
        <f aca="false">IF($B780="","",IF(ISNUMBER(MATCH($B780,日別データ!$B$13:$B$32,0)),"✔ OK","⚠ 未登録"))</f>
        <v/>
      </c>
      <c r="J780" s="80" t="str">
        <f aca="false">IF($B780="","",IF($D780="","－",IF(ISNUMBER($D780),IF(AND($D780&gt;=1,MOD($D780,1)=0),"－",IF(MOD($D780,1)&lt;$L$6,"朝",IF(MOD($D780,1)&lt;$L$7,"昼",IF(MOD($D780,1)&lt;$L$8,"夕方","夜")))),IF(OR($D780="朝",$D780="昼",$D780="夕方",$D780="夜"),$D780,"⚠ 不明"))))</f>
        <v/>
      </c>
    </row>
    <row r="781" customFormat="false" ht="15" hidden="false" customHeight="false" outlineLevel="0" collapsed="false">
      <c r="A781" s="75"/>
      <c r="B781" s="76"/>
      <c r="C781" s="77"/>
      <c r="D781" s="78"/>
      <c r="E781" s="77"/>
      <c r="F781" s="76"/>
      <c r="G781" s="76"/>
      <c r="I781" s="79" t="str">
        <f aca="false">IF($B781="","",IF(ISNUMBER(MATCH($B781,日別データ!$B$13:$B$32,0)),"✔ OK","⚠ 未登録"))</f>
        <v/>
      </c>
      <c r="J781" s="80" t="str">
        <f aca="false">IF($B781="","",IF($D781="","－",IF(ISNUMBER($D781),IF(AND($D781&gt;=1,MOD($D781,1)=0),"－",IF(MOD($D781,1)&lt;$L$6,"朝",IF(MOD($D781,1)&lt;$L$7,"昼",IF(MOD($D781,1)&lt;$L$8,"夕方","夜")))),IF(OR($D781="朝",$D781="昼",$D781="夕方",$D781="夜"),$D781,"⚠ 不明"))))</f>
        <v/>
      </c>
    </row>
    <row r="782" customFormat="false" ht="15" hidden="false" customHeight="false" outlineLevel="0" collapsed="false">
      <c r="A782" s="75"/>
      <c r="B782" s="76"/>
      <c r="C782" s="77"/>
      <c r="D782" s="78"/>
      <c r="E782" s="77"/>
      <c r="F782" s="76"/>
      <c r="G782" s="76"/>
      <c r="I782" s="79" t="str">
        <f aca="false">IF($B782="","",IF(ISNUMBER(MATCH($B782,日別データ!$B$13:$B$32,0)),"✔ OK","⚠ 未登録"))</f>
        <v/>
      </c>
      <c r="J782" s="80" t="str">
        <f aca="false">IF($B782="","",IF($D782="","－",IF(ISNUMBER($D782),IF(AND($D782&gt;=1,MOD($D782,1)=0),"－",IF(MOD($D782,1)&lt;$L$6,"朝",IF(MOD($D782,1)&lt;$L$7,"昼",IF(MOD($D782,1)&lt;$L$8,"夕方","夜")))),IF(OR($D782="朝",$D782="昼",$D782="夕方",$D782="夜"),$D782,"⚠ 不明"))))</f>
        <v/>
      </c>
    </row>
    <row r="783" customFormat="false" ht="15" hidden="false" customHeight="false" outlineLevel="0" collapsed="false">
      <c r="A783" s="75"/>
      <c r="B783" s="76"/>
      <c r="C783" s="77"/>
      <c r="D783" s="78"/>
      <c r="E783" s="77"/>
      <c r="F783" s="76"/>
      <c r="G783" s="76"/>
      <c r="I783" s="79" t="str">
        <f aca="false">IF($B783="","",IF(ISNUMBER(MATCH($B783,日別データ!$B$13:$B$32,0)),"✔ OK","⚠ 未登録"))</f>
        <v/>
      </c>
      <c r="J783" s="80" t="str">
        <f aca="false">IF($B783="","",IF($D783="","－",IF(ISNUMBER($D783),IF(AND($D783&gt;=1,MOD($D783,1)=0),"－",IF(MOD($D783,1)&lt;$L$6,"朝",IF(MOD($D783,1)&lt;$L$7,"昼",IF(MOD($D783,1)&lt;$L$8,"夕方","夜")))),IF(OR($D783="朝",$D783="昼",$D783="夕方",$D783="夜"),$D783,"⚠ 不明"))))</f>
        <v/>
      </c>
    </row>
    <row r="784" customFormat="false" ht="15" hidden="false" customHeight="false" outlineLevel="0" collapsed="false">
      <c r="A784" s="75"/>
      <c r="B784" s="76"/>
      <c r="C784" s="77"/>
      <c r="D784" s="78"/>
      <c r="E784" s="77"/>
      <c r="F784" s="76"/>
      <c r="G784" s="76"/>
      <c r="I784" s="79" t="str">
        <f aca="false">IF($B784="","",IF(ISNUMBER(MATCH($B784,日別データ!$B$13:$B$32,0)),"✔ OK","⚠ 未登録"))</f>
        <v/>
      </c>
      <c r="J784" s="80" t="str">
        <f aca="false">IF($B784="","",IF($D784="","－",IF(ISNUMBER($D784),IF(AND($D784&gt;=1,MOD($D784,1)=0),"－",IF(MOD($D784,1)&lt;$L$6,"朝",IF(MOD($D784,1)&lt;$L$7,"昼",IF(MOD($D784,1)&lt;$L$8,"夕方","夜")))),IF(OR($D784="朝",$D784="昼",$D784="夕方",$D784="夜"),$D784,"⚠ 不明"))))</f>
        <v/>
      </c>
    </row>
    <row r="785" customFormat="false" ht="15" hidden="false" customHeight="false" outlineLevel="0" collapsed="false">
      <c r="A785" s="75"/>
      <c r="B785" s="76"/>
      <c r="C785" s="77"/>
      <c r="D785" s="78"/>
      <c r="E785" s="77"/>
      <c r="F785" s="76"/>
      <c r="G785" s="76"/>
      <c r="I785" s="79" t="str">
        <f aca="false">IF($B785="","",IF(ISNUMBER(MATCH($B785,日別データ!$B$13:$B$32,0)),"✔ OK","⚠ 未登録"))</f>
        <v/>
      </c>
      <c r="J785" s="80" t="str">
        <f aca="false">IF($B785="","",IF($D785="","－",IF(ISNUMBER($D785),IF(AND($D785&gt;=1,MOD($D785,1)=0),"－",IF(MOD($D785,1)&lt;$L$6,"朝",IF(MOD($D785,1)&lt;$L$7,"昼",IF(MOD($D785,1)&lt;$L$8,"夕方","夜")))),IF(OR($D785="朝",$D785="昼",$D785="夕方",$D785="夜"),$D785,"⚠ 不明"))))</f>
        <v/>
      </c>
    </row>
    <row r="786" customFormat="false" ht="15" hidden="false" customHeight="false" outlineLevel="0" collapsed="false">
      <c r="A786" s="75"/>
      <c r="B786" s="76"/>
      <c r="C786" s="77"/>
      <c r="D786" s="78"/>
      <c r="E786" s="77"/>
      <c r="F786" s="76"/>
      <c r="G786" s="76"/>
      <c r="I786" s="79" t="str">
        <f aca="false">IF($B786="","",IF(ISNUMBER(MATCH($B786,日別データ!$B$13:$B$32,0)),"✔ OK","⚠ 未登録"))</f>
        <v/>
      </c>
      <c r="J786" s="80" t="str">
        <f aca="false">IF($B786="","",IF($D786="","－",IF(ISNUMBER($D786),IF(AND($D786&gt;=1,MOD($D786,1)=0),"－",IF(MOD($D786,1)&lt;$L$6,"朝",IF(MOD($D786,1)&lt;$L$7,"昼",IF(MOD($D786,1)&lt;$L$8,"夕方","夜")))),IF(OR($D786="朝",$D786="昼",$D786="夕方",$D786="夜"),$D786,"⚠ 不明"))))</f>
        <v/>
      </c>
    </row>
    <row r="787" customFormat="false" ht="15" hidden="false" customHeight="false" outlineLevel="0" collapsed="false">
      <c r="A787" s="75"/>
      <c r="B787" s="76"/>
      <c r="C787" s="77"/>
      <c r="D787" s="78"/>
      <c r="E787" s="77"/>
      <c r="F787" s="76"/>
      <c r="G787" s="76"/>
      <c r="I787" s="79" t="str">
        <f aca="false">IF($B787="","",IF(ISNUMBER(MATCH($B787,日別データ!$B$13:$B$32,0)),"✔ OK","⚠ 未登録"))</f>
        <v/>
      </c>
      <c r="J787" s="80" t="str">
        <f aca="false">IF($B787="","",IF($D787="","－",IF(ISNUMBER($D787),IF(AND($D787&gt;=1,MOD($D787,1)=0),"－",IF(MOD($D787,1)&lt;$L$6,"朝",IF(MOD($D787,1)&lt;$L$7,"昼",IF(MOD($D787,1)&lt;$L$8,"夕方","夜")))),IF(OR($D787="朝",$D787="昼",$D787="夕方",$D787="夜"),$D787,"⚠ 不明"))))</f>
        <v/>
      </c>
    </row>
    <row r="788" customFormat="false" ht="15" hidden="false" customHeight="false" outlineLevel="0" collapsed="false">
      <c r="A788" s="75"/>
      <c r="B788" s="76"/>
      <c r="C788" s="77"/>
      <c r="D788" s="78"/>
      <c r="E788" s="77"/>
      <c r="F788" s="76"/>
      <c r="G788" s="76"/>
      <c r="I788" s="79" t="str">
        <f aca="false">IF($B788="","",IF(ISNUMBER(MATCH($B788,日別データ!$B$13:$B$32,0)),"✔ OK","⚠ 未登録"))</f>
        <v/>
      </c>
      <c r="J788" s="80" t="str">
        <f aca="false">IF($B788="","",IF($D788="","－",IF(ISNUMBER($D788),IF(AND($D788&gt;=1,MOD($D788,1)=0),"－",IF(MOD($D788,1)&lt;$L$6,"朝",IF(MOD($D788,1)&lt;$L$7,"昼",IF(MOD($D788,1)&lt;$L$8,"夕方","夜")))),IF(OR($D788="朝",$D788="昼",$D788="夕方",$D788="夜"),$D788,"⚠ 不明"))))</f>
        <v/>
      </c>
    </row>
    <row r="789" customFormat="false" ht="15" hidden="false" customHeight="false" outlineLevel="0" collapsed="false">
      <c r="A789" s="75"/>
      <c r="B789" s="76"/>
      <c r="C789" s="77"/>
      <c r="D789" s="78"/>
      <c r="E789" s="77"/>
      <c r="F789" s="76"/>
      <c r="G789" s="76"/>
      <c r="I789" s="79" t="str">
        <f aca="false">IF($B789="","",IF(ISNUMBER(MATCH($B789,日別データ!$B$13:$B$32,0)),"✔ OK","⚠ 未登録"))</f>
        <v/>
      </c>
      <c r="J789" s="80" t="str">
        <f aca="false">IF($B789="","",IF($D789="","－",IF(ISNUMBER($D789),IF(AND($D789&gt;=1,MOD($D789,1)=0),"－",IF(MOD($D789,1)&lt;$L$6,"朝",IF(MOD($D789,1)&lt;$L$7,"昼",IF(MOD($D789,1)&lt;$L$8,"夕方","夜")))),IF(OR($D789="朝",$D789="昼",$D789="夕方",$D789="夜"),$D789,"⚠ 不明"))))</f>
        <v/>
      </c>
    </row>
    <row r="790" customFormat="false" ht="15" hidden="false" customHeight="false" outlineLevel="0" collapsed="false">
      <c r="A790" s="75"/>
      <c r="B790" s="76"/>
      <c r="C790" s="77"/>
      <c r="D790" s="78"/>
      <c r="E790" s="77"/>
      <c r="F790" s="76"/>
      <c r="G790" s="76"/>
      <c r="I790" s="79" t="str">
        <f aca="false">IF($B790="","",IF(ISNUMBER(MATCH($B790,日別データ!$B$13:$B$32,0)),"✔ OK","⚠ 未登録"))</f>
        <v/>
      </c>
      <c r="J790" s="80" t="str">
        <f aca="false">IF($B790="","",IF($D790="","－",IF(ISNUMBER($D790),IF(AND($D790&gt;=1,MOD($D790,1)=0),"－",IF(MOD($D790,1)&lt;$L$6,"朝",IF(MOD($D790,1)&lt;$L$7,"昼",IF(MOD($D790,1)&lt;$L$8,"夕方","夜")))),IF(OR($D790="朝",$D790="昼",$D790="夕方",$D790="夜"),$D790,"⚠ 不明"))))</f>
        <v/>
      </c>
    </row>
    <row r="791" customFormat="false" ht="15" hidden="false" customHeight="false" outlineLevel="0" collapsed="false">
      <c r="A791" s="75"/>
      <c r="B791" s="76"/>
      <c r="C791" s="77"/>
      <c r="D791" s="78"/>
      <c r="E791" s="77"/>
      <c r="F791" s="76"/>
      <c r="G791" s="76"/>
      <c r="I791" s="79" t="str">
        <f aca="false">IF($B791="","",IF(ISNUMBER(MATCH($B791,日別データ!$B$13:$B$32,0)),"✔ OK","⚠ 未登録"))</f>
        <v/>
      </c>
      <c r="J791" s="80" t="str">
        <f aca="false">IF($B791="","",IF($D791="","－",IF(ISNUMBER($D791),IF(AND($D791&gt;=1,MOD($D791,1)=0),"－",IF(MOD($D791,1)&lt;$L$6,"朝",IF(MOD($D791,1)&lt;$L$7,"昼",IF(MOD($D791,1)&lt;$L$8,"夕方","夜")))),IF(OR($D791="朝",$D791="昼",$D791="夕方",$D791="夜"),$D791,"⚠ 不明"))))</f>
        <v/>
      </c>
    </row>
    <row r="792" customFormat="false" ht="15" hidden="false" customHeight="false" outlineLevel="0" collapsed="false">
      <c r="A792" s="75"/>
      <c r="B792" s="76"/>
      <c r="C792" s="77"/>
      <c r="D792" s="78"/>
      <c r="E792" s="77"/>
      <c r="F792" s="76"/>
      <c r="G792" s="76"/>
      <c r="I792" s="79" t="str">
        <f aca="false">IF($B792="","",IF(ISNUMBER(MATCH($B792,日別データ!$B$13:$B$32,0)),"✔ OK","⚠ 未登録"))</f>
        <v/>
      </c>
      <c r="J792" s="80" t="str">
        <f aca="false">IF($B792="","",IF($D792="","－",IF(ISNUMBER($D792),IF(AND($D792&gt;=1,MOD($D792,1)=0),"－",IF(MOD($D792,1)&lt;$L$6,"朝",IF(MOD($D792,1)&lt;$L$7,"昼",IF(MOD($D792,1)&lt;$L$8,"夕方","夜")))),IF(OR($D792="朝",$D792="昼",$D792="夕方",$D792="夜"),$D792,"⚠ 不明"))))</f>
        <v/>
      </c>
    </row>
    <row r="793" customFormat="false" ht="15" hidden="false" customHeight="false" outlineLevel="0" collapsed="false">
      <c r="A793" s="75"/>
      <c r="B793" s="76"/>
      <c r="C793" s="77"/>
      <c r="D793" s="78"/>
      <c r="E793" s="77"/>
      <c r="F793" s="76"/>
      <c r="G793" s="76"/>
      <c r="I793" s="79" t="str">
        <f aca="false">IF($B793="","",IF(ISNUMBER(MATCH($B793,日別データ!$B$13:$B$32,0)),"✔ OK","⚠ 未登録"))</f>
        <v/>
      </c>
      <c r="J793" s="80" t="str">
        <f aca="false">IF($B793="","",IF($D793="","－",IF(ISNUMBER($D793),IF(AND($D793&gt;=1,MOD($D793,1)=0),"－",IF(MOD($D793,1)&lt;$L$6,"朝",IF(MOD($D793,1)&lt;$L$7,"昼",IF(MOD($D793,1)&lt;$L$8,"夕方","夜")))),IF(OR($D793="朝",$D793="昼",$D793="夕方",$D793="夜"),$D793,"⚠ 不明"))))</f>
        <v/>
      </c>
    </row>
    <row r="794" customFormat="false" ht="15" hidden="false" customHeight="false" outlineLevel="0" collapsed="false">
      <c r="A794" s="75"/>
      <c r="B794" s="76"/>
      <c r="C794" s="77"/>
      <c r="D794" s="78"/>
      <c r="E794" s="77"/>
      <c r="F794" s="76"/>
      <c r="G794" s="76"/>
      <c r="I794" s="79" t="str">
        <f aca="false">IF($B794="","",IF(ISNUMBER(MATCH($B794,日別データ!$B$13:$B$32,0)),"✔ OK","⚠ 未登録"))</f>
        <v/>
      </c>
      <c r="J794" s="80" t="str">
        <f aca="false">IF($B794="","",IF($D794="","－",IF(ISNUMBER($D794),IF(AND($D794&gt;=1,MOD($D794,1)=0),"－",IF(MOD($D794,1)&lt;$L$6,"朝",IF(MOD($D794,1)&lt;$L$7,"昼",IF(MOD($D794,1)&lt;$L$8,"夕方","夜")))),IF(OR($D794="朝",$D794="昼",$D794="夕方",$D794="夜"),$D794,"⚠ 不明"))))</f>
        <v/>
      </c>
    </row>
    <row r="795" customFormat="false" ht="15" hidden="false" customHeight="false" outlineLevel="0" collapsed="false">
      <c r="A795" s="75"/>
      <c r="B795" s="76"/>
      <c r="C795" s="77"/>
      <c r="D795" s="78"/>
      <c r="E795" s="77"/>
      <c r="F795" s="76"/>
      <c r="G795" s="76"/>
      <c r="I795" s="79" t="str">
        <f aca="false">IF($B795="","",IF(ISNUMBER(MATCH($B795,日別データ!$B$13:$B$32,0)),"✔ OK","⚠ 未登録"))</f>
        <v/>
      </c>
      <c r="J795" s="80" t="str">
        <f aca="false">IF($B795="","",IF($D795="","－",IF(ISNUMBER($D795),IF(AND($D795&gt;=1,MOD($D795,1)=0),"－",IF(MOD($D795,1)&lt;$L$6,"朝",IF(MOD($D795,1)&lt;$L$7,"昼",IF(MOD($D795,1)&lt;$L$8,"夕方","夜")))),IF(OR($D795="朝",$D795="昼",$D795="夕方",$D795="夜"),$D795,"⚠ 不明"))))</f>
        <v/>
      </c>
    </row>
    <row r="796" customFormat="false" ht="15" hidden="false" customHeight="false" outlineLevel="0" collapsed="false">
      <c r="A796" s="75"/>
      <c r="B796" s="76"/>
      <c r="C796" s="77"/>
      <c r="D796" s="78"/>
      <c r="E796" s="77"/>
      <c r="F796" s="76"/>
      <c r="G796" s="76"/>
      <c r="I796" s="79" t="str">
        <f aca="false">IF($B796="","",IF(ISNUMBER(MATCH($B796,日別データ!$B$13:$B$32,0)),"✔ OK","⚠ 未登録"))</f>
        <v/>
      </c>
      <c r="J796" s="80" t="str">
        <f aca="false">IF($B796="","",IF($D796="","－",IF(ISNUMBER($D796),IF(AND($D796&gt;=1,MOD($D796,1)=0),"－",IF(MOD($D796,1)&lt;$L$6,"朝",IF(MOD($D796,1)&lt;$L$7,"昼",IF(MOD($D796,1)&lt;$L$8,"夕方","夜")))),IF(OR($D796="朝",$D796="昼",$D796="夕方",$D796="夜"),$D796,"⚠ 不明"))))</f>
        <v/>
      </c>
    </row>
    <row r="797" customFormat="false" ht="15" hidden="false" customHeight="false" outlineLevel="0" collapsed="false">
      <c r="A797" s="75"/>
      <c r="B797" s="76"/>
      <c r="C797" s="77"/>
      <c r="D797" s="78"/>
      <c r="E797" s="77"/>
      <c r="F797" s="76"/>
      <c r="G797" s="76"/>
      <c r="I797" s="79" t="str">
        <f aca="false">IF($B797="","",IF(ISNUMBER(MATCH($B797,日別データ!$B$13:$B$32,0)),"✔ OK","⚠ 未登録"))</f>
        <v/>
      </c>
      <c r="J797" s="80" t="str">
        <f aca="false">IF($B797="","",IF($D797="","－",IF(ISNUMBER($D797),IF(AND($D797&gt;=1,MOD($D797,1)=0),"－",IF(MOD($D797,1)&lt;$L$6,"朝",IF(MOD($D797,1)&lt;$L$7,"昼",IF(MOD($D797,1)&lt;$L$8,"夕方","夜")))),IF(OR($D797="朝",$D797="昼",$D797="夕方",$D797="夜"),$D797,"⚠ 不明"))))</f>
        <v/>
      </c>
    </row>
    <row r="798" customFormat="false" ht="15" hidden="false" customHeight="false" outlineLevel="0" collapsed="false">
      <c r="A798" s="75"/>
      <c r="B798" s="76"/>
      <c r="C798" s="77"/>
      <c r="D798" s="78"/>
      <c r="E798" s="77"/>
      <c r="F798" s="76"/>
      <c r="G798" s="76"/>
      <c r="I798" s="79" t="str">
        <f aca="false">IF($B798="","",IF(ISNUMBER(MATCH($B798,日別データ!$B$13:$B$32,0)),"✔ OK","⚠ 未登録"))</f>
        <v/>
      </c>
      <c r="J798" s="80" t="str">
        <f aca="false">IF($B798="","",IF($D798="","－",IF(ISNUMBER($D798),IF(AND($D798&gt;=1,MOD($D798,1)=0),"－",IF(MOD($D798,1)&lt;$L$6,"朝",IF(MOD($D798,1)&lt;$L$7,"昼",IF(MOD($D798,1)&lt;$L$8,"夕方","夜")))),IF(OR($D798="朝",$D798="昼",$D798="夕方",$D798="夜"),$D798,"⚠ 不明"))))</f>
        <v/>
      </c>
    </row>
    <row r="799" customFormat="false" ht="15" hidden="false" customHeight="false" outlineLevel="0" collapsed="false">
      <c r="A799" s="75"/>
      <c r="B799" s="76"/>
      <c r="C799" s="77"/>
      <c r="D799" s="78"/>
      <c r="E799" s="77"/>
      <c r="F799" s="76"/>
      <c r="G799" s="76"/>
      <c r="I799" s="79" t="str">
        <f aca="false">IF($B799="","",IF(ISNUMBER(MATCH($B799,日別データ!$B$13:$B$32,0)),"✔ OK","⚠ 未登録"))</f>
        <v/>
      </c>
      <c r="J799" s="80" t="str">
        <f aca="false">IF($B799="","",IF($D799="","－",IF(ISNUMBER($D799),IF(AND($D799&gt;=1,MOD($D799,1)=0),"－",IF(MOD($D799,1)&lt;$L$6,"朝",IF(MOD($D799,1)&lt;$L$7,"昼",IF(MOD($D799,1)&lt;$L$8,"夕方","夜")))),IF(OR($D799="朝",$D799="昼",$D799="夕方",$D799="夜"),$D799,"⚠ 不明"))))</f>
        <v/>
      </c>
    </row>
    <row r="800" customFormat="false" ht="15" hidden="false" customHeight="false" outlineLevel="0" collapsed="false">
      <c r="A800" s="75"/>
      <c r="B800" s="76"/>
      <c r="C800" s="77"/>
      <c r="D800" s="78"/>
      <c r="E800" s="77"/>
      <c r="F800" s="76"/>
      <c r="G800" s="76"/>
      <c r="I800" s="79" t="str">
        <f aca="false">IF($B800="","",IF(ISNUMBER(MATCH($B800,日別データ!$B$13:$B$32,0)),"✔ OK","⚠ 未登録"))</f>
        <v/>
      </c>
      <c r="J800" s="80" t="str">
        <f aca="false">IF($B800="","",IF($D800="","－",IF(ISNUMBER($D800),IF(AND($D800&gt;=1,MOD($D800,1)=0),"－",IF(MOD($D800,1)&lt;$L$6,"朝",IF(MOD($D800,1)&lt;$L$7,"昼",IF(MOD($D800,1)&lt;$L$8,"夕方","夜")))),IF(OR($D800="朝",$D800="昼",$D800="夕方",$D800="夜"),$D800,"⚠ 不明"))))</f>
        <v/>
      </c>
    </row>
    <row r="801" customFormat="false" ht="15" hidden="false" customHeight="false" outlineLevel="0" collapsed="false">
      <c r="A801" s="75"/>
      <c r="B801" s="76"/>
      <c r="C801" s="77"/>
      <c r="D801" s="78"/>
      <c r="E801" s="77"/>
      <c r="F801" s="76"/>
      <c r="G801" s="76"/>
      <c r="I801" s="79" t="str">
        <f aca="false">IF($B801="","",IF(ISNUMBER(MATCH($B801,日別データ!$B$13:$B$32,0)),"✔ OK","⚠ 未登録"))</f>
        <v/>
      </c>
      <c r="J801" s="80" t="str">
        <f aca="false">IF($B801="","",IF($D801="","－",IF(ISNUMBER($D801),IF(AND($D801&gt;=1,MOD($D801,1)=0),"－",IF(MOD($D801,1)&lt;$L$6,"朝",IF(MOD($D801,1)&lt;$L$7,"昼",IF(MOD($D801,1)&lt;$L$8,"夕方","夜")))),IF(OR($D801="朝",$D801="昼",$D801="夕方",$D801="夜"),$D801,"⚠ 不明"))))</f>
        <v/>
      </c>
    </row>
    <row r="802" customFormat="false" ht="15" hidden="false" customHeight="false" outlineLevel="0" collapsed="false">
      <c r="A802" s="75"/>
      <c r="B802" s="76"/>
      <c r="C802" s="77"/>
      <c r="D802" s="78"/>
      <c r="E802" s="77"/>
      <c r="F802" s="76"/>
      <c r="G802" s="76"/>
      <c r="I802" s="79" t="str">
        <f aca="false">IF($B802="","",IF(ISNUMBER(MATCH($B802,日別データ!$B$13:$B$32,0)),"✔ OK","⚠ 未登録"))</f>
        <v/>
      </c>
      <c r="J802" s="80" t="str">
        <f aca="false">IF($B802="","",IF($D802="","－",IF(ISNUMBER($D802),IF(AND($D802&gt;=1,MOD($D802,1)=0),"－",IF(MOD($D802,1)&lt;$L$6,"朝",IF(MOD($D802,1)&lt;$L$7,"昼",IF(MOD($D802,1)&lt;$L$8,"夕方","夜")))),IF(OR($D802="朝",$D802="昼",$D802="夕方",$D802="夜"),$D802,"⚠ 不明"))))</f>
        <v/>
      </c>
    </row>
    <row r="803" customFormat="false" ht="15" hidden="false" customHeight="false" outlineLevel="0" collapsed="false">
      <c r="A803" s="75"/>
      <c r="B803" s="76"/>
      <c r="C803" s="77"/>
      <c r="D803" s="78"/>
      <c r="E803" s="77"/>
      <c r="F803" s="76"/>
      <c r="G803" s="76"/>
      <c r="I803" s="79" t="str">
        <f aca="false">IF($B803="","",IF(ISNUMBER(MATCH($B803,日別データ!$B$13:$B$32,0)),"✔ OK","⚠ 未登録"))</f>
        <v/>
      </c>
      <c r="J803" s="80" t="str">
        <f aca="false">IF($B803="","",IF($D803="","－",IF(ISNUMBER($D803),IF(AND($D803&gt;=1,MOD($D803,1)=0),"－",IF(MOD($D803,1)&lt;$L$6,"朝",IF(MOD($D803,1)&lt;$L$7,"昼",IF(MOD($D803,1)&lt;$L$8,"夕方","夜")))),IF(OR($D803="朝",$D803="昼",$D803="夕方",$D803="夜"),$D803,"⚠ 不明"))))</f>
        <v/>
      </c>
    </row>
    <row r="804" customFormat="false" ht="15" hidden="false" customHeight="false" outlineLevel="0" collapsed="false">
      <c r="A804" s="75"/>
      <c r="B804" s="76"/>
      <c r="C804" s="77"/>
      <c r="D804" s="78"/>
      <c r="E804" s="77"/>
      <c r="F804" s="76"/>
      <c r="G804" s="76"/>
      <c r="I804" s="79" t="str">
        <f aca="false">IF($B804="","",IF(ISNUMBER(MATCH($B804,日別データ!$B$13:$B$32,0)),"✔ OK","⚠ 未登録"))</f>
        <v/>
      </c>
      <c r="J804" s="80" t="str">
        <f aca="false">IF($B804="","",IF($D804="","－",IF(ISNUMBER($D804),IF(AND($D804&gt;=1,MOD($D804,1)=0),"－",IF(MOD($D804,1)&lt;$L$6,"朝",IF(MOD($D804,1)&lt;$L$7,"昼",IF(MOD($D804,1)&lt;$L$8,"夕方","夜")))),IF(OR($D804="朝",$D804="昼",$D804="夕方",$D804="夜"),$D804,"⚠ 不明"))))</f>
        <v/>
      </c>
    </row>
    <row r="805" customFormat="false" ht="15" hidden="false" customHeight="false" outlineLevel="0" collapsed="false">
      <c r="A805" s="75"/>
      <c r="B805" s="76"/>
      <c r="C805" s="77"/>
      <c r="D805" s="78"/>
      <c r="E805" s="77"/>
      <c r="F805" s="76"/>
      <c r="G805" s="76"/>
      <c r="I805" s="79" t="str">
        <f aca="false">IF($B805="","",IF(ISNUMBER(MATCH($B805,日別データ!$B$13:$B$32,0)),"✔ OK","⚠ 未登録"))</f>
        <v/>
      </c>
      <c r="J805" s="80" t="str">
        <f aca="false">IF($B805="","",IF($D805="","－",IF(ISNUMBER($D805),IF(AND($D805&gt;=1,MOD($D805,1)=0),"－",IF(MOD($D805,1)&lt;$L$6,"朝",IF(MOD($D805,1)&lt;$L$7,"昼",IF(MOD($D805,1)&lt;$L$8,"夕方","夜")))),IF(OR($D805="朝",$D805="昼",$D805="夕方",$D805="夜"),$D805,"⚠ 不明"))))</f>
        <v/>
      </c>
    </row>
    <row r="806" customFormat="false" ht="15" hidden="false" customHeight="false" outlineLevel="0" collapsed="false">
      <c r="A806" s="75"/>
      <c r="B806" s="76"/>
      <c r="C806" s="77"/>
      <c r="D806" s="78"/>
      <c r="E806" s="77"/>
      <c r="F806" s="76"/>
      <c r="G806" s="76"/>
      <c r="I806" s="79" t="str">
        <f aca="false">IF($B806="","",IF(ISNUMBER(MATCH($B806,日別データ!$B$13:$B$32,0)),"✔ OK","⚠ 未登録"))</f>
        <v/>
      </c>
      <c r="J806" s="80" t="str">
        <f aca="false">IF($B806="","",IF($D806="","－",IF(ISNUMBER($D806),IF(AND($D806&gt;=1,MOD($D806,1)=0),"－",IF(MOD($D806,1)&lt;$L$6,"朝",IF(MOD($D806,1)&lt;$L$7,"昼",IF(MOD($D806,1)&lt;$L$8,"夕方","夜")))),IF(OR($D806="朝",$D806="昼",$D806="夕方",$D806="夜"),$D806,"⚠ 不明"))))</f>
        <v/>
      </c>
    </row>
    <row r="807" customFormat="false" ht="15" hidden="false" customHeight="false" outlineLevel="0" collapsed="false">
      <c r="A807" s="75"/>
      <c r="B807" s="76"/>
      <c r="C807" s="77"/>
      <c r="D807" s="78"/>
      <c r="E807" s="77"/>
      <c r="F807" s="76"/>
      <c r="G807" s="76"/>
      <c r="I807" s="79" t="str">
        <f aca="false">IF($B807="","",IF(ISNUMBER(MATCH($B807,日別データ!$B$13:$B$32,0)),"✔ OK","⚠ 未登録"))</f>
        <v/>
      </c>
      <c r="J807" s="80" t="str">
        <f aca="false">IF($B807="","",IF($D807="","－",IF(ISNUMBER($D807),IF(AND($D807&gt;=1,MOD($D807,1)=0),"－",IF(MOD($D807,1)&lt;$L$6,"朝",IF(MOD($D807,1)&lt;$L$7,"昼",IF(MOD($D807,1)&lt;$L$8,"夕方","夜")))),IF(OR($D807="朝",$D807="昼",$D807="夕方",$D807="夜"),$D807,"⚠ 不明"))))</f>
        <v/>
      </c>
    </row>
    <row r="808" customFormat="false" ht="15" hidden="false" customHeight="false" outlineLevel="0" collapsed="false">
      <c r="A808" s="75"/>
      <c r="B808" s="76"/>
      <c r="C808" s="77"/>
      <c r="D808" s="78"/>
      <c r="E808" s="77"/>
      <c r="F808" s="76"/>
      <c r="G808" s="76"/>
      <c r="I808" s="79" t="str">
        <f aca="false">IF($B808="","",IF(ISNUMBER(MATCH($B808,日別データ!$B$13:$B$32,0)),"✔ OK","⚠ 未登録"))</f>
        <v/>
      </c>
      <c r="J808" s="80" t="str">
        <f aca="false">IF($B808="","",IF($D808="","－",IF(ISNUMBER($D808),IF(AND($D808&gt;=1,MOD($D808,1)=0),"－",IF(MOD($D808,1)&lt;$L$6,"朝",IF(MOD($D808,1)&lt;$L$7,"昼",IF(MOD($D808,1)&lt;$L$8,"夕方","夜")))),IF(OR($D808="朝",$D808="昼",$D808="夕方",$D808="夜"),$D808,"⚠ 不明"))))</f>
        <v/>
      </c>
    </row>
    <row r="809" customFormat="false" ht="15" hidden="false" customHeight="false" outlineLevel="0" collapsed="false">
      <c r="A809" s="75"/>
      <c r="B809" s="76"/>
      <c r="C809" s="77"/>
      <c r="D809" s="78"/>
      <c r="E809" s="77"/>
      <c r="F809" s="76"/>
      <c r="G809" s="76"/>
      <c r="I809" s="79" t="str">
        <f aca="false">IF($B809="","",IF(ISNUMBER(MATCH($B809,日別データ!$B$13:$B$32,0)),"✔ OK","⚠ 未登録"))</f>
        <v/>
      </c>
      <c r="J809" s="80" t="str">
        <f aca="false">IF($B809="","",IF($D809="","－",IF(ISNUMBER($D809),IF(AND($D809&gt;=1,MOD($D809,1)=0),"－",IF(MOD($D809,1)&lt;$L$6,"朝",IF(MOD($D809,1)&lt;$L$7,"昼",IF(MOD($D809,1)&lt;$L$8,"夕方","夜")))),IF(OR($D809="朝",$D809="昼",$D809="夕方",$D809="夜"),$D809,"⚠ 不明"))))</f>
        <v/>
      </c>
    </row>
    <row r="810" customFormat="false" ht="15" hidden="false" customHeight="false" outlineLevel="0" collapsed="false">
      <c r="A810" s="75"/>
      <c r="B810" s="76"/>
      <c r="C810" s="77"/>
      <c r="D810" s="78"/>
      <c r="E810" s="77"/>
      <c r="F810" s="76"/>
      <c r="G810" s="76"/>
      <c r="I810" s="79" t="str">
        <f aca="false">IF($B810="","",IF(ISNUMBER(MATCH($B810,日別データ!$B$13:$B$32,0)),"✔ OK","⚠ 未登録"))</f>
        <v/>
      </c>
      <c r="J810" s="80" t="str">
        <f aca="false">IF($B810="","",IF($D810="","－",IF(ISNUMBER($D810),IF(AND($D810&gt;=1,MOD($D810,1)=0),"－",IF(MOD($D810,1)&lt;$L$6,"朝",IF(MOD($D810,1)&lt;$L$7,"昼",IF(MOD($D810,1)&lt;$L$8,"夕方","夜")))),IF(OR($D810="朝",$D810="昼",$D810="夕方",$D810="夜"),$D810,"⚠ 不明"))))</f>
        <v/>
      </c>
    </row>
    <row r="811" customFormat="false" ht="15" hidden="false" customHeight="false" outlineLevel="0" collapsed="false">
      <c r="A811" s="75"/>
      <c r="B811" s="76"/>
      <c r="C811" s="77"/>
      <c r="D811" s="78"/>
      <c r="E811" s="77"/>
      <c r="F811" s="76"/>
      <c r="G811" s="76"/>
      <c r="I811" s="79" t="str">
        <f aca="false">IF($B811="","",IF(ISNUMBER(MATCH($B811,日別データ!$B$13:$B$32,0)),"✔ OK","⚠ 未登録"))</f>
        <v/>
      </c>
      <c r="J811" s="80" t="str">
        <f aca="false">IF($B811="","",IF($D811="","－",IF(ISNUMBER($D811),IF(AND($D811&gt;=1,MOD($D811,1)=0),"－",IF(MOD($D811,1)&lt;$L$6,"朝",IF(MOD($D811,1)&lt;$L$7,"昼",IF(MOD($D811,1)&lt;$L$8,"夕方","夜")))),IF(OR($D811="朝",$D811="昼",$D811="夕方",$D811="夜"),$D811,"⚠ 不明"))))</f>
        <v/>
      </c>
    </row>
    <row r="812" customFormat="false" ht="15" hidden="false" customHeight="false" outlineLevel="0" collapsed="false">
      <c r="A812" s="75"/>
      <c r="B812" s="76"/>
      <c r="C812" s="77"/>
      <c r="D812" s="78"/>
      <c r="E812" s="77"/>
      <c r="F812" s="76"/>
      <c r="G812" s="76"/>
      <c r="I812" s="79" t="str">
        <f aca="false">IF($B812="","",IF(ISNUMBER(MATCH($B812,日別データ!$B$13:$B$32,0)),"✔ OK","⚠ 未登録"))</f>
        <v/>
      </c>
      <c r="J812" s="80" t="str">
        <f aca="false">IF($B812="","",IF($D812="","－",IF(ISNUMBER($D812),IF(AND($D812&gt;=1,MOD($D812,1)=0),"－",IF(MOD($D812,1)&lt;$L$6,"朝",IF(MOD($D812,1)&lt;$L$7,"昼",IF(MOD($D812,1)&lt;$L$8,"夕方","夜")))),IF(OR($D812="朝",$D812="昼",$D812="夕方",$D812="夜"),$D812,"⚠ 不明"))))</f>
        <v/>
      </c>
    </row>
    <row r="813" customFormat="false" ht="15" hidden="false" customHeight="false" outlineLevel="0" collapsed="false">
      <c r="A813" s="75"/>
      <c r="B813" s="76"/>
      <c r="C813" s="77"/>
      <c r="D813" s="78"/>
      <c r="E813" s="77"/>
      <c r="F813" s="76"/>
      <c r="G813" s="76"/>
      <c r="I813" s="79" t="str">
        <f aca="false">IF($B813="","",IF(ISNUMBER(MATCH($B813,日別データ!$B$13:$B$32,0)),"✔ OK","⚠ 未登録"))</f>
        <v/>
      </c>
      <c r="J813" s="80" t="str">
        <f aca="false">IF($B813="","",IF($D813="","－",IF(ISNUMBER($D813),IF(AND($D813&gt;=1,MOD($D813,1)=0),"－",IF(MOD($D813,1)&lt;$L$6,"朝",IF(MOD($D813,1)&lt;$L$7,"昼",IF(MOD($D813,1)&lt;$L$8,"夕方","夜")))),IF(OR($D813="朝",$D813="昼",$D813="夕方",$D813="夜"),$D813,"⚠ 不明"))))</f>
        <v/>
      </c>
    </row>
    <row r="814" customFormat="false" ht="15" hidden="false" customHeight="false" outlineLevel="0" collapsed="false">
      <c r="A814" s="75"/>
      <c r="B814" s="76"/>
      <c r="C814" s="77"/>
      <c r="D814" s="78"/>
      <c r="E814" s="77"/>
      <c r="F814" s="76"/>
      <c r="G814" s="76"/>
      <c r="I814" s="79" t="str">
        <f aca="false">IF($B814="","",IF(ISNUMBER(MATCH($B814,日別データ!$B$13:$B$32,0)),"✔ OK","⚠ 未登録"))</f>
        <v/>
      </c>
      <c r="J814" s="80" t="str">
        <f aca="false">IF($B814="","",IF($D814="","－",IF(ISNUMBER($D814),IF(AND($D814&gt;=1,MOD($D814,1)=0),"－",IF(MOD($D814,1)&lt;$L$6,"朝",IF(MOD($D814,1)&lt;$L$7,"昼",IF(MOD($D814,1)&lt;$L$8,"夕方","夜")))),IF(OR($D814="朝",$D814="昼",$D814="夕方",$D814="夜"),$D814,"⚠ 不明"))))</f>
        <v/>
      </c>
    </row>
    <row r="815" customFormat="false" ht="15" hidden="false" customHeight="false" outlineLevel="0" collapsed="false">
      <c r="A815" s="75"/>
      <c r="B815" s="76"/>
      <c r="C815" s="77"/>
      <c r="D815" s="78"/>
      <c r="E815" s="77"/>
      <c r="F815" s="76"/>
      <c r="G815" s="76"/>
      <c r="I815" s="79" t="str">
        <f aca="false">IF($B815="","",IF(ISNUMBER(MATCH($B815,日別データ!$B$13:$B$32,0)),"✔ OK","⚠ 未登録"))</f>
        <v/>
      </c>
      <c r="J815" s="80" t="str">
        <f aca="false">IF($B815="","",IF($D815="","－",IF(ISNUMBER($D815),IF(AND($D815&gt;=1,MOD($D815,1)=0),"－",IF(MOD($D815,1)&lt;$L$6,"朝",IF(MOD($D815,1)&lt;$L$7,"昼",IF(MOD($D815,1)&lt;$L$8,"夕方","夜")))),IF(OR($D815="朝",$D815="昼",$D815="夕方",$D815="夜"),$D815,"⚠ 不明"))))</f>
        <v/>
      </c>
    </row>
    <row r="816" customFormat="false" ht="15" hidden="false" customHeight="false" outlineLevel="0" collapsed="false">
      <c r="A816" s="75"/>
      <c r="B816" s="76"/>
      <c r="C816" s="77"/>
      <c r="D816" s="78"/>
      <c r="E816" s="77"/>
      <c r="F816" s="76"/>
      <c r="G816" s="76"/>
      <c r="I816" s="79" t="str">
        <f aca="false">IF($B816="","",IF(ISNUMBER(MATCH($B816,日別データ!$B$13:$B$32,0)),"✔ OK","⚠ 未登録"))</f>
        <v/>
      </c>
      <c r="J816" s="80" t="str">
        <f aca="false">IF($B816="","",IF($D816="","－",IF(ISNUMBER($D816),IF(AND($D816&gt;=1,MOD($D816,1)=0),"－",IF(MOD($D816,1)&lt;$L$6,"朝",IF(MOD($D816,1)&lt;$L$7,"昼",IF(MOD($D816,1)&lt;$L$8,"夕方","夜")))),IF(OR($D816="朝",$D816="昼",$D816="夕方",$D816="夜"),$D816,"⚠ 不明"))))</f>
        <v/>
      </c>
    </row>
    <row r="817" customFormat="false" ht="15" hidden="false" customHeight="false" outlineLevel="0" collapsed="false">
      <c r="A817" s="75"/>
      <c r="B817" s="76"/>
      <c r="C817" s="77"/>
      <c r="D817" s="78"/>
      <c r="E817" s="77"/>
      <c r="F817" s="76"/>
      <c r="G817" s="76"/>
      <c r="I817" s="79" t="str">
        <f aca="false">IF($B817="","",IF(ISNUMBER(MATCH($B817,日別データ!$B$13:$B$32,0)),"✔ OK","⚠ 未登録"))</f>
        <v/>
      </c>
      <c r="J817" s="80" t="str">
        <f aca="false">IF($B817="","",IF($D817="","－",IF(ISNUMBER($D817),IF(AND($D817&gt;=1,MOD($D817,1)=0),"－",IF(MOD($D817,1)&lt;$L$6,"朝",IF(MOD($D817,1)&lt;$L$7,"昼",IF(MOD($D817,1)&lt;$L$8,"夕方","夜")))),IF(OR($D817="朝",$D817="昼",$D817="夕方",$D817="夜"),$D817,"⚠ 不明"))))</f>
        <v/>
      </c>
    </row>
    <row r="818" customFormat="false" ht="15" hidden="false" customHeight="false" outlineLevel="0" collapsed="false">
      <c r="A818" s="75"/>
      <c r="B818" s="76"/>
      <c r="C818" s="77"/>
      <c r="D818" s="78"/>
      <c r="E818" s="77"/>
      <c r="F818" s="76"/>
      <c r="G818" s="76"/>
      <c r="I818" s="79" t="str">
        <f aca="false">IF($B818="","",IF(ISNUMBER(MATCH($B818,日別データ!$B$13:$B$32,0)),"✔ OK","⚠ 未登録"))</f>
        <v/>
      </c>
      <c r="J818" s="80" t="str">
        <f aca="false">IF($B818="","",IF($D818="","－",IF(ISNUMBER($D818),IF(AND($D818&gt;=1,MOD($D818,1)=0),"－",IF(MOD($D818,1)&lt;$L$6,"朝",IF(MOD($D818,1)&lt;$L$7,"昼",IF(MOD($D818,1)&lt;$L$8,"夕方","夜")))),IF(OR($D818="朝",$D818="昼",$D818="夕方",$D818="夜"),$D818,"⚠ 不明"))))</f>
        <v/>
      </c>
    </row>
    <row r="819" customFormat="false" ht="15" hidden="false" customHeight="false" outlineLevel="0" collapsed="false">
      <c r="A819" s="75"/>
      <c r="B819" s="76"/>
      <c r="C819" s="77"/>
      <c r="D819" s="78"/>
      <c r="E819" s="77"/>
      <c r="F819" s="76"/>
      <c r="G819" s="76"/>
      <c r="I819" s="79" t="str">
        <f aca="false">IF($B819="","",IF(ISNUMBER(MATCH($B819,日別データ!$B$13:$B$32,0)),"✔ OK","⚠ 未登録"))</f>
        <v/>
      </c>
      <c r="J819" s="80" t="str">
        <f aca="false">IF($B819="","",IF($D819="","－",IF(ISNUMBER($D819),IF(AND($D819&gt;=1,MOD($D819,1)=0),"－",IF(MOD($D819,1)&lt;$L$6,"朝",IF(MOD($D819,1)&lt;$L$7,"昼",IF(MOD($D819,1)&lt;$L$8,"夕方","夜")))),IF(OR($D819="朝",$D819="昼",$D819="夕方",$D819="夜"),$D819,"⚠ 不明"))))</f>
        <v/>
      </c>
    </row>
    <row r="820" customFormat="false" ht="15" hidden="false" customHeight="false" outlineLevel="0" collapsed="false">
      <c r="A820" s="75"/>
      <c r="B820" s="76"/>
      <c r="C820" s="77"/>
      <c r="D820" s="78"/>
      <c r="E820" s="77"/>
      <c r="F820" s="76"/>
      <c r="G820" s="76"/>
      <c r="I820" s="79" t="str">
        <f aca="false">IF($B820="","",IF(ISNUMBER(MATCH($B820,日別データ!$B$13:$B$32,0)),"✔ OK","⚠ 未登録"))</f>
        <v/>
      </c>
      <c r="J820" s="80" t="str">
        <f aca="false">IF($B820="","",IF($D820="","－",IF(ISNUMBER($D820),IF(AND($D820&gt;=1,MOD($D820,1)=0),"－",IF(MOD($D820,1)&lt;$L$6,"朝",IF(MOD($D820,1)&lt;$L$7,"昼",IF(MOD($D820,1)&lt;$L$8,"夕方","夜")))),IF(OR($D820="朝",$D820="昼",$D820="夕方",$D820="夜"),$D820,"⚠ 不明"))))</f>
        <v/>
      </c>
    </row>
    <row r="821" customFormat="false" ht="15" hidden="false" customHeight="false" outlineLevel="0" collapsed="false">
      <c r="A821" s="75"/>
      <c r="B821" s="76"/>
      <c r="C821" s="77"/>
      <c r="D821" s="78"/>
      <c r="E821" s="77"/>
      <c r="F821" s="76"/>
      <c r="G821" s="76"/>
      <c r="I821" s="79" t="str">
        <f aca="false">IF($B821="","",IF(ISNUMBER(MATCH($B821,日別データ!$B$13:$B$32,0)),"✔ OK","⚠ 未登録"))</f>
        <v/>
      </c>
      <c r="J821" s="80" t="str">
        <f aca="false">IF($B821="","",IF($D821="","－",IF(ISNUMBER($D821),IF(AND($D821&gt;=1,MOD($D821,1)=0),"－",IF(MOD($D821,1)&lt;$L$6,"朝",IF(MOD($D821,1)&lt;$L$7,"昼",IF(MOD($D821,1)&lt;$L$8,"夕方","夜")))),IF(OR($D821="朝",$D821="昼",$D821="夕方",$D821="夜"),$D821,"⚠ 不明"))))</f>
        <v/>
      </c>
    </row>
    <row r="822" customFormat="false" ht="15" hidden="false" customHeight="false" outlineLevel="0" collapsed="false">
      <c r="A822" s="75"/>
      <c r="B822" s="76"/>
      <c r="C822" s="77"/>
      <c r="D822" s="78"/>
      <c r="E822" s="77"/>
      <c r="F822" s="76"/>
      <c r="G822" s="76"/>
      <c r="I822" s="79" t="str">
        <f aca="false">IF($B822="","",IF(ISNUMBER(MATCH($B822,日別データ!$B$13:$B$32,0)),"✔ OK","⚠ 未登録"))</f>
        <v/>
      </c>
      <c r="J822" s="80" t="str">
        <f aca="false">IF($B822="","",IF($D822="","－",IF(ISNUMBER($D822),IF(AND($D822&gt;=1,MOD($D822,1)=0),"－",IF(MOD($D822,1)&lt;$L$6,"朝",IF(MOD($D822,1)&lt;$L$7,"昼",IF(MOD($D822,1)&lt;$L$8,"夕方","夜")))),IF(OR($D822="朝",$D822="昼",$D822="夕方",$D822="夜"),$D822,"⚠ 不明"))))</f>
        <v/>
      </c>
    </row>
    <row r="823" customFormat="false" ht="15" hidden="false" customHeight="false" outlineLevel="0" collapsed="false">
      <c r="A823" s="75"/>
      <c r="B823" s="76"/>
      <c r="C823" s="77"/>
      <c r="D823" s="78"/>
      <c r="E823" s="77"/>
      <c r="F823" s="76"/>
      <c r="G823" s="76"/>
      <c r="I823" s="79" t="str">
        <f aca="false">IF($B823="","",IF(ISNUMBER(MATCH($B823,日別データ!$B$13:$B$32,0)),"✔ OK","⚠ 未登録"))</f>
        <v/>
      </c>
      <c r="J823" s="80" t="str">
        <f aca="false">IF($B823="","",IF($D823="","－",IF(ISNUMBER($D823),IF(AND($D823&gt;=1,MOD($D823,1)=0),"－",IF(MOD($D823,1)&lt;$L$6,"朝",IF(MOD($D823,1)&lt;$L$7,"昼",IF(MOD($D823,1)&lt;$L$8,"夕方","夜")))),IF(OR($D823="朝",$D823="昼",$D823="夕方",$D823="夜"),$D823,"⚠ 不明"))))</f>
        <v/>
      </c>
    </row>
    <row r="824" customFormat="false" ht="15" hidden="false" customHeight="false" outlineLevel="0" collapsed="false">
      <c r="A824" s="75"/>
      <c r="B824" s="76"/>
      <c r="C824" s="77"/>
      <c r="D824" s="78"/>
      <c r="E824" s="77"/>
      <c r="F824" s="76"/>
      <c r="G824" s="76"/>
      <c r="I824" s="79" t="str">
        <f aca="false">IF($B824="","",IF(ISNUMBER(MATCH($B824,日別データ!$B$13:$B$32,0)),"✔ OK","⚠ 未登録"))</f>
        <v/>
      </c>
      <c r="J824" s="80" t="str">
        <f aca="false">IF($B824="","",IF($D824="","－",IF(ISNUMBER($D824),IF(AND($D824&gt;=1,MOD($D824,1)=0),"－",IF(MOD($D824,1)&lt;$L$6,"朝",IF(MOD($D824,1)&lt;$L$7,"昼",IF(MOD($D824,1)&lt;$L$8,"夕方","夜")))),IF(OR($D824="朝",$D824="昼",$D824="夕方",$D824="夜"),$D824,"⚠ 不明"))))</f>
        <v/>
      </c>
    </row>
    <row r="825" customFormat="false" ht="15" hidden="false" customHeight="false" outlineLevel="0" collapsed="false">
      <c r="A825" s="75"/>
      <c r="B825" s="76"/>
      <c r="C825" s="77"/>
      <c r="D825" s="78"/>
      <c r="E825" s="77"/>
      <c r="F825" s="76"/>
      <c r="G825" s="76"/>
      <c r="I825" s="79" t="str">
        <f aca="false">IF($B825="","",IF(ISNUMBER(MATCH($B825,日別データ!$B$13:$B$32,0)),"✔ OK","⚠ 未登録"))</f>
        <v/>
      </c>
      <c r="J825" s="80" t="str">
        <f aca="false">IF($B825="","",IF($D825="","－",IF(ISNUMBER($D825),IF(AND($D825&gt;=1,MOD($D825,1)=0),"－",IF(MOD($D825,1)&lt;$L$6,"朝",IF(MOD($D825,1)&lt;$L$7,"昼",IF(MOD($D825,1)&lt;$L$8,"夕方","夜")))),IF(OR($D825="朝",$D825="昼",$D825="夕方",$D825="夜"),$D825,"⚠ 不明"))))</f>
        <v/>
      </c>
    </row>
    <row r="826" customFormat="false" ht="15" hidden="false" customHeight="false" outlineLevel="0" collapsed="false">
      <c r="A826" s="75"/>
      <c r="B826" s="76"/>
      <c r="C826" s="77"/>
      <c r="D826" s="78"/>
      <c r="E826" s="77"/>
      <c r="F826" s="76"/>
      <c r="G826" s="76"/>
      <c r="I826" s="79" t="str">
        <f aca="false">IF($B826="","",IF(ISNUMBER(MATCH($B826,日別データ!$B$13:$B$32,0)),"✔ OK","⚠ 未登録"))</f>
        <v/>
      </c>
      <c r="J826" s="80" t="str">
        <f aca="false">IF($B826="","",IF($D826="","－",IF(ISNUMBER($D826),IF(AND($D826&gt;=1,MOD($D826,1)=0),"－",IF(MOD($D826,1)&lt;$L$6,"朝",IF(MOD($D826,1)&lt;$L$7,"昼",IF(MOD($D826,1)&lt;$L$8,"夕方","夜")))),IF(OR($D826="朝",$D826="昼",$D826="夕方",$D826="夜"),$D826,"⚠ 不明"))))</f>
        <v/>
      </c>
    </row>
    <row r="827" customFormat="false" ht="15" hidden="false" customHeight="false" outlineLevel="0" collapsed="false">
      <c r="A827" s="75"/>
      <c r="B827" s="76"/>
      <c r="C827" s="77"/>
      <c r="D827" s="78"/>
      <c r="E827" s="77"/>
      <c r="F827" s="76"/>
      <c r="G827" s="76"/>
      <c r="I827" s="79" t="str">
        <f aca="false">IF($B827="","",IF(ISNUMBER(MATCH($B827,日別データ!$B$13:$B$32,0)),"✔ OK","⚠ 未登録"))</f>
        <v/>
      </c>
      <c r="J827" s="80" t="str">
        <f aca="false">IF($B827="","",IF($D827="","－",IF(ISNUMBER($D827),IF(AND($D827&gt;=1,MOD($D827,1)=0),"－",IF(MOD($D827,1)&lt;$L$6,"朝",IF(MOD($D827,1)&lt;$L$7,"昼",IF(MOD($D827,1)&lt;$L$8,"夕方","夜")))),IF(OR($D827="朝",$D827="昼",$D827="夕方",$D827="夜"),$D827,"⚠ 不明"))))</f>
        <v/>
      </c>
    </row>
    <row r="828" customFormat="false" ht="15" hidden="false" customHeight="false" outlineLevel="0" collapsed="false">
      <c r="A828" s="75"/>
      <c r="B828" s="76"/>
      <c r="C828" s="77"/>
      <c r="D828" s="78"/>
      <c r="E828" s="77"/>
      <c r="F828" s="76"/>
      <c r="G828" s="76"/>
      <c r="I828" s="79" t="str">
        <f aca="false">IF($B828="","",IF(ISNUMBER(MATCH($B828,日別データ!$B$13:$B$32,0)),"✔ OK","⚠ 未登録"))</f>
        <v/>
      </c>
      <c r="J828" s="80" t="str">
        <f aca="false">IF($B828="","",IF($D828="","－",IF(ISNUMBER($D828),IF(AND($D828&gt;=1,MOD($D828,1)=0),"－",IF(MOD($D828,1)&lt;$L$6,"朝",IF(MOD($D828,1)&lt;$L$7,"昼",IF(MOD($D828,1)&lt;$L$8,"夕方","夜")))),IF(OR($D828="朝",$D828="昼",$D828="夕方",$D828="夜"),$D828,"⚠ 不明"))))</f>
        <v/>
      </c>
    </row>
    <row r="829" customFormat="false" ht="15" hidden="false" customHeight="false" outlineLevel="0" collapsed="false">
      <c r="A829" s="75"/>
      <c r="B829" s="76"/>
      <c r="C829" s="77"/>
      <c r="D829" s="78"/>
      <c r="E829" s="77"/>
      <c r="F829" s="76"/>
      <c r="G829" s="76"/>
      <c r="I829" s="79" t="str">
        <f aca="false">IF($B829="","",IF(ISNUMBER(MATCH($B829,日別データ!$B$13:$B$32,0)),"✔ OK","⚠ 未登録"))</f>
        <v/>
      </c>
      <c r="J829" s="80" t="str">
        <f aca="false">IF($B829="","",IF($D829="","－",IF(ISNUMBER($D829),IF(AND($D829&gt;=1,MOD($D829,1)=0),"－",IF(MOD($D829,1)&lt;$L$6,"朝",IF(MOD($D829,1)&lt;$L$7,"昼",IF(MOD($D829,1)&lt;$L$8,"夕方","夜")))),IF(OR($D829="朝",$D829="昼",$D829="夕方",$D829="夜"),$D829,"⚠ 不明"))))</f>
        <v/>
      </c>
    </row>
    <row r="830" customFormat="false" ht="15" hidden="false" customHeight="false" outlineLevel="0" collapsed="false">
      <c r="A830" s="75"/>
      <c r="B830" s="76"/>
      <c r="C830" s="77"/>
      <c r="D830" s="78"/>
      <c r="E830" s="77"/>
      <c r="F830" s="76"/>
      <c r="G830" s="76"/>
      <c r="I830" s="79" t="str">
        <f aca="false">IF($B830="","",IF(ISNUMBER(MATCH($B830,日別データ!$B$13:$B$32,0)),"✔ OK","⚠ 未登録"))</f>
        <v/>
      </c>
      <c r="J830" s="80" t="str">
        <f aca="false">IF($B830="","",IF($D830="","－",IF(ISNUMBER($D830),IF(AND($D830&gt;=1,MOD($D830,1)=0),"－",IF(MOD($D830,1)&lt;$L$6,"朝",IF(MOD($D830,1)&lt;$L$7,"昼",IF(MOD($D830,1)&lt;$L$8,"夕方","夜")))),IF(OR($D830="朝",$D830="昼",$D830="夕方",$D830="夜"),$D830,"⚠ 不明"))))</f>
        <v/>
      </c>
    </row>
    <row r="831" customFormat="false" ht="15" hidden="false" customHeight="false" outlineLevel="0" collapsed="false">
      <c r="A831" s="75"/>
      <c r="B831" s="76"/>
      <c r="C831" s="77"/>
      <c r="D831" s="78"/>
      <c r="E831" s="77"/>
      <c r="F831" s="76"/>
      <c r="G831" s="76"/>
      <c r="I831" s="79" t="str">
        <f aca="false">IF($B831="","",IF(ISNUMBER(MATCH($B831,日別データ!$B$13:$B$32,0)),"✔ OK","⚠ 未登録"))</f>
        <v/>
      </c>
      <c r="J831" s="80" t="str">
        <f aca="false">IF($B831="","",IF($D831="","－",IF(ISNUMBER($D831),IF(AND($D831&gt;=1,MOD($D831,1)=0),"－",IF(MOD($D831,1)&lt;$L$6,"朝",IF(MOD($D831,1)&lt;$L$7,"昼",IF(MOD($D831,1)&lt;$L$8,"夕方","夜")))),IF(OR($D831="朝",$D831="昼",$D831="夕方",$D831="夜"),$D831,"⚠ 不明"))))</f>
        <v/>
      </c>
    </row>
    <row r="832" customFormat="false" ht="15" hidden="false" customHeight="false" outlineLevel="0" collapsed="false">
      <c r="A832" s="75"/>
      <c r="B832" s="76"/>
      <c r="C832" s="77"/>
      <c r="D832" s="78"/>
      <c r="E832" s="77"/>
      <c r="F832" s="76"/>
      <c r="G832" s="76"/>
      <c r="I832" s="79" t="str">
        <f aca="false">IF($B832="","",IF(ISNUMBER(MATCH($B832,日別データ!$B$13:$B$32,0)),"✔ OK","⚠ 未登録"))</f>
        <v/>
      </c>
      <c r="J832" s="80" t="str">
        <f aca="false">IF($B832="","",IF($D832="","－",IF(ISNUMBER($D832),IF(AND($D832&gt;=1,MOD($D832,1)=0),"－",IF(MOD($D832,1)&lt;$L$6,"朝",IF(MOD($D832,1)&lt;$L$7,"昼",IF(MOD($D832,1)&lt;$L$8,"夕方","夜")))),IF(OR($D832="朝",$D832="昼",$D832="夕方",$D832="夜"),$D832,"⚠ 不明"))))</f>
        <v/>
      </c>
    </row>
    <row r="833" customFormat="false" ht="15" hidden="false" customHeight="false" outlineLevel="0" collapsed="false">
      <c r="A833" s="75"/>
      <c r="B833" s="76"/>
      <c r="C833" s="77"/>
      <c r="D833" s="78"/>
      <c r="E833" s="77"/>
      <c r="F833" s="76"/>
      <c r="G833" s="76"/>
      <c r="I833" s="79" t="str">
        <f aca="false">IF($B833="","",IF(ISNUMBER(MATCH($B833,日別データ!$B$13:$B$32,0)),"✔ OK","⚠ 未登録"))</f>
        <v/>
      </c>
      <c r="J833" s="80" t="str">
        <f aca="false">IF($B833="","",IF($D833="","－",IF(ISNUMBER($D833),IF(AND($D833&gt;=1,MOD($D833,1)=0),"－",IF(MOD($D833,1)&lt;$L$6,"朝",IF(MOD($D833,1)&lt;$L$7,"昼",IF(MOD($D833,1)&lt;$L$8,"夕方","夜")))),IF(OR($D833="朝",$D833="昼",$D833="夕方",$D833="夜"),$D833,"⚠ 不明"))))</f>
        <v/>
      </c>
    </row>
    <row r="834" customFormat="false" ht="15" hidden="false" customHeight="false" outlineLevel="0" collapsed="false">
      <c r="A834" s="75"/>
      <c r="B834" s="76"/>
      <c r="C834" s="77"/>
      <c r="D834" s="78"/>
      <c r="E834" s="77"/>
      <c r="F834" s="76"/>
      <c r="G834" s="76"/>
      <c r="I834" s="79" t="str">
        <f aca="false">IF($B834="","",IF(ISNUMBER(MATCH($B834,日別データ!$B$13:$B$32,0)),"✔ OK","⚠ 未登録"))</f>
        <v/>
      </c>
      <c r="J834" s="80" t="str">
        <f aca="false">IF($B834="","",IF($D834="","－",IF(ISNUMBER($D834),IF(AND($D834&gt;=1,MOD($D834,1)=0),"－",IF(MOD($D834,1)&lt;$L$6,"朝",IF(MOD($D834,1)&lt;$L$7,"昼",IF(MOD($D834,1)&lt;$L$8,"夕方","夜")))),IF(OR($D834="朝",$D834="昼",$D834="夕方",$D834="夜"),$D834,"⚠ 不明"))))</f>
        <v/>
      </c>
    </row>
    <row r="835" customFormat="false" ht="15" hidden="false" customHeight="false" outlineLevel="0" collapsed="false">
      <c r="A835" s="75"/>
      <c r="B835" s="76"/>
      <c r="C835" s="77"/>
      <c r="D835" s="78"/>
      <c r="E835" s="77"/>
      <c r="F835" s="76"/>
      <c r="G835" s="76"/>
      <c r="I835" s="79" t="str">
        <f aca="false">IF($B835="","",IF(ISNUMBER(MATCH($B835,日別データ!$B$13:$B$32,0)),"✔ OK","⚠ 未登録"))</f>
        <v/>
      </c>
      <c r="J835" s="80" t="str">
        <f aca="false">IF($B835="","",IF($D835="","－",IF(ISNUMBER($D835),IF(AND($D835&gt;=1,MOD($D835,1)=0),"－",IF(MOD($D835,1)&lt;$L$6,"朝",IF(MOD($D835,1)&lt;$L$7,"昼",IF(MOD($D835,1)&lt;$L$8,"夕方","夜")))),IF(OR($D835="朝",$D835="昼",$D835="夕方",$D835="夜"),$D835,"⚠ 不明"))))</f>
        <v/>
      </c>
    </row>
    <row r="836" customFormat="false" ht="15" hidden="false" customHeight="false" outlineLevel="0" collapsed="false">
      <c r="A836" s="75"/>
      <c r="B836" s="76"/>
      <c r="C836" s="77"/>
      <c r="D836" s="78"/>
      <c r="E836" s="77"/>
      <c r="F836" s="76"/>
      <c r="G836" s="76"/>
      <c r="I836" s="79" t="str">
        <f aca="false">IF($B836="","",IF(ISNUMBER(MATCH($B836,日別データ!$B$13:$B$32,0)),"✔ OK","⚠ 未登録"))</f>
        <v/>
      </c>
      <c r="J836" s="80" t="str">
        <f aca="false">IF($B836="","",IF($D836="","－",IF(ISNUMBER($D836),IF(AND($D836&gt;=1,MOD($D836,1)=0),"－",IF(MOD($D836,1)&lt;$L$6,"朝",IF(MOD($D836,1)&lt;$L$7,"昼",IF(MOD($D836,1)&lt;$L$8,"夕方","夜")))),IF(OR($D836="朝",$D836="昼",$D836="夕方",$D836="夜"),$D836,"⚠ 不明"))))</f>
        <v/>
      </c>
    </row>
    <row r="837" customFormat="false" ht="15" hidden="false" customHeight="false" outlineLevel="0" collapsed="false">
      <c r="A837" s="75"/>
      <c r="B837" s="76"/>
      <c r="C837" s="77"/>
      <c r="D837" s="78"/>
      <c r="E837" s="77"/>
      <c r="F837" s="76"/>
      <c r="G837" s="76"/>
      <c r="I837" s="79" t="str">
        <f aca="false">IF($B837="","",IF(ISNUMBER(MATCH($B837,日別データ!$B$13:$B$32,0)),"✔ OK","⚠ 未登録"))</f>
        <v/>
      </c>
      <c r="J837" s="80" t="str">
        <f aca="false">IF($B837="","",IF($D837="","－",IF(ISNUMBER($D837),IF(AND($D837&gt;=1,MOD($D837,1)=0),"－",IF(MOD($D837,1)&lt;$L$6,"朝",IF(MOD($D837,1)&lt;$L$7,"昼",IF(MOD($D837,1)&lt;$L$8,"夕方","夜")))),IF(OR($D837="朝",$D837="昼",$D837="夕方",$D837="夜"),$D837,"⚠ 不明"))))</f>
        <v/>
      </c>
    </row>
    <row r="838" customFormat="false" ht="15" hidden="false" customHeight="false" outlineLevel="0" collapsed="false">
      <c r="A838" s="75"/>
      <c r="B838" s="76"/>
      <c r="C838" s="77"/>
      <c r="D838" s="78"/>
      <c r="E838" s="77"/>
      <c r="F838" s="76"/>
      <c r="G838" s="76"/>
      <c r="I838" s="79" t="str">
        <f aca="false">IF($B838="","",IF(ISNUMBER(MATCH($B838,日別データ!$B$13:$B$32,0)),"✔ OK","⚠ 未登録"))</f>
        <v/>
      </c>
      <c r="J838" s="80" t="str">
        <f aca="false">IF($B838="","",IF($D838="","－",IF(ISNUMBER($D838),IF(AND($D838&gt;=1,MOD($D838,1)=0),"－",IF(MOD($D838,1)&lt;$L$6,"朝",IF(MOD($D838,1)&lt;$L$7,"昼",IF(MOD($D838,1)&lt;$L$8,"夕方","夜")))),IF(OR($D838="朝",$D838="昼",$D838="夕方",$D838="夜"),$D838,"⚠ 不明"))))</f>
        <v/>
      </c>
    </row>
    <row r="839" customFormat="false" ht="15" hidden="false" customHeight="false" outlineLevel="0" collapsed="false">
      <c r="A839" s="75"/>
      <c r="B839" s="76"/>
      <c r="C839" s="77"/>
      <c r="D839" s="78"/>
      <c r="E839" s="77"/>
      <c r="F839" s="76"/>
      <c r="G839" s="76"/>
      <c r="I839" s="79" t="str">
        <f aca="false">IF($B839="","",IF(ISNUMBER(MATCH($B839,日別データ!$B$13:$B$32,0)),"✔ OK","⚠ 未登録"))</f>
        <v/>
      </c>
      <c r="J839" s="80" t="str">
        <f aca="false">IF($B839="","",IF($D839="","－",IF(ISNUMBER($D839),IF(AND($D839&gt;=1,MOD($D839,1)=0),"－",IF(MOD($D839,1)&lt;$L$6,"朝",IF(MOD($D839,1)&lt;$L$7,"昼",IF(MOD($D839,1)&lt;$L$8,"夕方","夜")))),IF(OR($D839="朝",$D839="昼",$D839="夕方",$D839="夜"),$D839,"⚠ 不明"))))</f>
        <v/>
      </c>
    </row>
    <row r="840" customFormat="false" ht="15" hidden="false" customHeight="false" outlineLevel="0" collapsed="false">
      <c r="A840" s="75"/>
      <c r="B840" s="76"/>
      <c r="C840" s="77"/>
      <c r="D840" s="78"/>
      <c r="E840" s="77"/>
      <c r="F840" s="76"/>
      <c r="G840" s="76"/>
      <c r="I840" s="79" t="str">
        <f aca="false">IF($B840="","",IF(ISNUMBER(MATCH($B840,日別データ!$B$13:$B$32,0)),"✔ OK","⚠ 未登録"))</f>
        <v/>
      </c>
      <c r="J840" s="80" t="str">
        <f aca="false">IF($B840="","",IF($D840="","－",IF(ISNUMBER($D840),IF(AND($D840&gt;=1,MOD($D840,1)=0),"－",IF(MOD($D840,1)&lt;$L$6,"朝",IF(MOD($D840,1)&lt;$L$7,"昼",IF(MOD($D840,1)&lt;$L$8,"夕方","夜")))),IF(OR($D840="朝",$D840="昼",$D840="夕方",$D840="夜"),$D840,"⚠ 不明"))))</f>
        <v/>
      </c>
    </row>
    <row r="841" customFormat="false" ht="15" hidden="false" customHeight="false" outlineLevel="0" collapsed="false">
      <c r="A841" s="75"/>
      <c r="B841" s="76"/>
      <c r="C841" s="77"/>
      <c r="D841" s="78"/>
      <c r="E841" s="77"/>
      <c r="F841" s="76"/>
      <c r="G841" s="76"/>
      <c r="I841" s="79" t="str">
        <f aca="false">IF($B841="","",IF(ISNUMBER(MATCH($B841,日別データ!$B$13:$B$32,0)),"✔ OK","⚠ 未登録"))</f>
        <v/>
      </c>
      <c r="J841" s="80" t="str">
        <f aca="false">IF($B841="","",IF($D841="","－",IF(ISNUMBER($D841),IF(AND($D841&gt;=1,MOD($D841,1)=0),"－",IF(MOD($D841,1)&lt;$L$6,"朝",IF(MOD($D841,1)&lt;$L$7,"昼",IF(MOD($D841,1)&lt;$L$8,"夕方","夜")))),IF(OR($D841="朝",$D841="昼",$D841="夕方",$D841="夜"),$D841,"⚠ 不明"))))</f>
        <v/>
      </c>
    </row>
    <row r="842" customFormat="false" ht="15" hidden="false" customHeight="false" outlineLevel="0" collapsed="false">
      <c r="A842" s="75"/>
      <c r="B842" s="76"/>
      <c r="C842" s="77"/>
      <c r="D842" s="78"/>
      <c r="E842" s="77"/>
      <c r="F842" s="76"/>
      <c r="G842" s="76"/>
      <c r="I842" s="79" t="str">
        <f aca="false">IF($B842="","",IF(ISNUMBER(MATCH($B842,日別データ!$B$13:$B$32,0)),"✔ OK","⚠ 未登録"))</f>
        <v/>
      </c>
      <c r="J842" s="80" t="str">
        <f aca="false">IF($B842="","",IF($D842="","－",IF(ISNUMBER($D842),IF(AND($D842&gt;=1,MOD($D842,1)=0),"－",IF(MOD($D842,1)&lt;$L$6,"朝",IF(MOD($D842,1)&lt;$L$7,"昼",IF(MOD($D842,1)&lt;$L$8,"夕方","夜")))),IF(OR($D842="朝",$D842="昼",$D842="夕方",$D842="夜"),$D842,"⚠ 不明"))))</f>
        <v/>
      </c>
    </row>
    <row r="843" customFormat="false" ht="15" hidden="false" customHeight="false" outlineLevel="0" collapsed="false">
      <c r="A843" s="75"/>
      <c r="B843" s="76"/>
      <c r="C843" s="77"/>
      <c r="D843" s="78"/>
      <c r="E843" s="77"/>
      <c r="F843" s="76"/>
      <c r="G843" s="76"/>
      <c r="I843" s="79" t="str">
        <f aca="false">IF($B843="","",IF(ISNUMBER(MATCH($B843,日別データ!$B$13:$B$32,0)),"✔ OK","⚠ 未登録"))</f>
        <v/>
      </c>
      <c r="J843" s="80" t="str">
        <f aca="false">IF($B843="","",IF($D843="","－",IF(ISNUMBER($D843),IF(AND($D843&gt;=1,MOD($D843,1)=0),"－",IF(MOD($D843,1)&lt;$L$6,"朝",IF(MOD($D843,1)&lt;$L$7,"昼",IF(MOD($D843,1)&lt;$L$8,"夕方","夜")))),IF(OR($D843="朝",$D843="昼",$D843="夕方",$D843="夜"),$D843,"⚠ 不明"))))</f>
        <v/>
      </c>
    </row>
    <row r="844" customFormat="false" ht="15" hidden="false" customHeight="false" outlineLevel="0" collapsed="false">
      <c r="A844" s="75"/>
      <c r="B844" s="76"/>
      <c r="C844" s="77"/>
      <c r="D844" s="78"/>
      <c r="E844" s="77"/>
      <c r="F844" s="76"/>
      <c r="G844" s="76"/>
      <c r="I844" s="79" t="str">
        <f aca="false">IF($B844="","",IF(ISNUMBER(MATCH($B844,日別データ!$B$13:$B$32,0)),"✔ OK","⚠ 未登録"))</f>
        <v/>
      </c>
      <c r="J844" s="80" t="str">
        <f aca="false">IF($B844="","",IF($D844="","－",IF(ISNUMBER($D844),IF(AND($D844&gt;=1,MOD($D844,1)=0),"－",IF(MOD($D844,1)&lt;$L$6,"朝",IF(MOD($D844,1)&lt;$L$7,"昼",IF(MOD($D844,1)&lt;$L$8,"夕方","夜")))),IF(OR($D844="朝",$D844="昼",$D844="夕方",$D844="夜"),$D844,"⚠ 不明"))))</f>
        <v/>
      </c>
    </row>
    <row r="845" customFormat="false" ht="15" hidden="false" customHeight="false" outlineLevel="0" collapsed="false">
      <c r="A845" s="75"/>
      <c r="B845" s="76"/>
      <c r="C845" s="77"/>
      <c r="D845" s="78"/>
      <c r="E845" s="77"/>
      <c r="F845" s="76"/>
      <c r="G845" s="76"/>
      <c r="I845" s="79" t="str">
        <f aca="false">IF($B845="","",IF(ISNUMBER(MATCH($B845,日別データ!$B$13:$B$32,0)),"✔ OK","⚠ 未登録"))</f>
        <v/>
      </c>
      <c r="J845" s="80" t="str">
        <f aca="false">IF($B845="","",IF($D845="","－",IF(ISNUMBER($D845),IF(AND($D845&gt;=1,MOD($D845,1)=0),"－",IF(MOD($D845,1)&lt;$L$6,"朝",IF(MOD($D845,1)&lt;$L$7,"昼",IF(MOD($D845,1)&lt;$L$8,"夕方","夜")))),IF(OR($D845="朝",$D845="昼",$D845="夕方",$D845="夜"),$D845,"⚠ 不明"))))</f>
        <v/>
      </c>
    </row>
    <row r="846" customFormat="false" ht="15" hidden="false" customHeight="false" outlineLevel="0" collapsed="false">
      <c r="A846" s="75"/>
      <c r="B846" s="76"/>
      <c r="C846" s="77"/>
      <c r="D846" s="78"/>
      <c r="E846" s="77"/>
      <c r="F846" s="76"/>
      <c r="G846" s="76"/>
      <c r="I846" s="79" t="str">
        <f aca="false">IF($B846="","",IF(ISNUMBER(MATCH($B846,日別データ!$B$13:$B$32,0)),"✔ OK","⚠ 未登録"))</f>
        <v/>
      </c>
      <c r="J846" s="80" t="str">
        <f aca="false">IF($B846="","",IF($D846="","－",IF(ISNUMBER($D846),IF(AND($D846&gt;=1,MOD($D846,1)=0),"－",IF(MOD($D846,1)&lt;$L$6,"朝",IF(MOD($D846,1)&lt;$L$7,"昼",IF(MOD($D846,1)&lt;$L$8,"夕方","夜")))),IF(OR($D846="朝",$D846="昼",$D846="夕方",$D846="夜"),$D846,"⚠ 不明"))))</f>
        <v/>
      </c>
    </row>
    <row r="847" customFormat="false" ht="15" hidden="false" customHeight="false" outlineLevel="0" collapsed="false">
      <c r="A847" s="75"/>
      <c r="B847" s="76"/>
      <c r="C847" s="77"/>
      <c r="D847" s="78"/>
      <c r="E847" s="77"/>
      <c r="F847" s="76"/>
      <c r="G847" s="76"/>
      <c r="I847" s="79" t="str">
        <f aca="false">IF($B847="","",IF(ISNUMBER(MATCH($B847,日別データ!$B$13:$B$32,0)),"✔ OK","⚠ 未登録"))</f>
        <v/>
      </c>
      <c r="J847" s="80" t="str">
        <f aca="false">IF($B847="","",IF($D847="","－",IF(ISNUMBER($D847),IF(AND($D847&gt;=1,MOD($D847,1)=0),"－",IF(MOD($D847,1)&lt;$L$6,"朝",IF(MOD($D847,1)&lt;$L$7,"昼",IF(MOD($D847,1)&lt;$L$8,"夕方","夜")))),IF(OR($D847="朝",$D847="昼",$D847="夕方",$D847="夜"),$D847,"⚠ 不明"))))</f>
        <v/>
      </c>
    </row>
    <row r="848" customFormat="false" ht="15" hidden="false" customHeight="false" outlineLevel="0" collapsed="false">
      <c r="A848" s="75"/>
      <c r="B848" s="76"/>
      <c r="C848" s="77"/>
      <c r="D848" s="78"/>
      <c r="E848" s="77"/>
      <c r="F848" s="76"/>
      <c r="G848" s="76"/>
      <c r="I848" s="79" t="str">
        <f aca="false">IF($B848="","",IF(ISNUMBER(MATCH($B848,日別データ!$B$13:$B$32,0)),"✔ OK","⚠ 未登録"))</f>
        <v/>
      </c>
      <c r="J848" s="80" t="str">
        <f aca="false">IF($B848="","",IF($D848="","－",IF(ISNUMBER($D848),IF(AND($D848&gt;=1,MOD($D848,1)=0),"－",IF(MOD($D848,1)&lt;$L$6,"朝",IF(MOD($D848,1)&lt;$L$7,"昼",IF(MOD($D848,1)&lt;$L$8,"夕方","夜")))),IF(OR($D848="朝",$D848="昼",$D848="夕方",$D848="夜"),$D848,"⚠ 不明"))))</f>
        <v/>
      </c>
    </row>
    <row r="849" customFormat="false" ht="15" hidden="false" customHeight="false" outlineLevel="0" collapsed="false">
      <c r="A849" s="75"/>
      <c r="B849" s="76"/>
      <c r="C849" s="77"/>
      <c r="D849" s="78"/>
      <c r="E849" s="77"/>
      <c r="F849" s="76"/>
      <c r="G849" s="76"/>
      <c r="I849" s="79" t="str">
        <f aca="false">IF($B849="","",IF(ISNUMBER(MATCH($B849,日別データ!$B$13:$B$32,0)),"✔ OK","⚠ 未登録"))</f>
        <v/>
      </c>
      <c r="J849" s="80" t="str">
        <f aca="false">IF($B849="","",IF($D849="","－",IF(ISNUMBER($D849),IF(AND($D849&gt;=1,MOD($D849,1)=0),"－",IF(MOD($D849,1)&lt;$L$6,"朝",IF(MOD($D849,1)&lt;$L$7,"昼",IF(MOD($D849,1)&lt;$L$8,"夕方","夜")))),IF(OR($D849="朝",$D849="昼",$D849="夕方",$D849="夜"),$D849,"⚠ 不明"))))</f>
        <v/>
      </c>
    </row>
    <row r="850" customFormat="false" ht="15" hidden="false" customHeight="false" outlineLevel="0" collapsed="false">
      <c r="A850" s="75"/>
      <c r="B850" s="76"/>
      <c r="C850" s="77"/>
      <c r="D850" s="78"/>
      <c r="E850" s="77"/>
      <c r="F850" s="76"/>
      <c r="G850" s="76"/>
      <c r="I850" s="79" t="str">
        <f aca="false">IF($B850="","",IF(ISNUMBER(MATCH($B850,日別データ!$B$13:$B$32,0)),"✔ OK","⚠ 未登録"))</f>
        <v/>
      </c>
      <c r="J850" s="80" t="str">
        <f aca="false">IF($B850="","",IF($D850="","－",IF(ISNUMBER($D850),IF(AND($D850&gt;=1,MOD($D850,1)=0),"－",IF(MOD($D850,1)&lt;$L$6,"朝",IF(MOD($D850,1)&lt;$L$7,"昼",IF(MOD($D850,1)&lt;$L$8,"夕方","夜")))),IF(OR($D850="朝",$D850="昼",$D850="夕方",$D850="夜"),$D850,"⚠ 不明"))))</f>
        <v/>
      </c>
    </row>
    <row r="851" customFormat="false" ht="15" hidden="false" customHeight="false" outlineLevel="0" collapsed="false">
      <c r="A851" s="75"/>
      <c r="B851" s="76"/>
      <c r="C851" s="77"/>
      <c r="D851" s="78"/>
      <c r="E851" s="77"/>
      <c r="F851" s="76"/>
      <c r="G851" s="76"/>
      <c r="I851" s="79" t="str">
        <f aca="false">IF($B851="","",IF(ISNUMBER(MATCH($B851,日別データ!$B$13:$B$32,0)),"✔ OK","⚠ 未登録"))</f>
        <v/>
      </c>
      <c r="J851" s="80" t="str">
        <f aca="false">IF($B851="","",IF($D851="","－",IF(ISNUMBER($D851),IF(AND($D851&gt;=1,MOD($D851,1)=0),"－",IF(MOD($D851,1)&lt;$L$6,"朝",IF(MOD($D851,1)&lt;$L$7,"昼",IF(MOD($D851,1)&lt;$L$8,"夕方","夜")))),IF(OR($D851="朝",$D851="昼",$D851="夕方",$D851="夜"),$D851,"⚠ 不明"))))</f>
        <v/>
      </c>
    </row>
    <row r="852" customFormat="false" ht="15" hidden="false" customHeight="false" outlineLevel="0" collapsed="false">
      <c r="A852" s="75"/>
      <c r="B852" s="76"/>
      <c r="C852" s="77"/>
      <c r="D852" s="78"/>
      <c r="E852" s="77"/>
      <c r="F852" s="76"/>
      <c r="G852" s="76"/>
      <c r="I852" s="79" t="str">
        <f aca="false">IF($B852="","",IF(ISNUMBER(MATCH($B852,日別データ!$B$13:$B$32,0)),"✔ OK","⚠ 未登録"))</f>
        <v/>
      </c>
      <c r="J852" s="80" t="str">
        <f aca="false">IF($B852="","",IF($D852="","－",IF(ISNUMBER($D852),IF(AND($D852&gt;=1,MOD($D852,1)=0),"－",IF(MOD($D852,1)&lt;$L$6,"朝",IF(MOD($D852,1)&lt;$L$7,"昼",IF(MOD($D852,1)&lt;$L$8,"夕方","夜")))),IF(OR($D852="朝",$D852="昼",$D852="夕方",$D852="夜"),$D852,"⚠ 不明"))))</f>
        <v/>
      </c>
    </row>
    <row r="853" customFormat="false" ht="15" hidden="false" customHeight="false" outlineLevel="0" collapsed="false">
      <c r="A853" s="75"/>
      <c r="B853" s="76"/>
      <c r="C853" s="77"/>
      <c r="D853" s="78"/>
      <c r="E853" s="77"/>
      <c r="F853" s="76"/>
      <c r="G853" s="76"/>
      <c r="I853" s="79" t="str">
        <f aca="false">IF($B853="","",IF(ISNUMBER(MATCH($B853,日別データ!$B$13:$B$32,0)),"✔ OK","⚠ 未登録"))</f>
        <v/>
      </c>
      <c r="J853" s="80" t="str">
        <f aca="false">IF($B853="","",IF($D853="","－",IF(ISNUMBER($D853),IF(AND($D853&gt;=1,MOD($D853,1)=0),"－",IF(MOD($D853,1)&lt;$L$6,"朝",IF(MOD($D853,1)&lt;$L$7,"昼",IF(MOD($D853,1)&lt;$L$8,"夕方","夜")))),IF(OR($D853="朝",$D853="昼",$D853="夕方",$D853="夜"),$D853,"⚠ 不明"))))</f>
        <v/>
      </c>
    </row>
    <row r="854" customFormat="false" ht="15" hidden="false" customHeight="false" outlineLevel="0" collapsed="false">
      <c r="A854" s="75"/>
      <c r="B854" s="76"/>
      <c r="C854" s="77"/>
      <c r="D854" s="78"/>
      <c r="E854" s="77"/>
      <c r="F854" s="76"/>
      <c r="G854" s="76"/>
      <c r="I854" s="79" t="str">
        <f aca="false">IF($B854="","",IF(ISNUMBER(MATCH($B854,日別データ!$B$13:$B$32,0)),"✔ OK","⚠ 未登録"))</f>
        <v/>
      </c>
      <c r="J854" s="80" t="str">
        <f aca="false">IF($B854="","",IF($D854="","－",IF(ISNUMBER($D854),IF(AND($D854&gt;=1,MOD($D854,1)=0),"－",IF(MOD($D854,1)&lt;$L$6,"朝",IF(MOD($D854,1)&lt;$L$7,"昼",IF(MOD($D854,1)&lt;$L$8,"夕方","夜")))),IF(OR($D854="朝",$D854="昼",$D854="夕方",$D854="夜"),$D854,"⚠ 不明"))))</f>
        <v/>
      </c>
    </row>
    <row r="855" customFormat="false" ht="15" hidden="false" customHeight="false" outlineLevel="0" collapsed="false">
      <c r="A855" s="75"/>
      <c r="B855" s="76"/>
      <c r="C855" s="77"/>
      <c r="D855" s="78"/>
      <c r="E855" s="77"/>
      <c r="F855" s="76"/>
      <c r="G855" s="76"/>
      <c r="I855" s="79" t="str">
        <f aca="false">IF($B855="","",IF(ISNUMBER(MATCH($B855,日別データ!$B$13:$B$32,0)),"✔ OK","⚠ 未登録"))</f>
        <v/>
      </c>
      <c r="J855" s="80" t="str">
        <f aca="false">IF($B855="","",IF($D855="","－",IF(ISNUMBER($D855),IF(AND($D855&gt;=1,MOD($D855,1)=0),"－",IF(MOD($D855,1)&lt;$L$6,"朝",IF(MOD($D855,1)&lt;$L$7,"昼",IF(MOD($D855,1)&lt;$L$8,"夕方","夜")))),IF(OR($D855="朝",$D855="昼",$D855="夕方",$D855="夜"),$D855,"⚠ 不明"))))</f>
        <v/>
      </c>
    </row>
    <row r="856" customFormat="false" ht="15" hidden="false" customHeight="false" outlineLevel="0" collapsed="false">
      <c r="A856" s="75"/>
      <c r="B856" s="76"/>
      <c r="C856" s="77"/>
      <c r="D856" s="78"/>
      <c r="E856" s="77"/>
      <c r="F856" s="76"/>
      <c r="G856" s="76"/>
      <c r="I856" s="79" t="str">
        <f aca="false">IF($B856="","",IF(ISNUMBER(MATCH($B856,日別データ!$B$13:$B$32,0)),"✔ OK","⚠ 未登録"))</f>
        <v/>
      </c>
      <c r="J856" s="80" t="str">
        <f aca="false">IF($B856="","",IF($D856="","－",IF(ISNUMBER($D856),IF(AND($D856&gt;=1,MOD($D856,1)=0),"－",IF(MOD($D856,1)&lt;$L$6,"朝",IF(MOD($D856,1)&lt;$L$7,"昼",IF(MOD($D856,1)&lt;$L$8,"夕方","夜")))),IF(OR($D856="朝",$D856="昼",$D856="夕方",$D856="夜"),$D856,"⚠ 不明"))))</f>
        <v/>
      </c>
    </row>
    <row r="857" customFormat="false" ht="15" hidden="false" customHeight="false" outlineLevel="0" collapsed="false">
      <c r="A857" s="75"/>
      <c r="B857" s="76"/>
      <c r="C857" s="77"/>
      <c r="D857" s="78"/>
      <c r="E857" s="77"/>
      <c r="F857" s="76"/>
      <c r="G857" s="76"/>
      <c r="I857" s="79" t="str">
        <f aca="false">IF($B857="","",IF(ISNUMBER(MATCH($B857,日別データ!$B$13:$B$32,0)),"✔ OK","⚠ 未登録"))</f>
        <v/>
      </c>
      <c r="J857" s="80" t="str">
        <f aca="false">IF($B857="","",IF($D857="","－",IF(ISNUMBER($D857),IF(AND($D857&gt;=1,MOD($D857,1)=0),"－",IF(MOD($D857,1)&lt;$L$6,"朝",IF(MOD($D857,1)&lt;$L$7,"昼",IF(MOD($D857,1)&lt;$L$8,"夕方","夜")))),IF(OR($D857="朝",$D857="昼",$D857="夕方",$D857="夜"),$D857,"⚠ 不明"))))</f>
        <v/>
      </c>
    </row>
    <row r="858" customFormat="false" ht="15" hidden="false" customHeight="false" outlineLevel="0" collapsed="false">
      <c r="A858" s="75"/>
      <c r="B858" s="76"/>
      <c r="C858" s="77"/>
      <c r="D858" s="78"/>
      <c r="E858" s="77"/>
      <c r="F858" s="76"/>
      <c r="G858" s="76"/>
      <c r="I858" s="79" t="str">
        <f aca="false">IF($B858="","",IF(ISNUMBER(MATCH($B858,日別データ!$B$13:$B$32,0)),"✔ OK","⚠ 未登録"))</f>
        <v/>
      </c>
      <c r="J858" s="80" t="str">
        <f aca="false">IF($B858="","",IF($D858="","－",IF(ISNUMBER($D858),IF(AND($D858&gt;=1,MOD($D858,1)=0),"－",IF(MOD($D858,1)&lt;$L$6,"朝",IF(MOD($D858,1)&lt;$L$7,"昼",IF(MOD($D858,1)&lt;$L$8,"夕方","夜")))),IF(OR($D858="朝",$D858="昼",$D858="夕方",$D858="夜"),$D858,"⚠ 不明"))))</f>
        <v/>
      </c>
    </row>
    <row r="859" customFormat="false" ht="15" hidden="false" customHeight="false" outlineLevel="0" collapsed="false">
      <c r="A859" s="75"/>
      <c r="B859" s="76"/>
      <c r="C859" s="77"/>
      <c r="D859" s="78"/>
      <c r="E859" s="77"/>
      <c r="F859" s="76"/>
      <c r="G859" s="76"/>
      <c r="I859" s="79" t="str">
        <f aca="false">IF($B859="","",IF(ISNUMBER(MATCH($B859,日別データ!$B$13:$B$32,0)),"✔ OK","⚠ 未登録"))</f>
        <v/>
      </c>
      <c r="J859" s="80" t="str">
        <f aca="false">IF($B859="","",IF($D859="","－",IF(ISNUMBER($D859),IF(AND($D859&gt;=1,MOD($D859,1)=0),"－",IF(MOD($D859,1)&lt;$L$6,"朝",IF(MOD($D859,1)&lt;$L$7,"昼",IF(MOD($D859,1)&lt;$L$8,"夕方","夜")))),IF(OR($D859="朝",$D859="昼",$D859="夕方",$D859="夜"),$D859,"⚠ 不明"))))</f>
        <v/>
      </c>
    </row>
    <row r="860" customFormat="false" ht="15" hidden="false" customHeight="false" outlineLevel="0" collapsed="false">
      <c r="A860" s="75"/>
      <c r="B860" s="76"/>
      <c r="C860" s="77"/>
      <c r="D860" s="78"/>
      <c r="E860" s="77"/>
      <c r="F860" s="76"/>
      <c r="G860" s="76"/>
      <c r="I860" s="79" t="str">
        <f aca="false">IF($B860="","",IF(ISNUMBER(MATCH($B860,日別データ!$B$13:$B$32,0)),"✔ OK","⚠ 未登録"))</f>
        <v/>
      </c>
      <c r="J860" s="80" t="str">
        <f aca="false">IF($B860="","",IF($D860="","－",IF(ISNUMBER($D860),IF(AND($D860&gt;=1,MOD($D860,1)=0),"－",IF(MOD($D860,1)&lt;$L$6,"朝",IF(MOD($D860,1)&lt;$L$7,"昼",IF(MOD($D860,1)&lt;$L$8,"夕方","夜")))),IF(OR($D860="朝",$D860="昼",$D860="夕方",$D860="夜"),$D860,"⚠ 不明"))))</f>
        <v/>
      </c>
    </row>
    <row r="861" customFormat="false" ht="15" hidden="false" customHeight="false" outlineLevel="0" collapsed="false">
      <c r="A861" s="75"/>
      <c r="B861" s="76"/>
      <c r="C861" s="77"/>
      <c r="D861" s="78"/>
      <c r="E861" s="77"/>
      <c r="F861" s="76"/>
      <c r="G861" s="76"/>
      <c r="I861" s="79" t="str">
        <f aca="false">IF($B861="","",IF(ISNUMBER(MATCH($B861,日別データ!$B$13:$B$32,0)),"✔ OK","⚠ 未登録"))</f>
        <v/>
      </c>
      <c r="J861" s="80" t="str">
        <f aca="false">IF($B861="","",IF($D861="","－",IF(ISNUMBER($D861),IF(AND($D861&gt;=1,MOD($D861,1)=0),"－",IF(MOD($D861,1)&lt;$L$6,"朝",IF(MOD($D861,1)&lt;$L$7,"昼",IF(MOD($D861,1)&lt;$L$8,"夕方","夜")))),IF(OR($D861="朝",$D861="昼",$D861="夕方",$D861="夜"),$D861,"⚠ 不明"))))</f>
        <v/>
      </c>
    </row>
    <row r="862" customFormat="false" ht="15" hidden="false" customHeight="false" outlineLevel="0" collapsed="false">
      <c r="A862" s="75"/>
      <c r="B862" s="76"/>
      <c r="C862" s="77"/>
      <c r="D862" s="78"/>
      <c r="E862" s="77"/>
      <c r="F862" s="76"/>
      <c r="G862" s="76"/>
      <c r="I862" s="79" t="str">
        <f aca="false">IF($B862="","",IF(ISNUMBER(MATCH($B862,日別データ!$B$13:$B$32,0)),"✔ OK","⚠ 未登録"))</f>
        <v/>
      </c>
      <c r="J862" s="80" t="str">
        <f aca="false">IF($B862="","",IF($D862="","－",IF(ISNUMBER($D862),IF(AND($D862&gt;=1,MOD($D862,1)=0),"－",IF(MOD($D862,1)&lt;$L$6,"朝",IF(MOD($D862,1)&lt;$L$7,"昼",IF(MOD($D862,1)&lt;$L$8,"夕方","夜")))),IF(OR($D862="朝",$D862="昼",$D862="夕方",$D862="夜"),$D862,"⚠ 不明"))))</f>
        <v/>
      </c>
    </row>
    <row r="863" customFormat="false" ht="15" hidden="false" customHeight="false" outlineLevel="0" collapsed="false">
      <c r="A863" s="75"/>
      <c r="B863" s="76"/>
      <c r="C863" s="77"/>
      <c r="D863" s="78"/>
      <c r="E863" s="77"/>
      <c r="F863" s="76"/>
      <c r="G863" s="76"/>
      <c r="I863" s="79" t="str">
        <f aca="false">IF($B863="","",IF(ISNUMBER(MATCH($B863,日別データ!$B$13:$B$32,0)),"✔ OK","⚠ 未登録"))</f>
        <v/>
      </c>
      <c r="J863" s="80" t="str">
        <f aca="false">IF($B863="","",IF($D863="","－",IF(ISNUMBER($D863),IF(AND($D863&gt;=1,MOD($D863,1)=0),"－",IF(MOD($D863,1)&lt;$L$6,"朝",IF(MOD($D863,1)&lt;$L$7,"昼",IF(MOD($D863,1)&lt;$L$8,"夕方","夜")))),IF(OR($D863="朝",$D863="昼",$D863="夕方",$D863="夜"),$D863,"⚠ 不明"))))</f>
        <v/>
      </c>
    </row>
    <row r="864" customFormat="false" ht="15" hidden="false" customHeight="false" outlineLevel="0" collapsed="false">
      <c r="A864" s="75"/>
      <c r="B864" s="76"/>
      <c r="C864" s="77"/>
      <c r="D864" s="78"/>
      <c r="E864" s="77"/>
      <c r="F864" s="76"/>
      <c r="G864" s="76"/>
      <c r="I864" s="79" t="str">
        <f aca="false">IF($B864="","",IF(ISNUMBER(MATCH($B864,日別データ!$B$13:$B$32,0)),"✔ OK","⚠ 未登録"))</f>
        <v/>
      </c>
      <c r="J864" s="80" t="str">
        <f aca="false">IF($B864="","",IF($D864="","－",IF(ISNUMBER($D864),IF(AND($D864&gt;=1,MOD($D864,1)=0),"－",IF(MOD($D864,1)&lt;$L$6,"朝",IF(MOD($D864,1)&lt;$L$7,"昼",IF(MOD($D864,1)&lt;$L$8,"夕方","夜")))),IF(OR($D864="朝",$D864="昼",$D864="夕方",$D864="夜"),$D864,"⚠ 不明"))))</f>
        <v/>
      </c>
    </row>
    <row r="865" customFormat="false" ht="15" hidden="false" customHeight="false" outlineLevel="0" collapsed="false">
      <c r="A865" s="75"/>
      <c r="B865" s="76"/>
      <c r="C865" s="77"/>
      <c r="D865" s="78"/>
      <c r="E865" s="77"/>
      <c r="F865" s="76"/>
      <c r="G865" s="76"/>
      <c r="I865" s="79" t="str">
        <f aca="false">IF($B865="","",IF(ISNUMBER(MATCH($B865,日別データ!$B$13:$B$32,0)),"✔ OK","⚠ 未登録"))</f>
        <v/>
      </c>
      <c r="J865" s="80" t="str">
        <f aca="false">IF($B865="","",IF($D865="","－",IF(ISNUMBER($D865),IF(AND($D865&gt;=1,MOD($D865,1)=0),"－",IF(MOD($D865,1)&lt;$L$6,"朝",IF(MOD($D865,1)&lt;$L$7,"昼",IF(MOD($D865,1)&lt;$L$8,"夕方","夜")))),IF(OR($D865="朝",$D865="昼",$D865="夕方",$D865="夜"),$D865,"⚠ 不明"))))</f>
        <v/>
      </c>
    </row>
    <row r="866" customFormat="false" ht="15" hidden="false" customHeight="false" outlineLevel="0" collapsed="false">
      <c r="A866" s="75"/>
      <c r="B866" s="76"/>
      <c r="C866" s="77"/>
      <c r="D866" s="78"/>
      <c r="E866" s="77"/>
      <c r="F866" s="76"/>
      <c r="G866" s="76"/>
      <c r="I866" s="79" t="str">
        <f aca="false">IF($B866="","",IF(ISNUMBER(MATCH($B866,日別データ!$B$13:$B$32,0)),"✔ OK","⚠ 未登録"))</f>
        <v/>
      </c>
      <c r="J866" s="80" t="str">
        <f aca="false">IF($B866="","",IF($D866="","－",IF(ISNUMBER($D866),IF(AND($D866&gt;=1,MOD($D866,1)=0),"－",IF(MOD($D866,1)&lt;$L$6,"朝",IF(MOD($D866,1)&lt;$L$7,"昼",IF(MOD($D866,1)&lt;$L$8,"夕方","夜")))),IF(OR($D866="朝",$D866="昼",$D866="夕方",$D866="夜"),$D866,"⚠ 不明"))))</f>
        <v/>
      </c>
    </row>
    <row r="867" customFormat="false" ht="15" hidden="false" customHeight="false" outlineLevel="0" collapsed="false">
      <c r="A867" s="75"/>
      <c r="B867" s="76"/>
      <c r="C867" s="77"/>
      <c r="D867" s="78"/>
      <c r="E867" s="77"/>
      <c r="F867" s="76"/>
      <c r="G867" s="76"/>
      <c r="I867" s="79" t="str">
        <f aca="false">IF($B867="","",IF(ISNUMBER(MATCH($B867,日別データ!$B$13:$B$32,0)),"✔ OK","⚠ 未登録"))</f>
        <v/>
      </c>
      <c r="J867" s="80" t="str">
        <f aca="false">IF($B867="","",IF($D867="","－",IF(ISNUMBER($D867),IF(AND($D867&gt;=1,MOD($D867,1)=0),"－",IF(MOD($D867,1)&lt;$L$6,"朝",IF(MOD($D867,1)&lt;$L$7,"昼",IF(MOD($D867,1)&lt;$L$8,"夕方","夜")))),IF(OR($D867="朝",$D867="昼",$D867="夕方",$D867="夜"),$D867,"⚠ 不明"))))</f>
        <v/>
      </c>
    </row>
    <row r="868" customFormat="false" ht="15" hidden="false" customHeight="false" outlineLevel="0" collapsed="false">
      <c r="A868" s="75"/>
      <c r="B868" s="76"/>
      <c r="C868" s="77"/>
      <c r="D868" s="78"/>
      <c r="E868" s="77"/>
      <c r="F868" s="76"/>
      <c r="G868" s="76"/>
      <c r="I868" s="79" t="str">
        <f aca="false">IF($B868="","",IF(ISNUMBER(MATCH($B868,日別データ!$B$13:$B$32,0)),"✔ OK","⚠ 未登録"))</f>
        <v/>
      </c>
      <c r="J868" s="80" t="str">
        <f aca="false">IF($B868="","",IF($D868="","－",IF(ISNUMBER($D868),IF(AND($D868&gt;=1,MOD($D868,1)=0),"－",IF(MOD($D868,1)&lt;$L$6,"朝",IF(MOD($D868,1)&lt;$L$7,"昼",IF(MOD($D868,1)&lt;$L$8,"夕方","夜")))),IF(OR($D868="朝",$D868="昼",$D868="夕方",$D868="夜"),$D868,"⚠ 不明"))))</f>
        <v/>
      </c>
    </row>
    <row r="869" customFormat="false" ht="15" hidden="false" customHeight="false" outlineLevel="0" collapsed="false">
      <c r="A869" s="75"/>
      <c r="B869" s="76"/>
      <c r="C869" s="77"/>
      <c r="D869" s="78"/>
      <c r="E869" s="77"/>
      <c r="F869" s="76"/>
      <c r="G869" s="76"/>
      <c r="I869" s="79" t="str">
        <f aca="false">IF($B869="","",IF(ISNUMBER(MATCH($B869,日別データ!$B$13:$B$32,0)),"✔ OK","⚠ 未登録"))</f>
        <v/>
      </c>
      <c r="J869" s="80" t="str">
        <f aca="false">IF($B869="","",IF($D869="","－",IF(ISNUMBER($D869),IF(AND($D869&gt;=1,MOD($D869,1)=0),"－",IF(MOD($D869,1)&lt;$L$6,"朝",IF(MOD($D869,1)&lt;$L$7,"昼",IF(MOD($D869,1)&lt;$L$8,"夕方","夜")))),IF(OR($D869="朝",$D869="昼",$D869="夕方",$D869="夜"),$D869,"⚠ 不明"))))</f>
        <v/>
      </c>
    </row>
    <row r="870" customFormat="false" ht="15" hidden="false" customHeight="false" outlineLevel="0" collapsed="false">
      <c r="A870" s="75"/>
      <c r="B870" s="76"/>
      <c r="C870" s="77"/>
      <c r="D870" s="78"/>
      <c r="E870" s="77"/>
      <c r="F870" s="76"/>
      <c r="G870" s="76"/>
      <c r="I870" s="79" t="str">
        <f aca="false">IF($B870="","",IF(ISNUMBER(MATCH($B870,日別データ!$B$13:$B$32,0)),"✔ OK","⚠ 未登録"))</f>
        <v/>
      </c>
      <c r="J870" s="80" t="str">
        <f aca="false">IF($B870="","",IF($D870="","－",IF(ISNUMBER($D870),IF(AND($D870&gt;=1,MOD($D870,1)=0),"－",IF(MOD($D870,1)&lt;$L$6,"朝",IF(MOD($D870,1)&lt;$L$7,"昼",IF(MOD($D870,1)&lt;$L$8,"夕方","夜")))),IF(OR($D870="朝",$D870="昼",$D870="夕方",$D870="夜"),$D870,"⚠ 不明"))))</f>
        <v/>
      </c>
    </row>
    <row r="871" customFormat="false" ht="15" hidden="false" customHeight="false" outlineLevel="0" collapsed="false">
      <c r="A871" s="75"/>
      <c r="B871" s="76"/>
      <c r="C871" s="77"/>
      <c r="D871" s="78"/>
      <c r="E871" s="77"/>
      <c r="F871" s="76"/>
      <c r="G871" s="76"/>
      <c r="I871" s="79" t="str">
        <f aca="false">IF($B871="","",IF(ISNUMBER(MATCH($B871,日別データ!$B$13:$B$32,0)),"✔ OK","⚠ 未登録"))</f>
        <v/>
      </c>
      <c r="J871" s="80" t="str">
        <f aca="false">IF($B871="","",IF($D871="","－",IF(ISNUMBER($D871),IF(AND($D871&gt;=1,MOD($D871,1)=0),"－",IF(MOD($D871,1)&lt;$L$6,"朝",IF(MOD($D871,1)&lt;$L$7,"昼",IF(MOD($D871,1)&lt;$L$8,"夕方","夜")))),IF(OR($D871="朝",$D871="昼",$D871="夕方",$D871="夜"),$D871,"⚠ 不明"))))</f>
        <v/>
      </c>
    </row>
    <row r="872" customFormat="false" ht="15" hidden="false" customHeight="false" outlineLevel="0" collapsed="false">
      <c r="A872" s="75"/>
      <c r="B872" s="76"/>
      <c r="C872" s="77"/>
      <c r="D872" s="78"/>
      <c r="E872" s="77"/>
      <c r="F872" s="76"/>
      <c r="G872" s="76"/>
      <c r="I872" s="79" t="str">
        <f aca="false">IF($B872="","",IF(ISNUMBER(MATCH($B872,日別データ!$B$13:$B$32,0)),"✔ OK","⚠ 未登録"))</f>
        <v/>
      </c>
      <c r="J872" s="80" t="str">
        <f aca="false">IF($B872="","",IF($D872="","－",IF(ISNUMBER($D872),IF(AND($D872&gt;=1,MOD($D872,1)=0),"－",IF(MOD($D872,1)&lt;$L$6,"朝",IF(MOD($D872,1)&lt;$L$7,"昼",IF(MOD($D872,1)&lt;$L$8,"夕方","夜")))),IF(OR($D872="朝",$D872="昼",$D872="夕方",$D872="夜"),$D872,"⚠ 不明"))))</f>
        <v/>
      </c>
    </row>
    <row r="873" customFormat="false" ht="15" hidden="false" customHeight="false" outlineLevel="0" collapsed="false">
      <c r="A873" s="75"/>
      <c r="B873" s="76"/>
      <c r="C873" s="77"/>
      <c r="D873" s="78"/>
      <c r="E873" s="77"/>
      <c r="F873" s="76"/>
      <c r="G873" s="76"/>
      <c r="I873" s="79" t="str">
        <f aca="false">IF($B873="","",IF(ISNUMBER(MATCH($B873,日別データ!$B$13:$B$32,0)),"✔ OK","⚠ 未登録"))</f>
        <v/>
      </c>
      <c r="J873" s="80" t="str">
        <f aca="false">IF($B873="","",IF($D873="","－",IF(ISNUMBER($D873),IF(AND($D873&gt;=1,MOD($D873,1)=0),"－",IF(MOD($D873,1)&lt;$L$6,"朝",IF(MOD($D873,1)&lt;$L$7,"昼",IF(MOD($D873,1)&lt;$L$8,"夕方","夜")))),IF(OR($D873="朝",$D873="昼",$D873="夕方",$D873="夜"),$D873,"⚠ 不明"))))</f>
        <v/>
      </c>
    </row>
    <row r="874" customFormat="false" ht="15" hidden="false" customHeight="false" outlineLevel="0" collapsed="false">
      <c r="A874" s="75"/>
      <c r="B874" s="76"/>
      <c r="C874" s="77"/>
      <c r="D874" s="78"/>
      <c r="E874" s="77"/>
      <c r="F874" s="76"/>
      <c r="G874" s="76"/>
      <c r="I874" s="79" t="str">
        <f aca="false">IF($B874="","",IF(ISNUMBER(MATCH($B874,日別データ!$B$13:$B$32,0)),"✔ OK","⚠ 未登録"))</f>
        <v/>
      </c>
      <c r="J874" s="80" t="str">
        <f aca="false">IF($B874="","",IF($D874="","－",IF(ISNUMBER($D874),IF(AND($D874&gt;=1,MOD($D874,1)=0),"－",IF(MOD($D874,1)&lt;$L$6,"朝",IF(MOD($D874,1)&lt;$L$7,"昼",IF(MOD($D874,1)&lt;$L$8,"夕方","夜")))),IF(OR($D874="朝",$D874="昼",$D874="夕方",$D874="夜"),$D874,"⚠ 不明"))))</f>
        <v/>
      </c>
    </row>
    <row r="875" customFormat="false" ht="15" hidden="false" customHeight="false" outlineLevel="0" collapsed="false">
      <c r="A875" s="75"/>
      <c r="B875" s="76"/>
      <c r="C875" s="77"/>
      <c r="D875" s="78"/>
      <c r="E875" s="77"/>
      <c r="F875" s="76"/>
      <c r="G875" s="76"/>
      <c r="I875" s="79" t="str">
        <f aca="false">IF($B875="","",IF(ISNUMBER(MATCH($B875,日別データ!$B$13:$B$32,0)),"✔ OK","⚠ 未登録"))</f>
        <v/>
      </c>
      <c r="J875" s="80" t="str">
        <f aca="false">IF($B875="","",IF($D875="","－",IF(ISNUMBER($D875),IF(AND($D875&gt;=1,MOD($D875,1)=0),"－",IF(MOD($D875,1)&lt;$L$6,"朝",IF(MOD($D875,1)&lt;$L$7,"昼",IF(MOD($D875,1)&lt;$L$8,"夕方","夜")))),IF(OR($D875="朝",$D875="昼",$D875="夕方",$D875="夜"),$D875,"⚠ 不明"))))</f>
        <v/>
      </c>
    </row>
    <row r="876" customFormat="false" ht="15" hidden="false" customHeight="false" outlineLevel="0" collapsed="false">
      <c r="A876" s="75"/>
      <c r="B876" s="76"/>
      <c r="C876" s="77"/>
      <c r="D876" s="78"/>
      <c r="E876" s="77"/>
      <c r="F876" s="76"/>
      <c r="G876" s="76"/>
      <c r="I876" s="79" t="str">
        <f aca="false">IF($B876="","",IF(ISNUMBER(MATCH($B876,日別データ!$B$13:$B$32,0)),"✔ OK","⚠ 未登録"))</f>
        <v/>
      </c>
      <c r="J876" s="80" t="str">
        <f aca="false">IF($B876="","",IF($D876="","－",IF(ISNUMBER($D876),IF(AND($D876&gt;=1,MOD($D876,1)=0),"－",IF(MOD($D876,1)&lt;$L$6,"朝",IF(MOD($D876,1)&lt;$L$7,"昼",IF(MOD($D876,1)&lt;$L$8,"夕方","夜")))),IF(OR($D876="朝",$D876="昼",$D876="夕方",$D876="夜"),$D876,"⚠ 不明"))))</f>
        <v/>
      </c>
    </row>
    <row r="877" customFormat="false" ht="15" hidden="false" customHeight="false" outlineLevel="0" collapsed="false">
      <c r="A877" s="75"/>
      <c r="B877" s="76"/>
      <c r="C877" s="77"/>
      <c r="D877" s="78"/>
      <c r="E877" s="77"/>
      <c r="F877" s="76"/>
      <c r="G877" s="76"/>
      <c r="I877" s="79" t="str">
        <f aca="false">IF($B877="","",IF(ISNUMBER(MATCH($B877,日別データ!$B$13:$B$32,0)),"✔ OK","⚠ 未登録"))</f>
        <v/>
      </c>
      <c r="J877" s="80" t="str">
        <f aca="false">IF($B877="","",IF($D877="","－",IF(ISNUMBER($D877),IF(AND($D877&gt;=1,MOD($D877,1)=0),"－",IF(MOD($D877,1)&lt;$L$6,"朝",IF(MOD($D877,1)&lt;$L$7,"昼",IF(MOD($D877,1)&lt;$L$8,"夕方","夜")))),IF(OR($D877="朝",$D877="昼",$D877="夕方",$D877="夜"),$D877,"⚠ 不明"))))</f>
        <v/>
      </c>
    </row>
    <row r="878" customFormat="false" ht="15" hidden="false" customHeight="false" outlineLevel="0" collapsed="false">
      <c r="A878" s="75"/>
      <c r="B878" s="76"/>
      <c r="C878" s="77"/>
      <c r="D878" s="78"/>
      <c r="E878" s="77"/>
      <c r="F878" s="76"/>
      <c r="G878" s="76"/>
      <c r="I878" s="79" t="str">
        <f aca="false">IF($B878="","",IF(ISNUMBER(MATCH($B878,日別データ!$B$13:$B$32,0)),"✔ OK","⚠ 未登録"))</f>
        <v/>
      </c>
      <c r="J878" s="80" t="str">
        <f aca="false">IF($B878="","",IF($D878="","－",IF(ISNUMBER($D878),IF(AND($D878&gt;=1,MOD($D878,1)=0),"－",IF(MOD($D878,1)&lt;$L$6,"朝",IF(MOD($D878,1)&lt;$L$7,"昼",IF(MOD($D878,1)&lt;$L$8,"夕方","夜")))),IF(OR($D878="朝",$D878="昼",$D878="夕方",$D878="夜"),$D878,"⚠ 不明"))))</f>
        <v/>
      </c>
    </row>
    <row r="879" customFormat="false" ht="15" hidden="false" customHeight="false" outlineLevel="0" collapsed="false">
      <c r="A879" s="75"/>
      <c r="B879" s="76"/>
      <c r="C879" s="77"/>
      <c r="D879" s="78"/>
      <c r="E879" s="77"/>
      <c r="F879" s="76"/>
      <c r="G879" s="76"/>
      <c r="I879" s="79" t="str">
        <f aca="false">IF($B879="","",IF(ISNUMBER(MATCH($B879,日別データ!$B$13:$B$32,0)),"✔ OK","⚠ 未登録"))</f>
        <v/>
      </c>
      <c r="J879" s="80" t="str">
        <f aca="false">IF($B879="","",IF($D879="","－",IF(ISNUMBER($D879),IF(AND($D879&gt;=1,MOD($D879,1)=0),"－",IF(MOD($D879,1)&lt;$L$6,"朝",IF(MOD($D879,1)&lt;$L$7,"昼",IF(MOD($D879,1)&lt;$L$8,"夕方","夜")))),IF(OR($D879="朝",$D879="昼",$D879="夕方",$D879="夜"),$D879,"⚠ 不明"))))</f>
        <v/>
      </c>
    </row>
    <row r="880" customFormat="false" ht="15" hidden="false" customHeight="false" outlineLevel="0" collapsed="false">
      <c r="A880" s="75"/>
      <c r="B880" s="76"/>
      <c r="C880" s="77"/>
      <c r="D880" s="78"/>
      <c r="E880" s="77"/>
      <c r="F880" s="76"/>
      <c r="G880" s="76"/>
      <c r="I880" s="79" t="str">
        <f aca="false">IF($B880="","",IF(ISNUMBER(MATCH($B880,日別データ!$B$13:$B$32,0)),"✔ OK","⚠ 未登録"))</f>
        <v/>
      </c>
      <c r="J880" s="80" t="str">
        <f aca="false">IF($B880="","",IF($D880="","－",IF(ISNUMBER($D880),IF(AND($D880&gt;=1,MOD($D880,1)=0),"－",IF(MOD($D880,1)&lt;$L$6,"朝",IF(MOD($D880,1)&lt;$L$7,"昼",IF(MOD($D880,1)&lt;$L$8,"夕方","夜")))),IF(OR($D880="朝",$D880="昼",$D880="夕方",$D880="夜"),$D880,"⚠ 不明"))))</f>
        <v/>
      </c>
    </row>
    <row r="881" customFormat="false" ht="15" hidden="false" customHeight="false" outlineLevel="0" collapsed="false">
      <c r="A881" s="75"/>
      <c r="B881" s="76"/>
      <c r="C881" s="77"/>
      <c r="D881" s="78"/>
      <c r="E881" s="77"/>
      <c r="F881" s="76"/>
      <c r="G881" s="76"/>
      <c r="I881" s="79" t="str">
        <f aca="false">IF($B881="","",IF(ISNUMBER(MATCH($B881,日別データ!$B$13:$B$32,0)),"✔ OK","⚠ 未登録"))</f>
        <v/>
      </c>
      <c r="J881" s="80" t="str">
        <f aca="false">IF($B881="","",IF($D881="","－",IF(ISNUMBER($D881),IF(AND($D881&gt;=1,MOD($D881,1)=0),"－",IF(MOD($D881,1)&lt;$L$6,"朝",IF(MOD($D881,1)&lt;$L$7,"昼",IF(MOD($D881,1)&lt;$L$8,"夕方","夜")))),IF(OR($D881="朝",$D881="昼",$D881="夕方",$D881="夜"),$D881,"⚠ 不明"))))</f>
        <v/>
      </c>
    </row>
    <row r="882" customFormat="false" ht="15" hidden="false" customHeight="false" outlineLevel="0" collapsed="false">
      <c r="A882" s="75"/>
      <c r="B882" s="76"/>
      <c r="C882" s="77"/>
      <c r="D882" s="78"/>
      <c r="E882" s="77"/>
      <c r="F882" s="76"/>
      <c r="G882" s="76"/>
      <c r="I882" s="79" t="str">
        <f aca="false">IF($B882="","",IF(ISNUMBER(MATCH($B882,日別データ!$B$13:$B$32,0)),"✔ OK","⚠ 未登録"))</f>
        <v/>
      </c>
      <c r="J882" s="80" t="str">
        <f aca="false">IF($B882="","",IF($D882="","－",IF(ISNUMBER($D882),IF(AND($D882&gt;=1,MOD($D882,1)=0),"－",IF(MOD($D882,1)&lt;$L$6,"朝",IF(MOD($D882,1)&lt;$L$7,"昼",IF(MOD($D882,1)&lt;$L$8,"夕方","夜")))),IF(OR($D882="朝",$D882="昼",$D882="夕方",$D882="夜"),$D882,"⚠ 不明"))))</f>
        <v/>
      </c>
    </row>
    <row r="883" customFormat="false" ht="15" hidden="false" customHeight="false" outlineLevel="0" collapsed="false">
      <c r="A883" s="75"/>
      <c r="B883" s="76"/>
      <c r="C883" s="77"/>
      <c r="D883" s="78"/>
      <c r="E883" s="77"/>
      <c r="F883" s="76"/>
      <c r="G883" s="76"/>
      <c r="I883" s="79" t="str">
        <f aca="false">IF($B883="","",IF(ISNUMBER(MATCH($B883,日別データ!$B$13:$B$32,0)),"✔ OK","⚠ 未登録"))</f>
        <v/>
      </c>
      <c r="J883" s="80" t="str">
        <f aca="false">IF($B883="","",IF($D883="","－",IF(ISNUMBER($D883),IF(AND($D883&gt;=1,MOD($D883,1)=0),"－",IF(MOD($D883,1)&lt;$L$6,"朝",IF(MOD($D883,1)&lt;$L$7,"昼",IF(MOD($D883,1)&lt;$L$8,"夕方","夜")))),IF(OR($D883="朝",$D883="昼",$D883="夕方",$D883="夜"),$D883,"⚠ 不明"))))</f>
        <v/>
      </c>
    </row>
    <row r="884" customFormat="false" ht="15" hidden="false" customHeight="false" outlineLevel="0" collapsed="false">
      <c r="A884" s="75"/>
      <c r="B884" s="76"/>
      <c r="C884" s="77"/>
      <c r="D884" s="78"/>
      <c r="E884" s="77"/>
      <c r="F884" s="76"/>
      <c r="G884" s="76"/>
      <c r="I884" s="79" t="str">
        <f aca="false">IF($B884="","",IF(ISNUMBER(MATCH($B884,日別データ!$B$13:$B$32,0)),"✔ OK","⚠ 未登録"))</f>
        <v/>
      </c>
      <c r="J884" s="80" t="str">
        <f aca="false">IF($B884="","",IF($D884="","－",IF(ISNUMBER($D884),IF(AND($D884&gt;=1,MOD($D884,1)=0),"－",IF(MOD($D884,1)&lt;$L$6,"朝",IF(MOD($D884,1)&lt;$L$7,"昼",IF(MOD($D884,1)&lt;$L$8,"夕方","夜")))),IF(OR($D884="朝",$D884="昼",$D884="夕方",$D884="夜"),$D884,"⚠ 不明"))))</f>
        <v/>
      </c>
    </row>
    <row r="885" customFormat="false" ht="15" hidden="false" customHeight="false" outlineLevel="0" collapsed="false">
      <c r="A885" s="75"/>
      <c r="B885" s="76"/>
      <c r="C885" s="77"/>
      <c r="D885" s="78"/>
      <c r="E885" s="77"/>
      <c r="F885" s="76"/>
      <c r="G885" s="76"/>
      <c r="I885" s="79" t="str">
        <f aca="false">IF($B885="","",IF(ISNUMBER(MATCH($B885,日別データ!$B$13:$B$32,0)),"✔ OK","⚠ 未登録"))</f>
        <v/>
      </c>
      <c r="J885" s="80" t="str">
        <f aca="false">IF($B885="","",IF($D885="","－",IF(ISNUMBER($D885),IF(AND($D885&gt;=1,MOD($D885,1)=0),"－",IF(MOD($D885,1)&lt;$L$6,"朝",IF(MOD($D885,1)&lt;$L$7,"昼",IF(MOD($D885,1)&lt;$L$8,"夕方","夜")))),IF(OR($D885="朝",$D885="昼",$D885="夕方",$D885="夜"),$D885,"⚠ 不明"))))</f>
        <v/>
      </c>
    </row>
    <row r="886" customFormat="false" ht="15" hidden="false" customHeight="false" outlineLevel="0" collapsed="false">
      <c r="A886" s="75"/>
      <c r="B886" s="76"/>
      <c r="C886" s="77"/>
      <c r="D886" s="78"/>
      <c r="E886" s="77"/>
      <c r="F886" s="76"/>
      <c r="G886" s="76"/>
      <c r="I886" s="79" t="str">
        <f aca="false">IF($B886="","",IF(ISNUMBER(MATCH($B886,日別データ!$B$13:$B$32,0)),"✔ OK","⚠ 未登録"))</f>
        <v/>
      </c>
      <c r="J886" s="80" t="str">
        <f aca="false">IF($B886="","",IF($D886="","－",IF(ISNUMBER($D886),IF(AND($D886&gt;=1,MOD($D886,1)=0),"－",IF(MOD($D886,1)&lt;$L$6,"朝",IF(MOD($D886,1)&lt;$L$7,"昼",IF(MOD($D886,1)&lt;$L$8,"夕方","夜")))),IF(OR($D886="朝",$D886="昼",$D886="夕方",$D886="夜"),$D886,"⚠ 不明"))))</f>
        <v/>
      </c>
    </row>
    <row r="887" customFormat="false" ht="15" hidden="false" customHeight="false" outlineLevel="0" collapsed="false">
      <c r="A887" s="75"/>
      <c r="B887" s="76"/>
      <c r="C887" s="77"/>
      <c r="D887" s="78"/>
      <c r="E887" s="77"/>
      <c r="F887" s="76"/>
      <c r="G887" s="76"/>
      <c r="I887" s="79" t="str">
        <f aca="false">IF($B887="","",IF(ISNUMBER(MATCH($B887,日別データ!$B$13:$B$32,0)),"✔ OK","⚠ 未登録"))</f>
        <v/>
      </c>
      <c r="J887" s="80" t="str">
        <f aca="false">IF($B887="","",IF($D887="","－",IF(ISNUMBER($D887),IF(AND($D887&gt;=1,MOD($D887,1)=0),"－",IF(MOD($D887,1)&lt;$L$6,"朝",IF(MOD($D887,1)&lt;$L$7,"昼",IF(MOD($D887,1)&lt;$L$8,"夕方","夜")))),IF(OR($D887="朝",$D887="昼",$D887="夕方",$D887="夜"),$D887,"⚠ 不明"))))</f>
        <v/>
      </c>
    </row>
    <row r="888" customFormat="false" ht="15" hidden="false" customHeight="false" outlineLevel="0" collapsed="false">
      <c r="A888" s="75"/>
      <c r="B888" s="76"/>
      <c r="C888" s="77"/>
      <c r="D888" s="78"/>
      <c r="E888" s="77"/>
      <c r="F888" s="76"/>
      <c r="G888" s="76"/>
      <c r="I888" s="79" t="str">
        <f aca="false">IF($B888="","",IF(ISNUMBER(MATCH($B888,日別データ!$B$13:$B$32,0)),"✔ OK","⚠ 未登録"))</f>
        <v/>
      </c>
      <c r="J888" s="80" t="str">
        <f aca="false">IF($B888="","",IF($D888="","－",IF(ISNUMBER($D888),IF(AND($D888&gt;=1,MOD($D888,1)=0),"－",IF(MOD($D888,1)&lt;$L$6,"朝",IF(MOD($D888,1)&lt;$L$7,"昼",IF(MOD($D888,1)&lt;$L$8,"夕方","夜")))),IF(OR($D888="朝",$D888="昼",$D888="夕方",$D888="夜"),$D888,"⚠ 不明"))))</f>
        <v/>
      </c>
    </row>
    <row r="889" customFormat="false" ht="15" hidden="false" customHeight="false" outlineLevel="0" collapsed="false">
      <c r="A889" s="75"/>
      <c r="B889" s="76"/>
      <c r="C889" s="77"/>
      <c r="D889" s="78"/>
      <c r="E889" s="77"/>
      <c r="F889" s="76"/>
      <c r="G889" s="76"/>
      <c r="I889" s="79" t="str">
        <f aca="false">IF($B889="","",IF(ISNUMBER(MATCH($B889,日別データ!$B$13:$B$32,0)),"✔ OK","⚠ 未登録"))</f>
        <v/>
      </c>
      <c r="J889" s="80" t="str">
        <f aca="false">IF($B889="","",IF($D889="","－",IF(ISNUMBER($D889),IF(AND($D889&gt;=1,MOD($D889,1)=0),"－",IF(MOD($D889,1)&lt;$L$6,"朝",IF(MOD($D889,1)&lt;$L$7,"昼",IF(MOD($D889,1)&lt;$L$8,"夕方","夜")))),IF(OR($D889="朝",$D889="昼",$D889="夕方",$D889="夜"),$D889,"⚠ 不明"))))</f>
        <v/>
      </c>
    </row>
    <row r="890" customFormat="false" ht="15" hidden="false" customHeight="false" outlineLevel="0" collapsed="false">
      <c r="A890" s="75"/>
      <c r="B890" s="76"/>
      <c r="C890" s="77"/>
      <c r="D890" s="78"/>
      <c r="E890" s="77"/>
      <c r="F890" s="76"/>
      <c r="G890" s="76"/>
      <c r="I890" s="79" t="str">
        <f aca="false">IF($B890="","",IF(ISNUMBER(MATCH($B890,日別データ!$B$13:$B$32,0)),"✔ OK","⚠ 未登録"))</f>
        <v/>
      </c>
      <c r="J890" s="80" t="str">
        <f aca="false">IF($B890="","",IF($D890="","－",IF(ISNUMBER($D890),IF(AND($D890&gt;=1,MOD($D890,1)=0),"－",IF(MOD($D890,1)&lt;$L$6,"朝",IF(MOD($D890,1)&lt;$L$7,"昼",IF(MOD($D890,1)&lt;$L$8,"夕方","夜")))),IF(OR($D890="朝",$D890="昼",$D890="夕方",$D890="夜"),$D890,"⚠ 不明"))))</f>
        <v/>
      </c>
    </row>
    <row r="891" customFormat="false" ht="15" hidden="false" customHeight="false" outlineLevel="0" collapsed="false">
      <c r="A891" s="75"/>
      <c r="B891" s="76"/>
      <c r="C891" s="77"/>
      <c r="D891" s="78"/>
      <c r="E891" s="77"/>
      <c r="F891" s="76"/>
      <c r="G891" s="76"/>
      <c r="I891" s="79" t="str">
        <f aca="false">IF($B891="","",IF(ISNUMBER(MATCH($B891,日別データ!$B$13:$B$32,0)),"✔ OK","⚠ 未登録"))</f>
        <v/>
      </c>
      <c r="J891" s="80" t="str">
        <f aca="false">IF($B891="","",IF($D891="","－",IF(ISNUMBER($D891),IF(AND($D891&gt;=1,MOD($D891,1)=0),"－",IF(MOD($D891,1)&lt;$L$6,"朝",IF(MOD($D891,1)&lt;$L$7,"昼",IF(MOD($D891,1)&lt;$L$8,"夕方","夜")))),IF(OR($D891="朝",$D891="昼",$D891="夕方",$D891="夜"),$D891,"⚠ 不明"))))</f>
        <v/>
      </c>
    </row>
    <row r="892" customFormat="false" ht="15" hidden="false" customHeight="false" outlineLevel="0" collapsed="false">
      <c r="A892" s="75"/>
      <c r="B892" s="76"/>
      <c r="C892" s="77"/>
      <c r="D892" s="78"/>
      <c r="E892" s="77"/>
      <c r="F892" s="76"/>
      <c r="G892" s="76"/>
      <c r="I892" s="79" t="str">
        <f aca="false">IF($B892="","",IF(ISNUMBER(MATCH($B892,日別データ!$B$13:$B$32,0)),"✔ OK","⚠ 未登録"))</f>
        <v/>
      </c>
      <c r="J892" s="80" t="str">
        <f aca="false">IF($B892="","",IF($D892="","－",IF(ISNUMBER($D892),IF(AND($D892&gt;=1,MOD($D892,1)=0),"－",IF(MOD($D892,1)&lt;$L$6,"朝",IF(MOD($D892,1)&lt;$L$7,"昼",IF(MOD($D892,1)&lt;$L$8,"夕方","夜")))),IF(OR($D892="朝",$D892="昼",$D892="夕方",$D892="夜"),$D892,"⚠ 不明"))))</f>
        <v/>
      </c>
    </row>
    <row r="893" customFormat="false" ht="15" hidden="false" customHeight="false" outlineLevel="0" collapsed="false">
      <c r="A893" s="75"/>
      <c r="B893" s="76"/>
      <c r="C893" s="77"/>
      <c r="D893" s="78"/>
      <c r="E893" s="77"/>
      <c r="F893" s="76"/>
      <c r="G893" s="76"/>
      <c r="I893" s="79" t="str">
        <f aca="false">IF($B893="","",IF(ISNUMBER(MATCH($B893,日別データ!$B$13:$B$32,0)),"✔ OK","⚠ 未登録"))</f>
        <v/>
      </c>
      <c r="J893" s="80" t="str">
        <f aca="false">IF($B893="","",IF($D893="","－",IF(ISNUMBER($D893),IF(AND($D893&gt;=1,MOD($D893,1)=0),"－",IF(MOD($D893,1)&lt;$L$6,"朝",IF(MOD($D893,1)&lt;$L$7,"昼",IF(MOD($D893,1)&lt;$L$8,"夕方","夜")))),IF(OR($D893="朝",$D893="昼",$D893="夕方",$D893="夜"),$D893,"⚠ 不明"))))</f>
        <v/>
      </c>
    </row>
    <row r="894" customFormat="false" ht="15" hidden="false" customHeight="false" outlineLevel="0" collapsed="false">
      <c r="A894" s="75"/>
      <c r="B894" s="76"/>
      <c r="C894" s="77"/>
      <c r="D894" s="78"/>
      <c r="E894" s="77"/>
      <c r="F894" s="76"/>
      <c r="G894" s="76"/>
      <c r="I894" s="79" t="str">
        <f aca="false">IF($B894="","",IF(ISNUMBER(MATCH($B894,日別データ!$B$13:$B$32,0)),"✔ OK","⚠ 未登録"))</f>
        <v/>
      </c>
      <c r="J894" s="80" t="str">
        <f aca="false">IF($B894="","",IF($D894="","－",IF(ISNUMBER($D894),IF(AND($D894&gt;=1,MOD($D894,1)=0),"－",IF(MOD($D894,1)&lt;$L$6,"朝",IF(MOD($D894,1)&lt;$L$7,"昼",IF(MOD($D894,1)&lt;$L$8,"夕方","夜")))),IF(OR($D894="朝",$D894="昼",$D894="夕方",$D894="夜"),$D894,"⚠ 不明"))))</f>
        <v/>
      </c>
    </row>
    <row r="895" customFormat="false" ht="15" hidden="false" customHeight="false" outlineLevel="0" collapsed="false">
      <c r="A895" s="75"/>
      <c r="B895" s="76"/>
      <c r="C895" s="77"/>
      <c r="D895" s="78"/>
      <c r="E895" s="77"/>
      <c r="F895" s="76"/>
      <c r="G895" s="76"/>
      <c r="I895" s="79" t="str">
        <f aca="false">IF($B895="","",IF(ISNUMBER(MATCH($B895,日別データ!$B$13:$B$32,0)),"✔ OK","⚠ 未登録"))</f>
        <v/>
      </c>
      <c r="J895" s="80" t="str">
        <f aca="false">IF($B895="","",IF($D895="","－",IF(ISNUMBER($D895),IF(AND($D895&gt;=1,MOD($D895,1)=0),"－",IF(MOD($D895,1)&lt;$L$6,"朝",IF(MOD($D895,1)&lt;$L$7,"昼",IF(MOD($D895,1)&lt;$L$8,"夕方","夜")))),IF(OR($D895="朝",$D895="昼",$D895="夕方",$D895="夜"),$D895,"⚠ 不明"))))</f>
        <v/>
      </c>
    </row>
    <row r="896" customFormat="false" ht="15" hidden="false" customHeight="false" outlineLevel="0" collapsed="false">
      <c r="A896" s="75"/>
      <c r="B896" s="76"/>
      <c r="C896" s="77"/>
      <c r="D896" s="78"/>
      <c r="E896" s="77"/>
      <c r="F896" s="76"/>
      <c r="G896" s="76"/>
      <c r="I896" s="79" t="str">
        <f aca="false">IF($B896="","",IF(ISNUMBER(MATCH($B896,日別データ!$B$13:$B$32,0)),"✔ OK","⚠ 未登録"))</f>
        <v/>
      </c>
      <c r="J896" s="80" t="str">
        <f aca="false">IF($B896="","",IF($D896="","－",IF(ISNUMBER($D896),IF(AND($D896&gt;=1,MOD($D896,1)=0),"－",IF(MOD($D896,1)&lt;$L$6,"朝",IF(MOD($D896,1)&lt;$L$7,"昼",IF(MOD($D896,1)&lt;$L$8,"夕方","夜")))),IF(OR($D896="朝",$D896="昼",$D896="夕方",$D896="夜"),$D896,"⚠ 不明"))))</f>
        <v/>
      </c>
    </row>
    <row r="897" customFormat="false" ht="15" hidden="false" customHeight="false" outlineLevel="0" collapsed="false">
      <c r="A897" s="75"/>
      <c r="B897" s="76"/>
      <c r="C897" s="77"/>
      <c r="D897" s="78"/>
      <c r="E897" s="77"/>
      <c r="F897" s="76"/>
      <c r="G897" s="76"/>
      <c r="I897" s="79" t="str">
        <f aca="false">IF($B897="","",IF(ISNUMBER(MATCH($B897,日別データ!$B$13:$B$32,0)),"✔ OK","⚠ 未登録"))</f>
        <v/>
      </c>
      <c r="J897" s="80" t="str">
        <f aca="false">IF($B897="","",IF($D897="","－",IF(ISNUMBER($D897),IF(AND($D897&gt;=1,MOD($D897,1)=0),"－",IF(MOD($D897,1)&lt;$L$6,"朝",IF(MOD($D897,1)&lt;$L$7,"昼",IF(MOD($D897,1)&lt;$L$8,"夕方","夜")))),IF(OR($D897="朝",$D897="昼",$D897="夕方",$D897="夜"),$D897,"⚠ 不明"))))</f>
        <v/>
      </c>
    </row>
    <row r="898" customFormat="false" ht="15" hidden="false" customHeight="false" outlineLevel="0" collapsed="false">
      <c r="A898" s="75"/>
      <c r="B898" s="76"/>
      <c r="C898" s="77"/>
      <c r="D898" s="78"/>
      <c r="E898" s="77"/>
      <c r="F898" s="76"/>
      <c r="G898" s="76"/>
      <c r="I898" s="79" t="str">
        <f aca="false">IF($B898="","",IF(ISNUMBER(MATCH($B898,日別データ!$B$13:$B$32,0)),"✔ OK","⚠ 未登録"))</f>
        <v/>
      </c>
      <c r="J898" s="80" t="str">
        <f aca="false">IF($B898="","",IF($D898="","－",IF(ISNUMBER($D898),IF(AND($D898&gt;=1,MOD($D898,1)=0),"－",IF(MOD($D898,1)&lt;$L$6,"朝",IF(MOD($D898,1)&lt;$L$7,"昼",IF(MOD($D898,1)&lt;$L$8,"夕方","夜")))),IF(OR($D898="朝",$D898="昼",$D898="夕方",$D898="夜"),$D898,"⚠ 不明"))))</f>
        <v/>
      </c>
    </row>
    <row r="899" customFormat="false" ht="15" hidden="false" customHeight="false" outlineLevel="0" collapsed="false">
      <c r="A899" s="75"/>
      <c r="B899" s="76"/>
      <c r="C899" s="77"/>
      <c r="D899" s="78"/>
      <c r="E899" s="77"/>
      <c r="F899" s="76"/>
      <c r="G899" s="76"/>
      <c r="I899" s="79" t="str">
        <f aca="false">IF($B899="","",IF(ISNUMBER(MATCH($B899,日別データ!$B$13:$B$32,0)),"✔ OK","⚠ 未登録"))</f>
        <v/>
      </c>
      <c r="J899" s="80" t="str">
        <f aca="false">IF($B899="","",IF($D899="","－",IF(ISNUMBER($D899),IF(AND($D899&gt;=1,MOD($D899,1)=0),"－",IF(MOD($D899,1)&lt;$L$6,"朝",IF(MOD($D899,1)&lt;$L$7,"昼",IF(MOD($D899,1)&lt;$L$8,"夕方","夜")))),IF(OR($D899="朝",$D899="昼",$D899="夕方",$D899="夜"),$D899,"⚠ 不明"))))</f>
        <v/>
      </c>
    </row>
    <row r="900" customFormat="false" ht="15" hidden="false" customHeight="false" outlineLevel="0" collapsed="false">
      <c r="A900" s="75"/>
      <c r="B900" s="76"/>
      <c r="C900" s="77"/>
      <c r="D900" s="78"/>
      <c r="E900" s="77"/>
      <c r="F900" s="76"/>
      <c r="G900" s="76"/>
      <c r="I900" s="79" t="str">
        <f aca="false">IF($B900="","",IF(ISNUMBER(MATCH($B900,日別データ!$B$13:$B$32,0)),"✔ OK","⚠ 未登録"))</f>
        <v/>
      </c>
      <c r="J900" s="80" t="str">
        <f aca="false">IF($B900="","",IF($D900="","－",IF(ISNUMBER($D900),IF(AND($D900&gt;=1,MOD($D900,1)=0),"－",IF(MOD($D900,1)&lt;$L$6,"朝",IF(MOD($D900,1)&lt;$L$7,"昼",IF(MOD($D900,1)&lt;$L$8,"夕方","夜")))),IF(OR($D900="朝",$D900="昼",$D900="夕方",$D900="夜"),$D900,"⚠ 不明"))))</f>
        <v/>
      </c>
    </row>
    <row r="901" customFormat="false" ht="15" hidden="false" customHeight="false" outlineLevel="0" collapsed="false">
      <c r="A901" s="75"/>
      <c r="B901" s="76"/>
      <c r="C901" s="77"/>
      <c r="D901" s="78"/>
      <c r="E901" s="77"/>
      <c r="F901" s="76"/>
      <c r="G901" s="76"/>
      <c r="I901" s="79" t="str">
        <f aca="false">IF($B901="","",IF(ISNUMBER(MATCH($B901,日別データ!$B$13:$B$32,0)),"✔ OK","⚠ 未登録"))</f>
        <v/>
      </c>
      <c r="J901" s="80" t="str">
        <f aca="false">IF($B901="","",IF($D901="","－",IF(ISNUMBER($D901),IF(AND($D901&gt;=1,MOD($D901,1)=0),"－",IF(MOD($D901,1)&lt;$L$6,"朝",IF(MOD($D901,1)&lt;$L$7,"昼",IF(MOD($D901,1)&lt;$L$8,"夕方","夜")))),IF(OR($D901="朝",$D901="昼",$D901="夕方",$D901="夜"),$D901,"⚠ 不明"))))</f>
        <v/>
      </c>
    </row>
    <row r="902" customFormat="false" ht="15" hidden="false" customHeight="false" outlineLevel="0" collapsed="false">
      <c r="A902" s="75"/>
      <c r="B902" s="76"/>
      <c r="C902" s="77"/>
      <c r="D902" s="78"/>
      <c r="E902" s="77"/>
      <c r="F902" s="76"/>
      <c r="G902" s="76"/>
      <c r="I902" s="79" t="str">
        <f aca="false">IF($B902="","",IF(ISNUMBER(MATCH($B902,日別データ!$B$13:$B$32,0)),"✔ OK","⚠ 未登録"))</f>
        <v/>
      </c>
      <c r="J902" s="80" t="str">
        <f aca="false">IF($B902="","",IF($D902="","－",IF(ISNUMBER($D902),IF(AND($D902&gt;=1,MOD($D902,1)=0),"－",IF(MOD($D902,1)&lt;$L$6,"朝",IF(MOD($D902,1)&lt;$L$7,"昼",IF(MOD($D902,1)&lt;$L$8,"夕方","夜")))),IF(OR($D902="朝",$D902="昼",$D902="夕方",$D902="夜"),$D902,"⚠ 不明"))))</f>
        <v/>
      </c>
    </row>
    <row r="903" customFormat="false" ht="15" hidden="false" customHeight="false" outlineLevel="0" collapsed="false">
      <c r="A903" s="75"/>
      <c r="B903" s="76"/>
      <c r="C903" s="77"/>
      <c r="D903" s="78"/>
      <c r="E903" s="77"/>
      <c r="F903" s="76"/>
      <c r="G903" s="76"/>
      <c r="I903" s="79" t="str">
        <f aca="false">IF($B903="","",IF(ISNUMBER(MATCH($B903,日別データ!$B$13:$B$32,0)),"✔ OK","⚠ 未登録"))</f>
        <v/>
      </c>
      <c r="J903" s="80" t="str">
        <f aca="false">IF($B903="","",IF($D903="","－",IF(ISNUMBER($D903),IF(AND($D903&gt;=1,MOD($D903,1)=0),"－",IF(MOD($D903,1)&lt;$L$6,"朝",IF(MOD($D903,1)&lt;$L$7,"昼",IF(MOD($D903,1)&lt;$L$8,"夕方","夜")))),IF(OR($D903="朝",$D903="昼",$D903="夕方",$D903="夜"),$D903,"⚠ 不明"))))</f>
        <v/>
      </c>
    </row>
    <row r="904" customFormat="false" ht="15" hidden="false" customHeight="false" outlineLevel="0" collapsed="false">
      <c r="A904" s="75"/>
      <c r="B904" s="76"/>
      <c r="C904" s="77"/>
      <c r="D904" s="78"/>
      <c r="E904" s="77"/>
      <c r="F904" s="76"/>
      <c r="G904" s="76"/>
      <c r="I904" s="79" t="str">
        <f aca="false">IF($B904="","",IF(ISNUMBER(MATCH($B904,日別データ!$B$13:$B$32,0)),"✔ OK","⚠ 未登録"))</f>
        <v/>
      </c>
      <c r="J904" s="80" t="str">
        <f aca="false">IF($B904="","",IF($D904="","－",IF(ISNUMBER($D904),IF(AND($D904&gt;=1,MOD($D904,1)=0),"－",IF(MOD($D904,1)&lt;$L$6,"朝",IF(MOD($D904,1)&lt;$L$7,"昼",IF(MOD($D904,1)&lt;$L$8,"夕方","夜")))),IF(OR($D904="朝",$D904="昼",$D904="夕方",$D904="夜"),$D904,"⚠ 不明"))))</f>
        <v/>
      </c>
    </row>
    <row r="905" customFormat="false" ht="15" hidden="false" customHeight="false" outlineLevel="0" collapsed="false">
      <c r="A905" s="75"/>
      <c r="B905" s="76"/>
      <c r="C905" s="77"/>
      <c r="D905" s="78"/>
      <c r="E905" s="77"/>
      <c r="F905" s="76"/>
      <c r="G905" s="76"/>
      <c r="I905" s="79" t="str">
        <f aca="false">IF($B905="","",IF(ISNUMBER(MATCH($B905,日別データ!$B$13:$B$32,0)),"✔ OK","⚠ 未登録"))</f>
        <v/>
      </c>
      <c r="J905" s="80" t="str">
        <f aca="false">IF($B905="","",IF($D905="","－",IF(ISNUMBER($D905),IF(AND($D905&gt;=1,MOD($D905,1)=0),"－",IF(MOD($D905,1)&lt;$L$6,"朝",IF(MOD($D905,1)&lt;$L$7,"昼",IF(MOD($D905,1)&lt;$L$8,"夕方","夜")))),IF(OR($D905="朝",$D905="昼",$D905="夕方",$D905="夜"),$D905,"⚠ 不明"))))</f>
        <v/>
      </c>
    </row>
    <row r="906" customFormat="false" ht="15" hidden="false" customHeight="false" outlineLevel="0" collapsed="false">
      <c r="A906" s="75"/>
      <c r="B906" s="76"/>
      <c r="C906" s="77"/>
      <c r="D906" s="78"/>
      <c r="E906" s="77"/>
      <c r="F906" s="76"/>
      <c r="G906" s="76"/>
      <c r="I906" s="79" t="str">
        <f aca="false">IF($B906="","",IF(ISNUMBER(MATCH($B906,日別データ!$B$13:$B$32,0)),"✔ OK","⚠ 未登録"))</f>
        <v/>
      </c>
      <c r="J906" s="80" t="str">
        <f aca="false">IF($B906="","",IF($D906="","－",IF(ISNUMBER($D906),IF(AND($D906&gt;=1,MOD($D906,1)=0),"－",IF(MOD($D906,1)&lt;$L$6,"朝",IF(MOD($D906,1)&lt;$L$7,"昼",IF(MOD($D906,1)&lt;$L$8,"夕方","夜")))),IF(OR($D906="朝",$D906="昼",$D906="夕方",$D906="夜"),$D906,"⚠ 不明"))))</f>
        <v/>
      </c>
    </row>
    <row r="907" customFormat="false" ht="15" hidden="false" customHeight="false" outlineLevel="0" collapsed="false">
      <c r="A907" s="75"/>
      <c r="B907" s="76"/>
      <c r="C907" s="77"/>
      <c r="D907" s="78"/>
      <c r="E907" s="77"/>
      <c r="F907" s="76"/>
      <c r="G907" s="76"/>
      <c r="I907" s="79" t="str">
        <f aca="false">IF($B907="","",IF(ISNUMBER(MATCH($B907,日別データ!$B$13:$B$32,0)),"✔ OK","⚠ 未登録"))</f>
        <v/>
      </c>
      <c r="J907" s="80" t="str">
        <f aca="false">IF($B907="","",IF($D907="","－",IF(ISNUMBER($D907),IF(AND($D907&gt;=1,MOD($D907,1)=0),"－",IF(MOD($D907,1)&lt;$L$6,"朝",IF(MOD($D907,1)&lt;$L$7,"昼",IF(MOD($D907,1)&lt;$L$8,"夕方","夜")))),IF(OR($D907="朝",$D907="昼",$D907="夕方",$D907="夜"),$D907,"⚠ 不明"))))</f>
        <v/>
      </c>
    </row>
    <row r="908" customFormat="false" ht="15" hidden="false" customHeight="false" outlineLevel="0" collapsed="false">
      <c r="A908" s="75"/>
      <c r="B908" s="76"/>
      <c r="C908" s="77"/>
      <c r="D908" s="78"/>
      <c r="E908" s="77"/>
      <c r="F908" s="76"/>
      <c r="G908" s="76"/>
      <c r="I908" s="79" t="str">
        <f aca="false">IF($B908="","",IF(ISNUMBER(MATCH($B908,日別データ!$B$13:$B$32,0)),"✔ OK","⚠ 未登録"))</f>
        <v/>
      </c>
      <c r="J908" s="80" t="str">
        <f aca="false">IF($B908="","",IF($D908="","－",IF(ISNUMBER($D908),IF(AND($D908&gt;=1,MOD($D908,1)=0),"－",IF(MOD($D908,1)&lt;$L$6,"朝",IF(MOD($D908,1)&lt;$L$7,"昼",IF(MOD($D908,1)&lt;$L$8,"夕方","夜")))),IF(OR($D908="朝",$D908="昼",$D908="夕方",$D908="夜"),$D908,"⚠ 不明"))))</f>
        <v/>
      </c>
    </row>
    <row r="909" customFormat="false" ht="15" hidden="false" customHeight="false" outlineLevel="0" collapsed="false">
      <c r="A909" s="75"/>
      <c r="B909" s="76"/>
      <c r="C909" s="77"/>
      <c r="D909" s="78"/>
      <c r="E909" s="77"/>
      <c r="F909" s="76"/>
      <c r="G909" s="76"/>
      <c r="I909" s="79" t="str">
        <f aca="false">IF($B909="","",IF(ISNUMBER(MATCH($B909,日別データ!$B$13:$B$32,0)),"✔ OK","⚠ 未登録"))</f>
        <v/>
      </c>
      <c r="J909" s="80" t="str">
        <f aca="false">IF($B909="","",IF($D909="","－",IF(ISNUMBER($D909),IF(AND($D909&gt;=1,MOD($D909,1)=0),"－",IF(MOD($D909,1)&lt;$L$6,"朝",IF(MOD($D909,1)&lt;$L$7,"昼",IF(MOD($D909,1)&lt;$L$8,"夕方","夜")))),IF(OR($D909="朝",$D909="昼",$D909="夕方",$D909="夜"),$D909,"⚠ 不明"))))</f>
        <v/>
      </c>
    </row>
    <row r="910" customFormat="false" ht="15" hidden="false" customHeight="false" outlineLevel="0" collapsed="false">
      <c r="A910" s="75"/>
      <c r="B910" s="76"/>
      <c r="C910" s="77"/>
      <c r="D910" s="78"/>
      <c r="E910" s="77"/>
      <c r="F910" s="76"/>
      <c r="G910" s="76"/>
      <c r="I910" s="79" t="str">
        <f aca="false">IF($B910="","",IF(ISNUMBER(MATCH($B910,日別データ!$B$13:$B$32,0)),"✔ OK","⚠ 未登録"))</f>
        <v/>
      </c>
      <c r="J910" s="80" t="str">
        <f aca="false">IF($B910="","",IF($D910="","－",IF(ISNUMBER($D910),IF(AND($D910&gt;=1,MOD($D910,1)=0),"－",IF(MOD($D910,1)&lt;$L$6,"朝",IF(MOD($D910,1)&lt;$L$7,"昼",IF(MOD($D910,1)&lt;$L$8,"夕方","夜")))),IF(OR($D910="朝",$D910="昼",$D910="夕方",$D910="夜"),$D910,"⚠ 不明"))))</f>
        <v/>
      </c>
    </row>
    <row r="911" customFormat="false" ht="15" hidden="false" customHeight="false" outlineLevel="0" collapsed="false">
      <c r="A911" s="75"/>
      <c r="B911" s="76"/>
      <c r="C911" s="77"/>
      <c r="D911" s="78"/>
      <c r="E911" s="77"/>
      <c r="F911" s="76"/>
      <c r="G911" s="76"/>
      <c r="I911" s="79" t="str">
        <f aca="false">IF($B911="","",IF(ISNUMBER(MATCH($B911,日別データ!$B$13:$B$32,0)),"✔ OK","⚠ 未登録"))</f>
        <v/>
      </c>
      <c r="J911" s="80" t="str">
        <f aca="false">IF($B911="","",IF($D911="","－",IF(ISNUMBER($D911),IF(AND($D911&gt;=1,MOD($D911,1)=0),"－",IF(MOD($D911,1)&lt;$L$6,"朝",IF(MOD($D911,1)&lt;$L$7,"昼",IF(MOD($D911,1)&lt;$L$8,"夕方","夜")))),IF(OR($D911="朝",$D911="昼",$D911="夕方",$D911="夜"),$D911,"⚠ 不明"))))</f>
        <v/>
      </c>
    </row>
    <row r="912" customFormat="false" ht="15" hidden="false" customHeight="false" outlineLevel="0" collapsed="false">
      <c r="A912" s="75"/>
      <c r="B912" s="76"/>
      <c r="C912" s="77"/>
      <c r="D912" s="78"/>
      <c r="E912" s="77"/>
      <c r="F912" s="76"/>
      <c r="G912" s="76"/>
      <c r="I912" s="79" t="str">
        <f aca="false">IF($B912="","",IF(ISNUMBER(MATCH($B912,日別データ!$B$13:$B$32,0)),"✔ OK","⚠ 未登録"))</f>
        <v/>
      </c>
      <c r="J912" s="80" t="str">
        <f aca="false">IF($B912="","",IF($D912="","－",IF(ISNUMBER($D912),IF(AND($D912&gt;=1,MOD($D912,1)=0),"－",IF(MOD($D912,1)&lt;$L$6,"朝",IF(MOD($D912,1)&lt;$L$7,"昼",IF(MOD($D912,1)&lt;$L$8,"夕方","夜")))),IF(OR($D912="朝",$D912="昼",$D912="夕方",$D912="夜"),$D912,"⚠ 不明"))))</f>
        <v/>
      </c>
    </row>
    <row r="913" customFormat="false" ht="15" hidden="false" customHeight="false" outlineLevel="0" collapsed="false">
      <c r="A913" s="75"/>
      <c r="B913" s="76"/>
      <c r="C913" s="77"/>
      <c r="D913" s="78"/>
      <c r="E913" s="77"/>
      <c r="F913" s="76"/>
      <c r="G913" s="76"/>
      <c r="I913" s="79" t="str">
        <f aca="false">IF($B913="","",IF(ISNUMBER(MATCH($B913,日別データ!$B$13:$B$32,0)),"✔ OK","⚠ 未登録"))</f>
        <v/>
      </c>
      <c r="J913" s="80" t="str">
        <f aca="false">IF($B913="","",IF($D913="","－",IF(ISNUMBER($D913),IF(AND($D913&gt;=1,MOD($D913,1)=0),"－",IF(MOD($D913,1)&lt;$L$6,"朝",IF(MOD($D913,1)&lt;$L$7,"昼",IF(MOD($D913,1)&lt;$L$8,"夕方","夜")))),IF(OR($D913="朝",$D913="昼",$D913="夕方",$D913="夜"),$D913,"⚠ 不明"))))</f>
        <v/>
      </c>
    </row>
    <row r="914" customFormat="false" ht="15" hidden="false" customHeight="false" outlineLevel="0" collapsed="false">
      <c r="A914" s="75"/>
      <c r="B914" s="76"/>
      <c r="C914" s="77"/>
      <c r="D914" s="78"/>
      <c r="E914" s="77"/>
      <c r="F914" s="76"/>
      <c r="G914" s="76"/>
      <c r="I914" s="79" t="str">
        <f aca="false">IF($B914="","",IF(ISNUMBER(MATCH($B914,日別データ!$B$13:$B$32,0)),"✔ OK","⚠ 未登録"))</f>
        <v/>
      </c>
      <c r="J914" s="80" t="str">
        <f aca="false">IF($B914="","",IF($D914="","－",IF(ISNUMBER($D914),IF(AND($D914&gt;=1,MOD($D914,1)=0),"－",IF(MOD($D914,1)&lt;$L$6,"朝",IF(MOD($D914,1)&lt;$L$7,"昼",IF(MOD($D914,1)&lt;$L$8,"夕方","夜")))),IF(OR($D914="朝",$D914="昼",$D914="夕方",$D914="夜"),$D914,"⚠ 不明"))))</f>
        <v/>
      </c>
    </row>
    <row r="915" customFormat="false" ht="15" hidden="false" customHeight="false" outlineLevel="0" collapsed="false">
      <c r="A915" s="75"/>
      <c r="B915" s="76"/>
      <c r="C915" s="77"/>
      <c r="D915" s="78"/>
      <c r="E915" s="77"/>
      <c r="F915" s="76"/>
      <c r="G915" s="76"/>
      <c r="I915" s="79" t="str">
        <f aca="false">IF($B915="","",IF(ISNUMBER(MATCH($B915,日別データ!$B$13:$B$32,0)),"✔ OK","⚠ 未登録"))</f>
        <v/>
      </c>
      <c r="J915" s="80" t="str">
        <f aca="false">IF($B915="","",IF($D915="","－",IF(ISNUMBER($D915),IF(AND($D915&gt;=1,MOD($D915,1)=0),"－",IF(MOD($D915,1)&lt;$L$6,"朝",IF(MOD($D915,1)&lt;$L$7,"昼",IF(MOD($D915,1)&lt;$L$8,"夕方","夜")))),IF(OR($D915="朝",$D915="昼",$D915="夕方",$D915="夜"),$D915,"⚠ 不明"))))</f>
        <v/>
      </c>
    </row>
    <row r="916" customFormat="false" ht="15" hidden="false" customHeight="false" outlineLevel="0" collapsed="false">
      <c r="A916" s="75"/>
      <c r="B916" s="76"/>
      <c r="C916" s="77"/>
      <c r="D916" s="78"/>
      <c r="E916" s="77"/>
      <c r="F916" s="76"/>
      <c r="G916" s="76"/>
      <c r="I916" s="79" t="str">
        <f aca="false">IF($B916="","",IF(ISNUMBER(MATCH($B916,日別データ!$B$13:$B$32,0)),"✔ OK","⚠ 未登録"))</f>
        <v/>
      </c>
      <c r="J916" s="80" t="str">
        <f aca="false">IF($B916="","",IF($D916="","－",IF(ISNUMBER($D916),IF(AND($D916&gt;=1,MOD($D916,1)=0),"－",IF(MOD($D916,1)&lt;$L$6,"朝",IF(MOD($D916,1)&lt;$L$7,"昼",IF(MOD($D916,1)&lt;$L$8,"夕方","夜")))),IF(OR($D916="朝",$D916="昼",$D916="夕方",$D916="夜"),$D916,"⚠ 不明"))))</f>
        <v/>
      </c>
    </row>
    <row r="917" customFormat="false" ht="15" hidden="false" customHeight="false" outlineLevel="0" collapsed="false">
      <c r="A917" s="75"/>
      <c r="B917" s="76"/>
      <c r="C917" s="77"/>
      <c r="D917" s="78"/>
      <c r="E917" s="77"/>
      <c r="F917" s="76"/>
      <c r="G917" s="76"/>
      <c r="I917" s="79" t="str">
        <f aca="false">IF($B917="","",IF(ISNUMBER(MATCH($B917,日別データ!$B$13:$B$32,0)),"✔ OK","⚠ 未登録"))</f>
        <v/>
      </c>
      <c r="J917" s="80" t="str">
        <f aca="false">IF($B917="","",IF($D917="","－",IF(ISNUMBER($D917),IF(AND($D917&gt;=1,MOD($D917,1)=0),"－",IF(MOD($D917,1)&lt;$L$6,"朝",IF(MOD($D917,1)&lt;$L$7,"昼",IF(MOD($D917,1)&lt;$L$8,"夕方","夜")))),IF(OR($D917="朝",$D917="昼",$D917="夕方",$D917="夜"),$D917,"⚠ 不明"))))</f>
        <v/>
      </c>
    </row>
    <row r="918" customFormat="false" ht="15" hidden="false" customHeight="false" outlineLevel="0" collapsed="false">
      <c r="A918" s="75"/>
      <c r="B918" s="76"/>
      <c r="C918" s="77"/>
      <c r="D918" s="78"/>
      <c r="E918" s="77"/>
      <c r="F918" s="76"/>
      <c r="G918" s="76"/>
      <c r="I918" s="79" t="str">
        <f aca="false">IF($B918="","",IF(ISNUMBER(MATCH($B918,日別データ!$B$13:$B$32,0)),"✔ OK","⚠ 未登録"))</f>
        <v/>
      </c>
      <c r="J918" s="80" t="str">
        <f aca="false">IF($B918="","",IF($D918="","－",IF(ISNUMBER($D918),IF(AND($D918&gt;=1,MOD($D918,1)=0),"－",IF(MOD($D918,1)&lt;$L$6,"朝",IF(MOD($D918,1)&lt;$L$7,"昼",IF(MOD($D918,1)&lt;$L$8,"夕方","夜")))),IF(OR($D918="朝",$D918="昼",$D918="夕方",$D918="夜"),$D918,"⚠ 不明"))))</f>
        <v/>
      </c>
    </row>
    <row r="919" customFormat="false" ht="15" hidden="false" customHeight="false" outlineLevel="0" collapsed="false">
      <c r="A919" s="75"/>
      <c r="B919" s="76"/>
      <c r="C919" s="77"/>
      <c r="D919" s="78"/>
      <c r="E919" s="77"/>
      <c r="F919" s="76"/>
      <c r="G919" s="76"/>
      <c r="I919" s="79" t="str">
        <f aca="false">IF($B919="","",IF(ISNUMBER(MATCH($B919,日別データ!$B$13:$B$32,0)),"✔ OK","⚠ 未登録"))</f>
        <v/>
      </c>
      <c r="J919" s="80" t="str">
        <f aca="false">IF($B919="","",IF($D919="","－",IF(ISNUMBER($D919),IF(AND($D919&gt;=1,MOD($D919,1)=0),"－",IF(MOD($D919,1)&lt;$L$6,"朝",IF(MOD($D919,1)&lt;$L$7,"昼",IF(MOD($D919,1)&lt;$L$8,"夕方","夜")))),IF(OR($D919="朝",$D919="昼",$D919="夕方",$D919="夜"),$D919,"⚠ 不明"))))</f>
        <v/>
      </c>
    </row>
    <row r="920" customFormat="false" ht="15" hidden="false" customHeight="false" outlineLevel="0" collapsed="false">
      <c r="A920" s="75"/>
      <c r="B920" s="76"/>
      <c r="C920" s="77"/>
      <c r="D920" s="78"/>
      <c r="E920" s="77"/>
      <c r="F920" s="76"/>
      <c r="G920" s="76"/>
      <c r="I920" s="79" t="str">
        <f aca="false">IF($B920="","",IF(ISNUMBER(MATCH($B920,日別データ!$B$13:$B$32,0)),"✔ OK","⚠ 未登録"))</f>
        <v/>
      </c>
      <c r="J920" s="80" t="str">
        <f aca="false">IF($B920="","",IF($D920="","－",IF(ISNUMBER($D920),IF(AND($D920&gt;=1,MOD($D920,1)=0),"－",IF(MOD($D920,1)&lt;$L$6,"朝",IF(MOD($D920,1)&lt;$L$7,"昼",IF(MOD($D920,1)&lt;$L$8,"夕方","夜")))),IF(OR($D920="朝",$D920="昼",$D920="夕方",$D920="夜"),$D920,"⚠ 不明"))))</f>
        <v/>
      </c>
    </row>
    <row r="921" customFormat="false" ht="15" hidden="false" customHeight="false" outlineLevel="0" collapsed="false">
      <c r="A921" s="75"/>
      <c r="B921" s="76"/>
      <c r="C921" s="77"/>
      <c r="D921" s="78"/>
      <c r="E921" s="77"/>
      <c r="F921" s="76"/>
      <c r="G921" s="76"/>
      <c r="I921" s="79" t="str">
        <f aca="false">IF($B921="","",IF(ISNUMBER(MATCH($B921,日別データ!$B$13:$B$32,0)),"✔ OK","⚠ 未登録"))</f>
        <v/>
      </c>
      <c r="J921" s="80" t="str">
        <f aca="false">IF($B921="","",IF($D921="","－",IF(ISNUMBER($D921),IF(AND($D921&gt;=1,MOD($D921,1)=0),"－",IF(MOD($D921,1)&lt;$L$6,"朝",IF(MOD($D921,1)&lt;$L$7,"昼",IF(MOD($D921,1)&lt;$L$8,"夕方","夜")))),IF(OR($D921="朝",$D921="昼",$D921="夕方",$D921="夜"),$D921,"⚠ 不明"))))</f>
        <v/>
      </c>
    </row>
    <row r="922" customFormat="false" ht="15" hidden="false" customHeight="false" outlineLevel="0" collapsed="false">
      <c r="A922" s="75"/>
      <c r="B922" s="76"/>
      <c r="C922" s="77"/>
      <c r="D922" s="78"/>
      <c r="E922" s="77"/>
      <c r="F922" s="76"/>
      <c r="G922" s="76"/>
      <c r="I922" s="79" t="str">
        <f aca="false">IF($B922="","",IF(ISNUMBER(MATCH($B922,日別データ!$B$13:$B$32,0)),"✔ OK","⚠ 未登録"))</f>
        <v/>
      </c>
      <c r="J922" s="80" t="str">
        <f aca="false">IF($B922="","",IF($D922="","－",IF(ISNUMBER($D922),IF(AND($D922&gt;=1,MOD($D922,1)=0),"－",IF(MOD($D922,1)&lt;$L$6,"朝",IF(MOD($D922,1)&lt;$L$7,"昼",IF(MOD($D922,1)&lt;$L$8,"夕方","夜")))),IF(OR($D922="朝",$D922="昼",$D922="夕方",$D922="夜"),$D922,"⚠ 不明"))))</f>
        <v/>
      </c>
    </row>
    <row r="923" customFormat="false" ht="15" hidden="false" customHeight="false" outlineLevel="0" collapsed="false">
      <c r="A923" s="75"/>
      <c r="B923" s="76"/>
      <c r="C923" s="77"/>
      <c r="D923" s="78"/>
      <c r="E923" s="77"/>
      <c r="F923" s="76"/>
      <c r="G923" s="76"/>
      <c r="I923" s="79" t="str">
        <f aca="false">IF($B923="","",IF(ISNUMBER(MATCH($B923,日別データ!$B$13:$B$32,0)),"✔ OK","⚠ 未登録"))</f>
        <v/>
      </c>
      <c r="J923" s="80" t="str">
        <f aca="false">IF($B923="","",IF($D923="","－",IF(ISNUMBER($D923),IF(AND($D923&gt;=1,MOD($D923,1)=0),"－",IF(MOD($D923,1)&lt;$L$6,"朝",IF(MOD($D923,1)&lt;$L$7,"昼",IF(MOD($D923,1)&lt;$L$8,"夕方","夜")))),IF(OR($D923="朝",$D923="昼",$D923="夕方",$D923="夜"),$D923,"⚠ 不明"))))</f>
        <v/>
      </c>
    </row>
    <row r="924" customFormat="false" ht="15" hidden="false" customHeight="false" outlineLevel="0" collapsed="false">
      <c r="A924" s="75"/>
      <c r="B924" s="76"/>
      <c r="C924" s="77"/>
      <c r="D924" s="78"/>
      <c r="E924" s="77"/>
      <c r="F924" s="76"/>
      <c r="G924" s="76"/>
      <c r="I924" s="79" t="str">
        <f aca="false">IF($B924="","",IF(ISNUMBER(MATCH($B924,日別データ!$B$13:$B$32,0)),"✔ OK","⚠ 未登録"))</f>
        <v/>
      </c>
      <c r="J924" s="80" t="str">
        <f aca="false">IF($B924="","",IF($D924="","－",IF(ISNUMBER($D924),IF(AND($D924&gt;=1,MOD($D924,1)=0),"－",IF(MOD($D924,1)&lt;$L$6,"朝",IF(MOD($D924,1)&lt;$L$7,"昼",IF(MOD($D924,1)&lt;$L$8,"夕方","夜")))),IF(OR($D924="朝",$D924="昼",$D924="夕方",$D924="夜"),$D924,"⚠ 不明"))))</f>
        <v/>
      </c>
    </row>
    <row r="925" customFormat="false" ht="15" hidden="false" customHeight="false" outlineLevel="0" collapsed="false">
      <c r="A925" s="75"/>
      <c r="B925" s="76"/>
      <c r="C925" s="77"/>
      <c r="D925" s="78"/>
      <c r="E925" s="77"/>
      <c r="F925" s="76"/>
      <c r="G925" s="76"/>
      <c r="I925" s="79" t="str">
        <f aca="false">IF($B925="","",IF(ISNUMBER(MATCH($B925,日別データ!$B$13:$B$32,0)),"✔ OK","⚠ 未登録"))</f>
        <v/>
      </c>
      <c r="J925" s="80" t="str">
        <f aca="false">IF($B925="","",IF($D925="","－",IF(ISNUMBER($D925),IF(AND($D925&gt;=1,MOD($D925,1)=0),"－",IF(MOD($D925,1)&lt;$L$6,"朝",IF(MOD($D925,1)&lt;$L$7,"昼",IF(MOD($D925,1)&lt;$L$8,"夕方","夜")))),IF(OR($D925="朝",$D925="昼",$D925="夕方",$D925="夜"),$D925,"⚠ 不明"))))</f>
        <v/>
      </c>
    </row>
    <row r="926" customFormat="false" ht="15" hidden="false" customHeight="false" outlineLevel="0" collapsed="false">
      <c r="A926" s="75"/>
      <c r="B926" s="76"/>
      <c r="C926" s="77"/>
      <c r="D926" s="78"/>
      <c r="E926" s="77"/>
      <c r="F926" s="76"/>
      <c r="G926" s="76"/>
      <c r="I926" s="79" t="str">
        <f aca="false">IF($B926="","",IF(ISNUMBER(MATCH($B926,日別データ!$B$13:$B$32,0)),"✔ OK","⚠ 未登録"))</f>
        <v/>
      </c>
      <c r="J926" s="80" t="str">
        <f aca="false">IF($B926="","",IF($D926="","－",IF(ISNUMBER($D926),IF(AND($D926&gt;=1,MOD($D926,1)=0),"－",IF(MOD($D926,1)&lt;$L$6,"朝",IF(MOD($D926,1)&lt;$L$7,"昼",IF(MOD($D926,1)&lt;$L$8,"夕方","夜")))),IF(OR($D926="朝",$D926="昼",$D926="夕方",$D926="夜"),$D926,"⚠ 不明"))))</f>
        <v/>
      </c>
    </row>
    <row r="927" customFormat="false" ht="15" hidden="false" customHeight="false" outlineLevel="0" collapsed="false">
      <c r="A927" s="75"/>
      <c r="B927" s="76"/>
      <c r="C927" s="77"/>
      <c r="D927" s="78"/>
      <c r="E927" s="77"/>
      <c r="F927" s="76"/>
      <c r="G927" s="76"/>
      <c r="I927" s="79" t="str">
        <f aca="false">IF($B927="","",IF(ISNUMBER(MATCH($B927,日別データ!$B$13:$B$32,0)),"✔ OK","⚠ 未登録"))</f>
        <v/>
      </c>
      <c r="J927" s="80" t="str">
        <f aca="false">IF($B927="","",IF($D927="","－",IF(ISNUMBER($D927),IF(AND($D927&gt;=1,MOD($D927,1)=0),"－",IF(MOD($D927,1)&lt;$L$6,"朝",IF(MOD($D927,1)&lt;$L$7,"昼",IF(MOD($D927,1)&lt;$L$8,"夕方","夜")))),IF(OR($D927="朝",$D927="昼",$D927="夕方",$D927="夜"),$D927,"⚠ 不明"))))</f>
        <v/>
      </c>
    </row>
    <row r="928" customFormat="false" ht="15" hidden="false" customHeight="false" outlineLevel="0" collapsed="false">
      <c r="A928" s="75"/>
      <c r="B928" s="76"/>
      <c r="C928" s="77"/>
      <c r="D928" s="78"/>
      <c r="E928" s="77"/>
      <c r="F928" s="76"/>
      <c r="G928" s="76"/>
      <c r="I928" s="79" t="str">
        <f aca="false">IF($B928="","",IF(ISNUMBER(MATCH($B928,日別データ!$B$13:$B$32,0)),"✔ OK","⚠ 未登録"))</f>
        <v/>
      </c>
      <c r="J928" s="80" t="str">
        <f aca="false">IF($B928="","",IF($D928="","－",IF(ISNUMBER($D928),IF(AND($D928&gt;=1,MOD($D928,1)=0),"－",IF(MOD($D928,1)&lt;$L$6,"朝",IF(MOD($D928,1)&lt;$L$7,"昼",IF(MOD($D928,1)&lt;$L$8,"夕方","夜")))),IF(OR($D928="朝",$D928="昼",$D928="夕方",$D928="夜"),$D928,"⚠ 不明"))))</f>
        <v/>
      </c>
    </row>
    <row r="929" customFormat="false" ht="15" hidden="false" customHeight="false" outlineLevel="0" collapsed="false">
      <c r="A929" s="75"/>
      <c r="B929" s="76"/>
      <c r="C929" s="77"/>
      <c r="D929" s="78"/>
      <c r="E929" s="77"/>
      <c r="F929" s="76"/>
      <c r="G929" s="76"/>
      <c r="I929" s="79" t="str">
        <f aca="false">IF($B929="","",IF(ISNUMBER(MATCH($B929,日別データ!$B$13:$B$32,0)),"✔ OK","⚠ 未登録"))</f>
        <v/>
      </c>
      <c r="J929" s="80" t="str">
        <f aca="false">IF($B929="","",IF($D929="","－",IF(ISNUMBER($D929),IF(AND($D929&gt;=1,MOD($D929,1)=0),"－",IF(MOD($D929,1)&lt;$L$6,"朝",IF(MOD($D929,1)&lt;$L$7,"昼",IF(MOD($D929,1)&lt;$L$8,"夕方","夜")))),IF(OR($D929="朝",$D929="昼",$D929="夕方",$D929="夜"),$D929,"⚠ 不明"))))</f>
        <v/>
      </c>
    </row>
    <row r="930" customFormat="false" ht="15" hidden="false" customHeight="false" outlineLevel="0" collapsed="false">
      <c r="A930" s="75"/>
      <c r="B930" s="76"/>
      <c r="C930" s="77"/>
      <c r="D930" s="78"/>
      <c r="E930" s="77"/>
      <c r="F930" s="76"/>
      <c r="G930" s="76"/>
      <c r="I930" s="79" t="str">
        <f aca="false">IF($B930="","",IF(ISNUMBER(MATCH($B930,日別データ!$B$13:$B$32,0)),"✔ OK","⚠ 未登録"))</f>
        <v/>
      </c>
      <c r="J930" s="80" t="str">
        <f aca="false">IF($B930="","",IF($D930="","－",IF(ISNUMBER($D930),IF(AND($D930&gt;=1,MOD($D930,1)=0),"－",IF(MOD($D930,1)&lt;$L$6,"朝",IF(MOD($D930,1)&lt;$L$7,"昼",IF(MOD($D930,1)&lt;$L$8,"夕方","夜")))),IF(OR($D930="朝",$D930="昼",$D930="夕方",$D930="夜"),$D930,"⚠ 不明"))))</f>
        <v/>
      </c>
    </row>
    <row r="931" customFormat="false" ht="15" hidden="false" customHeight="false" outlineLevel="0" collapsed="false">
      <c r="A931" s="75"/>
      <c r="B931" s="76"/>
      <c r="C931" s="77"/>
      <c r="D931" s="78"/>
      <c r="E931" s="77"/>
      <c r="F931" s="76"/>
      <c r="G931" s="76"/>
      <c r="I931" s="79" t="str">
        <f aca="false">IF($B931="","",IF(ISNUMBER(MATCH($B931,日別データ!$B$13:$B$32,0)),"✔ OK","⚠ 未登録"))</f>
        <v/>
      </c>
      <c r="J931" s="80" t="str">
        <f aca="false">IF($B931="","",IF($D931="","－",IF(ISNUMBER($D931),IF(AND($D931&gt;=1,MOD($D931,1)=0),"－",IF(MOD($D931,1)&lt;$L$6,"朝",IF(MOD($D931,1)&lt;$L$7,"昼",IF(MOD($D931,1)&lt;$L$8,"夕方","夜")))),IF(OR($D931="朝",$D931="昼",$D931="夕方",$D931="夜"),$D931,"⚠ 不明"))))</f>
        <v/>
      </c>
    </row>
    <row r="932" customFormat="false" ht="15" hidden="false" customHeight="false" outlineLevel="0" collapsed="false">
      <c r="A932" s="75"/>
      <c r="B932" s="76"/>
      <c r="C932" s="77"/>
      <c r="D932" s="78"/>
      <c r="E932" s="77"/>
      <c r="F932" s="76"/>
      <c r="G932" s="76"/>
      <c r="I932" s="79" t="str">
        <f aca="false">IF($B932="","",IF(ISNUMBER(MATCH($B932,日別データ!$B$13:$B$32,0)),"✔ OK","⚠ 未登録"))</f>
        <v/>
      </c>
      <c r="J932" s="80" t="str">
        <f aca="false">IF($B932="","",IF($D932="","－",IF(ISNUMBER($D932),IF(AND($D932&gt;=1,MOD($D932,1)=0),"－",IF(MOD($D932,1)&lt;$L$6,"朝",IF(MOD($D932,1)&lt;$L$7,"昼",IF(MOD($D932,1)&lt;$L$8,"夕方","夜")))),IF(OR($D932="朝",$D932="昼",$D932="夕方",$D932="夜"),$D932,"⚠ 不明"))))</f>
        <v/>
      </c>
    </row>
    <row r="933" customFormat="false" ht="15" hidden="false" customHeight="false" outlineLevel="0" collapsed="false">
      <c r="A933" s="75"/>
      <c r="B933" s="76"/>
      <c r="C933" s="77"/>
      <c r="D933" s="78"/>
      <c r="E933" s="77"/>
      <c r="F933" s="76"/>
      <c r="G933" s="76"/>
      <c r="I933" s="79" t="str">
        <f aca="false">IF($B933="","",IF(ISNUMBER(MATCH($B933,日別データ!$B$13:$B$32,0)),"✔ OK","⚠ 未登録"))</f>
        <v/>
      </c>
      <c r="J933" s="80" t="str">
        <f aca="false">IF($B933="","",IF($D933="","－",IF(ISNUMBER($D933),IF(AND($D933&gt;=1,MOD($D933,1)=0),"－",IF(MOD($D933,1)&lt;$L$6,"朝",IF(MOD($D933,1)&lt;$L$7,"昼",IF(MOD($D933,1)&lt;$L$8,"夕方","夜")))),IF(OR($D933="朝",$D933="昼",$D933="夕方",$D933="夜"),$D933,"⚠ 不明"))))</f>
        <v/>
      </c>
    </row>
    <row r="934" customFormat="false" ht="15" hidden="false" customHeight="false" outlineLevel="0" collapsed="false">
      <c r="A934" s="75"/>
      <c r="B934" s="76"/>
      <c r="C934" s="77"/>
      <c r="D934" s="78"/>
      <c r="E934" s="77"/>
      <c r="F934" s="76"/>
      <c r="G934" s="76"/>
      <c r="I934" s="79" t="str">
        <f aca="false">IF($B934="","",IF(ISNUMBER(MATCH($B934,日別データ!$B$13:$B$32,0)),"✔ OK","⚠ 未登録"))</f>
        <v/>
      </c>
      <c r="J934" s="80" t="str">
        <f aca="false">IF($B934="","",IF($D934="","－",IF(ISNUMBER($D934),IF(AND($D934&gt;=1,MOD($D934,1)=0),"－",IF(MOD($D934,1)&lt;$L$6,"朝",IF(MOD($D934,1)&lt;$L$7,"昼",IF(MOD($D934,1)&lt;$L$8,"夕方","夜")))),IF(OR($D934="朝",$D934="昼",$D934="夕方",$D934="夜"),$D934,"⚠ 不明"))))</f>
        <v/>
      </c>
    </row>
    <row r="935" customFormat="false" ht="15" hidden="false" customHeight="false" outlineLevel="0" collapsed="false">
      <c r="A935" s="75"/>
      <c r="B935" s="76"/>
      <c r="C935" s="77"/>
      <c r="D935" s="78"/>
      <c r="E935" s="77"/>
      <c r="F935" s="76"/>
      <c r="G935" s="76"/>
      <c r="I935" s="79" t="str">
        <f aca="false">IF($B935="","",IF(ISNUMBER(MATCH($B935,日別データ!$B$13:$B$32,0)),"✔ OK","⚠ 未登録"))</f>
        <v/>
      </c>
      <c r="J935" s="80" t="str">
        <f aca="false">IF($B935="","",IF($D935="","－",IF(ISNUMBER($D935),IF(AND($D935&gt;=1,MOD($D935,1)=0),"－",IF(MOD($D935,1)&lt;$L$6,"朝",IF(MOD($D935,1)&lt;$L$7,"昼",IF(MOD($D935,1)&lt;$L$8,"夕方","夜")))),IF(OR($D935="朝",$D935="昼",$D935="夕方",$D935="夜"),$D935,"⚠ 不明"))))</f>
        <v/>
      </c>
    </row>
    <row r="936" customFormat="false" ht="15" hidden="false" customHeight="false" outlineLevel="0" collapsed="false">
      <c r="A936" s="75"/>
      <c r="B936" s="76"/>
      <c r="C936" s="77"/>
      <c r="D936" s="78"/>
      <c r="E936" s="77"/>
      <c r="F936" s="76"/>
      <c r="G936" s="76"/>
      <c r="I936" s="79" t="str">
        <f aca="false">IF($B936="","",IF(ISNUMBER(MATCH($B936,日別データ!$B$13:$B$32,0)),"✔ OK","⚠ 未登録"))</f>
        <v/>
      </c>
      <c r="J936" s="80" t="str">
        <f aca="false">IF($B936="","",IF($D936="","－",IF(ISNUMBER($D936),IF(AND($D936&gt;=1,MOD($D936,1)=0),"－",IF(MOD($D936,1)&lt;$L$6,"朝",IF(MOD($D936,1)&lt;$L$7,"昼",IF(MOD($D936,1)&lt;$L$8,"夕方","夜")))),IF(OR($D936="朝",$D936="昼",$D936="夕方",$D936="夜"),$D936,"⚠ 不明"))))</f>
        <v/>
      </c>
    </row>
    <row r="937" customFormat="false" ht="15" hidden="false" customHeight="false" outlineLevel="0" collapsed="false">
      <c r="A937" s="75"/>
      <c r="B937" s="76"/>
      <c r="C937" s="77"/>
      <c r="D937" s="78"/>
      <c r="E937" s="77"/>
      <c r="F937" s="76"/>
      <c r="G937" s="76"/>
      <c r="I937" s="79" t="str">
        <f aca="false">IF($B937="","",IF(ISNUMBER(MATCH($B937,日別データ!$B$13:$B$32,0)),"✔ OK","⚠ 未登録"))</f>
        <v/>
      </c>
      <c r="J937" s="80" t="str">
        <f aca="false">IF($B937="","",IF($D937="","－",IF(ISNUMBER($D937),IF(AND($D937&gt;=1,MOD($D937,1)=0),"－",IF(MOD($D937,1)&lt;$L$6,"朝",IF(MOD($D937,1)&lt;$L$7,"昼",IF(MOD($D937,1)&lt;$L$8,"夕方","夜")))),IF(OR($D937="朝",$D937="昼",$D937="夕方",$D937="夜"),$D937,"⚠ 不明"))))</f>
        <v/>
      </c>
    </row>
    <row r="938" customFormat="false" ht="15" hidden="false" customHeight="false" outlineLevel="0" collapsed="false">
      <c r="A938" s="75"/>
      <c r="B938" s="76"/>
      <c r="C938" s="77"/>
      <c r="D938" s="78"/>
      <c r="E938" s="77"/>
      <c r="F938" s="76"/>
      <c r="G938" s="76"/>
      <c r="I938" s="79" t="str">
        <f aca="false">IF($B938="","",IF(ISNUMBER(MATCH($B938,日別データ!$B$13:$B$32,0)),"✔ OK","⚠ 未登録"))</f>
        <v/>
      </c>
      <c r="J938" s="80" t="str">
        <f aca="false">IF($B938="","",IF($D938="","－",IF(ISNUMBER($D938),IF(AND($D938&gt;=1,MOD($D938,1)=0),"－",IF(MOD($D938,1)&lt;$L$6,"朝",IF(MOD($D938,1)&lt;$L$7,"昼",IF(MOD($D938,1)&lt;$L$8,"夕方","夜")))),IF(OR($D938="朝",$D938="昼",$D938="夕方",$D938="夜"),$D938,"⚠ 不明"))))</f>
        <v/>
      </c>
    </row>
    <row r="939" customFormat="false" ht="15" hidden="false" customHeight="false" outlineLevel="0" collapsed="false">
      <c r="A939" s="75"/>
      <c r="B939" s="76"/>
      <c r="C939" s="77"/>
      <c r="D939" s="78"/>
      <c r="E939" s="77"/>
      <c r="F939" s="76"/>
      <c r="G939" s="76"/>
      <c r="I939" s="79" t="str">
        <f aca="false">IF($B939="","",IF(ISNUMBER(MATCH($B939,日別データ!$B$13:$B$32,0)),"✔ OK","⚠ 未登録"))</f>
        <v/>
      </c>
      <c r="J939" s="80" t="str">
        <f aca="false">IF($B939="","",IF($D939="","－",IF(ISNUMBER($D939),IF(AND($D939&gt;=1,MOD($D939,1)=0),"－",IF(MOD($D939,1)&lt;$L$6,"朝",IF(MOD($D939,1)&lt;$L$7,"昼",IF(MOD($D939,1)&lt;$L$8,"夕方","夜")))),IF(OR($D939="朝",$D939="昼",$D939="夕方",$D939="夜"),$D939,"⚠ 不明"))))</f>
        <v/>
      </c>
    </row>
    <row r="940" customFormat="false" ht="15" hidden="false" customHeight="false" outlineLevel="0" collapsed="false">
      <c r="A940" s="75"/>
      <c r="B940" s="76"/>
      <c r="C940" s="77"/>
      <c r="D940" s="78"/>
      <c r="E940" s="77"/>
      <c r="F940" s="76"/>
      <c r="G940" s="76"/>
      <c r="I940" s="79" t="str">
        <f aca="false">IF($B940="","",IF(ISNUMBER(MATCH($B940,日別データ!$B$13:$B$32,0)),"✔ OK","⚠ 未登録"))</f>
        <v/>
      </c>
      <c r="J940" s="80" t="str">
        <f aca="false">IF($B940="","",IF($D940="","－",IF(ISNUMBER($D940),IF(AND($D940&gt;=1,MOD($D940,1)=0),"－",IF(MOD($D940,1)&lt;$L$6,"朝",IF(MOD($D940,1)&lt;$L$7,"昼",IF(MOD($D940,1)&lt;$L$8,"夕方","夜")))),IF(OR($D940="朝",$D940="昼",$D940="夕方",$D940="夜"),$D940,"⚠ 不明"))))</f>
        <v/>
      </c>
    </row>
    <row r="941" customFormat="false" ht="15" hidden="false" customHeight="false" outlineLevel="0" collapsed="false">
      <c r="A941" s="75"/>
      <c r="B941" s="76"/>
      <c r="C941" s="77"/>
      <c r="D941" s="78"/>
      <c r="E941" s="77"/>
      <c r="F941" s="76"/>
      <c r="G941" s="76"/>
      <c r="I941" s="79" t="str">
        <f aca="false">IF($B941="","",IF(ISNUMBER(MATCH($B941,日別データ!$B$13:$B$32,0)),"✔ OK","⚠ 未登録"))</f>
        <v/>
      </c>
      <c r="J941" s="80" t="str">
        <f aca="false">IF($B941="","",IF($D941="","－",IF(ISNUMBER($D941),IF(AND($D941&gt;=1,MOD($D941,1)=0),"－",IF(MOD($D941,1)&lt;$L$6,"朝",IF(MOD($D941,1)&lt;$L$7,"昼",IF(MOD($D941,1)&lt;$L$8,"夕方","夜")))),IF(OR($D941="朝",$D941="昼",$D941="夕方",$D941="夜"),$D941,"⚠ 不明"))))</f>
        <v/>
      </c>
    </row>
    <row r="942" customFormat="false" ht="15" hidden="false" customHeight="false" outlineLevel="0" collapsed="false">
      <c r="A942" s="75"/>
      <c r="B942" s="76"/>
      <c r="C942" s="77"/>
      <c r="D942" s="78"/>
      <c r="E942" s="77"/>
      <c r="F942" s="76"/>
      <c r="G942" s="76"/>
      <c r="I942" s="79" t="str">
        <f aca="false">IF($B942="","",IF(ISNUMBER(MATCH($B942,日別データ!$B$13:$B$32,0)),"✔ OK","⚠ 未登録"))</f>
        <v/>
      </c>
      <c r="J942" s="80" t="str">
        <f aca="false">IF($B942="","",IF($D942="","－",IF(ISNUMBER($D942),IF(AND($D942&gt;=1,MOD($D942,1)=0),"－",IF(MOD($D942,1)&lt;$L$6,"朝",IF(MOD($D942,1)&lt;$L$7,"昼",IF(MOD($D942,1)&lt;$L$8,"夕方","夜")))),IF(OR($D942="朝",$D942="昼",$D942="夕方",$D942="夜"),$D942,"⚠ 不明"))))</f>
        <v/>
      </c>
    </row>
    <row r="943" customFormat="false" ht="15" hidden="false" customHeight="false" outlineLevel="0" collapsed="false">
      <c r="A943" s="75"/>
      <c r="B943" s="76"/>
      <c r="C943" s="77"/>
      <c r="D943" s="78"/>
      <c r="E943" s="77"/>
      <c r="F943" s="76"/>
      <c r="G943" s="76"/>
      <c r="I943" s="79" t="str">
        <f aca="false">IF($B943="","",IF(ISNUMBER(MATCH($B943,日別データ!$B$13:$B$32,0)),"✔ OK","⚠ 未登録"))</f>
        <v/>
      </c>
      <c r="J943" s="80" t="str">
        <f aca="false">IF($B943="","",IF($D943="","－",IF(ISNUMBER($D943),IF(AND($D943&gt;=1,MOD($D943,1)=0),"－",IF(MOD($D943,1)&lt;$L$6,"朝",IF(MOD($D943,1)&lt;$L$7,"昼",IF(MOD($D943,1)&lt;$L$8,"夕方","夜")))),IF(OR($D943="朝",$D943="昼",$D943="夕方",$D943="夜"),$D943,"⚠ 不明"))))</f>
        <v/>
      </c>
    </row>
    <row r="944" customFormat="false" ht="15" hidden="false" customHeight="false" outlineLevel="0" collapsed="false">
      <c r="A944" s="75"/>
      <c r="B944" s="76"/>
      <c r="C944" s="77"/>
      <c r="D944" s="78"/>
      <c r="E944" s="77"/>
      <c r="F944" s="76"/>
      <c r="G944" s="76"/>
      <c r="I944" s="79" t="str">
        <f aca="false">IF($B944="","",IF(ISNUMBER(MATCH($B944,日別データ!$B$13:$B$32,0)),"✔ OK","⚠ 未登録"))</f>
        <v/>
      </c>
      <c r="J944" s="80" t="str">
        <f aca="false">IF($B944="","",IF($D944="","－",IF(ISNUMBER($D944),IF(AND($D944&gt;=1,MOD($D944,1)=0),"－",IF(MOD($D944,1)&lt;$L$6,"朝",IF(MOD($D944,1)&lt;$L$7,"昼",IF(MOD($D944,1)&lt;$L$8,"夕方","夜")))),IF(OR($D944="朝",$D944="昼",$D944="夕方",$D944="夜"),$D944,"⚠ 不明"))))</f>
        <v/>
      </c>
    </row>
    <row r="945" customFormat="false" ht="15" hidden="false" customHeight="false" outlineLevel="0" collapsed="false">
      <c r="A945" s="75"/>
      <c r="B945" s="76"/>
      <c r="C945" s="77"/>
      <c r="D945" s="78"/>
      <c r="E945" s="77"/>
      <c r="F945" s="76"/>
      <c r="G945" s="76"/>
      <c r="I945" s="79" t="str">
        <f aca="false">IF($B945="","",IF(ISNUMBER(MATCH($B945,日別データ!$B$13:$B$32,0)),"✔ OK","⚠ 未登録"))</f>
        <v/>
      </c>
      <c r="J945" s="80" t="str">
        <f aca="false">IF($B945="","",IF($D945="","－",IF(ISNUMBER($D945),IF(AND($D945&gt;=1,MOD($D945,1)=0),"－",IF(MOD($D945,1)&lt;$L$6,"朝",IF(MOD($D945,1)&lt;$L$7,"昼",IF(MOD($D945,1)&lt;$L$8,"夕方","夜")))),IF(OR($D945="朝",$D945="昼",$D945="夕方",$D945="夜"),$D945,"⚠ 不明"))))</f>
        <v/>
      </c>
    </row>
    <row r="946" customFormat="false" ht="15" hidden="false" customHeight="false" outlineLevel="0" collapsed="false">
      <c r="A946" s="75"/>
      <c r="B946" s="76"/>
      <c r="C946" s="77"/>
      <c r="D946" s="78"/>
      <c r="E946" s="77"/>
      <c r="F946" s="76"/>
      <c r="G946" s="76"/>
      <c r="I946" s="79" t="str">
        <f aca="false">IF($B946="","",IF(ISNUMBER(MATCH($B946,日別データ!$B$13:$B$32,0)),"✔ OK","⚠ 未登録"))</f>
        <v/>
      </c>
      <c r="J946" s="80" t="str">
        <f aca="false">IF($B946="","",IF($D946="","－",IF(ISNUMBER($D946),IF(AND($D946&gt;=1,MOD($D946,1)=0),"－",IF(MOD($D946,1)&lt;$L$6,"朝",IF(MOD($D946,1)&lt;$L$7,"昼",IF(MOD($D946,1)&lt;$L$8,"夕方","夜")))),IF(OR($D946="朝",$D946="昼",$D946="夕方",$D946="夜"),$D946,"⚠ 不明"))))</f>
        <v/>
      </c>
    </row>
    <row r="947" customFormat="false" ht="15" hidden="false" customHeight="false" outlineLevel="0" collapsed="false">
      <c r="A947" s="75"/>
      <c r="B947" s="76"/>
      <c r="C947" s="77"/>
      <c r="D947" s="78"/>
      <c r="E947" s="77"/>
      <c r="F947" s="76"/>
      <c r="G947" s="76"/>
      <c r="I947" s="79" t="str">
        <f aca="false">IF($B947="","",IF(ISNUMBER(MATCH($B947,日別データ!$B$13:$B$32,0)),"✔ OK","⚠ 未登録"))</f>
        <v/>
      </c>
      <c r="J947" s="80" t="str">
        <f aca="false">IF($B947="","",IF($D947="","－",IF(ISNUMBER($D947),IF(AND($D947&gt;=1,MOD($D947,1)=0),"－",IF(MOD($D947,1)&lt;$L$6,"朝",IF(MOD($D947,1)&lt;$L$7,"昼",IF(MOD($D947,1)&lt;$L$8,"夕方","夜")))),IF(OR($D947="朝",$D947="昼",$D947="夕方",$D947="夜"),$D947,"⚠ 不明"))))</f>
        <v/>
      </c>
    </row>
    <row r="948" customFormat="false" ht="15" hidden="false" customHeight="false" outlineLevel="0" collapsed="false">
      <c r="A948" s="75"/>
      <c r="B948" s="76"/>
      <c r="C948" s="77"/>
      <c r="D948" s="78"/>
      <c r="E948" s="77"/>
      <c r="F948" s="76"/>
      <c r="G948" s="76"/>
      <c r="I948" s="79" t="str">
        <f aca="false">IF($B948="","",IF(ISNUMBER(MATCH($B948,日別データ!$B$13:$B$32,0)),"✔ OK","⚠ 未登録"))</f>
        <v/>
      </c>
      <c r="J948" s="80" t="str">
        <f aca="false">IF($B948="","",IF($D948="","－",IF(ISNUMBER($D948),IF(AND($D948&gt;=1,MOD($D948,1)=0),"－",IF(MOD($D948,1)&lt;$L$6,"朝",IF(MOD($D948,1)&lt;$L$7,"昼",IF(MOD($D948,1)&lt;$L$8,"夕方","夜")))),IF(OR($D948="朝",$D948="昼",$D948="夕方",$D948="夜"),$D948,"⚠ 不明"))))</f>
        <v/>
      </c>
    </row>
    <row r="949" customFormat="false" ht="15" hidden="false" customHeight="false" outlineLevel="0" collapsed="false">
      <c r="A949" s="75"/>
      <c r="B949" s="76"/>
      <c r="C949" s="77"/>
      <c r="D949" s="78"/>
      <c r="E949" s="77"/>
      <c r="F949" s="76"/>
      <c r="G949" s="76"/>
      <c r="I949" s="79" t="str">
        <f aca="false">IF($B949="","",IF(ISNUMBER(MATCH($B949,日別データ!$B$13:$B$32,0)),"✔ OK","⚠ 未登録"))</f>
        <v/>
      </c>
      <c r="J949" s="80" t="str">
        <f aca="false">IF($B949="","",IF($D949="","－",IF(ISNUMBER($D949),IF(AND($D949&gt;=1,MOD($D949,1)=0),"－",IF(MOD($D949,1)&lt;$L$6,"朝",IF(MOD($D949,1)&lt;$L$7,"昼",IF(MOD($D949,1)&lt;$L$8,"夕方","夜")))),IF(OR($D949="朝",$D949="昼",$D949="夕方",$D949="夜"),$D949,"⚠ 不明"))))</f>
        <v/>
      </c>
    </row>
    <row r="950" customFormat="false" ht="15" hidden="false" customHeight="false" outlineLevel="0" collapsed="false">
      <c r="A950" s="75"/>
      <c r="B950" s="76"/>
      <c r="C950" s="77"/>
      <c r="D950" s="78"/>
      <c r="E950" s="77"/>
      <c r="F950" s="76"/>
      <c r="G950" s="76"/>
      <c r="I950" s="79" t="str">
        <f aca="false">IF($B950="","",IF(ISNUMBER(MATCH($B950,日別データ!$B$13:$B$32,0)),"✔ OK","⚠ 未登録"))</f>
        <v/>
      </c>
      <c r="J950" s="80" t="str">
        <f aca="false">IF($B950="","",IF($D950="","－",IF(ISNUMBER($D950),IF(AND($D950&gt;=1,MOD($D950,1)=0),"－",IF(MOD($D950,1)&lt;$L$6,"朝",IF(MOD($D950,1)&lt;$L$7,"昼",IF(MOD($D950,1)&lt;$L$8,"夕方","夜")))),IF(OR($D950="朝",$D950="昼",$D950="夕方",$D950="夜"),$D950,"⚠ 不明"))))</f>
        <v/>
      </c>
    </row>
    <row r="951" customFormat="false" ht="15" hidden="false" customHeight="false" outlineLevel="0" collapsed="false">
      <c r="A951" s="75"/>
      <c r="B951" s="76"/>
      <c r="C951" s="77"/>
      <c r="D951" s="78"/>
      <c r="E951" s="77"/>
      <c r="F951" s="76"/>
      <c r="G951" s="76"/>
      <c r="I951" s="79" t="str">
        <f aca="false">IF($B951="","",IF(ISNUMBER(MATCH($B951,日別データ!$B$13:$B$32,0)),"✔ OK","⚠ 未登録"))</f>
        <v/>
      </c>
      <c r="J951" s="80" t="str">
        <f aca="false">IF($B951="","",IF($D951="","－",IF(ISNUMBER($D951),IF(AND($D951&gt;=1,MOD($D951,1)=0),"－",IF(MOD($D951,1)&lt;$L$6,"朝",IF(MOD($D951,1)&lt;$L$7,"昼",IF(MOD($D951,1)&lt;$L$8,"夕方","夜")))),IF(OR($D951="朝",$D951="昼",$D951="夕方",$D951="夜"),$D951,"⚠ 不明"))))</f>
        <v/>
      </c>
    </row>
    <row r="952" customFormat="false" ht="15" hidden="false" customHeight="false" outlineLevel="0" collapsed="false">
      <c r="A952" s="75"/>
      <c r="B952" s="76"/>
      <c r="C952" s="77"/>
      <c r="D952" s="78"/>
      <c r="E952" s="77"/>
      <c r="F952" s="76"/>
      <c r="G952" s="76"/>
      <c r="I952" s="79" t="str">
        <f aca="false">IF($B952="","",IF(ISNUMBER(MATCH($B952,日別データ!$B$13:$B$32,0)),"✔ OK","⚠ 未登録"))</f>
        <v/>
      </c>
      <c r="J952" s="80" t="str">
        <f aca="false">IF($B952="","",IF($D952="","－",IF(ISNUMBER($D952),IF(AND($D952&gt;=1,MOD($D952,1)=0),"－",IF(MOD($D952,1)&lt;$L$6,"朝",IF(MOD($D952,1)&lt;$L$7,"昼",IF(MOD($D952,1)&lt;$L$8,"夕方","夜")))),IF(OR($D952="朝",$D952="昼",$D952="夕方",$D952="夜"),$D952,"⚠ 不明"))))</f>
        <v/>
      </c>
    </row>
    <row r="953" customFormat="false" ht="15" hidden="false" customHeight="false" outlineLevel="0" collapsed="false">
      <c r="A953" s="75"/>
      <c r="B953" s="76"/>
      <c r="C953" s="77"/>
      <c r="D953" s="78"/>
      <c r="E953" s="77"/>
      <c r="F953" s="76"/>
      <c r="G953" s="76"/>
      <c r="I953" s="79" t="str">
        <f aca="false">IF($B953="","",IF(ISNUMBER(MATCH($B953,日別データ!$B$13:$B$32,0)),"✔ OK","⚠ 未登録"))</f>
        <v/>
      </c>
      <c r="J953" s="80" t="str">
        <f aca="false">IF($B953="","",IF($D953="","－",IF(ISNUMBER($D953),IF(AND($D953&gt;=1,MOD($D953,1)=0),"－",IF(MOD($D953,1)&lt;$L$6,"朝",IF(MOD($D953,1)&lt;$L$7,"昼",IF(MOD($D953,1)&lt;$L$8,"夕方","夜")))),IF(OR($D953="朝",$D953="昼",$D953="夕方",$D953="夜"),$D953,"⚠ 不明"))))</f>
        <v/>
      </c>
    </row>
    <row r="954" customFormat="false" ht="15" hidden="false" customHeight="false" outlineLevel="0" collapsed="false">
      <c r="A954" s="75"/>
      <c r="B954" s="76"/>
      <c r="C954" s="77"/>
      <c r="D954" s="78"/>
      <c r="E954" s="77"/>
      <c r="F954" s="76"/>
      <c r="G954" s="76"/>
      <c r="I954" s="79" t="str">
        <f aca="false">IF($B954="","",IF(ISNUMBER(MATCH($B954,日別データ!$B$13:$B$32,0)),"✔ OK","⚠ 未登録"))</f>
        <v/>
      </c>
      <c r="J954" s="80" t="str">
        <f aca="false">IF($B954="","",IF($D954="","－",IF(ISNUMBER($D954),IF(AND($D954&gt;=1,MOD($D954,1)=0),"－",IF(MOD($D954,1)&lt;$L$6,"朝",IF(MOD($D954,1)&lt;$L$7,"昼",IF(MOD($D954,1)&lt;$L$8,"夕方","夜")))),IF(OR($D954="朝",$D954="昼",$D954="夕方",$D954="夜"),$D954,"⚠ 不明"))))</f>
        <v/>
      </c>
    </row>
    <row r="955" customFormat="false" ht="15" hidden="false" customHeight="false" outlineLevel="0" collapsed="false">
      <c r="A955" s="75"/>
      <c r="B955" s="76"/>
      <c r="C955" s="77"/>
      <c r="D955" s="78"/>
      <c r="E955" s="77"/>
      <c r="F955" s="76"/>
      <c r="G955" s="76"/>
      <c r="I955" s="79" t="str">
        <f aca="false">IF($B955="","",IF(ISNUMBER(MATCH($B955,日別データ!$B$13:$B$32,0)),"✔ OK","⚠ 未登録"))</f>
        <v/>
      </c>
      <c r="J955" s="80" t="str">
        <f aca="false">IF($B955="","",IF($D955="","－",IF(ISNUMBER($D955),IF(AND($D955&gt;=1,MOD($D955,1)=0),"－",IF(MOD($D955,1)&lt;$L$6,"朝",IF(MOD($D955,1)&lt;$L$7,"昼",IF(MOD($D955,1)&lt;$L$8,"夕方","夜")))),IF(OR($D955="朝",$D955="昼",$D955="夕方",$D955="夜"),$D955,"⚠ 不明"))))</f>
        <v/>
      </c>
    </row>
    <row r="956" customFormat="false" ht="15" hidden="false" customHeight="false" outlineLevel="0" collapsed="false">
      <c r="A956" s="75"/>
      <c r="B956" s="76"/>
      <c r="C956" s="77"/>
      <c r="D956" s="78"/>
      <c r="E956" s="77"/>
      <c r="F956" s="76"/>
      <c r="G956" s="76"/>
      <c r="I956" s="79" t="str">
        <f aca="false">IF($B956="","",IF(ISNUMBER(MATCH($B956,日別データ!$B$13:$B$32,0)),"✔ OK","⚠ 未登録"))</f>
        <v/>
      </c>
      <c r="J956" s="80" t="str">
        <f aca="false">IF($B956="","",IF($D956="","－",IF(ISNUMBER($D956),IF(AND($D956&gt;=1,MOD($D956,1)=0),"－",IF(MOD($D956,1)&lt;$L$6,"朝",IF(MOD($D956,1)&lt;$L$7,"昼",IF(MOD($D956,1)&lt;$L$8,"夕方","夜")))),IF(OR($D956="朝",$D956="昼",$D956="夕方",$D956="夜"),$D956,"⚠ 不明"))))</f>
        <v/>
      </c>
    </row>
    <row r="957" customFormat="false" ht="15" hidden="false" customHeight="false" outlineLevel="0" collapsed="false">
      <c r="A957" s="75"/>
      <c r="B957" s="76"/>
      <c r="C957" s="77"/>
      <c r="D957" s="78"/>
      <c r="E957" s="77"/>
      <c r="F957" s="76"/>
      <c r="G957" s="76"/>
      <c r="I957" s="79" t="str">
        <f aca="false">IF($B957="","",IF(ISNUMBER(MATCH($B957,日別データ!$B$13:$B$32,0)),"✔ OK","⚠ 未登録"))</f>
        <v/>
      </c>
      <c r="J957" s="80" t="str">
        <f aca="false">IF($B957="","",IF($D957="","－",IF(ISNUMBER($D957),IF(AND($D957&gt;=1,MOD($D957,1)=0),"－",IF(MOD($D957,1)&lt;$L$6,"朝",IF(MOD($D957,1)&lt;$L$7,"昼",IF(MOD($D957,1)&lt;$L$8,"夕方","夜")))),IF(OR($D957="朝",$D957="昼",$D957="夕方",$D957="夜"),$D957,"⚠ 不明"))))</f>
        <v/>
      </c>
    </row>
    <row r="958" customFormat="false" ht="15" hidden="false" customHeight="false" outlineLevel="0" collapsed="false">
      <c r="A958" s="75"/>
      <c r="B958" s="76"/>
      <c r="C958" s="77"/>
      <c r="D958" s="78"/>
      <c r="E958" s="77"/>
      <c r="F958" s="76"/>
      <c r="G958" s="76"/>
      <c r="I958" s="79" t="str">
        <f aca="false">IF($B958="","",IF(ISNUMBER(MATCH($B958,日別データ!$B$13:$B$32,0)),"✔ OK","⚠ 未登録"))</f>
        <v/>
      </c>
      <c r="J958" s="80" t="str">
        <f aca="false">IF($B958="","",IF($D958="","－",IF(ISNUMBER($D958),IF(AND($D958&gt;=1,MOD($D958,1)=0),"－",IF(MOD($D958,1)&lt;$L$6,"朝",IF(MOD($D958,1)&lt;$L$7,"昼",IF(MOD($D958,1)&lt;$L$8,"夕方","夜")))),IF(OR($D958="朝",$D958="昼",$D958="夕方",$D958="夜"),$D958,"⚠ 不明"))))</f>
        <v/>
      </c>
    </row>
    <row r="959" customFormat="false" ht="15" hidden="false" customHeight="false" outlineLevel="0" collapsed="false">
      <c r="A959" s="75"/>
      <c r="B959" s="76"/>
      <c r="C959" s="77"/>
      <c r="D959" s="78"/>
      <c r="E959" s="77"/>
      <c r="F959" s="76"/>
      <c r="G959" s="76"/>
      <c r="I959" s="79" t="str">
        <f aca="false">IF($B959="","",IF(ISNUMBER(MATCH($B959,日別データ!$B$13:$B$32,0)),"✔ OK","⚠ 未登録"))</f>
        <v/>
      </c>
      <c r="J959" s="80" t="str">
        <f aca="false">IF($B959="","",IF($D959="","－",IF(ISNUMBER($D959),IF(AND($D959&gt;=1,MOD($D959,1)=0),"－",IF(MOD($D959,1)&lt;$L$6,"朝",IF(MOD($D959,1)&lt;$L$7,"昼",IF(MOD($D959,1)&lt;$L$8,"夕方","夜")))),IF(OR($D959="朝",$D959="昼",$D959="夕方",$D959="夜"),$D959,"⚠ 不明"))))</f>
        <v/>
      </c>
    </row>
    <row r="960" customFormat="false" ht="15" hidden="false" customHeight="false" outlineLevel="0" collapsed="false">
      <c r="A960" s="75"/>
      <c r="B960" s="76"/>
      <c r="C960" s="77"/>
      <c r="D960" s="78"/>
      <c r="E960" s="77"/>
      <c r="F960" s="76"/>
      <c r="G960" s="76"/>
      <c r="I960" s="79" t="str">
        <f aca="false">IF($B960="","",IF(ISNUMBER(MATCH($B960,日別データ!$B$13:$B$32,0)),"✔ OK","⚠ 未登録"))</f>
        <v/>
      </c>
      <c r="J960" s="80" t="str">
        <f aca="false">IF($B960="","",IF($D960="","－",IF(ISNUMBER($D960),IF(AND($D960&gt;=1,MOD($D960,1)=0),"－",IF(MOD($D960,1)&lt;$L$6,"朝",IF(MOD($D960,1)&lt;$L$7,"昼",IF(MOD($D960,1)&lt;$L$8,"夕方","夜")))),IF(OR($D960="朝",$D960="昼",$D960="夕方",$D960="夜"),$D960,"⚠ 不明"))))</f>
        <v/>
      </c>
    </row>
    <row r="961" customFormat="false" ht="15" hidden="false" customHeight="false" outlineLevel="0" collapsed="false">
      <c r="A961" s="75"/>
      <c r="B961" s="76"/>
      <c r="C961" s="77"/>
      <c r="D961" s="78"/>
      <c r="E961" s="77"/>
      <c r="F961" s="76"/>
      <c r="G961" s="76"/>
      <c r="I961" s="79" t="str">
        <f aca="false">IF($B961="","",IF(ISNUMBER(MATCH($B961,日別データ!$B$13:$B$32,0)),"✔ OK","⚠ 未登録"))</f>
        <v/>
      </c>
      <c r="J961" s="80" t="str">
        <f aca="false">IF($B961="","",IF($D961="","－",IF(ISNUMBER($D961),IF(AND($D961&gt;=1,MOD($D961,1)=0),"－",IF(MOD($D961,1)&lt;$L$6,"朝",IF(MOD($D961,1)&lt;$L$7,"昼",IF(MOD($D961,1)&lt;$L$8,"夕方","夜")))),IF(OR($D961="朝",$D961="昼",$D961="夕方",$D961="夜"),$D961,"⚠ 不明"))))</f>
        <v/>
      </c>
    </row>
    <row r="962" customFormat="false" ht="15" hidden="false" customHeight="false" outlineLevel="0" collapsed="false">
      <c r="A962" s="75"/>
      <c r="B962" s="76"/>
      <c r="C962" s="77"/>
      <c r="D962" s="78"/>
      <c r="E962" s="77"/>
      <c r="F962" s="76"/>
      <c r="G962" s="76"/>
      <c r="I962" s="79" t="str">
        <f aca="false">IF($B962="","",IF(ISNUMBER(MATCH($B962,日別データ!$B$13:$B$32,0)),"✔ OK","⚠ 未登録"))</f>
        <v/>
      </c>
      <c r="J962" s="80" t="str">
        <f aca="false">IF($B962="","",IF($D962="","－",IF(ISNUMBER($D962),IF(AND($D962&gt;=1,MOD($D962,1)=0),"－",IF(MOD($D962,1)&lt;$L$6,"朝",IF(MOD($D962,1)&lt;$L$7,"昼",IF(MOD($D962,1)&lt;$L$8,"夕方","夜")))),IF(OR($D962="朝",$D962="昼",$D962="夕方",$D962="夜"),$D962,"⚠ 不明"))))</f>
        <v/>
      </c>
    </row>
    <row r="963" customFormat="false" ht="15" hidden="false" customHeight="false" outlineLevel="0" collapsed="false">
      <c r="A963" s="75"/>
      <c r="B963" s="76"/>
      <c r="C963" s="77"/>
      <c r="D963" s="78"/>
      <c r="E963" s="77"/>
      <c r="F963" s="76"/>
      <c r="G963" s="76"/>
      <c r="I963" s="79" t="str">
        <f aca="false">IF($B963="","",IF(ISNUMBER(MATCH($B963,日別データ!$B$13:$B$32,0)),"✔ OK","⚠ 未登録"))</f>
        <v/>
      </c>
      <c r="J963" s="80" t="str">
        <f aca="false">IF($B963="","",IF($D963="","－",IF(ISNUMBER($D963),IF(AND($D963&gt;=1,MOD($D963,1)=0),"－",IF(MOD($D963,1)&lt;$L$6,"朝",IF(MOD($D963,1)&lt;$L$7,"昼",IF(MOD($D963,1)&lt;$L$8,"夕方","夜")))),IF(OR($D963="朝",$D963="昼",$D963="夕方",$D963="夜"),$D963,"⚠ 不明"))))</f>
        <v/>
      </c>
    </row>
    <row r="964" customFormat="false" ht="15" hidden="false" customHeight="false" outlineLevel="0" collapsed="false">
      <c r="A964" s="75"/>
      <c r="B964" s="76"/>
      <c r="C964" s="77"/>
      <c r="D964" s="78"/>
      <c r="E964" s="77"/>
      <c r="F964" s="76"/>
      <c r="G964" s="76"/>
      <c r="I964" s="79" t="str">
        <f aca="false">IF($B964="","",IF(ISNUMBER(MATCH($B964,日別データ!$B$13:$B$32,0)),"✔ OK","⚠ 未登録"))</f>
        <v/>
      </c>
      <c r="J964" s="80" t="str">
        <f aca="false">IF($B964="","",IF($D964="","－",IF(ISNUMBER($D964),IF(AND($D964&gt;=1,MOD($D964,1)=0),"－",IF(MOD($D964,1)&lt;$L$6,"朝",IF(MOD($D964,1)&lt;$L$7,"昼",IF(MOD($D964,1)&lt;$L$8,"夕方","夜")))),IF(OR($D964="朝",$D964="昼",$D964="夕方",$D964="夜"),$D964,"⚠ 不明"))))</f>
        <v/>
      </c>
    </row>
    <row r="965" customFormat="false" ht="15" hidden="false" customHeight="false" outlineLevel="0" collapsed="false">
      <c r="A965" s="75"/>
      <c r="B965" s="76"/>
      <c r="C965" s="77"/>
      <c r="D965" s="78"/>
      <c r="E965" s="77"/>
      <c r="F965" s="76"/>
      <c r="G965" s="76"/>
      <c r="I965" s="79" t="str">
        <f aca="false">IF($B965="","",IF(ISNUMBER(MATCH($B965,日別データ!$B$13:$B$32,0)),"✔ OK","⚠ 未登録"))</f>
        <v/>
      </c>
      <c r="J965" s="80" t="str">
        <f aca="false">IF($B965="","",IF($D965="","－",IF(ISNUMBER($D965),IF(AND($D965&gt;=1,MOD($D965,1)=0),"－",IF(MOD($D965,1)&lt;$L$6,"朝",IF(MOD($D965,1)&lt;$L$7,"昼",IF(MOD($D965,1)&lt;$L$8,"夕方","夜")))),IF(OR($D965="朝",$D965="昼",$D965="夕方",$D965="夜"),$D965,"⚠ 不明"))))</f>
        <v/>
      </c>
    </row>
    <row r="966" customFormat="false" ht="15" hidden="false" customHeight="false" outlineLevel="0" collapsed="false">
      <c r="A966" s="75"/>
      <c r="B966" s="76"/>
      <c r="C966" s="77"/>
      <c r="D966" s="78"/>
      <c r="E966" s="77"/>
      <c r="F966" s="76"/>
      <c r="G966" s="76"/>
      <c r="I966" s="79" t="str">
        <f aca="false">IF($B966="","",IF(ISNUMBER(MATCH($B966,日別データ!$B$13:$B$32,0)),"✔ OK","⚠ 未登録"))</f>
        <v/>
      </c>
      <c r="J966" s="80" t="str">
        <f aca="false">IF($B966="","",IF($D966="","－",IF(ISNUMBER($D966),IF(AND($D966&gt;=1,MOD($D966,1)=0),"－",IF(MOD($D966,1)&lt;$L$6,"朝",IF(MOD($D966,1)&lt;$L$7,"昼",IF(MOD($D966,1)&lt;$L$8,"夕方","夜")))),IF(OR($D966="朝",$D966="昼",$D966="夕方",$D966="夜"),$D966,"⚠ 不明"))))</f>
        <v/>
      </c>
    </row>
    <row r="967" customFormat="false" ht="15" hidden="false" customHeight="false" outlineLevel="0" collapsed="false">
      <c r="A967" s="75"/>
      <c r="B967" s="76"/>
      <c r="C967" s="77"/>
      <c r="D967" s="78"/>
      <c r="E967" s="77"/>
      <c r="F967" s="76"/>
      <c r="G967" s="76"/>
      <c r="I967" s="79" t="str">
        <f aca="false">IF($B967="","",IF(ISNUMBER(MATCH($B967,日別データ!$B$13:$B$32,0)),"✔ OK","⚠ 未登録"))</f>
        <v/>
      </c>
      <c r="J967" s="80" t="str">
        <f aca="false">IF($B967="","",IF($D967="","－",IF(ISNUMBER($D967),IF(AND($D967&gt;=1,MOD($D967,1)=0),"－",IF(MOD($D967,1)&lt;$L$6,"朝",IF(MOD($D967,1)&lt;$L$7,"昼",IF(MOD($D967,1)&lt;$L$8,"夕方","夜")))),IF(OR($D967="朝",$D967="昼",$D967="夕方",$D967="夜"),$D967,"⚠ 不明"))))</f>
        <v/>
      </c>
    </row>
    <row r="968" customFormat="false" ht="15" hidden="false" customHeight="false" outlineLevel="0" collapsed="false">
      <c r="A968" s="75"/>
      <c r="B968" s="76"/>
      <c r="C968" s="77"/>
      <c r="D968" s="78"/>
      <c r="E968" s="77"/>
      <c r="F968" s="76"/>
      <c r="G968" s="76"/>
      <c r="I968" s="79" t="str">
        <f aca="false">IF($B968="","",IF(ISNUMBER(MATCH($B968,日別データ!$B$13:$B$32,0)),"✔ OK","⚠ 未登録"))</f>
        <v/>
      </c>
      <c r="J968" s="80" t="str">
        <f aca="false">IF($B968="","",IF($D968="","－",IF(ISNUMBER($D968),IF(AND($D968&gt;=1,MOD($D968,1)=0),"－",IF(MOD($D968,1)&lt;$L$6,"朝",IF(MOD($D968,1)&lt;$L$7,"昼",IF(MOD($D968,1)&lt;$L$8,"夕方","夜")))),IF(OR($D968="朝",$D968="昼",$D968="夕方",$D968="夜"),$D968,"⚠ 不明"))))</f>
        <v/>
      </c>
    </row>
    <row r="969" customFormat="false" ht="15" hidden="false" customHeight="false" outlineLevel="0" collapsed="false">
      <c r="A969" s="75"/>
      <c r="B969" s="76"/>
      <c r="C969" s="77"/>
      <c r="D969" s="78"/>
      <c r="E969" s="77"/>
      <c r="F969" s="76"/>
      <c r="G969" s="76"/>
      <c r="I969" s="79" t="str">
        <f aca="false">IF($B969="","",IF(ISNUMBER(MATCH($B969,日別データ!$B$13:$B$32,0)),"✔ OK","⚠ 未登録"))</f>
        <v/>
      </c>
      <c r="J969" s="80" t="str">
        <f aca="false">IF($B969="","",IF($D969="","－",IF(ISNUMBER($D969),IF(AND($D969&gt;=1,MOD($D969,1)=0),"－",IF(MOD($D969,1)&lt;$L$6,"朝",IF(MOD($D969,1)&lt;$L$7,"昼",IF(MOD($D969,1)&lt;$L$8,"夕方","夜")))),IF(OR($D969="朝",$D969="昼",$D969="夕方",$D969="夜"),$D969,"⚠ 不明"))))</f>
        <v/>
      </c>
    </row>
    <row r="970" customFormat="false" ht="15" hidden="false" customHeight="false" outlineLevel="0" collapsed="false">
      <c r="A970" s="75"/>
      <c r="B970" s="76"/>
      <c r="C970" s="77"/>
      <c r="D970" s="78"/>
      <c r="E970" s="77"/>
      <c r="F970" s="76"/>
      <c r="G970" s="76"/>
      <c r="I970" s="79" t="str">
        <f aca="false">IF($B970="","",IF(ISNUMBER(MATCH($B970,日別データ!$B$13:$B$32,0)),"✔ OK","⚠ 未登録"))</f>
        <v/>
      </c>
      <c r="J970" s="80" t="str">
        <f aca="false">IF($B970="","",IF($D970="","－",IF(ISNUMBER($D970),IF(AND($D970&gt;=1,MOD($D970,1)=0),"－",IF(MOD($D970,1)&lt;$L$6,"朝",IF(MOD($D970,1)&lt;$L$7,"昼",IF(MOD($D970,1)&lt;$L$8,"夕方","夜")))),IF(OR($D970="朝",$D970="昼",$D970="夕方",$D970="夜"),$D970,"⚠ 不明"))))</f>
        <v/>
      </c>
    </row>
    <row r="971" customFormat="false" ht="15" hidden="false" customHeight="false" outlineLevel="0" collapsed="false">
      <c r="A971" s="75"/>
      <c r="B971" s="76"/>
      <c r="C971" s="77"/>
      <c r="D971" s="78"/>
      <c r="E971" s="77"/>
      <c r="F971" s="76"/>
      <c r="G971" s="76"/>
      <c r="I971" s="79" t="str">
        <f aca="false">IF($B971="","",IF(ISNUMBER(MATCH($B971,日別データ!$B$13:$B$32,0)),"✔ OK","⚠ 未登録"))</f>
        <v/>
      </c>
      <c r="J971" s="80" t="str">
        <f aca="false">IF($B971="","",IF($D971="","－",IF(ISNUMBER($D971),IF(AND($D971&gt;=1,MOD($D971,1)=0),"－",IF(MOD($D971,1)&lt;$L$6,"朝",IF(MOD($D971,1)&lt;$L$7,"昼",IF(MOD($D971,1)&lt;$L$8,"夕方","夜")))),IF(OR($D971="朝",$D971="昼",$D971="夕方",$D971="夜"),$D971,"⚠ 不明"))))</f>
        <v/>
      </c>
    </row>
    <row r="972" customFormat="false" ht="15" hidden="false" customHeight="false" outlineLevel="0" collapsed="false">
      <c r="A972" s="75"/>
      <c r="B972" s="76"/>
      <c r="C972" s="77"/>
      <c r="D972" s="78"/>
      <c r="E972" s="77"/>
      <c r="F972" s="76"/>
      <c r="G972" s="76"/>
      <c r="I972" s="79" t="str">
        <f aca="false">IF($B972="","",IF(ISNUMBER(MATCH($B972,日別データ!$B$13:$B$32,0)),"✔ OK","⚠ 未登録"))</f>
        <v/>
      </c>
      <c r="J972" s="80" t="str">
        <f aca="false">IF($B972="","",IF($D972="","－",IF(ISNUMBER($D972),IF(AND($D972&gt;=1,MOD($D972,1)=0),"－",IF(MOD($D972,1)&lt;$L$6,"朝",IF(MOD($D972,1)&lt;$L$7,"昼",IF(MOD($D972,1)&lt;$L$8,"夕方","夜")))),IF(OR($D972="朝",$D972="昼",$D972="夕方",$D972="夜"),$D972,"⚠ 不明"))))</f>
        <v/>
      </c>
    </row>
    <row r="973" customFormat="false" ht="15" hidden="false" customHeight="false" outlineLevel="0" collapsed="false">
      <c r="A973" s="75"/>
      <c r="B973" s="76"/>
      <c r="C973" s="77"/>
      <c r="D973" s="78"/>
      <c r="E973" s="77"/>
      <c r="F973" s="76"/>
      <c r="G973" s="76"/>
      <c r="I973" s="79" t="str">
        <f aca="false">IF($B973="","",IF(ISNUMBER(MATCH($B973,日別データ!$B$13:$B$32,0)),"✔ OK","⚠ 未登録"))</f>
        <v/>
      </c>
      <c r="J973" s="80" t="str">
        <f aca="false">IF($B973="","",IF($D973="","－",IF(ISNUMBER($D973),IF(AND($D973&gt;=1,MOD($D973,1)=0),"－",IF(MOD($D973,1)&lt;$L$6,"朝",IF(MOD($D973,1)&lt;$L$7,"昼",IF(MOD($D973,1)&lt;$L$8,"夕方","夜")))),IF(OR($D973="朝",$D973="昼",$D973="夕方",$D973="夜"),$D973,"⚠ 不明"))))</f>
        <v/>
      </c>
    </row>
    <row r="974" customFormat="false" ht="15" hidden="false" customHeight="false" outlineLevel="0" collapsed="false">
      <c r="A974" s="75"/>
      <c r="B974" s="76"/>
      <c r="C974" s="77"/>
      <c r="D974" s="78"/>
      <c r="E974" s="77"/>
      <c r="F974" s="76"/>
      <c r="G974" s="76"/>
      <c r="I974" s="79" t="str">
        <f aca="false">IF($B974="","",IF(ISNUMBER(MATCH($B974,日別データ!$B$13:$B$32,0)),"✔ OK","⚠ 未登録"))</f>
        <v/>
      </c>
      <c r="J974" s="80" t="str">
        <f aca="false">IF($B974="","",IF($D974="","－",IF(ISNUMBER($D974),IF(AND($D974&gt;=1,MOD($D974,1)=0),"－",IF(MOD($D974,1)&lt;$L$6,"朝",IF(MOD($D974,1)&lt;$L$7,"昼",IF(MOD($D974,1)&lt;$L$8,"夕方","夜")))),IF(OR($D974="朝",$D974="昼",$D974="夕方",$D974="夜"),$D974,"⚠ 不明"))))</f>
        <v/>
      </c>
    </row>
    <row r="975" customFormat="false" ht="15" hidden="false" customHeight="false" outlineLevel="0" collapsed="false">
      <c r="A975" s="75"/>
      <c r="B975" s="76"/>
      <c r="C975" s="77"/>
      <c r="D975" s="78"/>
      <c r="E975" s="77"/>
      <c r="F975" s="76"/>
      <c r="G975" s="76"/>
      <c r="I975" s="79" t="str">
        <f aca="false">IF($B975="","",IF(ISNUMBER(MATCH($B975,日別データ!$B$13:$B$32,0)),"✔ OK","⚠ 未登録"))</f>
        <v/>
      </c>
      <c r="J975" s="80" t="str">
        <f aca="false">IF($B975="","",IF($D975="","－",IF(ISNUMBER($D975),IF(AND($D975&gt;=1,MOD($D975,1)=0),"－",IF(MOD($D975,1)&lt;$L$6,"朝",IF(MOD($D975,1)&lt;$L$7,"昼",IF(MOD($D975,1)&lt;$L$8,"夕方","夜")))),IF(OR($D975="朝",$D975="昼",$D975="夕方",$D975="夜"),$D975,"⚠ 不明"))))</f>
        <v/>
      </c>
    </row>
    <row r="976" customFormat="false" ht="15" hidden="false" customHeight="false" outlineLevel="0" collapsed="false">
      <c r="A976" s="75"/>
      <c r="B976" s="76"/>
      <c r="C976" s="77"/>
      <c r="D976" s="78"/>
      <c r="E976" s="77"/>
      <c r="F976" s="76"/>
      <c r="G976" s="76"/>
      <c r="I976" s="79" t="str">
        <f aca="false">IF($B976="","",IF(ISNUMBER(MATCH($B976,日別データ!$B$13:$B$32,0)),"✔ OK","⚠ 未登録"))</f>
        <v/>
      </c>
      <c r="J976" s="80" t="str">
        <f aca="false">IF($B976="","",IF($D976="","－",IF(ISNUMBER($D976),IF(AND($D976&gt;=1,MOD($D976,1)=0),"－",IF(MOD($D976,1)&lt;$L$6,"朝",IF(MOD($D976,1)&lt;$L$7,"昼",IF(MOD($D976,1)&lt;$L$8,"夕方","夜")))),IF(OR($D976="朝",$D976="昼",$D976="夕方",$D976="夜"),$D976,"⚠ 不明"))))</f>
        <v/>
      </c>
    </row>
    <row r="977" customFormat="false" ht="15" hidden="false" customHeight="false" outlineLevel="0" collapsed="false">
      <c r="A977" s="75"/>
      <c r="B977" s="76"/>
      <c r="C977" s="77"/>
      <c r="D977" s="78"/>
      <c r="E977" s="77"/>
      <c r="F977" s="76"/>
      <c r="G977" s="76"/>
      <c r="I977" s="79" t="str">
        <f aca="false">IF($B977="","",IF(ISNUMBER(MATCH($B977,日別データ!$B$13:$B$32,0)),"✔ OK","⚠ 未登録"))</f>
        <v/>
      </c>
      <c r="J977" s="80" t="str">
        <f aca="false">IF($B977="","",IF($D977="","－",IF(ISNUMBER($D977),IF(AND($D977&gt;=1,MOD($D977,1)=0),"－",IF(MOD($D977,1)&lt;$L$6,"朝",IF(MOD($D977,1)&lt;$L$7,"昼",IF(MOD($D977,1)&lt;$L$8,"夕方","夜")))),IF(OR($D977="朝",$D977="昼",$D977="夕方",$D977="夜"),$D977,"⚠ 不明"))))</f>
        <v/>
      </c>
    </row>
    <row r="978" customFormat="false" ht="15" hidden="false" customHeight="false" outlineLevel="0" collapsed="false">
      <c r="A978" s="75"/>
      <c r="B978" s="76"/>
      <c r="C978" s="77"/>
      <c r="D978" s="78"/>
      <c r="E978" s="77"/>
      <c r="F978" s="76"/>
      <c r="G978" s="76"/>
      <c r="I978" s="79" t="str">
        <f aca="false">IF($B978="","",IF(ISNUMBER(MATCH($B978,日別データ!$B$13:$B$32,0)),"✔ OK","⚠ 未登録"))</f>
        <v/>
      </c>
      <c r="J978" s="80" t="str">
        <f aca="false">IF($B978="","",IF($D978="","－",IF(ISNUMBER($D978),IF(AND($D978&gt;=1,MOD($D978,1)=0),"－",IF(MOD($D978,1)&lt;$L$6,"朝",IF(MOD($D978,1)&lt;$L$7,"昼",IF(MOD($D978,1)&lt;$L$8,"夕方","夜")))),IF(OR($D978="朝",$D978="昼",$D978="夕方",$D978="夜"),$D978,"⚠ 不明"))))</f>
        <v/>
      </c>
    </row>
    <row r="979" customFormat="false" ht="15" hidden="false" customHeight="false" outlineLevel="0" collapsed="false">
      <c r="A979" s="75"/>
      <c r="B979" s="76"/>
      <c r="C979" s="77"/>
      <c r="D979" s="78"/>
      <c r="E979" s="77"/>
      <c r="F979" s="76"/>
      <c r="G979" s="76"/>
      <c r="I979" s="79" t="str">
        <f aca="false">IF($B979="","",IF(ISNUMBER(MATCH($B979,日別データ!$B$13:$B$32,0)),"✔ OK","⚠ 未登録"))</f>
        <v/>
      </c>
      <c r="J979" s="80" t="str">
        <f aca="false">IF($B979="","",IF($D979="","－",IF(ISNUMBER($D979),IF(AND($D979&gt;=1,MOD($D979,1)=0),"－",IF(MOD($D979,1)&lt;$L$6,"朝",IF(MOD($D979,1)&lt;$L$7,"昼",IF(MOD($D979,1)&lt;$L$8,"夕方","夜")))),IF(OR($D979="朝",$D979="昼",$D979="夕方",$D979="夜"),$D979,"⚠ 不明"))))</f>
        <v/>
      </c>
    </row>
    <row r="980" customFormat="false" ht="15" hidden="false" customHeight="false" outlineLevel="0" collapsed="false">
      <c r="A980" s="75"/>
      <c r="B980" s="76"/>
      <c r="C980" s="77"/>
      <c r="D980" s="78"/>
      <c r="E980" s="77"/>
      <c r="F980" s="76"/>
      <c r="G980" s="76"/>
      <c r="I980" s="79" t="str">
        <f aca="false">IF($B980="","",IF(ISNUMBER(MATCH($B980,日別データ!$B$13:$B$32,0)),"✔ OK","⚠ 未登録"))</f>
        <v/>
      </c>
      <c r="J980" s="80" t="str">
        <f aca="false">IF($B980="","",IF($D980="","－",IF(ISNUMBER($D980),IF(AND($D980&gt;=1,MOD($D980,1)=0),"－",IF(MOD($D980,1)&lt;$L$6,"朝",IF(MOD($D980,1)&lt;$L$7,"昼",IF(MOD($D980,1)&lt;$L$8,"夕方","夜")))),IF(OR($D980="朝",$D980="昼",$D980="夕方",$D980="夜"),$D980,"⚠ 不明"))))</f>
        <v/>
      </c>
    </row>
    <row r="981" customFormat="false" ht="15" hidden="false" customHeight="false" outlineLevel="0" collapsed="false">
      <c r="A981" s="75"/>
      <c r="B981" s="76"/>
      <c r="C981" s="77"/>
      <c r="D981" s="78"/>
      <c r="E981" s="77"/>
      <c r="F981" s="76"/>
      <c r="G981" s="76"/>
      <c r="I981" s="79" t="str">
        <f aca="false">IF($B981="","",IF(ISNUMBER(MATCH($B981,日別データ!$B$13:$B$32,0)),"✔ OK","⚠ 未登録"))</f>
        <v/>
      </c>
      <c r="J981" s="80" t="str">
        <f aca="false">IF($B981="","",IF($D981="","－",IF(ISNUMBER($D981),IF(AND($D981&gt;=1,MOD($D981,1)=0),"－",IF(MOD($D981,1)&lt;$L$6,"朝",IF(MOD($D981,1)&lt;$L$7,"昼",IF(MOD($D981,1)&lt;$L$8,"夕方","夜")))),IF(OR($D981="朝",$D981="昼",$D981="夕方",$D981="夜"),$D981,"⚠ 不明"))))</f>
        <v/>
      </c>
    </row>
    <row r="982" customFormat="false" ht="15" hidden="false" customHeight="false" outlineLevel="0" collapsed="false">
      <c r="A982" s="75"/>
      <c r="B982" s="76"/>
      <c r="C982" s="77"/>
      <c r="D982" s="78"/>
      <c r="E982" s="77"/>
      <c r="F982" s="76"/>
      <c r="G982" s="76"/>
      <c r="I982" s="79" t="str">
        <f aca="false">IF($B982="","",IF(ISNUMBER(MATCH($B982,日別データ!$B$13:$B$32,0)),"✔ OK","⚠ 未登録"))</f>
        <v/>
      </c>
      <c r="J982" s="80" t="str">
        <f aca="false">IF($B982="","",IF($D982="","－",IF(ISNUMBER($D982),IF(AND($D982&gt;=1,MOD($D982,1)=0),"－",IF(MOD($D982,1)&lt;$L$6,"朝",IF(MOD($D982,1)&lt;$L$7,"昼",IF(MOD($D982,1)&lt;$L$8,"夕方","夜")))),IF(OR($D982="朝",$D982="昼",$D982="夕方",$D982="夜"),$D982,"⚠ 不明"))))</f>
        <v/>
      </c>
    </row>
    <row r="983" customFormat="false" ht="15" hidden="false" customHeight="false" outlineLevel="0" collapsed="false">
      <c r="A983" s="75"/>
      <c r="B983" s="76"/>
      <c r="C983" s="77"/>
      <c r="D983" s="78"/>
      <c r="E983" s="77"/>
      <c r="F983" s="76"/>
      <c r="G983" s="76"/>
      <c r="I983" s="79" t="str">
        <f aca="false">IF($B983="","",IF(ISNUMBER(MATCH($B983,日別データ!$B$13:$B$32,0)),"✔ OK","⚠ 未登録"))</f>
        <v/>
      </c>
      <c r="J983" s="80" t="str">
        <f aca="false">IF($B983="","",IF($D983="","－",IF(ISNUMBER($D983),IF(AND($D983&gt;=1,MOD($D983,1)=0),"－",IF(MOD($D983,1)&lt;$L$6,"朝",IF(MOD($D983,1)&lt;$L$7,"昼",IF(MOD($D983,1)&lt;$L$8,"夕方","夜")))),IF(OR($D983="朝",$D983="昼",$D983="夕方",$D983="夜"),$D983,"⚠ 不明"))))</f>
        <v/>
      </c>
    </row>
    <row r="984" customFormat="false" ht="15" hidden="false" customHeight="false" outlineLevel="0" collapsed="false">
      <c r="A984" s="75"/>
      <c r="B984" s="76"/>
      <c r="C984" s="77"/>
      <c r="D984" s="78"/>
      <c r="E984" s="77"/>
      <c r="F984" s="76"/>
      <c r="G984" s="76"/>
      <c r="I984" s="79" t="str">
        <f aca="false">IF($B984="","",IF(ISNUMBER(MATCH($B984,日別データ!$B$13:$B$32,0)),"✔ OK","⚠ 未登録"))</f>
        <v/>
      </c>
      <c r="J984" s="80" t="str">
        <f aca="false">IF($B984="","",IF($D984="","－",IF(ISNUMBER($D984),IF(AND($D984&gt;=1,MOD($D984,1)=0),"－",IF(MOD($D984,1)&lt;$L$6,"朝",IF(MOD($D984,1)&lt;$L$7,"昼",IF(MOD($D984,1)&lt;$L$8,"夕方","夜")))),IF(OR($D984="朝",$D984="昼",$D984="夕方",$D984="夜"),$D984,"⚠ 不明"))))</f>
        <v/>
      </c>
    </row>
    <row r="985" customFormat="false" ht="15" hidden="false" customHeight="false" outlineLevel="0" collapsed="false">
      <c r="A985" s="75"/>
      <c r="B985" s="76"/>
      <c r="C985" s="77"/>
      <c r="D985" s="78"/>
      <c r="E985" s="77"/>
      <c r="F985" s="76"/>
      <c r="G985" s="76"/>
      <c r="I985" s="79" t="str">
        <f aca="false">IF($B985="","",IF(ISNUMBER(MATCH($B985,日別データ!$B$13:$B$32,0)),"✔ OK","⚠ 未登録"))</f>
        <v/>
      </c>
      <c r="J985" s="80" t="str">
        <f aca="false">IF($B985="","",IF($D985="","－",IF(ISNUMBER($D985),IF(AND($D985&gt;=1,MOD($D985,1)=0),"－",IF(MOD($D985,1)&lt;$L$6,"朝",IF(MOD($D985,1)&lt;$L$7,"昼",IF(MOD($D985,1)&lt;$L$8,"夕方","夜")))),IF(OR($D985="朝",$D985="昼",$D985="夕方",$D985="夜"),$D985,"⚠ 不明"))))</f>
        <v/>
      </c>
    </row>
    <row r="986" customFormat="false" ht="15" hidden="false" customHeight="false" outlineLevel="0" collapsed="false">
      <c r="A986" s="75"/>
      <c r="B986" s="76"/>
      <c r="C986" s="77"/>
      <c r="D986" s="78"/>
      <c r="E986" s="77"/>
      <c r="F986" s="76"/>
      <c r="G986" s="76"/>
      <c r="I986" s="79" t="str">
        <f aca="false">IF($B986="","",IF(ISNUMBER(MATCH($B986,日別データ!$B$13:$B$32,0)),"✔ OK","⚠ 未登録"))</f>
        <v/>
      </c>
      <c r="J986" s="80" t="str">
        <f aca="false">IF($B986="","",IF($D986="","－",IF(ISNUMBER($D986),IF(AND($D986&gt;=1,MOD($D986,1)=0),"－",IF(MOD($D986,1)&lt;$L$6,"朝",IF(MOD($D986,1)&lt;$L$7,"昼",IF(MOD($D986,1)&lt;$L$8,"夕方","夜")))),IF(OR($D986="朝",$D986="昼",$D986="夕方",$D986="夜"),$D986,"⚠ 不明"))))</f>
        <v/>
      </c>
    </row>
    <row r="987" customFormat="false" ht="15" hidden="false" customHeight="false" outlineLevel="0" collapsed="false">
      <c r="A987" s="75"/>
      <c r="B987" s="76"/>
      <c r="C987" s="77"/>
      <c r="D987" s="78"/>
      <c r="E987" s="77"/>
      <c r="F987" s="76"/>
      <c r="G987" s="76"/>
      <c r="I987" s="79" t="str">
        <f aca="false">IF($B987="","",IF(ISNUMBER(MATCH($B987,日別データ!$B$13:$B$32,0)),"✔ OK","⚠ 未登録"))</f>
        <v/>
      </c>
      <c r="J987" s="80" t="str">
        <f aca="false">IF($B987="","",IF($D987="","－",IF(ISNUMBER($D987),IF(AND($D987&gt;=1,MOD($D987,1)=0),"－",IF(MOD($D987,1)&lt;$L$6,"朝",IF(MOD($D987,1)&lt;$L$7,"昼",IF(MOD($D987,1)&lt;$L$8,"夕方","夜")))),IF(OR($D987="朝",$D987="昼",$D987="夕方",$D987="夜"),$D987,"⚠ 不明"))))</f>
        <v/>
      </c>
    </row>
    <row r="988" customFormat="false" ht="15" hidden="false" customHeight="false" outlineLevel="0" collapsed="false">
      <c r="A988" s="75"/>
      <c r="B988" s="76"/>
      <c r="C988" s="77"/>
      <c r="D988" s="78"/>
      <c r="E988" s="77"/>
      <c r="F988" s="76"/>
      <c r="G988" s="76"/>
      <c r="I988" s="79" t="str">
        <f aca="false">IF($B988="","",IF(ISNUMBER(MATCH($B988,日別データ!$B$13:$B$32,0)),"✔ OK","⚠ 未登録"))</f>
        <v/>
      </c>
      <c r="J988" s="80" t="str">
        <f aca="false">IF($B988="","",IF($D988="","－",IF(ISNUMBER($D988),IF(AND($D988&gt;=1,MOD($D988,1)=0),"－",IF(MOD($D988,1)&lt;$L$6,"朝",IF(MOD($D988,1)&lt;$L$7,"昼",IF(MOD($D988,1)&lt;$L$8,"夕方","夜")))),IF(OR($D988="朝",$D988="昼",$D988="夕方",$D988="夜"),$D988,"⚠ 不明"))))</f>
        <v/>
      </c>
    </row>
    <row r="989" customFormat="false" ht="15" hidden="false" customHeight="false" outlineLevel="0" collapsed="false">
      <c r="A989" s="75"/>
      <c r="B989" s="76"/>
      <c r="C989" s="77"/>
      <c r="D989" s="78"/>
      <c r="E989" s="77"/>
      <c r="F989" s="76"/>
      <c r="G989" s="76"/>
      <c r="I989" s="79" t="str">
        <f aca="false">IF($B989="","",IF(ISNUMBER(MATCH($B989,日別データ!$B$13:$B$32,0)),"✔ OK","⚠ 未登録"))</f>
        <v/>
      </c>
      <c r="J989" s="80" t="str">
        <f aca="false">IF($B989="","",IF($D989="","－",IF(ISNUMBER($D989),IF(AND($D989&gt;=1,MOD($D989,1)=0),"－",IF(MOD($D989,1)&lt;$L$6,"朝",IF(MOD($D989,1)&lt;$L$7,"昼",IF(MOD($D989,1)&lt;$L$8,"夕方","夜")))),IF(OR($D989="朝",$D989="昼",$D989="夕方",$D989="夜"),$D989,"⚠ 不明"))))</f>
        <v/>
      </c>
    </row>
    <row r="990" customFormat="false" ht="15" hidden="false" customHeight="false" outlineLevel="0" collapsed="false">
      <c r="A990" s="75"/>
      <c r="B990" s="76"/>
      <c r="C990" s="77"/>
      <c r="D990" s="78"/>
      <c r="E990" s="77"/>
      <c r="F990" s="76"/>
      <c r="G990" s="76"/>
      <c r="I990" s="79" t="str">
        <f aca="false">IF($B990="","",IF(ISNUMBER(MATCH($B990,日別データ!$B$13:$B$32,0)),"✔ OK","⚠ 未登録"))</f>
        <v/>
      </c>
      <c r="J990" s="80" t="str">
        <f aca="false">IF($B990="","",IF($D990="","－",IF(ISNUMBER($D990),IF(AND($D990&gt;=1,MOD($D990,1)=0),"－",IF(MOD($D990,1)&lt;$L$6,"朝",IF(MOD($D990,1)&lt;$L$7,"昼",IF(MOD($D990,1)&lt;$L$8,"夕方","夜")))),IF(OR($D990="朝",$D990="昼",$D990="夕方",$D990="夜"),$D990,"⚠ 不明"))))</f>
        <v/>
      </c>
    </row>
    <row r="991" customFormat="false" ht="15" hidden="false" customHeight="false" outlineLevel="0" collapsed="false">
      <c r="A991" s="75"/>
      <c r="B991" s="76"/>
      <c r="C991" s="77"/>
      <c r="D991" s="78"/>
      <c r="E991" s="77"/>
      <c r="F991" s="76"/>
      <c r="G991" s="76"/>
      <c r="I991" s="79" t="str">
        <f aca="false">IF($B991="","",IF(ISNUMBER(MATCH($B991,日別データ!$B$13:$B$32,0)),"✔ OK","⚠ 未登録"))</f>
        <v/>
      </c>
      <c r="J991" s="80" t="str">
        <f aca="false">IF($B991="","",IF($D991="","－",IF(ISNUMBER($D991),IF(AND($D991&gt;=1,MOD($D991,1)=0),"－",IF(MOD($D991,1)&lt;$L$6,"朝",IF(MOD($D991,1)&lt;$L$7,"昼",IF(MOD($D991,1)&lt;$L$8,"夕方","夜")))),IF(OR($D991="朝",$D991="昼",$D991="夕方",$D991="夜"),$D991,"⚠ 不明"))))</f>
        <v/>
      </c>
    </row>
    <row r="992" customFormat="false" ht="15" hidden="false" customHeight="false" outlineLevel="0" collapsed="false">
      <c r="A992" s="75"/>
      <c r="B992" s="76"/>
      <c r="C992" s="77"/>
      <c r="D992" s="78"/>
      <c r="E992" s="77"/>
      <c r="F992" s="76"/>
      <c r="G992" s="76"/>
      <c r="I992" s="79" t="str">
        <f aca="false">IF($B992="","",IF(ISNUMBER(MATCH($B992,日別データ!$B$13:$B$32,0)),"✔ OK","⚠ 未登録"))</f>
        <v/>
      </c>
      <c r="J992" s="80" t="str">
        <f aca="false">IF($B992="","",IF($D992="","－",IF(ISNUMBER($D992),IF(AND($D992&gt;=1,MOD($D992,1)=0),"－",IF(MOD($D992,1)&lt;$L$6,"朝",IF(MOD($D992,1)&lt;$L$7,"昼",IF(MOD($D992,1)&lt;$L$8,"夕方","夜")))),IF(OR($D992="朝",$D992="昼",$D992="夕方",$D992="夜"),$D992,"⚠ 不明"))))</f>
        <v/>
      </c>
    </row>
    <row r="993" customFormat="false" ht="15" hidden="false" customHeight="false" outlineLevel="0" collapsed="false">
      <c r="A993" s="75"/>
      <c r="B993" s="76"/>
      <c r="C993" s="77"/>
      <c r="D993" s="78"/>
      <c r="E993" s="77"/>
      <c r="F993" s="76"/>
      <c r="G993" s="76"/>
      <c r="I993" s="79" t="str">
        <f aca="false">IF($B993="","",IF(ISNUMBER(MATCH($B993,日別データ!$B$13:$B$32,0)),"✔ OK","⚠ 未登録"))</f>
        <v/>
      </c>
      <c r="J993" s="80" t="str">
        <f aca="false">IF($B993="","",IF($D993="","－",IF(ISNUMBER($D993),IF(AND($D993&gt;=1,MOD($D993,1)=0),"－",IF(MOD($D993,1)&lt;$L$6,"朝",IF(MOD($D993,1)&lt;$L$7,"昼",IF(MOD($D993,1)&lt;$L$8,"夕方","夜")))),IF(OR($D993="朝",$D993="昼",$D993="夕方",$D993="夜"),$D993,"⚠ 不明"))))</f>
        <v/>
      </c>
    </row>
    <row r="994" customFormat="false" ht="15" hidden="false" customHeight="false" outlineLevel="0" collapsed="false">
      <c r="A994" s="75"/>
      <c r="B994" s="76"/>
      <c r="C994" s="77"/>
      <c r="D994" s="78"/>
      <c r="E994" s="77"/>
      <c r="F994" s="76"/>
      <c r="G994" s="76"/>
      <c r="I994" s="79" t="str">
        <f aca="false">IF($B994="","",IF(ISNUMBER(MATCH($B994,日別データ!$B$13:$B$32,0)),"✔ OK","⚠ 未登録"))</f>
        <v/>
      </c>
      <c r="J994" s="80" t="str">
        <f aca="false">IF($B994="","",IF($D994="","－",IF(ISNUMBER($D994),IF(AND($D994&gt;=1,MOD($D994,1)=0),"－",IF(MOD($D994,1)&lt;$L$6,"朝",IF(MOD($D994,1)&lt;$L$7,"昼",IF(MOD($D994,1)&lt;$L$8,"夕方","夜")))),IF(OR($D994="朝",$D994="昼",$D994="夕方",$D994="夜"),$D994,"⚠ 不明"))))</f>
        <v/>
      </c>
    </row>
    <row r="995" customFormat="false" ht="15" hidden="false" customHeight="false" outlineLevel="0" collapsed="false">
      <c r="A995" s="75"/>
      <c r="B995" s="76"/>
      <c r="C995" s="77"/>
      <c r="D995" s="78"/>
      <c r="E995" s="77"/>
      <c r="F995" s="76"/>
      <c r="G995" s="76"/>
      <c r="I995" s="79" t="str">
        <f aca="false">IF($B995="","",IF(ISNUMBER(MATCH($B995,日別データ!$B$13:$B$32,0)),"✔ OK","⚠ 未登録"))</f>
        <v/>
      </c>
      <c r="J995" s="80" t="str">
        <f aca="false">IF($B995="","",IF($D995="","－",IF(ISNUMBER($D995),IF(AND($D995&gt;=1,MOD($D995,1)=0),"－",IF(MOD($D995,1)&lt;$L$6,"朝",IF(MOD($D995,1)&lt;$L$7,"昼",IF(MOD($D995,1)&lt;$L$8,"夕方","夜")))),IF(OR($D995="朝",$D995="昼",$D995="夕方",$D995="夜"),$D995,"⚠ 不明"))))</f>
        <v/>
      </c>
    </row>
    <row r="996" customFormat="false" ht="15" hidden="false" customHeight="false" outlineLevel="0" collapsed="false">
      <c r="A996" s="75"/>
      <c r="B996" s="76"/>
      <c r="C996" s="77"/>
      <c r="D996" s="78"/>
      <c r="E996" s="77"/>
      <c r="F996" s="76"/>
      <c r="G996" s="76"/>
      <c r="I996" s="79" t="str">
        <f aca="false">IF($B996="","",IF(ISNUMBER(MATCH($B996,日別データ!$B$13:$B$32,0)),"✔ OK","⚠ 未登録"))</f>
        <v/>
      </c>
      <c r="J996" s="80" t="str">
        <f aca="false">IF($B996="","",IF($D996="","－",IF(ISNUMBER($D996),IF(AND($D996&gt;=1,MOD($D996,1)=0),"－",IF(MOD($D996,1)&lt;$L$6,"朝",IF(MOD($D996,1)&lt;$L$7,"昼",IF(MOD($D996,1)&lt;$L$8,"夕方","夜")))),IF(OR($D996="朝",$D996="昼",$D996="夕方",$D996="夜"),$D996,"⚠ 不明"))))</f>
        <v/>
      </c>
    </row>
    <row r="997" customFormat="false" ht="15" hidden="false" customHeight="false" outlineLevel="0" collapsed="false">
      <c r="A997" s="75"/>
      <c r="B997" s="76"/>
      <c r="C997" s="77"/>
      <c r="D997" s="78"/>
      <c r="E997" s="77"/>
      <c r="F997" s="76"/>
      <c r="G997" s="76"/>
      <c r="I997" s="79" t="str">
        <f aca="false">IF($B997="","",IF(ISNUMBER(MATCH($B997,日別データ!$B$13:$B$32,0)),"✔ OK","⚠ 未登録"))</f>
        <v/>
      </c>
      <c r="J997" s="80" t="str">
        <f aca="false">IF($B997="","",IF($D997="","－",IF(ISNUMBER($D997),IF(AND($D997&gt;=1,MOD($D997,1)=0),"－",IF(MOD($D997,1)&lt;$L$6,"朝",IF(MOD($D997,1)&lt;$L$7,"昼",IF(MOD($D997,1)&lt;$L$8,"夕方","夜")))),IF(OR($D997="朝",$D997="昼",$D997="夕方",$D997="夜"),$D997,"⚠ 不明"))))</f>
        <v/>
      </c>
    </row>
    <row r="998" customFormat="false" ht="15" hidden="false" customHeight="false" outlineLevel="0" collapsed="false">
      <c r="A998" s="75"/>
      <c r="B998" s="76"/>
      <c r="C998" s="77"/>
      <c r="D998" s="78"/>
      <c r="E998" s="77"/>
      <c r="F998" s="76"/>
      <c r="G998" s="76"/>
      <c r="I998" s="79" t="str">
        <f aca="false">IF($B998="","",IF(ISNUMBER(MATCH($B998,日別データ!$B$13:$B$32,0)),"✔ OK","⚠ 未登録"))</f>
        <v/>
      </c>
      <c r="J998" s="80" t="str">
        <f aca="false">IF($B998="","",IF($D998="","－",IF(ISNUMBER($D998),IF(AND($D998&gt;=1,MOD($D998,1)=0),"－",IF(MOD($D998,1)&lt;$L$6,"朝",IF(MOD($D998,1)&lt;$L$7,"昼",IF(MOD($D998,1)&lt;$L$8,"夕方","夜")))),IF(OR($D998="朝",$D998="昼",$D998="夕方",$D998="夜"),$D998,"⚠ 不明"))))</f>
        <v/>
      </c>
    </row>
    <row r="999" customFormat="false" ht="15" hidden="false" customHeight="false" outlineLevel="0" collapsed="false">
      <c r="A999" s="75"/>
      <c r="B999" s="76"/>
      <c r="C999" s="77"/>
      <c r="D999" s="78"/>
      <c r="E999" s="77"/>
      <c r="F999" s="76"/>
      <c r="G999" s="76"/>
      <c r="I999" s="79" t="str">
        <f aca="false">IF($B999="","",IF(ISNUMBER(MATCH($B999,日別データ!$B$13:$B$32,0)),"✔ OK","⚠ 未登録"))</f>
        <v/>
      </c>
      <c r="J999" s="80" t="str">
        <f aca="false">IF($B999="","",IF($D999="","－",IF(ISNUMBER($D999),IF(AND($D999&gt;=1,MOD($D999,1)=0),"－",IF(MOD($D999,1)&lt;$L$6,"朝",IF(MOD($D999,1)&lt;$L$7,"昼",IF(MOD($D999,1)&lt;$L$8,"夕方","夜")))),IF(OR($D999="朝",$D999="昼",$D999="夕方",$D999="夜"),$D999,"⚠ 不明"))))</f>
        <v/>
      </c>
    </row>
    <row r="1000" customFormat="false" ht="15" hidden="false" customHeight="false" outlineLevel="0" collapsed="false">
      <c r="A1000" s="75"/>
      <c r="B1000" s="76"/>
      <c r="C1000" s="77"/>
      <c r="D1000" s="78"/>
      <c r="E1000" s="77"/>
      <c r="F1000" s="76"/>
      <c r="G1000" s="76"/>
      <c r="I1000" s="79" t="str">
        <f aca="false">IF($B1000="","",IF(ISNUMBER(MATCH($B1000,日別データ!$B$13:$B$32,0)),"✔ OK","⚠ 未登録"))</f>
        <v/>
      </c>
      <c r="J1000" s="80" t="str">
        <f aca="false">IF($B1000="","",IF($D1000="","－",IF(ISNUMBER($D1000),IF(AND($D1000&gt;=1,MOD($D1000,1)=0),"－",IF(MOD($D1000,1)&lt;$L$6,"朝",IF(MOD($D1000,1)&lt;$L$7,"昼",IF(MOD($D1000,1)&lt;$L$8,"夕方","夜")))),IF(OR($D1000="朝",$D1000="昼",$D1000="夕方",$D1000="夜"),$D1000,"⚠ 不明"))))</f>
        <v/>
      </c>
    </row>
    <row r="1001" customFormat="false" ht="15" hidden="false" customHeight="false" outlineLevel="0" collapsed="false">
      <c r="A1001" s="75"/>
      <c r="B1001" s="76"/>
      <c r="C1001" s="77"/>
      <c r="D1001" s="78"/>
      <c r="E1001" s="77"/>
      <c r="F1001" s="76"/>
      <c r="G1001" s="76"/>
      <c r="I1001" s="79" t="str">
        <f aca="false">IF($B1001="","",IF(ISNUMBER(MATCH($B1001,日別データ!$B$13:$B$32,0)),"✔ OK","⚠ 未登録"))</f>
        <v/>
      </c>
      <c r="J1001" s="80" t="str">
        <f aca="false">IF($B1001="","",IF($D1001="","－",IF(ISNUMBER($D1001),IF(AND($D1001&gt;=1,MOD($D1001,1)=0),"－",IF(MOD($D1001,1)&lt;$L$6,"朝",IF(MOD($D1001,1)&lt;$L$7,"昼",IF(MOD($D1001,1)&lt;$L$8,"夕方","夜")))),IF(OR($D1001="朝",$D1001="昼",$D1001="夕方",$D1001="夜"),$D1001,"⚠ 不明"))))</f>
        <v/>
      </c>
    </row>
    <row r="1002" customFormat="false" ht="15" hidden="false" customHeight="false" outlineLevel="0" collapsed="false">
      <c r="A1002" s="75"/>
      <c r="B1002" s="76"/>
      <c r="C1002" s="77"/>
      <c r="D1002" s="78"/>
      <c r="E1002" s="77"/>
      <c r="F1002" s="76"/>
      <c r="G1002" s="76"/>
      <c r="I1002" s="79" t="str">
        <f aca="false">IF($B1002="","",IF(ISNUMBER(MATCH($B1002,日別データ!$B$13:$B$32,0)),"✔ OK","⚠ 未登録"))</f>
        <v/>
      </c>
      <c r="J1002" s="80" t="str">
        <f aca="false">IF($B1002="","",IF($D1002="","－",IF(ISNUMBER($D1002),IF(AND($D1002&gt;=1,MOD($D1002,1)=0),"－",IF(MOD($D1002,1)&lt;$L$6,"朝",IF(MOD($D1002,1)&lt;$L$7,"昼",IF(MOD($D1002,1)&lt;$L$8,"夕方","夜")))),IF(OR($D1002="朝",$D1002="昼",$D1002="夕方",$D1002="夜"),$D1002,"⚠ 不明"))))</f>
        <v/>
      </c>
    </row>
    <row r="1003" customFormat="false" ht="15" hidden="false" customHeight="false" outlineLevel="0" collapsed="false">
      <c r="A1003" s="75"/>
      <c r="B1003" s="76"/>
      <c r="C1003" s="77"/>
      <c r="D1003" s="78"/>
      <c r="E1003" s="77"/>
      <c r="F1003" s="76"/>
      <c r="G1003" s="76"/>
      <c r="I1003" s="79" t="str">
        <f aca="false">IF($B1003="","",IF(ISNUMBER(MATCH($B1003,日別データ!$B$13:$B$32,0)),"✔ OK","⚠ 未登録"))</f>
        <v/>
      </c>
      <c r="J1003" s="80" t="str">
        <f aca="false">IF($B1003="","",IF($D1003="","－",IF(ISNUMBER($D1003),IF(AND($D1003&gt;=1,MOD($D1003,1)=0),"－",IF(MOD($D1003,1)&lt;$L$6,"朝",IF(MOD($D1003,1)&lt;$L$7,"昼",IF(MOD($D1003,1)&lt;$L$8,"夕方","夜")))),IF(OR($D1003="朝",$D1003="昼",$D1003="夕方",$D1003="夜"),$D1003,"⚠ 不明"))))</f>
        <v/>
      </c>
    </row>
    <row r="1004" customFormat="false" ht="15" hidden="false" customHeight="false" outlineLevel="0" collapsed="false">
      <c r="A1004" s="75"/>
      <c r="B1004" s="76"/>
      <c r="C1004" s="77"/>
      <c r="D1004" s="78"/>
      <c r="E1004" s="77"/>
      <c r="F1004" s="76"/>
      <c r="G1004" s="76"/>
      <c r="I1004" s="79" t="str">
        <f aca="false">IF($B1004="","",IF(ISNUMBER(MATCH($B1004,日別データ!$B$13:$B$32,0)),"✔ OK","⚠ 未登録"))</f>
        <v/>
      </c>
      <c r="J1004" s="80" t="str">
        <f aca="false">IF($B1004="","",IF($D1004="","－",IF(ISNUMBER($D1004),IF(AND($D1004&gt;=1,MOD($D1004,1)=0),"－",IF(MOD($D1004,1)&lt;$L$6,"朝",IF(MOD($D1004,1)&lt;$L$7,"昼",IF(MOD($D1004,1)&lt;$L$8,"夕方","夜")))),IF(OR($D1004="朝",$D1004="昼",$D1004="夕方",$D1004="夜"),$D1004,"⚠ 不明"))))</f>
        <v/>
      </c>
    </row>
    <row r="1005" customFormat="false" ht="15" hidden="false" customHeight="false" outlineLevel="0" collapsed="false">
      <c r="A1005" s="75"/>
      <c r="B1005" s="76"/>
      <c r="C1005" s="77"/>
      <c r="D1005" s="78"/>
      <c r="E1005" s="77"/>
      <c r="F1005" s="76"/>
      <c r="G1005" s="76"/>
      <c r="I1005" s="79" t="str">
        <f aca="false">IF($B1005="","",IF(ISNUMBER(MATCH($B1005,日別データ!$B$13:$B$32,0)),"✔ OK","⚠ 未登録"))</f>
        <v/>
      </c>
      <c r="J1005" s="80" t="str">
        <f aca="false">IF($B1005="","",IF($D1005="","－",IF(ISNUMBER($D1005),IF(AND($D1005&gt;=1,MOD($D1005,1)=0),"－",IF(MOD($D1005,1)&lt;$L$6,"朝",IF(MOD($D1005,1)&lt;$L$7,"昼",IF(MOD($D1005,1)&lt;$L$8,"夕方","夜")))),IF(OR($D1005="朝",$D1005="昼",$D1005="夕方",$D1005="夜"),$D1005,"⚠ 不明"))))</f>
        <v/>
      </c>
    </row>
    <row r="1006" customFormat="false" ht="15" hidden="false" customHeight="false" outlineLevel="0" collapsed="false">
      <c r="A1006" s="75"/>
      <c r="B1006" s="76"/>
      <c r="C1006" s="77"/>
      <c r="D1006" s="78"/>
      <c r="E1006" s="77"/>
      <c r="F1006" s="76"/>
      <c r="G1006" s="76"/>
      <c r="I1006" s="79" t="str">
        <f aca="false">IF($B1006="","",IF(ISNUMBER(MATCH($B1006,日別データ!$B$13:$B$32,0)),"✔ OK","⚠ 未登録"))</f>
        <v/>
      </c>
      <c r="J1006" s="80" t="str">
        <f aca="false">IF($B1006="","",IF($D1006="","－",IF(ISNUMBER($D1006),IF(AND($D1006&gt;=1,MOD($D1006,1)=0),"－",IF(MOD($D1006,1)&lt;$L$6,"朝",IF(MOD($D1006,1)&lt;$L$7,"昼",IF(MOD($D1006,1)&lt;$L$8,"夕方","夜")))),IF(OR($D1006="朝",$D1006="昼",$D1006="夕方",$D1006="夜"),$D1006,"⚠ 不明"))))</f>
        <v/>
      </c>
    </row>
    <row r="1007" customFormat="false" ht="15" hidden="false" customHeight="false" outlineLevel="0" collapsed="false">
      <c r="A1007" s="75"/>
      <c r="B1007" s="76"/>
      <c r="C1007" s="77"/>
      <c r="D1007" s="78"/>
      <c r="E1007" s="77"/>
      <c r="F1007" s="76"/>
      <c r="G1007" s="76"/>
      <c r="I1007" s="79" t="str">
        <f aca="false">IF($B1007="","",IF(ISNUMBER(MATCH($B1007,日別データ!$B$13:$B$32,0)),"✔ OK","⚠ 未登録"))</f>
        <v/>
      </c>
      <c r="J1007" s="80" t="str">
        <f aca="false">IF($B1007="","",IF($D1007="","－",IF(ISNUMBER($D1007),IF(AND($D1007&gt;=1,MOD($D1007,1)=0),"－",IF(MOD($D1007,1)&lt;$L$6,"朝",IF(MOD($D1007,1)&lt;$L$7,"昼",IF(MOD($D1007,1)&lt;$L$8,"夕方","夜")))),IF(OR($D1007="朝",$D1007="昼",$D1007="夕方",$D1007="夜"),$D1007,"⚠ 不明"))))</f>
        <v/>
      </c>
    </row>
    <row r="1008" customFormat="false" ht="15" hidden="false" customHeight="false" outlineLevel="0" collapsed="false">
      <c r="A1008" s="75"/>
      <c r="B1008" s="76"/>
      <c r="C1008" s="77"/>
      <c r="D1008" s="78"/>
      <c r="E1008" s="77"/>
      <c r="F1008" s="76"/>
      <c r="G1008" s="76"/>
      <c r="I1008" s="79" t="str">
        <f aca="false">IF($B1008="","",IF(ISNUMBER(MATCH($B1008,日別データ!$B$13:$B$32,0)),"✔ OK","⚠ 未登録"))</f>
        <v/>
      </c>
      <c r="J1008" s="80" t="str">
        <f aca="false">IF($B1008="","",IF($D1008="","－",IF(ISNUMBER($D1008),IF(AND($D1008&gt;=1,MOD($D1008,1)=0),"－",IF(MOD($D1008,1)&lt;$L$6,"朝",IF(MOD($D1008,1)&lt;$L$7,"昼",IF(MOD($D1008,1)&lt;$L$8,"夕方","夜")))),IF(OR($D1008="朝",$D1008="昼",$D1008="夕方",$D1008="夜"),$D1008,"⚠ 不明"))))</f>
        <v/>
      </c>
    </row>
    <row r="1009" customFormat="false" ht="15" hidden="false" customHeight="false" outlineLevel="0" collapsed="false">
      <c r="A1009" s="75"/>
      <c r="B1009" s="76"/>
      <c r="C1009" s="77"/>
      <c r="D1009" s="78"/>
      <c r="E1009" s="77"/>
      <c r="F1009" s="76"/>
      <c r="G1009" s="76"/>
      <c r="I1009" s="79" t="str">
        <f aca="false">IF($B1009="","",IF(ISNUMBER(MATCH($B1009,日別データ!$B$13:$B$32,0)),"✔ OK","⚠ 未登録"))</f>
        <v/>
      </c>
      <c r="J1009" s="80" t="str">
        <f aca="false">IF($B1009="","",IF($D1009="","－",IF(ISNUMBER($D1009),IF(AND($D1009&gt;=1,MOD($D1009,1)=0),"－",IF(MOD($D1009,1)&lt;$L$6,"朝",IF(MOD($D1009,1)&lt;$L$7,"昼",IF(MOD($D1009,1)&lt;$L$8,"夕方","夜")))),IF(OR($D1009="朝",$D1009="昼",$D1009="夕方",$D1009="夜"),$D1009,"⚠ 不明"))))</f>
        <v/>
      </c>
    </row>
    <row r="1010" customFormat="false" ht="15" hidden="false" customHeight="false" outlineLevel="0" collapsed="false">
      <c r="A1010" s="75"/>
      <c r="B1010" s="76"/>
      <c r="C1010" s="77"/>
      <c r="D1010" s="78"/>
      <c r="E1010" s="77"/>
      <c r="F1010" s="76"/>
      <c r="G1010" s="76"/>
      <c r="I1010" s="79" t="str">
        <f aca="false">IF($B1010="","",IF(ISNUMBER(MATCH($B1010,日別データ!$B$13:$B$32,0)),"✔ OK","⚠ 未登録"))</f>
        <v/>
      </c>
      <c r="J1010" s="80" t="str">
        <f aca="false">IF($B1010="","",IF($D1010="","－",IF(ISNUMBER($D1010),IF(AND($D1010&gt;=1,MOD($D1010,1)=0),"－",IF(MOD($D1010,1)&lt;$L$6,"朝",IF(MOD($D1010,1)&lt;$L$7,"昼",IF(MOD($D1010,1)&lt;$L$8,"夕方","夜")))),IF(OR($D1010="朝",$D1010="昼",$D1010="夕方",$D1010="夜"),$D1010,"⚠ 不明"))))</f>
        <v/>
      </c>
    </row>
    <row r="1011" customFormat="false" ht="15" hidden="false" customHeight="false" outlineLevel="0" collapsed="false">
      <c r="A1011" s="75"/>
      <c r="B1011" s="76"/>
      <c r="C1011" s="77"/>
      <c r="D1011" s="78"/>
      <c r="E1011" s="77"/>
      <c r="F1011" s="76"/>
      <c r="G1011" s="76"/>
      <c r="I1011" s="79" t="str">
        <f aca="false">IF($B1011="","",IF(ISNUMBER(MATCH($B1011,日別データ!$B$13:$B$32,0)),"✔ OK","⚠ 未登録"))</f>
        <v/>
      </c>
      <c r="J1011" s="80" t="str">
        <f aca="false">IF($B1011="","",IF($D1011="","－",IF(ISNUMBER($D1011),IF(AND($D1011&gt;=1,MOD($D1011,1)=0),"－",IF(MOD($D1011,1)&lt;$L$6,"朝",IF(MOD($D1011,1)&lt;$L$7,"昼",IF(MOD($D1011,1)&lt;$L$8,"夕方","夜")))),IF(OR($D1011="朝",$D1011="昼",$D1011="夕方",$D1011="夜"),$D1011,"⚠ 不明"))))</f>
        <v/>
      </c>
    </row>
    <row r="1012" customFormat="false" ht="15" hidden="false" customHeight="false" outlineLevel="0" collapsed="false">
      <c r="A1012" s="75"/>
      <c r="B1012" s="76"/>
      <c r="C1012" s="77"/>
      <c r="D1012" s="78"/>
      <c r="E1012" s="77"/>
      <c r="F1012" s="76"/>
      <c r="G1012" s="76"/>
      <c r="I1012" s="79" t="str">
        <f aca="false">IF($B1012="","",IF(ISNUMBER(MATCH($B1012,日別データ!$B$13:$B$32,0)),"✔ OK","⚠ 未登録"))</f>
        <v/>
      </c>
      <c r="J1012" s="80" t="str">
        <f aca="false">IF($B1012="","",IF($D1012="","－",IF(ISNUMBER($D1012),IF(AND($D1012&gt;=1,MOD($D1012,1)=0),"－",IF(MOD($D1012,1)&lt;$L$6,"朝",IF(MOD($D1012,1)&lt;$L$7,"昼",IF(MOD($D1012,1)&lt;$L$8,"夕方","夜")))),IF(OR($D1012="朝",$D1012="昼",$D1012="夕方",$D1012="夜"),$D1012,"⚠ 不明"))))</f>
        <v/>
      </c>
    </row>
    <row r="1013" customFormat="false" ht="15" hidden="false" customHeight="false" outlineLevel="0" collapsed="false">
      <c r="A1013" s="75"/>
      <c r="B1013" s="76"/>
      <c r="C1013" s="77"/>
      <c r="D1013" s="78"/>
      <c r="E1013" s="77"/>
      <c r="F1013" s="76"/>
      <c r="G1013" s="76"/>
      <c r="I1013" s="79" t="str">
        <f aca="false">IF($B1013="","",IF(ISNUMBER(MATCH($B1013,日別データ!$B$13:$B$32,0)),"✔ OK","⚠ 未登録"))</f>
        <v/>
      </c>
      <c r="J1013" s="80" t="str">
        <f aca="false">IF($B1013="","",IF($D1013="","－",IF(ISNUMBER($D1013),IF(AND($D1013&gt;=1,MOD($D1013,1)=0),"－",IF(MOD($D1013,1)&lt;$L$6,"朝",IF(MOD($D1013,1)&lt;$L$7,"昼",IF(MOD($D1013,1)&lt;$L$8,"夕方","夜")))),IF(OR($D1013="朝",$D1013="昼",$D1013="夕方",$D1013="夜"),$D1013,"⚠ 不明"))))</f>
        <v/>
      </c>
    </row>
    <row r="1014" customFormat="false" ht="15" hidden="false" customHeight="false" outlineLevel="0" collapsed="false">
      <c r="A1014" s="75"/>
      <c r="B1014" s="76"/>
      <c r="C1014" s="77"/>
      <c r="D1014" s="78"/>
      <c r="E1014" s="77"/>
      <c r="F1014" s="76"/>
      <c r="G1014" s="76"/>
      <c r="I1014" s="79" t="str">
        <f aca="false">IF($B1014="","",IF(ISNUMBER(MATCH($B1014,日別データ!$B$13:$B$32,0)),"✔ OK","⚠ 未登録"))</f>
        <v/>
      </c>
      <c r="J1014" s="80" t="str">
        <f aca="false">IF($B1014="","",IF($D1014="","－",IF(ISNUMBER($D1014),IF(AND($D1014&gt;=1,MOD($D1014,1)=0),"－",IF(MOD($D1014,1)&lt;$L$6,"朝",IF(MOD($D1014,1)&lt;$L$7,"昼",IF(MOD($D1014,1)&lt;$L$8,"夕方","夜")))),IF(OR($D1014="朝",$D1014="昼",$D1014="夕方",$D1014="夜"),$D1014,"⚠ 不明"))))</f>
        <v/>
      </c>
    </row>
    <row r="1015" customFormat="false" ht="15" hidden="false" customHeight="false" outlineLevel="0" collapsed="false">
      <c r="A1015" s="75"/>
      <c r="B1015" s="76"/>
      <c r="C1015" s="77"/>
      <c r="D1015" s="78"/>
      <c r="E1015" s="77"/>
      <c r="F1015" s="76"/>
      <c r="G1015" s="76"/>
      <c r="I1015" s="79" t="str">
        <f aca="false">IF($B1015="","",IF(ISNUMBER(MATCH($B1015,日別データ!$B$13:$B$32,0)),"✔ OK","⚠ 未登録"))</f>
        <v/>
      </c>
      <c r="J1015" s="80" t="str">
        <f aca="false">IF($B1015="","",IF($D1015="","－",IF(ISNUMBER($D1015),IF(AND($D1015&gt;=1,MOD($D1015,1)=0),"－",IF(MOD($D1015,1)&lt;$L$6,"朝",IF(MOD($D1015,1)&lt;$L$7,"昼",IF(MOD($D1015,1)&lt;$L$8,"夕方","夜")))),IF(OR($D1015="朝",$D1015="昼",$D1015="夕方",$D1015="夜"),$D1015,"⚠ 不明"))))</f>
        <v/>
      </c>
    </row>
    <row r="1016" customFormat="false" ht="15" hidden="false" customHeight="false" outlineLevel="0" collapsed="false">
      <c r="A1016" s="75"/>
      <c r="B1016" s="76"/>
      <c r="C1016" s="77"/>
      <c r="D1016" s="78"/>
      <c r="E1016" s="77"/>
      <c r="F1016" s="76"/>
      <c r="G1016" s="76"/>
      <c r="I1016" s="79" t="str">
        <f aca="false">IF($B1016="","",IF(ISNUMBER(MATCH($B1016,日別データ!$B$13:$B$32,0)),"✔ OK","⚠ 未登録"))</f>
        <v/>
      </c>
      <c r="J1016" s="80" t="str">
        <f aca="false">IF($B1016="","",IF($D1016="","－",IF(ISNUMBER($D1016),IF(AND($D1016&gt;=1,MOD($D1016,1)=0),"－",IF(MOD($D1016,1)&lt;$L$6,"朝",IF(MOD($D1016,1)&lt;$L$7,"昼",IF(MOD($D1016,1)&lt;$L$8,"夕方","夜")))),IF(OR($D1016="朝",$D1016="昼",$D1016="夕方",$D1016="夜"),$D1016,"⚠ 不明"))))</f>
        <v/>
      </c>
    </row>
    <row r="1017" customFormat="false" ht="15" hidden="false" customHeight="false" outlineLevel="0" collapsed="false">
      <c r="A1017" s="75"/>
      <c r="B1017" s="76"/>
      <c r="C1017" s="77"/>
      <c r="D1017" s="78"/>
      <c r="E1017" s="77"/>
      <c r="F1017" s="76"/>
      <c r="G1017" s="76"/>
      <c r="I1017" s="79" t="str">
        <f aca="false">IF($B1017="","",IF(ISNUMBER(MATCH($B1017,日別データ!$B$13:$B$32,0)),"✔ OK","⚠ 未登録"))</f>
        <v/>
      </c>
      <c r="J1017" s="80" t="str">
        <f aca="false">IF($B1017="","",IF($D1017="","－",IF(ISNUMBER($D1017),IF(AND($D1017&gt;=1,MOD($D1017,1)=0),"－",IF(MOD($D1017,1)&lt;$L$6,"朝",IF(MOD($D1017,1)&lt;$L$7,"昼",IF(MOD($D1017,1)&lt;$L$8,"夕方","夜")))),IF(OR($D1017="朝",$D1017="昼",$D1017="夕方",$D1017="夜"),$D1017,"⚠ 不明"))))</f>
        <v/>
      </c>
    </row>
    <row r="1018" customFormat="false" ht="15" hidden="false" customHeight="false" outlineLevel="0" collapsed="false">
      <c r="A1018" s="75"/>
      <c r="B1018" s="76"/>
      <c r="C1018" s="77"/>
      <c r="D1018" s="78"/>
      <c r="E1018" s="77"/>
      <c r="F1018" s="76"/>
      <c r="G1018" s="76"/>
      <c r="I1018" s="79" t="str">
        <f aca="false">IF($B1018="","",IF(ISNUMBER(MATCH($B1018,日別データ!$B$13:$B$32,0)),"✔ OK","⚠ 未登録"))</f>
        <v/>
      </c>
      <c r="J1018" s="80" t="str">
        <f aca="false">IF($B1018="","",IF($D1018="","－",IF(ISNUMBER($D1018),IF(AND($D1018&gt;=1,MOD($D1018,1)=0),"－",IF(MOD($D1018,1)&lt;$L$6,"朝",IF(MOD($D1018,1)&lt;$L$7,"昼",IF(MOD($D1018,1)&lt;$L$8,"夕方","夜")))),IF(OR($D1018="朝",$D1018="昼",$D1018="夕方",$D1018="夜"),$D1018,"⚠ 不明"))))</f>
        <v/>
      </c>
    </row>
    <row r="1019" customFormat="false" ht="15" hidden="false" customHeight="false" outlineLevel="0" collapsed="false">
      <c r="A1019" s="75"/>
      <c r="B1019" s="76"/>
      <c r="C1019" s="77"/>
      <c r="D1019" s="78"/>
      <c r="E1019" s="77"/>
      <c r="F1019" s="76"/>
      <c r="G1019" s="76"/>
      <c r="I1019" s="79" t="str">
        <f aca="false">IF($B1019="","",IF(ISNUMBER(MATCH($B1019,日別データ!$B$13:$B$32,0)),"✔ OK","⚠ 未登録"))</f>
        <v/>
      </c>
      <c r="J1019" s="80" t="str">
        <f aca="false">IF($B1019="","",IF($D1019="","－",IF(ISNUMBER($D1019),IF(AND($D1019&gt;=1,MOD($D1019,1)=0),"－",IF(MOD($D1019,1)&lt;$L$6,"朝",IF(MOD($D1019,1)&lt;$L$7,"昼",IF(MOD($D1019,1)&lt;$L$8,"夕方","夜")))),IF(OR($D1019="朝",$D1019="昼",$D1019="夕方",$D1019="夜"),$D1019,"⚠ 不明"))))</f>
        <v/>
      </c>
    </row>
    <row r="1020" customFormat="false" ht="15" hidden="false" customHeight="false" outlineLevel="0" collapsed="false">
      <c r="A1020" s="75"/>
      <c r="B1020" s="76"/>
      <c r="C1020" s="77"/>
      <c r="D1020" s="78"/>
      <c r="E1020" s="77"/>
      <c r="F1020" s="76"/>
      <c r="G1020" s="76"/>
      <c r="I1020" s="79" t="str">
        <f aca="false">IF($B1020="","",IF(ISNUMBER(MATCH($B1020,日別データ!$B$13:$B$32,0)),"✔ OK","⚠ 未登録"))</f>
        <v/>
      </c>
      <c r="J1020" s="80" t="str">
        <f aca="false">IF($B1020="","",IF($D1020="","－",IF(ISNUMBER($D1020),IF(AND($D1020&gt;=1,MOD($D1020,1)=0),"－",IF(MOD($D1020,1)&lt;$L$6,"朝",IF(MOD($D1020,1)&lt;$L$7,"昼",IF(MOD($D1020,1)&lt;$L$8,"夕方","夜")))),IF(OR($D1020="朝",$D1020="昼",$D1020="夕方",$D1020="夜"),$D1020,"⚠ 不明"))))</f>
        <v/>
      </c>
    </row>
    <row r="1021" customFormat="false" ht="15" hidden="false" customHeight="false" outlineLevel="0" collapsed="false">
      <c r="A1021" s="75"/>
      <c r="B1021" s="76"/>
      <c r="C1021" s="77"/>
      <c r="D1021" s="78"/>
      <c r="E1021" s="77"/>
      <c r="F1021" s="76"/>
      <c r="G1021" s="76"/>
      <c r="I1021" s="79" t="str">
        <f aca="false">IF($B1021="","",IF(ISNUMBER(MATCH($B1021,日別データ!$B$13:$B$32,0)),"✔ OK","⚠ 未登録"))</f>
        <v/>
      </c>
      <c r="J1021" s="80" t="str">
        <f aca="false">IF($B1021="","",IF($D1021="","－",IF(ISNUMBER($D1021),IF(AND($D1021&gt;=1,MOD($D1021,1)=0),"－",IF(MOD($D1021,1)&lt;$L$6,"朝",IF(MOD($D1021,1)&lt;$L$7,"昼",IF(MOD($D1021,1)&lt;$L$8,"夕方","夜")))),IF(OR($D1021="朝",$D1021="昼",$D1021="夕方",$D1021="夜"),$D1021,"⚠ 不明"))))</f>
        <v/>
      </c>
    </row>
    <row r="1022" customFormat="false" ht="15" hidden="false" customHeight="false" outlineLevel="0" collapsed="false">
      <c r="A1022" s="75"/>
      <c r="B1022" s="76"/>
      <c r="C1022" s="77"/>
      <c r="D1022" s="78"/>
      <c r="E1022" s="77"/>
      <c r="F1022" s="76"/>
      <c r="G1022" s="76"/>
      <c r="I1022" s="79" t="str">
        <f aca="false">IF($B1022="","",IF(ISNUMBER(MATCH($B1022,日別データ!$B$13:$B$32,0)),"✔ OK","⚠ 未登録"))</f>
        <v/>
      </c>
      <c r="J1022" s="80" t="str">
        <f aca="false">IF($B1022="","",IF($D1022="","－",IF(ISNUMBER($D1022),IF(AND($D1022&gt;=1,MOD($D1022,1)=0),"－",IF(MOD($D1022,1)&lt;$L$6,"朝",IF(MOD($D1022,1)&lt;$L$7,"昼",IF(MOD($D1022,1)&lt;$L$8,"夕方","夜")))),IF(OR($D1022="朝",$D1022="昼",$D1022="夕方",$D1022="夜"),$D1022,"⚠ 不明"))))</f>
        <v/>
      </c>
    </row>
    <row r="1023" customFormat="false" ht="15" hidden="false" customHeight="false" outlineLevel="0" collapsed="false">
      <c r="A1023" s="75"/>
      <c r="B1023" s="76"/>
      <c r="C1023" s="77"/>
      <c r="D1023" s="78"/>
      <c r="E1023" s="77"/>
      <c r="F1023" s="76"/>
      <c r="G1023" s="76"/>
      <c r="I1023" s="79" t="str">
        <f aca="false">IF($B1023="","",IF(ISNUMBER(MATCH($B1023,日別データ!$B$13:$B$32,0)),"✔ OK","⚠ 未登録"))</f>
        <v/>
      </c>
      <c r="J1023" s="80" t="str">
        <f aca="false">IF($B1023="","",IF($D1023="","－",IF(ISNUMBER($D1023),IF(AND($D1023&gt;=1,MOD($D1023,1)=0),"－",IF(MOD($D1023,1)&lt;$L$6,"朝",IF(MOD($D1023,1)&lt;$L$7,"昼",IF(MOD($D1023,1)&lt;$L$8,"夕方","夜")))),IF(OR($D1023="朝",$D1023="昼",$D1023="夕方",$D1023="夜"),$D1023,"⚠ 不明"))))</f>
        <v/>
      </c>
    </row>
    <row r="1024" customFormat="false" ht="15" hidden="false" customHeight="false" outlineLevel="0" collapsed="false">
      <c r="A1024" s="75"/>
      <c r="B1024" s="76"/>
      <c r="C1024" s="77"/>
      <c r="D1024" s="78"/>
      <c r="E1024" s="77"/>
      <c r="F1024" s="76"/>
      <c r="G1024" s="76"/>
      <c r="I1024" s="79" t="str">
        <f aca="false">IF($B1024="","",IF(ISNUMBER(MATCH($B1024,日別データ!$B$13:$B$32,0)),"✔ OK","⚠ 未登録"))</f>
        <v/>
      </c>
      <c r="J1024" s="80" t="str">
        <f aca="false">IF($B1024="","",IF($D1024="","－",IF(ISNUMBER($D1024),IF(AND($D1024&gt;=1,MOD($D1024,1)=0),"－",IF(MOD($D1024,1)&lt;$L$6,"朝",IF(MOD($D1024,1)&lt;$L$7,"昼",IF(MOD($D1024,1)&lt;$L$8,"夕方","夜")))),IF(OR($D1024="朝",$D1024="昼",$D1024="夕方",$D1024="夜"),$D1024,"⚠ 不明"))))</f>
        <v/>
      </c>
    </row>
    <row r="1025" customFormat="false" ht="15" hidden="false" customHeight="false" outlineLevel="0" collapsed="false">
      <c r="A1025" s="75"/>
      <c r="B1025" s="76"/>
      <c r="C1025" s="77"/>
      <c r="D1025" s="78"/>
      <c r="E1025" s="77"/>
      <c r="F1025" s="76"/>
      <c r="G1025" s="76"/>
      <c r="I1025" s="79" t="str">
        <f aca="false">IF($B1025="","",IF(ISNUMBER(MATCH($B1025,日別データ!$B$13:$B$32,0)),"✔ OK","⚠ 未登録"))</f>
        <v/>
      </c>
      <c r="J1025" s="80" t="str">
        <f aca="false">IF($B1025="","",IF($D1025="","－",IF(ISNUMBER($D1025),IF(AND($D1025&gt;=1,MOD($D1025,1)=0),"－",IF(MOD($D1025,1)&lt;$L$6,"朝",IF(MOD($D1025,1)&lt;$L$7,"昼",IF(MOD($D1025,1)&lt;$L$8,"夕方","夜")))),IF(OR($D1025="朝",$D1025="昼",$D1025="夕方",$D1025="夜"),$D1025,"⚠ 不明"))))</f>
        <v/>
      </c>
    </row>
    <row r="1026" customFormat="false" ht="15" hidden="false" customHeight="false" outlineLevel="0" collapsed="false">
      <c r="A1026" s="75"/>
      <c r="B1026" s="76"/>
      <c r="C1026" s="77"/>
      <c r="D1026" s="78"/>
      <c r="E1026" s="77"/>
      <c r="F1026" s="76"/>
      <c r="G1026" s="76"/>
      <c r="I1026" s="79" t="str">
        <f aca="false">IF($B1026="","",IF(ISNUMBER(MATCH($B1026,日別データ!$B$13:$B$32,0)),"✔ OK","⚠ 未登録"))</f>
        <v/>
      </c>
      <c r="J1026" s="80" t="str">
        <f aca="false">IF($B1026="","",IF($D1026="","－",IF(ISNUMBER($D1026),IF(AND($D1026&gt;=1,MOD($D1026,1)=0),"－",IF(MOD($D1026,1)&lt;$L$6,"朝",IF(MOD($D1026,1)&lt;$L$7,"昼",IF(MOD($D1026,1)&lt;$L$8,"夕方","夜")))),IF(OR($D1026="朝",$D1026="昼",$D1026="夕方",$D1026="夜"),$D1026,"⚠ 不明"))))</f>
        <v/>
      </c>
    </row>
    <row r="1027" customFormat="false" ht="15" hidden="false" customHeight="false" outlineLevel="0" collapsed="false">
      <c r="A1027" s="75"/>
      <c r="B1027" s="76"/>
      <c r="C1027" s="77"/>
      <c r="D1027" s="78"/>
      <c r="E1027" s="77"/>
      <c r="F1027" s="76"/>
      <c r="G1027" s="76"/>
      <c r="I1027" s="79" t="str">
        <f aca="false">IF($B1027="","",IF(ISNUMBER(MATCH($B1027,日別データ!$B$13:$B$32,0)),"✔ OK","⚠ 未登録"))</f>
        <v/>
      </c>
      <c r="J1027" s="80" t="str">
        <f aca="false">IF($B1027="","",IF($D1027="","－",IF(ISNUMBER($D1027),IF(AND($D1027&gt;=1,MOD($D1027,1)=0),"－",IF(MOD($D1027,1)&lt;$L$6,"朝",IF(MOD($D1027,1)&lt;$L$7,"昼",IF(MOD($D1027,1)&lt;$L$8,"夕方","夜")))),IF(OR($D1027="朝",$D1027="昼",$D1027="夕方",$D1027="夜"),$D1027,"⚠ 不明"))))</f>
        <v/>
      </c>
    </row>
    <row r="1028" customFormat="false" ht="15" hidden="false" customHeight="false" outlineLevel="0" collapsed="false">
      <c r="A1028" s="75"/>
      <c r="B1028" s="76"/>
      <c r="C1028" s="77"/>
      <c r="D1028" s="78"/>
      <c r="E1028" s="77"/>
      <c r="F1028" s="76"/>
      <c r="G1028" s="76"/>
      <c r="I1028" s="79" t="str">
        <f aca="false">IF($B1028="","",IF(ISNUMBER(MATCH($B1028,日別データ!$B$13:$B$32,0)),"✔ OK","⚠ 未登録"))</f>
        <v/>
      </c>
      <c r="J1028" s="80" t="str">
        <f aca="false">IF($B1028="","",IF($D1028="","－",IF(ISNUMBER($D1028),IF(AND($D1028&gt;=1,MOD($D1028,1)=0),"－",IF(MOD($D1028,1)&lt;$L$6,"朝",IF(MOD($D1028,1)&lt;$L$7,"昼",IF(MOD($D1028,1)&lt;$L$8,"夕方","夜")))),IF(OR($D1028="朝",$D1028="昼",$D1028="夕方",$D1028="夜"),$D1028,"⚠ 不明"))))</f>
        <v/>
      </c>
    </row>
    <row r="1029" customFormat="false" ht="15" hidden="false" customHeight="false" outlineLevel="0" collapsed="false">
      <c r="A1029" s="75"/>
      <c r="B1029" s="76"/>
      <c r="C1029" s="77"/>
      <c r="D1029" s="78"/>
      <c r="E1029" s="77"/>
      <c r="F1029" s="76"/>
      <c r="G1029" s="76"/>
      <c r="I1029" s="79" t="str">
        <f aca="false">IF($B1029="","",IF(ISNUMBER(MATCH($B1029,日別データ!$B$13:$B$32,0)),"✔ OK","⚠ 未登録"))</f>
        <v/>
      </c>
      <c r="J1029" s="80" t="str">
        <f aca="false">IF($B1029="","",IF($D1029="","－",IF(ISNUMBER($D1029),IF(AND($D1029&gt;=1,MOD($D1029,1)=0),"－",IF(MOD($D1029,1)&lt;$L$6,"朝",IF(MOD($D1029,1)&lt;$L$7,"昼",IF(MOD($D1029,1)&lt;$L$8,"夕方","夜")))),IF(OR($D1029="朝",$D1029="昼",$D1029="夕方",$D1029="夜"),$D1029,"⚠ 不明"))))</f>
        <v/>
      </c>
    </row>
    <row r="1030" customFormat="false" ht="15" hidden="false" customHeight="false" outlineLevel="0" collapsed="false">
      <c r="A1030" s="75"/>
      <c r="B1030" s="76"/>
      <c r="C1030" s="77"/>
      <c r="D1030" s="78"/>
      <c r="E1030" s="77"/>
      <c r="F1030" s="76"/>
      <c r="G1030" s="76"/>
      <c r="I1030" s="79" t="str">
        <f aca="false">IF($B1030="","",IF(ISNUMBER(MATCH($B1030,日別データ!$B$13:$B$32,0)),"✔ OK","⚠ 未登録"))</f>
        <v/>
      </c>
      <c r="J1030" s="80" t="str">
        <f aca="false">IF($B1030="","",IF($D1030="","－",IF(ISNUMBER($D1030),IF(AND($D1030&gt;=1,MOD($D1030,1)=0),"－",IF(MOD($D1030,1)&lt;$L$6,"朝",IF(MOD($D1030,1)&lt;$L$7,"昼",IF(MOD($D1030,1)&lt;$L$8,"夕方","夜")))),IF(OR($D1030="朝",$D1030="昼",$D1030="夕方",$D1030="夜"),$D1030,"⚠ 不明"))))</f>
        <v/>
      </c>
    </row>
    <row r="1031" customFormat="false" ht="15" hidden="false" customHeight="false" outlineLevel="0" collapsed="false">
      <c r="A1031" s="75"/>
      <c r="B1031" s="76"/>
      <c r="C1031" s="77"/>
      <c r="D1031" s="78"/>
      <c r="E1031" s="77"/>
      <c r="F1031" s="76"/>
      <c r="G1031" s="76"/>
      <c r="I1031" s="79" t="str">
        <f aca="false">IF($B1031="","",IF(ISNUMBER(MATCH($B1031,日別データ!$B$13:$B$32,0)),"✔ OK","⚠ 未登録"))</f>
        <v/>
      </c>
      <c r="J1031" s="80" t="str">
        <f aca="false">IF($B1031="","",IF($D1031="","－",IF(ISNUMBER($D1031),IF(AND($D1031&gt;=1,MOD($D1031,1)=0),"－",IF(MOD($D1031,1)&lt;$L$6,"朝",IF(MOD($D1031,1)&lt;$L$7,"昼",IF(MOD($D1031,1)&lt;$L$8,"夕方","夜")))),IF(OR($D1031="朝",$D1031="昼",$D1031="夕方",$D1031="夜"),$D1031,"⚠ 不明"))))</f>
        <v/>
      </c>
    </row>
    <row r="1032" customFormat="false" ht="15" hidden="false" customHeight="false" outlineLevel="0" collapsed="false">
      <c r="A1032" s="75"/>
      <c r="B1032" s="76"/>
      <c r="C1032" s="77"/>
      <c r="D1032" s="78"/>
      <c r="E1032" s="77"/>
      <c r="F1032" s="76"/>
      <c r="G1032" s="76"/>
      <c r="I1032" s="79" t="str">
        <f aca="false">IF($B1032="","",IF(ISNUMBER(MATCH($B1032,日別データ!$B$13:$B$32,0)),"✔ OK","⚠ 未登録"))</f>
        <v/>
      </c>
      <c r="J1032" s="80" t="str">
        <f aca="false">IF($B1032="","",IF($D1032="","－",IF(ISNUMBER($D1032),IF(AND($D1032&gt;=1,MOD($D1032,1)=0),"－",IF(MOD($D1032,1)&lt;$L$6,"朝",IF(MOD($D1032,1)&lt;$L$7,"昼",IF(MOD($D1032,1)&lt;$L$8,"夕方","夜")))),IF(OR($D1032="朝",$D1032="昼",$D1032="夕方",$D1032="夜"),$D1032,"⚠ 不明"))))</f>
        <v/>
      </c>
    </row>
    <row r="1033" customFormat="false" ht="15" hidden="false" customHeight="false" outlineLevel="0" collapsed="false">
      <c r="A1033" s="75"/>
      <c r="B1033" s="76"/>
      <c r="C1033" s="77"/>
      <c r="D1033" s="78"/>
      <c r="E1033" s="77"/>
      <c r="F1033" s="76"/>
      <c r="G1033" s="76"/>
      <c r="I1033" s="79" t="str">
        <f aca="false">IF($B1033="","",IF(ISNUMBER(MATCH($B1033,日別データ!$B$13:$B$32,0)),"✔ OK","⚠ 未登録"))</f>
        <v/>
      </c>
      <c r="J1033" s="80" t="str">
        <f aca="false">IF($B1033="","",IF($D1033="","－",IF(ISNUMBER($D1033),IF(AND($D1033&gt;=1,MOD($D1033,1)=0),"－",IF(MOD($D1033,1)&lt;$L$6,"朝",IF(MOD($D1033,1)&lt;$L$7,"昼",IF(MOD($D1033,1)&lt;$L$8,"夕方","夜")))),IF(OR($D1033="朝",$D1033="昼",$D1033="夕方",$D1033="夜"),$D1033,"⚠ 不明"))))</f>
        <v/>
      </c>
    </row>
    <row r="1034" customFormat="false" ht="15" hidden="false" customHeight="false" outlineLevel="0" collapsed="false">
      <c r="A1034" s="75"/>
      <c r="B1034" s="76"/>
      <c r="C1034" s="77"/>
      <c r="D1034" s="78"/>
      <c r="E1034" s="77"/>
      <c r="F1034" s="76"/>
      <c r="G1034" s="76"/>
      <c r="I1034" s="79" t="str">
        <f aca="false">IF($B1034="","",IF(ISNUMBER(MATCH($B1034,日別データ!$B$13:$B$32,0)),"✔ OK","⚠ 未登録"))</f>
        <v/>
      </c>
      <c r="J1034" s="80" t="str">
        <f aca="false">IF($B1034="","",IF($D1034="","－",IF(ISNUMBER($D1034),IF(AND($D1034&gt;=1,MOD($D1034,1)=0),"－",IF(MOD($D1034,1)&lt;$L$6,"朝",IF(MOD($D1034,1)&lt;$L$7,"昼",IF(MOD($D1034,1)&lt;$L$8,"夕方","夜")))),IF(OR($D1034="朝",$D1034="昼",$D1034="夕方",$D1034="夜"),$D1034,"⚠ 不明"))))</f>
        <v/>
      </c>
    </row>
    <row r="1035" customFormat="false" ht="15" hidden="false" customHeight="false" outlineLevel="0" collapsed="false">
      <c r="A1035" s="75"/>
      <c r="B1035" s="76"/>
      <c r="C1035" s="77"/>
      <c r="D1035" s="78"/>
      <c r="E1035" s="77"/>
      <c r="F1035" s="76"/>
      <c r="G1035" s="76"/>
      <c r="I1035" s="79" t="str">
        <f aca="false">IF($B1035="","",IF(ISNUMBER(MATCH($B1035,日別データ!$B$13:$B$32,0)),"✔ OK","⚠ 未登録"))</f>
        <v/>
      </c>
      <c r="J1035" s="80" t="str">
        <f aca="false">IF($B1035="","",IF($D1035="","－",IF(ISNUMBER($D1035),IF(AND($D1035&gt;=1,MOD($D1035,1)=0),"－",IF(MOD($D1035,1)&lt;$L$6,"朝",IF(MOD($D1035,1)&lt;$L$7,"昼",IF(MOD($D1035,1)&lt;$L$8,"夕方","夜")))),IF(OR($D1035="朝",$D1035="昼",$D1035="夕方",$D1035="夜"),$D1035,"⚠ 不明"))))</f>
        <v/>
      </c>
    </row>
    <row r="1036" customFormat="false" ht="15" hidden="false" customHeight="false" outlineLevel="0" collapsed="false">
      <c r="A1036" s="75"/>
      <c r="B1036" s="76"/>
      <c r="C1036" s="77"/>
      <c r="D1036" s="78"/>
      <c r="E1036" s="77"/>
      <c r="F1036" s="76"/>
      <c r="G1036" s="76"/>
      <c r="I1036" s="79" t="str">
        <f aca="false">IF($B1036="","",IF(ISNUMBER(MATCH($B1036,日別データ!$B$13:$B$32,0)),"✔ OK","⚠ 未登録"))</f>
        <v/>
      </c>
      <c r="J1036" s="80" t="str">
        <f aca="false">IF($B1036="","",IF($D1036="","－",IF(ISNUMBER($D1036),IF(AND($D1036&gt;=1,MOD($D1036,1)=0),"－",IF(MOD($D1036,1)&lt;$L$6,"朝",IF(MOD($D1036,1)&lt;$L$7,"昼",IF(MOD($D1036,1)&lt;$L$8,"夕方","夜")))),IF(OR($D1036="朝",$D1036="昼",$D1036="夕方",$D1036="夜"),$D1036,"⚠ 不明"))))</f>
        <v/>
      </c>
    </row>
    <row r="1037" customFormat="false" ht="15" hidden="false" customHeight="false" outlineLevel="0" collapsed="false">
      <c r="A1037" s="75"/>
      <c r="B1037" s="76"/>
      <c r="C1037" s="77"/>
      <c r="D1037" s="78"/>
      <c r="E1037" s="77"/>
      <c r="F1037" s="76"/>
      <c r="G1037" s="76"/>
      <c r="I1037" s="79" t="str">
        <f aca="false">IF($B1037="","",IF(ISNUMBER(MATCH($B1037,日別データ!$B$13:$B$32,0)),"✔ OK","⚠ 未登録"))</f>
        <v/>
      </c>
      <c r="J1037" s="80" t="str">
        <f aca="false">IF($B1037="","",IF($D1037="","－",IF(ISNUMBER($D1037),IF(AND($D1037&gt;=1,MOD($D1037,1)=0),"－",IF(MOD($D1037,1)&lt;$L$6,"朝",IF(MOD($D1037,1)&lt;$L$7,"昼",IF(MOD($D1037,1)&lt;$L$8,"夕方","夜")))),IF(OR($D1037="朝",$D1037="昼",$D1037="夕方",$D1037="夜"),$D1037,"⚠ 不明"))))</f>
        <v/>
      </c>
    </row>
    <row r="1038" customFormat="false" ht="15" hidden="false" customHeight="false" outlineLevel="0" collapsed="false">
      <c r="A1038" s="75"/>
      <c r="B1038" s="76"/>
      <c r="C1038" s="77"/>
      <c r="D1038" s="78"/>
      <c r="E1038" s="77"/>
      <c r="F1038" s="76"/>
      <c r="G1038" s="76"/>
      <c r="I1038" s="79" t="str">
        <f aca="false">IF($B1038="","",IF(ISNUMBER(MATCH($B1038,日別データ!$B$13:$B$32,0)),"✔ OK","⚠ 未登録"))</f>
        <v/>
      </c>
      <c r="J1038" s="80" t="str">
        <f aca="false">IF($B1038="","",IF($D1038="","－",IF(ISNUMBER($D1038),IF(AND($D1038&gt;=1,MOD($D1038,1)=0),"－",IF(MOD($D1038,1)&lt;$L$6,"朝",IF(MOD($D1038,1)&lt;$L$7,"昼",IF(MOD($D1038,1)&lt;$L$8,"夕方","夜")))),IF(OR($D1038="朝",$D1038="昼",$D1038="夕方",$D1038="夜"),$D1038,"⚠ 不明"))))</f>
        <v/>
      </c>
    </row>
    <row r="1039" customFormat="false" ht="15" hidden="false" customHeight="false" outlineLevel="0" collapsed="false">
      <c r="A1039" s="75"/>
      <c r="B1039" s="76"/>
      <c r="C1039" s="77"/>
      <c r="D1039" s="78"/>
      <c r="E1039" s="77"/>
      <c r="F1039" s="76"/>
      <c r="G1039" s="76"/>
      <c r="I1039" s="79" t="str">
        <f aca="false">IF($B1039="","",IF(ISNUMBER(MATCH($B1039,日別データ!$B$13:$B$32,0)),"✔ OK","⚠ 未登録"))</f>
        <v/>
      </c>
      <c r="J1039" s="80" t="str">
        <f aca="false">IF($B1039="","",IF($D1039="","－",IF(ISNUMBER($D1039),IF(AND($D1039&gt;=1,MOD($D1039,1)=0),"－",IF(MOD($D1039,1)&lt;$L$6,"朝",IF(MOD($D1039,1)&lt;$L$7,"昼",IF(MOD($D1039,1)&lt;$L$8,"夕方","夜")))),IF(OR($D1039="朝",$D1039="昼",$D1039="夕方",$D1039="夜"),$D1039,"⚠ 不明"))))</f>
        <v/>
      </c>
    </row>
    <row r="1040" customFormat="false" ht="15" hidden="false" customHeight="false" outlineLevel="0" collapsed="false">
      <c r="A1040" s="75"/>
      <c r="B1040" s="76"/>
      <c r="C1040" s="77"/>
      <c r="D1040" s="78"/>
      <c r="E1040" s="77"/>
      <c r="F1040" s="76"/>
      <c r="G1040" s="76"/>
      <c r="I1040" s="79" t="str">
        <f aca="false">IF($B1040="","",IF(ISNUMBER(MATCH($B1040,日別データ!$B$13:$B$32,0)),"✔ OK","⚠ 未登録"))</f>
        <v/>
      </c>
      <c r="J1040" s="80" t="str">
        <f aca="false">IF($B1040="","",IF($D1040="","－",IF(ISNUMBER($D1040),IF(AND($D1040&gt;=1,MOD($D1040,1)=0),"－",IF(MOD($D1040,1)&lt;$L$6,"朝",IF(MOD($D1040,1)&lt;$L$7,"昼",IF(MOD($D1040,1)&lt;$L$8,"夕方","夜")))),IF(OR($D1040="朝",$D1040="昼",$D1040="夕方",$D1040="夜"),$D1040,"⚠ 不明"))))</f>
        <v/>
      </c>
    </row>
    <row r="1041" customFormat="false" ht="15" hidden="false" customHeight="false" outlineLevel="0" collapsed="false">
      <c r="A1041" s="75"/>
      <c r="B1041" s="76"/>
      <c r="C1041" s="77"/>
      <c r="D1041" s="78"/>
      <c r="E1041" s="77"/>
      <c r="F1041" s="76"/>
      <c r="G1041" s="76"/>
      <c r="I1041" s="79" t="str">
        <f aca="false">IF($B1041="","",IF(ISNUMBER(MATCH($B1041,日別データ!$B$13:$B$32,0)),"✔ OK","⚠ 未登録"))</f>
        <v/>
      </c>
      <c r="J1041" s="80" t="str">
        <f aca="false">IF($B1041="","",IF($D1041="","－",IF(ISNUMBER($D1041),IF(AND($D1041&gt;=1,MOD($D1041,1)=0),"－",IF(MOD($D1041,1)&lt;$L$6,"朝",IF(MOD($D1041,1)&lt;$L$7,"昼",IF(MOD($D1041,1)&lt;$L$8,"夕方","夜")))),IF(OR($D1041="朝",$D1041="昼",$D1041="夕方",$D1041="夜"),$D1041,"⚠ 不明"))))</f>
        <v/>
      </c>
    </row>
    <row r="1042" customFormat="false" ht="15" hidden="false" customHeight="false" outlineLevel="0" collapsed="false">
      <c r="A1042" s="75"/>
      <c r="B1042" s="76"/>
      <c r="C1042" s="77"/>
      <c r="D1042" s="78"/>
      <c r="E1042" s="77"/>
      <c r="F1042" s="76"/>
      <c r="G1042" s="76"/>
      <c r="I1042" s="79" t="str">
        <f aca="false">IF($B1042="","",IF(ISNUMBER(MATCH($B1042,日別データ!$B$13:$B$32,0)),"✔ OK","⚠ 未登録"))</f>
        <v/>
      </c>
      <c r="J1042" s="80" t="str">
        <f aca="false">IF($B1042="","",IF($D1042="","－",IF(ISNUMBER($D1042),IF(AND($D1042&gt;=1,MOD($D1042,1)=0),"－",IF(MOD($D1042,1)&lt;$L$6,"朝",IF(MOD($D1042,1)&lt;$L$7,"昼",IF(MOD($D1042,1)&lt;$L$8,"夕方","夜")))),IF(OR($D1042="朝",$D1042="昼",$D1042="夕方",$D1042="夜"),$D1042,"⚠ 不明"))))</f>
        <v/>
      </c>
    </row>
    <row r="1043" customFormat="false" ht="15" hidden="false" customHeight="false" outlineLevel="0" collapsed="false">
      <c r="A1043" s="75"/>
      <c r="B1043" s="76"/>
      <c r="C1043" s="77"/>
      <c r="D1043" s="78"/>
      <c r="E1043" s="77"/>
      <c r="F1043" s="76"/>
      <c r="G1043" s="76"/>
      <c r="I1043" s="79" t="str">
        <f aca="false">IF($B1043="","",IF(ISNUMBER(MATCH($B1043,日別データ!$B$13:$B$32,0)),"✔ OK","⚠ 未登録"))</f>
        <v/>
      </c>
      <c r="J1043" s="80" t="str">
        <f aca="false">IF($B1043="","",IF($D1043="","－",IF(ISNUMBER($D1043),IF(AND($D1043&gt;=1,MOD($D1043,1)=0),"－",IF(MOD($D1043,1)&lt;$L$6,"朝",IF(MOD($D1043,1)&lt;$L$7,"昼",IF(MOD($D1043,1)&lt;$L$8,"夕方","夜")))),IF(OR($D1043="朝",$D1043="昼",$D1043="夕方",$D1043="夜"),$D1043,"⚠ 不明"))))</f>
        <v/>
      </c>
    </row>
    <row r="1044" customFormat="false" ht="15" hidden="false" customHeight="false" outlineLevel="0" collapsed="false">
      <c r="A1044" s="75"/>
      <c r="B1044" s="76"/>
      <c r="C1044" s="77"/>
      <c r="D1044" s="78"/>
      <c r="E1044" s="77"/>
      <c r="F1044" s="76"/>
      <c r="G1044" s="76"/>
      <c r="I1044" s="79" t="str">
        <f aca="false">IF($B1044="","",IF(ISNUMBER(MATCH($B1044,日別データ!$B$13:$B$32,0)),"✔ OK","⚠ 未登録"))</f>
        <v/>
      </c>
      <c r="J1044" s="80" t="str">
        <f aca="false">IF($B1044="","",IF($D1044="","－",IF(ISNUMBER($D1044),IF(AND($D1044&gt;=1,MOD($D1044,1)=0),"－",IF(MOD($D1044,1)&lt;$L$6,"朝",IF(MOD($D1044,1)&lt;$L$7,"昼",IF(MOD($D1044,1)&lt;$L$8,"夕方","夜")))),IF(OR($D1044="朝",$D1044="昼",$D1044="夕方",$D1044="夜"),$D1044,"⚠ 不明"))))</f>
        <v/>
      </c>
    </row>
    <row r="1045" customFormat="false" ht="15" hidden="false" customHeight="false" outlineLevel="0" collapsed="false">
      <c r="A1045" s="75"/>
      <c r="B1045" s="76"/>
      <c r="C1045" s="77"/>
      <c r="D1045" s="78"/>
      <c r="E1045" s="77"/>
      <c r="F1045" s="76"/>
      <c r="G1045" s="76"/>
      <c r="I1045" s="79" t="str">
        <f aca="false">IF($B1045="","",IF(ISNUMBER(MATCH($B1045,日別データ!$B$13:$B$32,0)),"✔ OK","⚠ 未登録"))</f>
        <v/>
      </c>
      <c r="J1045" s="80" t="str">
        <f aca="false">IF($B1045="","",IF($D1045="","－",IF(ISNUMBER($D1045),IF(AND($D1045&gt;=1,MOD($D1045,1)=0),"－",IF(MOD($D1045,1)&lt;$L$6,"朝",IF(MOD($D1045,1)&lt;$L$7,"昼",IF(MOD($D1045,1)&lt;$L$8,"夕方","夜")))),IF(OR($D1045="朝",$D1045="昼",$D1045="夕方",$D1045="夜"),$D1045,"⚠ 不明"))))</f>
        <v/>
      </c>
    </row>
    <row r="1046" customFormat="false" ht="15" hidden="false" customHeight="false" outlineLevel="0" collapsed="false">
      <c r="A1046" s="75"/>
      <c r="B1046" s="76"/>
      <c r="C1046" s="77"/>
      <c r="D1046" s="78"/>
      <c r="E1046" s="77"/>
      <c r="F1046" s="76"/>
      <c r="G1046" s="76"/>
      <c r="I1046" s="79" t="str">
        <f aca="false">IF($B1046="","",IF(ISNUMBER(MATCH($B1046,日別データ!$B$13:$B$32,0)),"✔ OK","⚠ 未登録"))</f>
        <v/>
      </c>
      <c r="J1046" s="80" t="str">
        <f aca="false">IF($B1046="","",IF($D1046="","－",IF(ISNUMBER($D1046),IF(AND($D1046&gt;=1,MOD($D1046,1)=0),"－",IF(MOD($D1046,1)&lt;$L$6,"朝",IF(MOD($D1046,1)&lt;$L$7,"昼",IF(MOD($D1046,1)&lt;$L$8,"夕方","夜")))),IF(OR($D1046="朝",$D1046="昼",$D1046="夕方",$D1046="夜"),$D1046,"⚠ 不明"))))</f>
        <v/>
      </c>
    </row>
    <row r="1047" customFormat="false" ht="15" hidden="false" customHeight="false" outlineLevel="0" collapsed="false">
      <c r="A1047" s="75"/>
      <c r="B1047" s="76"/>
      <c r="C1047" s="77"/>
      <c r="D1047" s="78"/>
      <c r="E1047" s="77"/>
      <c r="F1047" s="76"/>
      <c r="G1047" s="76"/>
      <c r="I1047" s="79" t="str">
        <f aca="false">IF($B1047="","",IF(ISNUMBER(MATCH($B1047,日別データ!$B$13:$B$32,0)),"✔ OK","⚠ 未登録"))</f>
        <v/>
      </c>
      <c r="J1047" s="80" t="str">
        <f aca="false">IF($B1047="","",IF($D1047="","－",IF(ISNUMBER($D1047),IF(AND($D1047&gt;=1,MOD($D1047,1)=0),"－",IF(MOD($D1047,1)&lt;$L$6,"朝",IF(MOD($D1047,1)&lt;$L$7,"昼",IF(MOD($D1047,1)&lt;$L$8,"夕方","夜")))),IF(OR($D1047="朝",$D1047="昼",$D1047="夕方",$D1047="夜"),$D1047,"⚠ 不明"))))</f>
        <v/>
      </c>
    </row>
    <row r="1048" customFormat="false" ht="15" hidden="false" customHeight="false" outlineLevel="0" collapsed="false">
      <c r="A1048" s="75"/>
      <c r="B1048" s="76"/>
      <c r="C1048" s="77"/>
      <c r="D1048" s="78"/>
      <c r="E1048" s="77"/>
      <c r="F1048" s="76"/>
      <c r="G1048" s="76"/>
      <c r="I1048" s="79" t="str">
        <f aca="false">IF($B1048="","",IF(ISNUMBER(MATCH($B1048,日別データ!$B$13:$B$32,0)),"✔ OK","⚠ 未登録"))</f>
        <v/>
      </c>
      <c r="J1048" s="80" t="str">
        <f aca="false">IF($B1048="","",IF($D1048="","－",IF(ISNUMBER($D1048),IF(AND($D1048&gt;=1,MOD($D1048,1)=0),"－",IF(MOD($D1048,1)&lt;$L$6,"朝",IF(MOD($D1048,1)&lt;$L$7,"昼",IF(MOD($D1048,1)&lt;$L$8,"夕方","夜")))),IF(OR($D1048="朝",$D1048="昼",$D1048="夕方",$D1048="夜"),$D1048,"⚠ 不明"))))</f>
        <v/>
      </c>
    </row>
    <row r="1049" customFormat="false" ht="15" hidden="false" customHeight="false" outlineLevel="0" collapsed="false">
      <c r="A1049" s="75"/>
      <c r="B1049" s="76"/>
      <c r="C1049" s="77"/>
      <c r="D1049" s="78"/>
      <c r="E1049" s="77"/>
      <c r="F1049" s="76"/>
      <c r="G1049" s="76"/>
      <c r="I1049" s="79" t="str">
        <f aca="false">IF($B1049="","",IF(ISNUMBER(MATCH($B1049,日別データ!$B$13:$B$32,0)),"✔ OK","⚠ 未登録"))</f>
        <v/>
      </c>
      <c r="J1049" s="80" t="str">
        <f aca="false">IF($B1049="","",IF($D1049="","－",IF(ISNUMBER($D1049),IF(AND($D1049&gt;=1,MOD($D1049,1)=0),"－",IF(MOD($D1049,1)&lt;$L$6,"朝",IF(MOD($D1049,1)&lt;$L$7,"昼",IF(MOD($D1049,1)&lt;$L$8,"夕方","夜")))),IF(OR($D1049="朝",$D1049="昼",$D1049="夕方",$D1049="夜"),$D1049,"⚠ 不明"))))</f>
        <v/>
      </c>
    </row>
    <row r="1050" customFormat="false" ht="15" hidden="false" customHeight="false" outlineLevel="0" collapsed="false">
      <c r="A1050" s="75"/>
      <c r="B1050" s="76"/>
      <c r="C1050" s="77"/>
      <c r="D1050" s="78"/>
      <c r="E1050" s="77"/>
      <c r="F1050" s="76"/>
      <c r="G1050" s="76"/>
      <c r="I1050" s="79" t="str">
        <f aca="false">IF($B1050="","",IF(ISNUMBER(MATCH($B1050,日別データ!$B$13:$B$32,0)),"✔ OK","⚠ 未登録"))</f>
        <v/>
      </c>
      <c r="J1050" s="80" t="str">
        <f aca="false">IF($B1050="","",IF($D1050="","－",IF(ISNUMBER($D1050),IF(AND($D1050&gt;=1,MOD($D1050,1)=0),"－",IF(MOD($D1050,1)&lt;$L$6,"朝",IF(MOD($D1050,1)&lt;$L$7,"昼",IF(MOD($D1050,1)&lt;$L$8,"夕方","夜")))),IF(OR($D1050="朝",$D1050="昼",$D1050="夕方",$D1050="夜"),$D1050,"⚠ 不明"))))</f>
        <v/>
      </c>
    </row>
    <row r="1051" customFormat="false" ht="15" hidden="false" customHeight="false" outlineLevel="0" collapsed="false">
      <c r="A1051" s="75"/>
      <c r="B1051" s="76"/>
      <c r="C1051" s="77"/>
      <c r="D1051" s="78"/>
      <c r="E1051" s="77"/>
      <c r="F1051" s="76"/>
      <c r="G1051" s="76"/>
      <c r="I1051" s="79" t="str">
        <f aca="false">IF($B1051="","",IF(ISNUMBER(MATCH($B1051,日別データ!$B$13:$B$32,0)),"✔ OK","⚠ 未登録"))</f>
        <v/>
      </c>
      <c r="J1051" s="80" t="str">
        <f aca="false">IF($B1051="","",IF($D1051="","－",IF(ISNUMBER($D1051),IF(AND($D1051&gt;=1,MOD($D1051,1)=0),"－",IF(MOD($D1051,1)&lt;$L$6,"朝",IF(MOD($D1051,1)&lt;$L$7,"昼",IF(MOD($D1051,1)&lt;$L$8,"夕方","夜")))),IF(OR($D1051="朝",$D1051="昼",$D1051="夕方",$D1051="夜"),$D1051,"⚠ 不明"))))</f>
        <v/>
      </c>
    </row>
    <row r="1052" customFormat="false" ht="15" hidden="false" customHeight="false" outlineLevel="0" collapsed="false">
      <c r="A1052" s="75"/>
      <c r="B1052" s="76"/>
      <c r="C1052" s="77"/>
      <c r="D1052" s="78"/>
      <c r="E1052" s="77"/>
      <c r="F1052" s="76"/>
      <c r="G1052" s="76"/>
      <c r="I1052" s="79" t="str">
        <f aca="false">IF($B1052="","",IF(ISNUMBER(MATCH($B1052,日別データ!$B$13:$B$32,0)),"✔ OK","⚠ 未登録"))</f>
        <v/>
      </c>
      <c r="J1052" s="80" t="str">
        <f aca="false">IF($B1052="","",IF($D1052="","－",IF(ISNUMBER($D1052),IF(AND($D1052&gt;=1,MOD($D1052,1)=0),"－",IF(MOD($D1052,1)&lt;$L$6,"朝",IF(MOD($D1052,1)&lt;$L$7,"昼",IF(MOD($D1052,1)&lt;$L$8,"夕方","夜")))),IF(OR($D1052="朝",$D1052="昼",$D1052="夕方",$D1052="夜"),$D1052,"⚠ 不明"))))</f>
        <v/>
      </c>
    </row>
    <row r="1053" customFormat="false" ht="15" hidden="false" customHeight="false" outlineLevel="0" collapsed="false">
      <c r="A1053" s="75"/>
      <c r="B1053" s="76"/>
      <c r="C1053" s="77"/>
      <c r="D1053" s="78"/>
      <c r="E1053" s="77"/>
      <c r="F1053" s="76"/>
      <c r="G1053" s="76"/>
      <c r="I1053" s="79" t="str">
        <f aca="false">IF($B1053="","",IF(ISNUMBER(MATCH($B1053,日別データ!$B$13:$B$32,0)),"✔ OK","⚠ 未登録"))</f>
        <v/>
      </c>
      <c r="J1053" s="80" t="str">
        <f aca="false">IF($B1053="","",IF($D1053="","－",IF(ISNUMBER($D1053),IF(AND($D1053&gt;=1,MOD($D1053,1)=0),"－",IF(MOD($D1053,1)&lt;$L$6,"朝",IF(MOD($D1053,1)&lt;$L$7,"昼",IF(MOD($D1053,1)&lt;$L$8,"夕方","夜")))),IF(OR($D1053="朝",$D1053="昼",$D1053="夕方",$D1053="夜"),$D1053,"⚠ 不明"))))</f>
        <v/>
      </c>
    </row>
    <row r="1054" customFormat="false" ht="15" hidden="false" customHeight="false" outlineLevel="0" collapsed="false">
      <c r="A1054" s="75"/>
      <c r="B1054" s="76"/>
      <c r="C1054" s="77"/>
      <c r="D1054" s="78"/>
      <c r="E1054" s="77"/>
      <c r="F1054" s="76"/>
      <c r="G1054" s="76"/>
      <c r="I1054" s="79" t="str">
        <f aca="false">IF($B1054="","",IF(ISNUMBER(MATCH($B1054,日別データ!$B$13:$B$32,0)),"✔ OK","⚠ 未登録"))</f>
        <v/>
      </c>
      <c r="J1054" s="80" t="str">
        <f aca="false">IF($B1054="","",IF($D1054="","－",IF(ISNUMBER($D1054),IF(AND($D1054&gt;=1,MOD($D1054,1)=0),"－",IF(MOD($D1054,1)&lt;$L$6,"朝",IF(MOD($D1054,1)&lt;$L$7,"昼",IF(MOD($D1054,1)&lt;$L$8,"夕方","夜")))),IF(OR($D1054="朝",$D1054="昼",$D1054="夕方",$D1054="夜"),$D1054,"⚠ 不明"))))</f>
        <v/>
      </c>
    </row>
    <row r="1055" customFormat="false" ht="15" hidden="false" customHeight="false" outlineLevel="0" collapsed="false">
      <c r="A1055" s="75"/>
      <c r="B1055" s="76"/>
      <c r="C1055" s="77"/>
      <c r="D1055" s="78"/>
      <c r="E1055" s="77"/>
      <c r="F1055" s="76"/>
      <c r="G1055" s="76"/>
      <c r="I1055" s="79" t="str">
        <f aca="false">IF($B1055="","",IF(ISNUMBER(MATCH($B1055,日別データ!$B$13:$B$32,0)),"✔ OK","⚠ 未登録"))</f>
        <v/>
      </c>
      <c r="J1055" s="80" t="str">
        <f aca="false">IF($B1055="","",IF($D1055="","－",IF(ISNUMBER($D1055),IF(AND($D1055&gt;=1,MOD($D1055,1)=0),"－",IF(MOD($D1055,1)&lt;$L$6,"朝",IF(MOD($D1055,1)&lt;$L$7,"昼",IF(MOD($D1055,1)&lt;$L$8,"夕方","夜")))),IF(OR($D1055="朝",$D1055="昼",$D1055="夕方",$D1055="夜"),$D1055,"⚠ 不明"))))</f>
        <v/>
      </c>
    </row>
    <row r="1056" customFormat="false" ht="15" hidden="false" customHeight="false" outlineLevel="0" collapsed="false">
      <c r="A1056" s="75"/>
      <c r="B1056" s="76"/>
      <c r="C1056" s="77"/>
      <c r="D1056" s="78"/>
      <c r="E1056" s="77"/>
      <c r="F1056" s="76"/>
      <c r="G1056" s="76"/>
      <c r="I1056" s="79" t="str">
        <f aca="false">IF($B1056="","",IF(ISNUMBER(MATCH($B1056,日別データ!$B$13:$B$32,0)),"✔ OK","⚠ 未登録"))</f>
        <v/>
      </c>
      <c r="J1056" s="80" t="str">
        <f aca="false">IF($B1056="","",IF($D1056="","－",IF(ISNUMBER($D1056),IF(AND($D1056&gt;=1,MOD($D1056,1)=0),"－",IF(MOD($D1056,1)&lt;$L$6,"朝",IF(MOD($D1056,1)&lt;$L$7,"昼",IF(MOD($D1056,1)&lt;$L$8,"夕方","夜")))),IF(OR($D1056="朝",$D1056="昼",$D1056="夕方",$D1056="夜"),$D1056,"⚠ 不明"))))</f>
        <v/>
      </c>
    </row>
    <row r="1057" customFormat="false" ht="15" hidden="false" customHeight="false" outlineLevel="0" collapsed="false">
      <c r="A1057" s="75"/>
      <c r="B1057" s="76"/>
      <c r="C1057" s="77"/>
      <c r="D1057" s="78"/>
      <c r="E1057" s="77"/>
      <c r="F1057" s="76"/>
      <c r="G1057" s="76"/>
      <c r="I1057" s="79" t="str">
        <f aca="false">IF($B1057="","",IF(ISNUMBER(MATCH($B1057,日別データ!$B$13:$B$32,0)),"✔ OK","⚠ 未登録"))</f>
        <v/>
      </c>
      <c r="J1057" s="80" t="str">
        <f aca="false">IF($B1057="","",IF($D1057="","－",IF(ISNUMBER($D1057),IF(AND($D1057&gt;=1,MOD($D1057,1)=0),"－",IF(MOD($D1057,1)&lt;$L$6,"朝",IF(MOD($D1057,1)&lt;$L$7,"昼",IF(MOD($D1057,1)&lt;$L$8,"夕方","夜")))),IF(OR($D1057="朝",$D1057="昼",$D1057="夕方",$D1057="夜"),$D1057,"⚠ 不明"))))</f>
        <v/>
      </c>
    </row>
    <row r="1058" customFormat="false" ht="15" hidden="false" customHeight="false" outlineLevel="0" collapsed="false">
      <c r="A1058" s="75"/>
      <c r="B1058" s="76"/>
      <c r="C1058" s="77"/>
      <c r="D1058" s="78"/>
      <c r="E1058" s="77"/>
      <c r="F1058" s="76"/>
      <c r="G1058" s="76"/>
      <c r="I1058" s="79" t="str">
        <f aca="false">IF($B1058="","",IF(ISNUMBER(MATCH($B1058,日別データ!$B$13:$B$32,0)),"✔ OK","⚠ 未登録"))</f>
        <v/>
      </c>
      <c r="J1058" s="80" t="str">
        <f aca="false">IF($B1058="","",IF($D1058="","－",IF(ISNUMBER($D1058),IF(AND($D1058&gt;=1,MOD($D1058,1)=0),"－",IF(MOD($D1058,1)&lt;$L$6,"朝",IF(MOD($D1058,1)&lt;$L$7,"昼",IF(MOD($D1058,1)&lt;$L$8,"夕方","夜")))),IF(OR($D1058="朝",$D1058="昼",$D1058="夕方",$D1058="夜"),$D1058,"⚠ 不明"))))</f>
        <v/>
      </c>
    </row>
    <row r="1059" customFormat="false" ht="15" hidden="false" customHeight="false" outlineLevel="0" collapsed="false">
      <c r="A1059" s="75"/>
      <c r="B1059" s="76"/>
      <c r="C1059" s="77"/>
      <c r="D1059" s="78"/>
      <c r="E1059" s="77"/>
      <c r="F1059" s="76"/>
      <c r="G1059" s="76"/>
      <c r="I1059" s="79" t="str">
        <f aca="false">IF($B1059="","",IF(ISNUMBER(MATCH($B1059,日別データ!$B$13:$B$32,0)),"✔ OK","⚠ 未登録"))</f>
        <v/>
      </c>
      <c r="J1059" s="80" t="str">
        <f aca="false">IF($B1059="","",IF($D1059="","－",IF(ISNUMBER($D1059),IF(AND($D1059&gt;=1,MOD($D1059,1)=0),"－",IF(MOD($D1059,1)&lt;$L$6,"朝",IF(MOD($D1059,1)&lt;$L$7,"昼",IF(MOD($D1059,1)&lt;$L$8,"夕方","夜")))),IF(OR($D1059="朝",$D1059="昼",$D1059="夕方",$D1059="夜"),$D1059,"⚠ 不明"))))</f>
        <v/>
      </c>
    </row>
    <row r="1060" customFormat="false" ht="15" hidden="false" customHeight="false" outlineLevel="0" collapsed="false">
      <c r="A1060" s="75"/>
      <c r="B1060" s="76"/>
      <c r="C1060" s="77"/>
      <c r="D1060" s="78"/>
      <c r="E1060" s="77"/>
      <c r="F1060" s="76"/>
      <c r="G1060" s="76"/>
      <c r="I1060" s="79" t="str">
        <f aca="false">IF($B1060="","",IF(ISNUMBER(MATCH($B1060,日別データ!$B$13:$B$32,0)),"✔ OK","⚠ 未登録"))</f>
        <v/>
      </c>
      <c r="J1060" s="80" t="str">
        <f aca="false">IF($B1060="","",IF($D1060="","－",IF(ISNUMBER($D1060),IF(AND($D1060&gt;=1,MOD($D1060,1)=0),"－",IF(MOD($D1060,1)&lt;$L$6,"朝",IF(MOD($D1060,1)&lt;$L$7,"昼",IF(MOD($D1060,1)&lt;$L$8,"夕方","夜")))),IF(OR($D1060="朝",$D1060="昼",$D1060="夕方",$D1060="夜"),$D1060,"⚠ 不明"))))</f>
        <v/>
      </c>
    </row>
    <row r="1061" customFormat="false" ht="15" hidden="false" customHeight="false" outlineLevel="0" collapsed="false">
      <c r="A1061" s="75"/>
      <c r="B1061" s="76"/>
      <c r="C1061" s="77"/>
      <c r="D1061" s="78"/>
      <c r="E1061" s="77"/>
      <c r="F1061" s="76"/>
      <c r="G1061" s="76"/>
      <c r="I1061" s="79" t="str">
        <f aca="false">IF($B1061="","",IF(ISNUMBER(MATCH($B1061,日別データ!$B$13:$B$32,0)),"✔ OK","⚠ 未登録"))</f>
        <v/>
      </c>
      <c r="J1061" s="80" t="str">
        <f aca="false">IF($B1061="","",IF($D1061="","－",IF(ISNUMBER($D1061),IF(AND($D1061&gt;=1,MOD($D1061,1)=0),"－",IF(MOD($D1061,1)&lt;$L$6,"朝",IF(MOD($D1061,1)&lt;$L$7,"昼",IF(MOD($D1061,1)&lt;$L$8,"夕方","夜")))),IF(OR($D1061="朝",$D1061="昼",$D1061="夕方",$D1061="夜"),$D1061,"⚠ 不明"))))</f>
        <v/>
      </c>
    </row>
    <row r="1062" customFormat="false" ht="15" hidden="false" customHeight="false" outlineLevel="0" collapsed="false">
      <c r="A1062" s="75"/>
      <c r="B1062" s="76"/>
      <c r="C1062" s="77"/>
      <c r="D1062" s="78"/>
      <c r="E1062" s="77"/>
      <c r="F1062" s="76"/>
      <c r="G1062" s="76"/>
      <c r="I1062" s="79" t="str">
        <f aca="false">IF($B1062="","",IF(ISNUMBER(MATCH($B1062,日別データ!$B$13:$B$32,0)),"✔ OK","⚠ 未登録"))</f>
        <v/>
      </c>
      <c r="J1062" s="80" t="str">
        <f aca="false">IF($B1062="","",IF($D1062="","－",IF(ISNUMBER($D1062),IF(AND($D1062&gt;=1,MOD($D1062,1)=0),"－",IF(MOD($D1062,1)&lt;$L$6,"朝",IF(MOD($D1062,1)&lt;$L$7,"昼",IF(MOD($D1062,1)&lt;$L$8,"夕方","夜")))),IF(OR($D1062="朝",$D1062="昼",$D1062="夕方",$D1062="夜"),$D1062,"⚠ 不明"))))</f>
        <v/>
      </c>
    </row>
    <row r="1063" customFormat="false" ht="15" hidden="false" customHeight="false" outlineLevel="0" collapsed="false">
      <c r="A1063" s="75"/>
      <c r="B1063" s="76"/>
      <c r="C1063" s="77"/>
      <c r="D1063" s="78"/>
      <c r="E1063" s="77"/>
      <c r="F1063" s="76"/>
      <c r="G1063" s="76"/>
      <c r="I1063" s="79" t="str">
        <f aca="false">IF($B1063="","",IF(ISNUMBER(MATCH($B1063,日別データ!$B$13:$B$32,0)),"✔ OK","⚠ 未登録"))</f>
        <v/>
      </c>
      <c r="J1063" s="80" t="str">
        <f aca="false">IF($B1063="","",IF($D1063="","－",IF(ISNUMBER($D1063),IF(AND($D1063&gt;=1,MOD($D1063,1)=0),"－",IF(MOD($D1063,1)&lt;$L$6,"朝",IF(MOD($D1063,1)&lt;$L$7,"昼",IF(MOD($D1063,1)&lt;$L$8,"夕方","夜")))),IF(OR($D1063="朝",$D1063="昼",$D1063="夕方",$D1063="夜"),$D1063,"⚠ 不明"))))</f>
        <v/>
      </c>
    </row>
    <row r="1064" customFormat="false" ht="15" hidden="false" customHeight="false" outlineLevel="0" collapsed="false">
      <c r="A1064" s="75"/>
      <c r="B1064" s="76"/>
      <c r="C1064" s="77"/>
      <c r="D1064" s="78"/>
      <c r="E1064" s="77"/>
      <c r="F1064" s="76"/>
      <c r="G1064" s="76"/>
      <c r="I1064" s="79" t="str">
        <f aca="false">IF($B1064="","",IF(ISNUMBER(MATCH($B1064,日別データ!$B$13:$B$32,0)),"✔ OK","⚠ 未登録"))</f>
        <v/>
      </c>
      <c r="J1064" s="80" t="str">
        <f aca="false">IF($B1064="","",IF($D1064="","－",IF(ISNUMBER($D1064),IF(AND($D1064&gt;=1,MOD($D1064,1)=0),"－",IF(MOD($D1064,1)&lt;$L$6,"朝",IF(MOD($D1064,1)&lt;$L$7,"昼",IF(MOD($D1064,1)&lt;$L$8,"夕方","夜")))),IF(OR($D1064="朝",$D1064="昼",$D1064="夕方",$D1064="夜"),$D1064,"⚠ 不明"))))</f>
        <v/>
      </c>
    </row>
    <row r="1065" customFormat="false" ht="15" hidden="false" customHeight="false" outlineLevel="0" collapsed="false">
      <c r="A1065" s="75"/>
      <c r="B1065" s="76"/>
      <c r="C1065" s="77"/>
      <c r="D1065" s="78"/>
      <c r="E1065" s="77"/>
      <c r="F1065" s="76"/>
      <c r="G1065" s="76"/>
      <c r="I1065" s="79" t="str">
        <f aca="false">IF($B1065="","",IF(ISNUMBER(MATCH($B1065,日別データ!$B$13:$B$32,0)),"✔ OK","⚠ 未登録"))</f>
        <v/>
      </c>
      <c r="J1065" s="80" t="str">
        <f aca="false">IF($B1065="","",IF($D1065="","－",IF(ISNUMBER($D1065),IF(AND($D1065&gt;=1,MOD($D1065,1)=0),"－",IF(MOD($D1065,1)&lt;$L$6,"朝",IF(MOD($D1065,1)&lt;$L$7,"昼",IF(MOD($D1065,1)&lt;$L$8,"夕方","夜")))),IF(OR($D1065="朝",$D1065="昼",$D1065="夕方",$D1065="夜"),$D1065,"⚠ 不明"))))</f>
        <v/>
      </c>
    </row>
    <row r="1066" customFormat="false" ht="15" hidden="false" customHeight="false" outlineLevel="0" collapsed="false">
      <c r="A1066" s="75"/>
      <c r="B1066" s="76"/>
      <c r="C1066" s="77"/>
      <c r="D1066" s="78"/>
      <c r="E1066" s="77"/>
      <c r="F1066" s="76"/>
      <c r="G1066" s="76"/>
      <c r="I1066" s="79" t="str">
        <f aca="false">IF($B1066="","",IF(ISNUMBER(MATCH($B1066,日別データ!$B$13:$B$32,0)),"✔ OK","⚠ 未登録"))</f>
        <v/>
      </c>
      <c r="J1066" s="80" t="str">
        <f aca="false">IF($B1066="","",IF($D1066="","－",IF(ISNUMBER($D1066),IF(AND($D1066&gt;=1,MOD($D1066,1)=0),"－",IF(MOD($D1066,1)&lt;$L$6,"朝",IF(MOD($D1066,1)&lt;$L$7,"昼",IF(MOD($D1066,1)&lt;$L$8,"夕方","夜")))),IF(OR($D1066="朝",$D1066="昼",$D1066="夕方",$D1066="夜"),$D1066,"⚠ 不明"))))</f>
        <v/>
      </c>
    </row>
    <row r="1067" customFormat="false" ht="15" hidden="false" customHeight="false" outlineLevel="0" collapsed="false">
      <c r="A1067" s="75"/>
      <c r="B1067" s="76"/>
      <c r="C1067" s="77"/>
      <c r="D1067" s="78"/>
      <c r="E1067" s="77"/>
      <c r="F1067" s="76"/>
      <c r="G1067" s="76"/>
      <c r="I1067" s="79" t="str">
        <f aca="false">IF($B1067="","",IF(ISNUMBER(MATCH($B1067,日別データ!$B$13:$B$32,0)),"✔ OK","⚠ 未登録"))</f>
        <v/>
      </c>
      <c r="J1067" s="80" t="str">
        <f aca="false">IF($B1067="","",IF($D1067="","－",IF(ISNUMBER($D1067),IF(AND($D1067&gt;=1,MOD($D1067,1)=0),"－",IF(MOD($D1067,1)&lt;$L$6,"朝",IF(MOD($D1067,1)&lt;$L$7,"昼",IF(MOD($D1067,1)&lt;$L$8,"夕方","夜")))),IF(OR($D1067="朝",$D1067="昼",$D1067="夕方",$D1067="夜"),$D1067,"⚠ 不明"))))</f>
        <v/>
      </c>
    </row>
    <row r="1068" customFormat="false" ht="15" hidden="false" customHeight="false" outlineLevel="0" collapsed="false">
      <c r="A1068" s="75"/>
      <c r="B1068" s="76"/>
      <c r="C1068" s="77"/>
      <c r="D1068" s="78"/>
      <c r="E1068" s="77"/>
      <c r="F1068" s="76"/>
      <c r="G1068" s="76"/>
      <c r="I1068" s="79" t="str">
        <f aca="false">IF($B1068="","",IF(ISNUMBER(MATCH($B1068,日別データ!$B$13:$B$32,0)),"✔ OK","⚠ 未登録"))</f>
        <v/>
      </c>
      <c r="J1068" s="80" t="str">
        <f aca="false">IF($B1068="","",IF($D1068="","－",IF(ISNUMBER($D1068),IF(AND($D1068&gt;=1,MOD($D1068,1)=0),"－",IF(MOD($D1068,1)&lt;$L$6,"朝",IF(MOD($D1068,1)&lt;$L$7,"昼",IF(MOD($D1068,1)&lt;$L$8,"夕方","夜")))),IF(OR($D1068="朝",$D1068="昼",$D1068="夕方",$D1068="夜"),$D1068,"⚠ 不明"))))</f>
        <v/>
      </c>
    </row>
    <row r="1069" customFormat="false" ht="15" hidden="false" customHeight="false" outlineLevel="0" collapsed="false">
      <c r="A1069" s="75"/>
      <c r="B1069" s="76"/>
      <c r="C1069" s="77"/>
      <c r="D1069" s="78"/>
      <c r="E1069" s="77"/>
      <c r="F1069" s="76"/>
      <c r="G1069" s="76"/>
      <c r="I1069" s="79" t="str">
        <f aca="false">IF($B1069="","",IF(ISNUMBER(MATCH($B1069,日別データ!$B$13:$B$32,0)),"✔ OK","⚠ 未登録"))</f>
        <v/>
      </c>
      <c r="J1069" s="80" t="str">
        <f aca="false">IF($B1069="","",IF($D1069="","－",IF(ISNUMBER($D1069),IF(AND($D1069&gt;=1,MOD($D1069,1)=0),"－",IF(MOD($D1069,1)&lt;$L$6,"朝",IF(MOD($D1069,1)&lt;$L$7,"昼",IF(MOD($D1069,1)&lt;$L$8,"夕方","夜")))),IF(OR($D1069="朝",$D1069="昼",$D1069="夕方",$D1069="夜"),$D1069,"⚠ 不明"))))</f>
        <v/>
      </c>
    </row>
    <row r="1070" customFormat="false" ht="15" hidden="false" customHeight="false" outlineLevel="0" collapsed="false">
      <c r="A1070" s="75"/>
      <c r="B1070" s="76"/>
      <c r="C1070" s="77"/>
      <c r="D1070" s="78"/>
      <c r="E1070" s="77"/>
      <c r="F1070" s="76"/>
      <c r="G1070" s="76"/>
      <c r="I1070" s="79" t="str">
        <f aca="false">IF($B1070="","",IF(ISNUMBER(MATCH($B1070,日別データ!$B$13:$B$32,0)),"✔ OK","⚠ 未登録"))</f>
        <v/>
      </c>
      <c r="J1070" s="80" t="str">
        <f aca="false">IF($B1070="","",IF($D1070="","－",IF(ISNUMBER($D1070),IF(AND($D1070&gt;=1,MOD($D1070,1)=0),"－",IF(MOD($D1070,1)&lt;$L$6,"朝",IF(MOD($D1070,1)&lt;$L$7,"昼",IF(MOD($D1070,1)&lt;$L$8,"夕方","夜")))),IF(OR($D1070="朝",$D1070="昼",$D1070="夕方",$D1070="夜"),$D1070,"⚠ 不明"))))</f>
        <v/>
      </c>
    </row>
    <row r="1071" customFormat="false" ht="15" hidden="false" customHeight="false" outlineLevel="0" collapsed="false">
      <c r="A1071" s="75"/>
      <c r="B1071" s="76"/>
      <c r="C1071" s="77"/>
      <c r="D1071" s="78"/>
      <c r="E1071" s="77"/>
      <c r="F1071" s="76"/>
      <c r="G1071" s="76"/>
      <c r="I1071" s="79" t="str">
        <f aca="false">IF($B1071="","",IF(ISNUMBER(MATCH($B1071,日別データ!$B$13:$B$32,0)),"✔ OK","⚠ 未登録"))</f>
        <v/>
      </c>
      <c r="J1071" s="80" t="str">
        <f aca="false">IF($B1071="","",IF($D1071="","－",IF(ISNUMBER($D1071),IF(AND($D1071&gt;=1,MOD($D1071,1)=0),"－",IF(MOD($D1071,1)&lt;$L$6,"朝",IF(MOD($D1071,1)&lt;$L$7,"昼",IF(MOD($D1071,1)&lt;$L$8,"夕方","夜")))),IF(OR($D1071="朝",$D1071="昼",$D1071="夕方",$D1071="夜"),$D1071,"⚠ 不明"))))</f>
        <v/>
      </c>
    </row>
    <row r="1072" customFormat="false" ht="15" hidden="false" customHeight="false" outlineLevel="0" collapsed="false">
      <c r="A1072" s="75"/>
      <c r="B1072" s="76"/>
      <c r="C1072" s="77"/>
      <c r="D1072" s="78"/>
      <c r="E1072" s="77"/>
      <c r="F1072" s="76"/>
      <c r="G1072" s="76"/>
      <c r="I1072" s="79" t="str">
        <f aca="false">IF($B1072="","",IF(ISNUMBER(MATCH($B1072,日別データ!$B$13:$B$32,0)),"✔ OK","⚠ 未登録"))</f>
        <v/>
      </c>
      <c r="J1072" s="80" t="str">
        <f aca="false">IF($B1072="","",IF($D1072="","－",IF(ISNUMBER($D1072),IF(AND($D1072&gt;=1,MOD($D1072,1)=0),"－",IF(MOD($D1072,1)&lt;$L$6,"朝",IF(MOD($D1072,1)&lt;$L$7,"昼",IF(MOD($D1072,1)&lt;$L$8,"夕方","夜")))),IF(OR($D1072="朝",$D1072="昼",$D1072="夕方",$D1072="夜"),$D1072,"⚠ 不明"))))</f>
        <v/>
      </c>
    </row>
    <row r="1073" customFormat="false" ht="15" hidden="false" customHeight="false" outlineLevel="0" collapsed="false">
      <c r="A1073" s="75"/>
      <c r="B1073" s="76"/>
      <c r="C1073" s="77"/>
      <c r="D1073" s="78"/>
      <c r="E1073" s="77"/>
      <c r="F1073" s="76"/>
      <c r="G1073" s="76"/>
      <c r="I1073" s="79" t="str">
        <f aca="false">IF($B1073="","",IF(ISNUMBER(MATCH($B1073,日別データ!$B$13:$B$32,0)),"✔ OK","⚠ 未登録"))</f>
        <v/>
      </c>
      <c r="J1073" s="80" t="str">
        <f aca="false">IF($B1073="","",IF($D1073="","－",IF(ISNUMBER($D1073),IF(AND($D1073&gt;=1,MOD($D1073,1)=0),"－",IF(MOD($D1073,1)&lt;$L$6,"朝",IF(MOD($D1073,1)&lt;$L$7,"昼",IF(MOD($D1073,1)&lt;$L$8,"夕方","夜")))),IF(OR($D1073="朝",$D1073="昼",$D1073="夕方",$D1073="夜"),$D1073,"⚠ 不明"))))</f>
        <v/>
      </c>
    </row>
    <row r="1074" customFormat="false" ht="15" hidden="false" customHeight="false" outlineLevel="0" collapsed="false">
      <c r="A1074" s="75"/>
      <c r="B1074" s="76"/>
      <c r="C1074" s="77"/>
      <c r="D1074" s="78"/>
      <c r="E1074" s="77"/>
      <c r="F1074" s="76"/>
      <c r="G1074" s="76"/>
      <c r="I1074" s="79" t="str">
        <f aca="false">IF($B1074="","",IF(ISNUMBER(MATCH($B1074,日別データ!$B$13:$B$32,0)),"✔ OK","⚠ 未登録"))</f>
        <v/>
      </c>
      <c r="J1074" s="80" t="str">
        <f aca="false">IF($B1074="","",IF($D1074="","－",IF(ISNUMBER($D1074),IF(AND($D1074&gt;=1,MOD($D1074,1)=0),"－",IF(MOD($D1074,1)&lt;$L$6,"朝",IF(MOD($D1074,1)&lt;$L$7,"昼",IF(MOD($D1074,1)&lt;$L$8,"夕方","夜")))),IF(OR($D1074="朝",$D1074="昼",$D1074="夕方",$D1074="夜"),$D1074,"⚠ 不明"))))</f>
        <v/>
      </c>
    </row>
    <row r="1075" customFormat="false" ht="15" hidden="false" customHeight="false" outlineLevel="0" collapsed="false">
      <c r="A1075" s="75"/>
      <c r="B1075" s="76"/>
      <c r="C1075" s="77"/>
      <c r="D1075" s="78"/>
      <c r="E1075" s="77"/>
      <c r="F1075" s="76"/>
      <c r="G1075" s="76"/>
      <c r="I1075" s="79" t="str">
        <f aca="false">IF($B1075="","",IF(ISNUMBER(MATCH($B1075,日別データ!$B$13:$B$32,0)),"✔ OK","⚠ 未登録"))</f>
        <v/>
      </c>
      <c r="J1075" s="80" t="str">
        <f aca="false">IF($B1075="","",IF($D1075="","－",IF(ISNUMBER($D1075),IF(AND($D1075&gt;=1,MOD($D1075,1)=0),"－",IF(MOD($D1075,1)&lt;$L$6,"朝",IF(MOD($D1075,1)&lt;$L$7,"昼",IF(MOD($D1075,1)&lt;$L$8,"夕方","夜")))),IF(OR($D1075="朝",$D1075="昼",$D1075="夕方",$D1075="夜"),$D1075,"⚠ 不明"))))</f>
        <v/>
      </c>
    </row>
    <row r="1076" customFormat="false" ht="15" hidden="false" customHeight="false" outlineLevel="0" collapsed="false">
      <c r="A1076" s="75"/>
      <c r="B1076" s="76"/>
      <c r="C1076" s="77"/>
      <c r="D1076" s="78"/>
      <c r="E1076" s="77"/>
      <c r="F1076" s="76"/>
      <c r="G1076" s="76"/>
      <c r="I1076" s="79" t="str">
        <f aca="false">IF($B1076="","",IF(ISNUMBER(MATCH($B1076,日別データ!$B$13:$B$32,0)),"✔ OK","⚠ 未登録"))</f>
        <v/>
      </c>
      <c r="J1076" s="80" t="str">
        <f aca="false">IF($B1076="","",IF($D1076="","－",IF(ISNUMBER($D1076),IF(AND($D1076&gt;=1,MOD($D1076,1)=0),"－",IF(MOD($D1076,1)&lt;$L$6,"朝",IF(MOD($D1076,1)&lt;$L$7,"昼",IF(MOD($D1076,1)&lt;$L$8,"夕方","夜")))),IF(OR($D1076="朝",$D1076="昼",$D1076="夕方",$D1076="夜"),$D1076,"⚠ 不明"))))</f>
        <v/>
      </c>
    </row>
    <row r="1077" customFormat="false" ht="15" hidden="false" customHeight="false" outlineLevel="0" collapsed="false">
      <c r="A1077" s="75"/>
      <c r="B1077" s="76"/>
      <c r="C1077" s="77"/>
      <c r="D1077" s="78"/>
      <c r="E1077" s="77"/>
      <c r="F1077" s="76"/>
      <c r="G1077" s="76"/>
      <c r="I1077" s="79" t="str">
        <f aca="false">IF($B1077="","",IF(ISNUMBER(MATCH($B1077,日別データ!$B$13:$B$32,0)),"✔ OK","⚠ 未登録"))</f>
        <v/>
      </c>
      <c r="J1077" s="80" t="str">
        <f aca="false">IF($B1077="","",IF($D1077="","－",IF(ISNUMBER($D1077),IF(AND($D1077&gt;=1,MOD($D1077,1)=0),"－",IF(MOD($D1077,1)&lt;$L$6,"朝",IF(MOD($D1077,1)&lt;$L$7,"昼",IF(MOD($D1077,1)&lt;$L$8,"夕方","夜")))),IF(OR($D1077="朝",$D1077="昼",$D1077="夕方",$D1077="夜"),$D1077,"⚠ 不明"))))</f>
        <v/>
      </c>
    </row>
    <row r="1078" customFormat="false" ht="15" hidden="false" customHeight="false" outlineLevel="0" collapsed="false">
      <c r="A1078" s="75"/>
      <c r="B1078" s="76"/>
      <c r="C1078" s="77"/>
      <c r="D1078" s="78"/>
      <c r="E1078" s="77"/>
      <c r="F1078" s="76"/>
      <c r="G1078" s="76"/>
      <c r="I1078" s="79" t="str">
        <f aca="false">IF($B1078="","",IF(ISNUMBER(MATCH($B1078,日別データ!$B$13:$B$32,0)),"✔ OK","⚠ 未登録"))</f>
        <v/>
      </c>
      <c r="J1078" s="80" t="str">
        <f aca="false">IF($B1078="","",IF($D1078="","－",IF(ISNUMBER($D1078),IF(AND($D1078&gt;=1,MOD($D1078,1)=0),"－",IF(MOD($D1078,1)&lt;$L$6,"朝",IF(MOD($D1078,1)&lt;$L$7,"昼",IF(MOD($D1078,1)&lt;$L$8,"夕方","夜")))),IF(OR($D1078="朝",$D1078="昼",$D1078="夕方",$D1078="夜"),$D1078,"⚠ 不明"))))</f>
        <v/>
      </c>
    </row>
    <row r="1079" customFormat="false" ht="15" hidden="false" customHeight="false" outlineLevel="0" collapsed="false">
      <c r="A1079" s="75"/>
      <c r="B1079" s="76"/>
      <c r="C1079" s="77"/>
      <c r="D1079" s="78"/>
      <c r="E1079" s="77"/>
      <c r="F1079" s="76"/>
      <c r="G1079" s="76"/>
      <c r="I1079" s="79" t="str">
        <f aca="false">IF($B1079="","",IF(ISNUMBER(MATCH($B1079,日別データ!$B$13:$B$32,0)),"✔ OK","⚠ 未登録"))</f>
        <v/>
      </c>
      <c r="J1079" s="80" t="str">
        <f aca="false">IF($B1079="","",IF($D1079="","－",IF(ISNUMBER($D1079),IF(AND($D1079&gt;=1,MOD($D1079,1)=0),"－",IF(MOD($D1079,1)&lt;$L$6,"朝",IF(MOD($D1079,1)&lt;$L$7,"昼",IF(MOD($D1079,1)&lt;$L$8,"夕方","夜")))),IF(OR($D1079="朝",$D1079="昼",$D1079="夕方",$D1079="夜"),$D1079,"⚠ 不明"))))</f>
        <v/>
      </c>
    </row>
    <row r="1080" customFormat="false" ht="15" hidden="false" customHeight="false" outlineLevel="0" collapsed="false">
      <c r="A1080" s="75"/>
      <c r="B1080" s="76"/>
      <c r="C1080" s="77"/>
      <c r="D1080" s="78"/>
      <c r="E1080" s="77"/>
      <c r="F1080" s="76"/>
      <c r="G1080" s="76"/>
      <c r="I1080" s="79" t="str">
        <f aca="false">IF($B1080="","",IF(ISNUMBER(MATCH($B1080,日別データ!$B$13:$B$32,0)),"✔ OK","⚠ 未登録"))</f>
        <v/>
      </c>
      <c r="J1080" s="80" t="str">
        <f aca="false">IF($B1080="","",IF($D1080="","－",IF(ISNUMBER($D1080),IF(AND($D1080&gt;=1,MOD($D1080,1)=0),"－",IF(MOD($D1080,1)&lt;$L$6,"朝",IF(MOD($D1080,1)&lt;$L$7,"昼",IF(MOD($D1080,1)&lt;$L$8,"夕方","夜")))),IF(OR($D1080="朝",$D1080="昼",$D1080="夕方",$D1080="夜"),$D1080,"⚠ 不明"))))</f>
        <v/>
      </c>
    </row>
    <row r="1081" customFormat="false" ht="15" hidden="false" customHeight="false" outlineLevel="0" collapsed="false">
      <c r="A1081" s="75"/>
      <c r="B1081" s="76"/>
      <c r="C1081" s="77"/>
      <c r="D1081" s="78"/>
      <c r="E1081" s="77"/>
      <c r="F1081" s="76"/>
      <c r="G1081" s="76"/>
      <c r="I1081" s="79" t="str">
        <f aca="false">IF($B1081="","",IF(ISNUMBER(MATCH($B1081,日別データ!$B$13:$B$32,0)),"✔ OK","⚠ 未登録"))</f>
        <v/>
      </c>
      <c r="J1081" s="80" t="str">
        <f aca="false">IF($B1081="","",IF($D1081="","－",IF(ISNUMBER($D1081),IF(AND($D1081&gt;=1,MOD($D1081,1)=0),"－",IF(MOD($D1081,1)&lt;$L$6,"朝",IF(MOD($D1081,1)&lt;$L$7,"昼",IF(MOD($D1081,1)&lt;$L$8,"夕方","夜")))),IF(OR($D1081="朝",$D1081="昼",$D1081="夕方",$D1081="夜"),$D1081,"⚠ 不明"))))</f>
        <v/>
      </c>
    </row>
    <row r="1082" customFormat="false" ht="15" hidden="false" customHeight="false" outlineLevel="0" collapsed="false">
      <c r="A1082" s="75"/>
      <c r="B1082" s="76"/>
      <c r="C1082" s="77"/>
      <c r="D1082" s="78"/>
      <c r="E1082" s="77"/>
      <c r="F1082" s="76"/>
      <c r="G1082" s="76"/>
      <c r="I1082" s="79" t="str">
        <f aca="false">IF($B1082="","",IF(ISNUMBER(MATCH($B1082,日別データ!$B$13:$B$32,0)),"✔ OK","⚠ 未登録"))</f>
        <v/>
      </c>
      <c r="J1082" s="80" t="str">
        <f aca="false">IF($B1082="","",IF($D1082="","－",IF(ISNUMBER($D1082),IF(AND($D1082&gt;=1,MOD($D1082,1)=0),"－",IF(MOD($D1082,1)&lt;$L$6,"朝",IF(MOD($D1082,1)&lt;$L$7,"昼",IF(MOD($D1082,1)&lt;$L$8,"夕方","夜")))),IF(OR($D1082="朝",$D1082="昼",$D1082="夕方",$D1082="夜"),$D1082,"⚠ 不明"))))</f>
        <v/>
      </c>
    </row>
    <row r="1083" customFormat="false" ht="15" hidden="false" customHeight="false" outlineLevel="0" collapsed="false">
      <c r="A1083" s="75"/>
      <c r="B1083" s="76"/>
      <c r="C1083" s="77"/>
      <c r="D1083" s="78"/>
      <c r="E1083" s="77"/>
      <c r="F1083" s="76"/>
      <c r="G1083" s="76"/>
      <c r="I1083" s="79" t="str">
        <f aca="false">IF($B1083="","",IF(ISNUMBER(MATCH($B1083,日別データ!$B$13:$B$32,0)),"✔ OK","⚠ 未登録"))</f>
        <v/>
      </c>
      <c r="J1083" s="80" t="str">
        <f aca="false">IF($B1083="","",IF($D1083="","－",IF(ISNUMBER($D1083),IF(AND($D1083&gt;=1,MOD($D1083,1)=0),"－",IF(MOD($D1083,1)&lt;$L$6,"朝",IF(MOD($D1083,1)&lt;$L$7,"昼",IF(MOD($D1083,1)&lt;$L$8,"夕方","夜")))),IF(OR($D1083="朝",$D1083="昼",$D1083="夕方",$D1083="夜"),$D1083,"⚠ 不明"))))</f>
        <v/>
      </c>
    </row>
    <row r="1084" customFormat="false" ht="15" hidden="false" customHeight="false" outlineLevel="0" collapsed="false">
      <c r="A1084" s="75"/>
      <c r="B1084" s="76"/>
      <c r="C1084" s="77"/>
      <c r="D1084" s="78"/>
      <c r="E1084" s="77"/>
      <c r="F1084" s="76"/>
      <c r="G1084" s="76"/>
      <c r="I1084" s="79" t="str">
        <f aca="false">IF($B1084="","",IF(ISNUMBER(MATCH($B1084,日別データ!$B$13:$B$32,0)),"✔ OK","⚠ 未登録"))</f>
        <v/>
      </c>
      <c r="J1084" s="80" t="str">
        <f aca="false">IF($B1084="","",IF($D1084="","－",IF(ISNUMBER($D1084),IF(AND($D1084&gt;=1,MOD($D1084,1)=0),"－",IF(MOD($D1084,1)&lt;$L$6,"朝",IF(MOD($D1084,1)&lt;$L$7,"昼",IF(MOD($D1084,1)&lt;$L$8,"夕方","夜")))),IF(OR($D1084="朝",$D1084="昼",$D1084="夕方",$D1084="夜"),$D1084,"⚠ 不明"))))</f>
        <v/>
      </c>
    </row>
    <row r="1085" customFormat="false" ht="15" hidden="false" customHeight="false" outlineLevel="0" collapsed="false">
      <c r="A1085" s="75"/>
      <c r="B1085" s="76"/>
      <c r="C1085" s="77"/>
      <c r="D1085" s="78"/>
      <c r="E1085" s="77"/>
      <c r="F1085" s="76"/>
      <c r="G1085" s="76"/>
      <c r="I1085" s="79" t="str">
        <f aca="false">IF($B1085="","",IF(ISNUMBER(MATCH($B1085,日別データ!$B$13:$B$32,0)),"✔ OK","⚠ 未登録"))</f>
        <v/>
      </c>
      <c r="J1085" s="80" t="str">
        <f aca="false">IF($B1085="","",IF($D1085="","－",IF(ISNUMBER($D1085),IF(AND($D1085&gt;=1,MOD($D1085,1)=0),"－",IF(MOD($D1085,1)&lt;$L$6,"朝",IF(MOD($D1085,1)&lt;$L$7,"昼",IF(MOD($D1085,1)&lt;$L$8,"夕方","夜")))),IF(OR($D1085="朝",$D1085="昼",$D1085="夕方",$D1085="夜"),$D1085,"⚠ 不明"))))</f>
        <v/>
      </c>
    </row>
    <row r="1086" customFormat="false" ht="15" hidden="false" customHeight="false" outlineLevel="0" collapsed="false">
      <c r="A1086" s="75"/>
      <c r="B1086" s="76"/>
      <c r="C1086" s="77"/>
      <c r="D1086" s="78"/>
      <c r="E1086" s="77"/>
      <c r="F1086" s="76"/>
      <c r="G1086" s="76"/>
      <c r="I1086" s="79" t="str">
        <f aca="false">IF($B1086="","",IF(ISNUMBER(MATCH($B1086,日別データ!$B$13:$B$32,0)),"✔ OK","⚠ 未登録"))</f>
        <v/>
      </c>
      <c r="J1086" s="80" t="str">
        <f aca="false">IF($B1086="","",IF($D1086="","－",IF(ISNUMBER($D1086),IF(AND($D1086&gt;=1,MOD($D1086,1)=0),"－",IF(MOD($D1086,1)&lt;$L$6,"朝",IF(MOD($D1086,1)&lt;$L$7,"昼",IF(MOD($D1086,1)&lt;$L$8,"夕方","夜")))),IF(OR($D1086="朝",$D1086="昼",$D1086="夕方",$D1086="夜"),$D1086,"⚠ 不明"))))</f>
        <v/>
      </c>
    </row>
    <row r="1087" customFormat="false" ht="15" hidden="false" customHeight="false" outlineLevel="0" collapsed="false">
      <c r="A1087" s="75"/>
      <c r="B1087" s="76"/>
      <c r="C1087" s="77"/>
      <c r="D1087" s="78"/>
      <c r="E1087" s="77"/>
      <c r="F1087" s="76"/>
      <c r="G1087" s="76"/>
      <c r="I1087" s="79" t="str">
        <f aca="false">IF($B1087="","",IF(ISNUMBER(MATCH($B1087,日別データ!$B$13:$B$32,0)),"✔ OK","⚠ 未登録"))</f>
        <v/>
      </c>
      <c r="J1087" s="80" t="str">
        <f aca="false">IF($B1087="","",IF($D1087="","－",IF(ISNUMBER($D1087),IF(AND($D1087&gt;=1,MOD($D1087,1)=0),"－",IF(MOD($D1087,1)&lt;$L$6,"朝",IF(MOD($D1087,1)&lt;$L$7,"昼",IF(MOD($D1087,1)&lt;$L$8,"夕方","夜")))),IF(OR($D1087="朝",$D1087="昼",$D1087="夕方",$D1087="夜"),$D1087,"⚠ 不明"))))</f>
        <v/>
      </c>
    </row>
    <row r="1088" customFormat="false" ht="15" hidden="false" customHeight="false" outlineLevel="0" collapsed="false">
      <c r="A1088" s="75"/>
      <c r="B1088" s="76"/>
      <c r="C1088" s="77"/>
      <c r="D1088" s="78"/>
      <c r="E1088" s="77"/>
      <c r="F1088" s="76"/>
      <c r="G1088" s="76"/>
      <c r="I1088" s="79" t="str">
        <f aca="false">IF($B1088="","",IF(ISNUMBER(MATCH($B1088,日別データ!$B$13:$B$32,0)),"✔ OK","⚠ 未登録"))</f>
        <v/>
      </c>
      <c r="J1088" s="80" t="str">
        <f aca="false">IF($B1088="","",IF($D1088="","－",IF(ISNUMBER($D1088),IF(AND($D1088&gt;=1,MOD($D1088,1)=0),"－",IF(MOD($D1088,1)&lt;$L$6,"朝",IF(MOD($D1088,1)&lt;$L$7,"昼",IF(MOD($D1088,1)&lt;$L$8,"夕方","夜")))),IF(OR($D1088="朝",$D1088="昼",$D1088="夕方",$D1088="夜"),$D1088,"⚠ 不明"))))</f>
        <v/>
      </c>
    </row>
    <row r="1089" customFormat="false" ht="15" hidden="false" customHeight="false" outlineLevel="0" collapsed="false">
      <c r="A1089" s="75"/>
      <c r="B1089" s="76"/>
      <c r="C1089" s="77"/>
      <c r="D1089" s="78"/>
      <c r="E1089" s="77"/>
      <c r="F1089" s="76"/>
      <c r="G1089" s="76"/>
      <c r="I1089" s="79" t="str">
        <f aca="false">IF($B1089="","",IF(ISNUMBER(MATCH($B1089,日別データ!$B$13:$B$32,0)),"✔ OK","⚠ 未登録"))</f>
        <v/>
      </c>
      <c r="J1089" s="80" t="str">
        <f aca="false">IF($B1089="","",IF($D1089="","－",IF(ISNUMBER($D1089),IF(AND($D1089&gt;=1,MOD($D1089,1)=0),"－",IF(MOD($D1089,1)&lt;$L$6,"朝",IF(MOD($D1089,1)&lt;$L$7,"昼",IF(MOD($D1089,1)&lt;$L$8,"夕方","夜")))),IF(OR($D1089="朝",$D1089="昼",$D1089="夕方",$D1089="夜"),$D1089,"⚠ 不明"))))</f>
        <v/>
      </c>
    </row>
    <row r="1090" customFormat="false" ht="15" hidden="false" customHeight="false" outlineLevel="0" collapsed="false">
      <c r="A1090" s="75"/>
      <c r="B1090" s="76"/>
      <c r="C1090" s="77"/>
      <c r="D1090" s="78"/>
      <c r="E1090" s="77"/>
      <c r="F1090" s="76"/>
      <c r="G1090" s="76"/>
      <c r="I1090" s="79" t="str">
        <f aca="false">IF($B1090="","",IF(ISNUMBER(MATCH($B1090,日別データ!$B$13:$B$32,0)),"✔ OK","⚠ 未登録"))</f>
        <v/>
      </c>
      <c r="J1090" s="80" t="str">
        <f aca="false">IF($B1090="","",IF($D1090="","－",IF(ISNUMBER($D1090),IF(AND($D1090&gt;=1,MOD($D1090,1)=0),"－",IF(MOD($D1090,1)&lt;$L$6,"朝",IF(MOD($D1090,1)&lt;$L$7,"昼",IF(MOD($D1090,1)&lt;$L$8,"夕方","夜")))),IF(OR($D1090="朝",$D1090="昼",$D1090="夕方",$D1090="夜"),$D1090,"⚠ 不明"))))</f>
        <v/>
      </c>
    </row>
    <row r="1091" customFormat="false" ht="15" hidden="false" customHeight="false" outlineLevel="0" collapsed="false">
      <c r="A1091" s="75"/>
      <c r="B1091" s="76"/>
      <c r="C1091" s="77"/>
      <c r="D1091" s="78"/>
      <c r="E1091" s="77"/>
      <c r="F1091" s="76"/>
      <c r="G1091" s="76"/>
      <c r="I1091" s="79" t="str">
        <f aca="false">IF($B1091="","",IF(ISNUMBER(MATCH($B1091,日別データ!$B$13:$B$32,0)),"✔ OK","⚠ 未登録"))</f>
        <v/>
      </c>
      <c r="J1091" s="80" t="str">
        <f aca="false">IF($B1091="","",IF($D1091="","－",IF(ISNUMBER($D1091),IF(AND($D1091&gt;=1,MOD($D1091,1)=0),"－",IF(MOD($D1091,1)&lt;$L$6,"朝",IF(MOD($D1091,1)&lt;$L$7,"昼",IF(MOD($D1091,1)&lt;$L$8,"夕方","夜")))),IF(OR($D1091="朝",$D1091="昼",$D1091="夕方",$D1091="夜"),$D1091,"⚠ 不明"))))</f>
        <v/>
      </c>
    </row>
    <row r="1092" customFormat="false" ht="15" hidden="false" customHeight="false" outlineLevel="0" collapsed="false">
      <c r="A1092" s="75"/>
      <c r="B1092" s="76"/>
      <c r="C1092" s="77"/>
      <c r="D1092" s="78"/>
      <c r="E1092" s="77"/>
      <c r="F1092" s="76"/>
      <c r="G1092" s="76"/>
      <c r="I1092" s="79" t="str">
        <f aca="false">IF($B1092="","",IF(ISNUMBER(MATCH($B1092,日別データ!$B$13:$B$32,0)),"✔ OK","⚠ 未登録"))</f>
        <v/>
      </c>
      <c r="J1092" s="80" t="str">
        <f aca="false">IF($B1092="","",IF($D1092="","－",IF(ISNUMBER($D1092),IF(AND($D1092&gt;=1,MOD($D1092,1)=0),"－",IF(MOD($D1092,1)&lt;$L$6,"朝",IF(MOD($D1092,1)&lt;$L$7,"昼",IF(MOD($D1092,1)&lt;$L$8,"夕方","夜")))),IF(OR($D1092="朝",$D1092="昼",$D1092="夕方",$D1092="夜"),$D1092,"⚠ 不明"))))</f>
        <v/>
      </c>
    </row>
    <row r="1093" customFormat="false" ht="15" hidden="false" customHeight="false" outlineLevel="0" collapsed="false">
      <c r="A1093" s="75"/>
      <c r="B1093" s="76"/>
      <c r="C1093" s="77"/>
      <c r="D1093" s="78"/>
      <c r="E1093" s="77"/>
      <c r="F1093" s="76"/>
      <c r="G1093" s="76"/>
      <c r="I1093" s="79" t="str">
        <f aca="false">IF($B1093="","",IF(ISNUMBER(MATCH($B1093,日別データ!$B$13:$B$32,0)),"✔ OK","⚠ 未登録"))</f>
        <v/>
      </c>
      <c r="J1093" s="80" t="str">
        <f aca="false">IF($B1093="","",IF($D1093="","－",IF(ISNUMBER($D1093),IF(AND($D1093&gt;=1,MOD($D1093,1)=0),"－",IF(MOD($D1093,1)&lt;$L$6,"朝",IF(MOD($D1093,1)&lt;$L$7,"昼",IF(MOD($D1093,1)&lt;$L$8,"夕方","夜")))),IF(OR($D1093="朝",$D1093="昼",$D1093="夕方",$D1093="夜"),$D1093,"⚠ 不明"))))</f>
        <v/>
      </c>
    </row>
    <row r="1094" customFormat="false" ht="15" hidden="false" customHeight="false" outlineLevel="0" collapsed="false">
      <c r="A1094" s="75"/>
      <c r="B1094" s="76"/>
      <c r="C1094" s="77"/>
      <c r="D1094" s="78"/>
      <c r="E1094" s="77"/>
      <c r="F1094" s="76"/>
      <c r="G1094" s="76"/>
      <c r="I1094" s="79" t="str">
        <f aca="false">IF($B1094="","",IF(ISNUMBER(MATCH($B1094,日別データ!$B$13:$B$32,0)),"✔ OK","⚠ 未登録"))</f>
        <v/>
      </c>
      <c r="J1094" s="80" t="str">
        <f aca="false">IF($B1094="","",IF($D1094="","－",IF(ISNUMBER($D1094),IF(AND($D1094&gt;=1,MOD($D1094,1)=0),"－",IF(MOD($D1094,1)&lt;$L$6,"朝",IF(MOD($D1094,1)&lt;$L$7,"昼",IF(MOD($D1094,1)&lt;$L$8,"夕方","夜")))),IF(OR($D1094="朝",$D1094="昼",$D1094="夕方",$D1094="夜"),$D1094,"⚠ 不明"))))</f>
        <v/>
      </c>
    </row>
    <row r="1095" customFormat="false" ht="15" hidden="false" customHeight="false" outlineLevel="0" collapsed="false">
      <c r="A1095" s="75"/>
      <c r="B1095" s="76"/>
      <c r="C1095" s="77"/>
      <c r="D1095" s="78"/>
      <c r="E1095" s="77"/>
      <c r="F1095" s="76"/>
      <c r="G1095" s="76"/>
      <c r="I1095" s="79" t="str">
        <f aca="false">IF($B1095="","",IF(ISNUMBER(MATCH($B1095,日別データ!$B$13:$B$32,0)),"✔ OK","⚠ 未登録"))</f>
        <v/>
      </c>
      <c r="J1095" s="80" t="str">
        <f aca="false">IF($B1095="","",IF($D1095="","－",IF(ISNUMBER($D1095),IF(AND($D1095&gt;=1,MOD($D1095,1)=0),"－",IF(MOD($D1095,1)&lt;$L$6,"朝",IF(MOD($D1095,1)&lt;$L$7,"昼",IF(MOD($D1095,1)&lt;$L$8,"夕方","夜")))),IF(OR($D1095="朝",$D1095="昼",$D1095="夕方",$D1095="夜"),$D1095,"⚠ 不明"))))</f>
        <v/>
      </c>
    </row>
    <row r="1096" customFormat="false" ht="15" hidden="false" customHeight="false" outlineLevel="0" collapsed="false">
      <c r="A1096" s="75"/>
      <c r="B1096" s="76"/>
      <c r="C1096" s="77"/>
      <c r="D1096" s="78"/>
      <c r="E1096" s="77"/>
      <c r="F1096" s="76"/>
      <c r="G1096" s="76"/>
      <c r="I1096" s="79" t="str">
        <f aca="false">IF($B1096="","",IF(ISNUMBER(MATCH($B1096,日別データ!$B$13:$B$32,0)),"✔ OK","⚠ 未登録"))</f>
        <v/>
      </c>
      <c r="J1096" s="80" t="str">
        <f aca="false">IF($B1096="","",IF($D1096="","－",IF(ISNUMBER($D1096),IF(AND($D1096&gt;=1,MOD($D1096,1)=0),"－",IF(MOD($D1096,1)&lt;$L$6,"朝",IF(MOD($D1096,1)&lt;$L$7,"昼",IF(MOD($D1096,1)&lt;$L$8,"夕方","夜")))),IF(OR($D1096="朝",$D1096="昼",$D1096="夕方",$D1096="夜"),$D1096,"⚠ 不明"))))</f>
        <v/>
      </c>
    </row>
    <row r="1097" customFormat="false" ht="15" hidden="false" customHeight="false" outlineLevel="0" collapsed="false">
      <c r="A1097" s="75"/>
      <c r="B1097" s="76"/>
      <c r="C1097" s="77"/>
      <c r="D1097" s="78"/>
      <c r="E1097" s="77"/>
      <c r="F1097" s="76"/>
      <c r="G1097" s="76"/>
      <c r="I1097" s="79" t="str">
        <f aca="false">IF($B1097="","",IF(ISNUMBER(MATCH($B1097,日別データ!$B$13:$B$32,0)),"✔ OK","⚠ 未登録"))</f>
        <v/>
      </c>
      <c r="J1097" s="80" t="str">
        <f aca="false">IF($B1097="","",IF($D1097="","－",IF(ISNUMBER($D1097),IF(AND($D1097&gt;=1,MOD($D1097,1)=0),"－",IF(MOD($D1097,1)&lt;$L$6,"朝",IF(MOD($D1097,1)&lt;$L$7,"昼",IF(MOD($D1097,1)&lt;$L$8,"夕方","夜")))),IF(OR($D1097="朝",$D1097="昼",$D1097="夕方",$D1097="夜"),$D1097,"⚠ 不明"))))</f>
        <v/>
      </c>
    </row>
    <row r="1098" customFormat="false" ht="15" hidden="false" customHeight="false" outlineLevel="0" collapsed="false">
      <c r="A1098" s="75"/>
      <c r="B1098" s="76"/>
      <c r="C1098" s="77"/>
      <c r="D1098" s="78"/>
      <c r="E1098" s="77"/>
      <c r="F1098" s="76"/>
      <c r="G1098" s="76"/>
      <c r="I1098" s="79" t="str">
        <f aca="false">IF($B1098="","",IF(ISNUMBER(MATCH($B1098,日別データ!$B$13:$B$32,0)),"✔ OK","⚠ 未登録"))</f>
        <v/>
      </c>
      <c r="J1098" s="80" t="str">
        <f aca="false">IF($B1098="","",IF($D1098="","－",IF(ISNUMBER($D1098),IF(AND($D1098&gt;=1,MOD($D1098,1)=0),"－",IF(MOD($D1098,1)&lt;$L$6,"朝",IF(MOD($D1098,1)&lt;$L$7,"昼",IF(MOD($D1098,1)&lt;$L$8,"夕方","夜")))),IF(OR($D1098="朝",$D1098="昼",$D1098="夕方",$D1098="夜"),$D1098,"⚠ 不明"))))</f>
        <v/>
      </c>
    </row>
    <row r="1099" customFormat="false" ht="15" hidden="false" customHeight="false" outlineLevel="0" collapsed="false">
      <c r="A1099" s="75"/>
      <c r="B1099" s="76"/>
      <c r="C1099" s="77"/>
      <c r="D1099" s="78"/>
      <c r="E1099" s="77"/>
      <c r="F1099" s="76"/>
      <c r="G1099" s="76"/>
      <c r="I1099" s="79" t="str">
        <f aca="false">IF($B1099="","",IF(ISNUMBER(MATCH($B1099,日別データ!$B$13:$B$32,0)),"✔ OK","⚠ 未登録"))</f>
        <v/>
      </c>
      <c r="J1099" s="80" t="str">
        <f aca="false">IF($B1099="","",IF($D1099="","－",IF(ISNUMBER($D1099),IF(AND($D1099&gt;=1,MOD($D1099,1)=0),"－",IF(MOD($D1099,1)&lt;$L$6,"朝",IF(MOD($D1099,1)&lt;$L$7,"昼",IF(MOD($D1099,1)&lt;$L$8,"夕方","夜")))),IF(OR($D1099="朝",$D1099="昼",$D1099="夕方",$D1099="夜"),$D1099,"⚠ 不明"))))</f>
        <v/>
      </c>
    </row>
    <row r="1100" customFormat="false" ht="15" hidden="false" customHeight="false" outlineLevel="0" collapsed="false">
      <c r="A1100" s="75"/>
      <c r="B1100" s="76"/>
      <c r="C1100" s="77"/>
      <c r="D1100" s="78"/>
      <c r="E1100" s="77"/>
      <c r="F1100" s="76"/>
      <c r="G1100" s="76"/>
      <c r="I1100" s="79" t="str">
        <f aca="false">IF($B1100="","",IF(ISNUMBER(MATCH($B1100,日別データ!$B$13:$B$32,0)),"✔ OK","⚠ 未登録"))</f>
        <v/>
      </c>
      <c r="J1100" s="80" t="str">
        <f aca="false">IF($B1100="","",IF($D1100="","－",IF(ISNUMBER($D1100),IF(AND($D1100&gt;=1,MOD($D1100,1)=0),"－",IF(MOD($D1100,1)&lt;$L$6,"朝",IF(MOD($D1100,1)&lt;$L$7,"昼",IF(MOD($D1100,1)&lt;$L$8,"夕方","夜")))),IF(OR($D1100="朝",$D1100="昼",$D1100="夕方",$D1100="夜"),$D1100,"⚠ 不明"))))</f>
        <v/>
      </c>
    </row>
    <row r="1101" customFormat="false" ht="15" hidden="false" customHeight="false" outlineLevel="0" collapsed="false">
      <c r="A1101" s="75"/>
      <c r="B1101" s="76"/>
      <c r="C1101" s="77"/>
      <c r="D1101" s="78"/>
      <c r="E1101" s="77"/>
      <c r="F1101" s="76"/>
      <c r="G1101" s="76"/>
      <c r="I1101" s="79" t="str">
        <f aca="false">IF($B1101="","",IF(ISNUMBER(MATCH($B1101,日別データ!$B$13:$B$32,0)),"✔ OK","⚠ 未登録"))</f>
        <v/>
      </c>
      <c r="J1101" s="80" t="str">
        <f aca="false">IF($B1101="","",IF($D1101="","－",IF(ISNUMBER($D1101),IF(AND($D1101&gt;=1,MOD($D1101,1)=0),"－",IF(MOD($D1101,1)&lt;$L$6,"朝",IF(MOD($D1101,1)&lt;$L$7,"昼",IF(MOD($D1101,1)&lt;$L$8,"夕方","夜")))),IF(OR($D1101="朝",$D1101="昼",$D1101="夕方",$D1101="夜"),$D1101,"⚠ 不明"))))</f>
        <v/>
      </c>
    </row>
    <row r="1102" customFormat="false" ht="15" hidden="false" customHeight="false" outlineLevel="0" collapsed="false">
      <c r="A1102" s="75"/>
      <c r="B1102" s="76"/>
      <c r="C1102" s="77"/>
      <c r="D1102" s="78"/>
      <c r="E1102" s="77"/>
      <c r="F1102" s="76"/>
      <c r="G1102" s="76"/>
      <c r="I1102" s="79" t="str">
        <f aca="false">IF($B1102="","",IF(ISNUMBER(MATCH($B1102,日別データ!$B$13:$B$32,0)),"✔ OK","⚠ 未登録"))</f>
        <v/>
      </c>
      <c r="J1102" s="80" t="str">
        <f aca="false">IF($B1102="","",IF($D1102="","－",IF(ISNUMBER($D1102),IF(AND($D1102&gt;=1,MOD($D1102,1)=0),"－",IF(MOD($D1102,1)&lt;$L$6,"朝",IF(MOD($D1102,1)&lt;$L$7,"昼",IF(MOD($D1102,1)&lt;$L$8,"夕方","夜")))),IF(OR($D1102="朝",$D1102="昼",$D1102="夕方",$D1102="夜"),$D1102,"⚠ 不明"))))</f>
        <v/>
      </c>
    </row>
    <row r="1103" customFormat="false" ht="15" hidden="false" customHeight="false" outlineLevel="0" collapsed="false">
      <c r="A1103" s="75"/>
      <c r="B1103" s="76"/>
      <c r="C1103" s="77"/>
      <c r="D1103" s="78"/>
      <c r="E1103" s="77"/>
      <c r="F1103" s="76"/>
      <c r="G1103" s="76"/>
      <c r="I1103" s="79" t="str">
        <f aca="false">IF($B1103="","",IF(ISNUMBER(MATCH($B1103,日別データ!$B$13:$B$32,0)),"✔ OK","⚠ 未登録"))</f>
        <v/>
      </c>
      <c r="J1103" s="80" t="str">
        <f aca="false">IF($B1103="","",IF($D1103="","－",IF(ISNUMBER($D1103),IF(AND($D1103&gt;=1,MOD($D1103,1)=0),"－",IF(MOD($D1103,1)&lt;$L$6,"朝",IF(MOD($D1103,1)&lt;$L$7,"昼",IF(MOD($D1103,1)&lt;$L$8,"夕方","夜")))),IF(OR($D1103="朝",$D1103="昼",$D1103="夕方",$D1103="夜"),$D1103,"⚠ 不明"))))</f>
        <v/>
      </c>
    </row>
    <row r="1104" customFormat="false" ht="15" hidden="false" customHeight="false" outlineLevel="0" collapsed="false">
      <c r="A1104" s="75"/>
      <c r="B1104" s="76"/>
      <c r="C1104" s="77"/>
      <c r="D1104" s="78"/>
      <c r="E1104" s="77"/>
      <c r="F1104" s="76"/>
      <c r="G1104" s="76"/>
      <c r="I1104" s="79" t="str">
        <f aca="false">IF($B1104="","",IF(ISNUMBER(MATCH($B1104,日別データ!$B$13:$B$32,0)),"✔ OK","⚠ 未登録"))</f>
        <v/>
      </c>
      <c r="J1104" s="80" t="str">
        <f aca="false">IF($B1104="","",IF($D1104="","－",IF(ISNUMBER($D1104),IF(AND($D1104&gt;=1,MOD($D1104,1)=0),"－",IF(MOD($D1104,1)&lt;$L$6,"朝",IF(MOD($D1104,1)&lt;$L$7,"昼",IF(MOD($D1104,1)&lt;$L$8,"夕方","夜")))),IF(OR($D1104="朝",$D1104="昼",$D1104="夕方",$D1104="夜"),$D1104,"⚠ 不明"))))</f>
        <v/>
      </c>
    </row>
    <row r="1105" customFormat="false" ht="15" hidden="false" customHeight="false" outlineLevel="0" collapsed="false">
      <c r="A1105" s="75"/>
      <c r="B1105" s="76"/>
      <c r="C1105" s="77"/>
      <c r="D1105" s="78"/>
      <c r="E1105" s="77"/>
      <c r="F1105" s="76"/>
      <c r="G1105" s="76"/>
      <c r="I1105" s="79" t="str">
        <f aca="false">IF($B1105="","",IF(ISNUMBER(MATCH($B1105,日別データ!$B$13:$B$32,0)),"✔ OK","⚠ 未登録"))</f>
        <v/>
      </c>
      <c r="J1105" s="80" t="str">
        <f aca="false">IF($B1105="","",IF($D1105="","－",IF(ISNUMBER($D1105),IF(AND($D1105&gt;=1,MOD($D1105,1)=0),"－",IF(MOD($D1105,1)&lt;$L$6,"朝",IF(MOD($D1105,1)&lt;$L$7,"昼",IF(MOD($D1105,1)&lt;$L$8,"夕方","夜")))),IF(OR($D1105="朝",$D1105="昼",$D1105="夕方",$D1105="夜"),$D1105,"⚠ 不明"))))</f>
        <v/>
      </c>
    </row>
    <row r="1106" customFormat="false" ht="15" hidden="false" customHeight="false" outlineLevel="0" collapsed="false">
      <c r="A1106" s="75"/>
      <c r="B1106" s="76"/>
      <c r="C1106" s="77"/>
      <c r="D1106" s="78"/>
      <c r="E1106" s="77"/>
      <c r="F1106" s="76"/>
      <c r="G1106" s="76"/>
      <c r="I1106" s="79" t="str">
        <f aca="false">IF($B1106="","",IF(ISNUMBER(MATCH($B1106,日別データ!$B$13:$B$32,0)),"✔ OK","⚠ 未登録"))</f>
        <v/>
      </c>
      <c r="J1106" s="80" t="str">
        <f aca="false">IF($B1106="","",IF($D1106="","－",IF(ISNUMBER($D1106),IF(AND($D1106&gt;=1,MOD($D1106,1)=0),"－",IF(MOD($D1106,1)&lt;$L$6,"朝",IF(MOD($D1106,1)&lt;$L$7,"昼",IF(MOD($D1106,1)&lt;$L$8,"夕方","夜")))),IF(OR($D1106="朝",$D1106="昼",$D1106="夕方",$D1106="夜"),$D1106,"⚠ 不明"))))</f>
        <v/>
      </c>
    </row>
    <row r="1107" customFormat="false" ht="15" hidden="false" customHeight="false" outlineLevel="0" collapsed="false">
      <c r="A1107" s="75"/>
      <c r="B1107" s="76"/>
      <c r="C1107" s="77"/>
      <c r="D1107" s="78"/>
      <c r="E1107" s="77"/>
      <c r="F1107" s="76"/>
      <c r="G1107" s="76"/>
      <c r="I1107" s="79" t="str">
        <f aca="false">IF($B1107="","",IF(ISNUMBER(MATCH($B1107,日別データ!$B$13:$B$32,0)),"✔ OK","⚠ 未登録"))</f>
        <v/>
      </c>
      <c r="J1107" s="80" t="str">
        <f aca="false">IF($B1107="","",IF($D1107="","－",IF(ISNUMBER($D1107),IF(AND($D1107&gt;=1,MOD($D1107,1)=0),"－",IF(MOD($D1107,1)&lt;$L$6,"朝",IF(MOD($D1107,1)&lt;$L$7,"昼",IF(MOD($D1107,1)&lt;$L$8,"夕方","夜")))),IF(OR($D1107="朝",$D1107="昼",$D1107="夕方",$D1107="夜"),$D1107,"⚠ 不明"))))</f>
        <v/>
      </c>
    </row>
    <row r="1108" customFormat="false" ht="15" hidden="false" customHeight="false" outlineLevel="0" collapsed="false">
      <c r="A1108" s="75"/>
      <c r="B1108" s="76"/>
      <c r="C1108" s="77"/>
      <c r="D1108" s="78"/>
      <c r="E1108" s="77"/>
      <c r="F1108" s="76"/>
      <c r="G1108" s="76"/>
      <c r="I1108" s="79" t="str">
        <f aca="false">IF($B1108="","",IF(ISNUMBER(MATCH($B1108,日別データ!$B$13:$B$32,0)),"✔ OK","⚠ 未登録"))</f>
        <v/>
      </c>
      <c r="J1108" s="80" t="str">
        <f aca="false">IF($B1108="","",IF($D1108="","－",IF(ISNUMBER($D1108),IF(AND($D1108&gt;=1,MOD($D1108,1)=0),"－",IF(MOD($D1108,1)&lt;$L$6,"朝",IF(MOD($D1108,1)&lt;$L$7,"昼",IF(MOD($D1108,1)&lt;$L$8,"夕方","夜")))),IF(OR($D1108="朝",$D1108="昼",$D1108="夕方",$D1108="夜"),$D1108,"⚠ 不明"))))</f>
        <v/>
      </c>
    </row>
    <row r="1109" customFormat="false" ht="15" hidden="false" customHeight="false" outlineLevel="0" collapsed="false">
      <c r="A1109" s="75"/>
      <c r="B1109" s="76"/>
      <c r="C1109" s="77"/>
      <c r="D1109" s="78"/>
      <c r="E1109" s="77"/>
      <c r="F1109" s="76"/>
      <c r="G1109" s="76"/>
      <c r="I1109" s="79" t="str">
        <f aca="false">IF($B1109="","",IF(ISNUMBER(MATCH($B1109,日別データ!$B$13:$B$32,0)),"✔ OK","⚠ 未登録"))</f>
        <v/>
      </c>
      <c r="J1109" s="80" t="str">
        <f aca="false">IF($B1109="","",IF($D1109="","－",IF(ISNUMBER($D1109),IF(AND($D1109&gt;=1,MOD($D1109,1)=0),"－",IF(MOD($D1109,1)&lt;$L$6,"朝",IF(MOD($D1109,1)&lt;$L$7,"昼",IF(MOD($D1109,1)&lt;$L$8,"夕方","夜")))),IF(OR($D1109="朝",$D1109="昼",$D1109="夕方",$D1109="夜"),$D1109,"⚠ 不明"))))</f>
        <v/>
      </c>
    </row>
    <row r="1110" customFormat="false" ht="15" hidden="false" customHeight="false" outlineLevel="0" collapsed="false">
      <c r="A1110" s="75"/>
      <c r="B1110" s="76"/>
      <c r="C1110" s="77"/>
      <c r="D1110" s="78"/>
      <c r="E1110" s="77"/>
      <c r="F1110" s="76"/>
      <c r="G1110" s="76"/>
      <c r="I1110" s="79" t="str">
        <f aca="false">IF($B1110="","",IF(ISNUMBER(MATCH($B1110,日別データ!$B$13:$B$32,0)),"✔ OK","⚠ 未登録"))</f>
        <v/>
      </c>
      <c r="J1110" s="80" t="str">
        <f aca="false">IF($B1110="","",IF($D1110="","－",IF(ISNUMBER($D1110),IF(AND($D1110&gt;=1,MOD($D1110,1)=0),"－",IF(MOD($D1110,1)&lt;$L$6,"朝",IF(MOD($D1110,1)&lt;$L$7,"昼",IF(MOD($D1110,1)&lt;$L$8,"夕方","夜")))),IF(OR($D1110="朝",$D1110="昼",$D1110="夕方",$D1110="夜"),$D1110,"⚠ 不明"))))</f>
        <v/>
      </c>
    </row>
    <row r="1111" customFormat="false" ht="15" hidden="false" customHeight="false" outlineLevel="0" collapsed="false">
      <c r="A1111" s="75"/>
      <c r="B1111" s="76"/>
      <c r="C1111" s="77"/>
      <c r="D1111" s="78"/>
      <c r="E1111" s="77"/>
      <c r="F1111" s="76"/>
      <c r="G1111" s="76"/>
      <c r="I1111" s="79" t="str">
        <f aca="false">IF($B1111="","",IF(ISNUMBER(MATCH($B1111,日別データ!$B$13:$B$32,0)),"✔ OK","⚠ 未登録"))</f>
        <v/>
      </c>
      <c r="J1111" s="80" t="str">
        <f aca="false">IF($B1111="","",IF($D1111="","－",IF(ISNUMBER($D1111),IF(AND($D1111&gt;=1,MOD($D1111,1)=0),"－",IF(MOD($D1111,1)&lt;$L$6,"朝",IF(MOD($D1111,1)&lt;$L$7,"昼",IF(MOD($D1111,1)&lt;$L$8,"夕方","夜")))),IF(OR($D1111="朝",$D1111="昼",$D1111="夕方",$D1111="夜"),$D1111,"⚠ 不明"))))</f>
        <v/>
      </c>
    </row>
    <row r="1112" customFormat="false" ht="15" hidden="false" customHeight="false" outlineLevel="0" collapsed="false">
      <c r="A1112" s="75"/>
      <c r="B1112" s="76"/>
      <c r="C1112" s="77"/>
      <c r="D1112" s="78"/>
      <c r="E1112" s="77"/>
      <c r="F1112" s="76"/>
      <c r="G1112" s="76"/>
      <c r="I1112" s="79" t="str">
        <f aca="false">IF($B1112="","",IF(ISNUMBER(MATCH($B1112,日別データ!$B$13:$B$32,0)),"✔ OK","⚠ 未登録"))</f>
        <v/>
      </c>
      <c r="J1112" s="80" t="str">
        <f aca="false">IF($B1112="","",IF($D1112="","－",IF(ISNUMBER($D1112),IF(AND($D1112&gt;=1,MOD($D1112,1)=0),"－",IF(MOD($D1112,1)&lt;$L$6,"朝",IF(MOD($D1112,1)&lt;$L$7,"昼",IF(MOD($D1112,1)&lt;$L$8,"夕方","夜")))),IF(OR($D1112="朝",$D1112="昼",$D1112="夕方",$D1112="夜"),$D1112,"⚠ 不明"))))</f>
        <v/>
      </c>
    </row>
    <row r="1113" customFormat="false" ht="15" hidden="false" customHeight="false" outlineLevel="0" collapsed="false">
      <c r="A1113" s="75"/>
      <c r="B1113" s="76"/>
      <c r="C1113" s="77"/>
      <c r="D1113" s="78"/>
      <c r="E1113" s="77"/>
      <c r="F1113" s="76"/>
      <c r="G1113" s="76"/>
      <c r="I1113" s="79" t="str">
        <f aca="false">IF($B1113="","",IF(ISNUMBER(MATCH($B1113,日別データ!$B$13:$B$32,0)),"✔ OK","⚠ 未登録"))</f>
        <v/>
      </c>
      <c r="J1113" s="80" t="str">
        <f aca="false">IF($B1113="","",IF($D1113="","－",IF(ISNUMBER($D1113),IF(AND($D1113&gt;=1,MOD($D1113,1)=0),"－",IF(MOD($D1113,1)&lt;$L$6,"朝",IF(MOD($D1113,1)&lt;$L$7,"昼",IF(MOD($D1113,1)&lt;$L$8,"夕方","夜")))),IF(OR($D1113="朝",$D1113="昼",$D1113="夕方",$D1113="夜"),$D1113,"⚠ 不明"))))</f>
        <v/>
      </c>
    </row>
    <row r="1114" customFormat="false" ht="15" hidden="false" customHeight="false" outlineLevel="0" collapsed="false">
      <c r="A1114" s="75"/>
      <c r="B1114" s="76"/>
      <c r="C1114" s="77"/>
      <c r="D1114" s="78"/>
      <c r="E1114" s="77"/>
      <c r="F1114" s="76"/>
      <c r="G1114" s="76"/>
      <c r="I1114" s="79" t="str">
        <f aca="false">IF($B1114="","",IF(ISNUMBER(MATCH($B1114,日別データ!$B$13:$B$32,0)),"✔ OK","⚠ 未登録"))</f>
        <v/>
      </c>
      <c r="J1114" s="80" t="str">
        <f aca="false">IF($B1114="","",IF($D1114="","－",IF(ISNUMBER($D1114),IF(AND($D1114&gt;=1,MOD($D1114,1)=0),"－",IF(MOD($D1114,1)&lt;$L$6,"朝",IF(MOD($D1114,1)&lt;$L$7,"昼",IF(MOD($D1114,1)&lt;$L$8,"夕方","夜")))),IF(OR($D1114="朝",$D1114="昼",$D1114="夕方",$D1114="夜"),$D1114,"⚠ 不明"))))</f>
        <v/>
      </c>
    </row>
    <row r="1115" customFormat="false" ht="15" hidden="false" customHeight="false" outlineLevel="0" collapsed="false">
      <c r="A1115" s="75"/>
      <c r="B1115" s="76"/>
      <c r="C1115" s="77"/>
      <c r="D1115" s="78"/>
      <c r="E1115" s="77"/>
      <c r="F1115" s="76"/>
      <c r="G1115" s="76"/>
      <c r="I1115" s="79" t="str">
        <f aca="false">IF($B1115="","",IF(ISNUMBER(MATCH($B1115,日別データ!$B$13:$B$32,0)),"✔ OK","⚠ 未登録"))</f>
        <v/>
      </c>
      <c r="J1115" s="80" t="str">
        <f aca="false">IF($B1115="","",IF($D1115="","－",IF(ISNUMBER($D1115),IF(AND($D1115&gt;=1,MOD($D1115,1)=0),"－",IF(MOD($D1115,1)&lt;$L$6,"朝",IF(MOD($D1115,1)&lt;$L$7,"昼",IF(MOD($D1115,1)&lt;$L$8,"夕方","夜")))),IF(OR($D1115="朝",$D1115="昼",$D1115="夕方",$D1115="夜"),$D1115,"⚠ 不明"))))</f>
        <v/>
      </c>
    </row>
    <row r="1116" customFormat="false" ht="15" hidden="false" customHeight="false" outlineLevel="0" collapsed="false">
      <c r="A1116" s="75"/>
      <c r="B1116" s="76"/>
      <c r="C1116" s="77"/>
      <c r="D1116" s="78"/>
      <c r="E1116" s="77"/>
      <c r="F1116" s="76"/>
      <c r="G1116" s="76"/>
      <c r="I1116" s="79" t="str">
        <f aca="false">IF($B1116="","",IF(ISNUMBER(MATCH($B1116,日別データ!$B$13:$B$32,0)),"✔ OK","⚠ 未登録"))</f>
        <v/>
      </c>
      <c r="J1116" s="80" t="str">
        <f aca="false">IF($B1116="","",IF($D1116="","－",IF(ISNUMBER($D1116),IF(AND($D1116&gt;=1,MOD($D1116,1)=0),"－",IF(MOD($D1116,1)&lt;$L$6,"朝",IF(MOD($D1116,1)&lt;$L$7,"昼",IF(MOD($D1116,1)&lt;$L$8,"夕方","夜")))),IF(OR($D1116="朝",$D1116="昼",$D1116="夕方",$D1116="夜"),$D1116,"⚠ 不明"))))</f>
        <v/>
      </c>
    </row>
    <row r="1117" customFormat="false" ht="15" hidden="false" customHeight="false" outlineLevel="0" collapsed="false">
      <c r="A1117" s="75"/>
      <c r="B1117" s="76"/>
      <c r="C1117" s="77"/>
      <c r="D1117" s="78"/>
      <c r="E1117" s="77"/>
      <c r="F1117" s="76"/>
      <c r="G1117" s="76"/>
      <c r="I1117" s="79" t="str">
        <f aca="false">IF($B1117="","",IF(ISNUMBER(MATCH($B1117,日別データ!$B$13:$B$32,0)),"✔ OK","⚠ 未登録"))</f>
        <v/>
      </c>
      <c r="J1117" s="80" t="str">
        <f aca="false">IF($B1117="","",IF($D1117="","－",IF(ISNUMBER($D1117),IF(AND($D1117&gt;=1,MOD($D1117,1)=0),"－",IF(MOD($D1117,1)&lt;$L$6,"朝",IF(MOD($D1117,1)&lt;$L$7,"昼",IF(MOD($D1117,1)&lt;$L$8,"夕方","夜")))),IF(OR($D1117="朝",$D1117="昼",$D1117="夕方",$D1117="夜"),$D1117,"⚠ 不明"))))</f>
        <v/>
      </c>
    </row>
    <row r="1118" customFormat="false" ht="15" hidden="false" customHeight="false" outlineLevel="0" collapsed="false">
      <c r="A1118" s="75"/>
      <c r="B1118" s="76"/>
      <c r="C1118" s="77"/>
      <c r="D1118" s="78"/>
      <c r="E1118" s="77"/>
      <c r="F1118" s="76"/>
      <c r="G1118" s="76"/>
      <c r="I1118" s="79" t="str">
        <f aca="false">IF($B1118="","",IF(ISNUMBER(MATCH($B1118,日別データ!$B$13:$B$32,0)),"✔ OK","⚠ 未登録"))</f>
        <v/>
      </c>
      <c r="J1118" s="80" t="str">
        <f aca="false">IF($B1118="","",IF($D1118="","－",IF(ISNUMBER($D1118),IF(AND($D1118&gt;=1,MOD($D1118,1)=0),"－",IF(MOD($D1118,1)&lt;$L$6,"朝",IF(MOD($D1118,1)&lt;$L$7,"昼",IF(MOD($D1118,1)&lt;$L$8,"夕方","夜")))),IF(OR($D1118="朝",$D1118="昼",$D1118="夕方",$D1118="夜"),$D1118,"⚠ 不明"))))</f>
        <v/>
      </c>
    </row>
    <row r="1119" customFormat="false" ht="15" hidden="false" customHeight="false" outlineLevel="0" collapsed="false">
      <c r="A1119" s="75"/>
      <c r="B1119" s="76"/>
      <c r="C1119" s="77"/>
      <c r="D1119" s="78"/>
      <c r="E1119" s="77"/>
      <c r="F1119" s="76"/>
      <c r="G1119" s="76"/>
      <c r="I1119" s="79" t="str">
        <f aca="false">IF($B1119="","",IF(ISNUMBER(MATCH($B1119,日別データ!$B$13:$B$32,0)),"✔ OK","⚠ 未登録"))</f>
        <v/>
      </c>
      <c r="J1119" s="80" t="str">
        <f aca="false">IF($B1119="","",IF($D1119="","－",IF(ISNUMBER($D1119),IF(AND($D1119&gt;=1,MOD($D1119,1)=0),"－",IF(MOD($D1119,1)&lt;$L$6,"朝",IF(MOD($D1119,1)&lt;$L$7,"昼",IF(MOD($D1119,1)&lt;$L$8,"夕方","夜")))),IF(OR($D1119="朝",$D1119="昼",$D1119="夕方",$D1119="夜"),$D1119,"⚠ 不明"))))</f>
        <v/>
      </c>
    </row>
    <row r="1120" customFormat="false" ht="15" hidden="false" customHeight="false" outlineLevel="0" collapsed="false">
      <c r="A1120" s="75"/>
      <c r="B1120" s="76"/>
      <c r="C1120" s="77"/>
      <c r="D1120" s="78"/>
      <c r="E1120" s="77"/>
      <c r="F1120" s="76"/>
      <c r="G1120" s="76"/>
      <c r="I1120" s="79" t="str">
        <f aca="false">IF($B1120="","",IF(ISNUMBER(MATCH($B1120,日別データ!$B$13:$B$32,0)),"✔ OK","⚠ 未登録"))</f>
        <v/>
      </c>
      <c r="J1120" s="80" t="str">
        <f aca="false">IF($B1120="","",IF($D1120="","－",IF(ISNUMBER($D1120),IF(AND($D1120&gt;=1,MOD($D1120,1)=0),"－",IF(MOD($D1120,1)&lt;$L$6,"朝",IF(MOD($D1120,1)&lt;$L$7,"昼",IF(MOD($D1120,1)&lt;$L$8,"夕方","夜")))),IF(OR($D1120="朝",$D1120="昼",$D1120="夕方",$D1120="夜"),$D1120,"⚠ 不明"))))</f>
        <v/>
      </c>
    </row>
    <row r="1121" customFormat="false" ht="15" hidden="false" customHeight="false" outlineLevel="0" collapsed="false">
      <c r="A1121" s="75"/>
      <c r="B1121" s="76"/>
      <c r="C1121" s="77"/>
      <c r="D1121" s="78"/>
      <c r="E1121" s="77"/>
      <c r="F1121" s="76"/>
      <c r="G1121" s="76"/>
      <c r="I1121" s="79" t="str">
        <f aca="false">IF($B1121="","",IF(ISNUMBER(MATCH($B1121,日別データ!$B$13:$B$32,0)),"✔ OK","⚠ 未登録"))</f>
        <v/>
      </c>
      <c r="J1121" s="80" t="str">
        <f aca="false">IF($B1121="","",IF($D1121="","－",IF(ISNUMBER($D1121),IF(AND($D1121&gt;=1,MOD($D1121,1)=0),"－",IF(MOD($D1121,1)&lt;$L$6,"朝",IF(MOD($D1121,1)&lt;$L$7,"昼",IF(MOD($D1121,1)&lt;$L$8,"夕方","夜")))),IF(OR($D1121="朝",$D1121="昼",$D1121="夕方",$D1121="夜"),$D1121,"⚠ 不明"))))</f>
        <v/>
      </c>
    </row>
    <row r="1122" customFormat="false" ht="15" hidden="false" customHeight="false" outlineLevel="0" collapsed="false">
      <c r="A1122" s="75"/>
      <c r="B1122" s="76"/>
      <c r="C1122" s="77"/>
      <c r="D1122" s="78"/>
      <c r="E1122" s="77"/>
      <c r="F1122" s="76"/>
      <c r="G1122" s="76"/>
      <c r="I1122" s="79" t="str">
        <f aca="false">IF($B1122="","",IF(ISNUMBER(MATCH($B1122,日別データ!$B$13:$B$32,0)),"✔ OK","⚠ 未登録"))</f>
        <v/>
      </c>
      <c r="J1122" s="80" t="str">
        <f aca="false">IF($B1122="","",IF($D1122="","－",IF(ISNUMBER($D1122),IF(AND($D1122&gt;=1,MOD($D1122,1)=0),"－",IF(MOD($D1122,1)&lt;$L$6,"朝",IF(MOD($D1122,1)&lt;$L$7,"昼",IF(MOD($D1122,1)&lt;$L$8,"夕方","夜")))),IF(OR($D1122="朝",$D1122="昼",$D1122="夕方",$D1122="夜"),$D1122,"⚠ 不明"))))</f>
        <v/>
      </c>
    </row>
    <row r="1123" customFormat="false" ht="15" hidden="false" customHeight="false" outlineLevel="0" collapsed="false">
      <c r="A1123" s="75"/>
      <c r="B1123" s="76"/>
      <c r="C1123" s="77"/>
      <c r="D1123" s="78"/>
      <c r="E1123" s="77"/>
      <c r="F1123" s="76"/>
      <c r="G1123" s="76"/>
      <c r="I1123" s="79" t="str">
        <f aca="false">IF($B1123="","",IF(ISNUMBER(MATCH($B1123,日別データ!$B$13:$B$32,0)),"✔ OK","⚠ 未登録"))</f>
        <v/>
      </c>
      <c r="J1123" s="80" t="str">
        <f aca="false">IF($B1123="","",IF($D1123="","－",IF(ISNUMBER($D1123),IF(AND($D1123&gt;=1,MOD($D1123,1)=0),"－",IF(MOD($D1123,1)&lt;$L$6,"朝",IF(MOD($D1123,1)&lt;$L$7,"昼",IF(MOD($D1123,1)&lt;$L$8,"夕方","夜")))),IF(OR($D1123="朝",$D1123="昼",$D1123="夕方",$D1123="夜"),$D1123,"⚠ 不明"))))</f>
        <v/>
      </c>
    </row>
    <row r="1124" customFormat="false" ht="15" hidden="false" customHeight="false" outlineLevel="0" collapsed="false">
      <c r="A1124" s="75"/>
      <c r="B1124" s="76"/>
      <c r="C1124" s="77"/>
      <c r="D1124" s="78"/>
      <c r="E1124" s="77"/>
      <c r="F1124" s="76"/>
      <c r="G1124" s="76"/>
      <c r="I1124" s="79" t="str">
        <f aca="false">IF($B1124="","",IF(ISNUMBER(MATCH($B1124,日別データ!$B$13:$B$32,0)),"✔ OK","⚠ 未登録"))</f>
        <v/>
      </c>
      <c r="J1124" s="80" t="str">
        <f aca="false">IF($B1124="","",IF($D1124="","－",IF(ISNUMBER($D1124),IF(AND($D1124&gt;=1,MOD($D1124,1)=0),"－",IF(MOD($D1124,1)&lt;$L$6,"朝",IF(MOD($D1124,1)&lt;$L$7,"昼",IF(MOD($D1124,1)&lt;$L$8,"夕方","夜")))),IF(OR($D1124="朝",$D1124="昼",$D1124="夕方",$D1124="夜"),$D1124,"⚠ 不明"))))</f>
        <v/>
      </c>
    </row>
    <row r="1125" customFormat="false" ht="15" hidden="false" customHeight="false" outlineLevel="0" collapsed="false">
      <c r="A1125" s="75"/>
      <c r="B1125" s="76"/>
      <c r="C1125" s="77"/>
      <c r="D1125" s="78"/>
      <c r="E1125" s="77"/>
      <c r="F1125" s="76"/>
      <c r="G1125" s="76"/>
      <c r="I1125" s="79" t="str">
        <f aca="false">IF($B1125="","",IF(ISNUMBER(MATCH($B1125,日別データ!$B$13:$B$32,0)),"✔ OK","⚠ 未登録"))</f>
        <v/>
      </c>
      <c r="J1125" s="80" t="str">
        <f aca="false">IF($B1125="","",IF($D1125="","－",IF(ISNUMBER($D1125),IF(AND($D1125&gt;=1,MOD($D1125,1)=0),"－",IF(MOD($D1125,1)&lt;$L$6,"朝",IF(MOD($D1125,1)&lt;$L$7,"昼",IF(MOD($D1125,1)&lt;$L$8,"夕方","夜")))),IF(OR($D1125="朝",$D1125="昼",$D1125="夕方",$D1125="夜"),$D1125,"⚠ 不明"))))</f>
        <v/>
      </c>
    </row>
    <row r="1126" customFormat="false" ht="15" hidden="false" customHeight="false" outlineLevel="0" collapsed="false">
      <c r="A1126" s="75"/>
      <c r="B1126" s="76"/>
      <c r="C1126" s="77"/>
      <c r="D1126" s="78"/>
      <c r="E1126" s="77"/>
      <c r="F1126" s="76"/>
      <c r="G1126" s="76"/>
      <c r="I1126" s="79" t="str">
        <f aca="false">IF($B1126="","",IF(ISNUMBER(MATCH($B1126,日別データ!$B$13:$B$32,0)),"✔ OK","⚠ 未登録"))</f>
        <v/>
      </c>
      <c r="J1126" s="80" t="str">
        <f aca="false">IF($B1126="","",IF($D1126="","－",IF(ISNUMBER($D1126),IF(AND($D1126&gt;=1,MOD($D1126,1)=0),"－",IF(MOD($D1126,1)&lt;$L$6,"朝",IF(MOD($D1126,1)&lt;$L$7,"昼",IF(MOD($D1126,1)&lt;$L$8,"夕方","夜")))),IF(OR($D1126="朝",$D1126="昼",$D1126="夕方",$D1126="夜"),$D1126,"⚠ 不明"))))</f>
        <v/>
      </c>
    </row>
    <row r="1127" customFormat="false" ht="15" hidden="false" customHeight="false" outlineLevel="0" collapsed="false">
      <c r="A1127" s="75"/>
      <c r="B1127" s="76"/>
      <c r="C1127" s="77"/>
      <c r="D1127" s="78"/>
      <c r="E1127" s="77"/>
      <c r="F1127" s="76"/>
      <c r="G1127" s="76"/>
      <c r="I1127" s="79" t="str">
        <f aca="false">IF($B1127="","",IF(ISNUMBER(MATCH($B1127,日別データ!$B$13:$B$32,0)),"✔ OK","⚠ 未登録"))</f>
        <v/>
      </c>
      <c r="J1127" s="80" t="str">
        <f aca="false">IF($B1127="","",IF($D1127="","－",IF(ISNUMBER($D1127),IF(AND($D1127&gt;=1,MOD($D1127,1)=0),"－",IF(MOD($D1127,1)&lt;$L$6,"朝",IF(MOD($D1127,1)&lt;$L$7,"昼",IF(MOD($D1127,1)&lt;$L$8,"夕方","夜")))),IF(OR($D1127="朝",$D1127="昼",$D1127="夕方",$D1127="夜"),$D1127,"⚠ 不明"))))</f>
        <v/>
      </c>
    </row>
    <row r="1128" customFormat="false" ht="15" hidden="false" customHeight="false" outlineLevel="0" collapsed="false">
      <c r="A1128" s="75"/>
      <c r="B1128" s="76"/>
      <c r="C1128" s="77"/>
      <c r="D1128" s="78"/>
      <c r="E1128" s="77"/>
      <c r="F1128" s="76"/>
      <c r="G1128" s="76"/>
      <c r="I1128" s="79" t="str">
        <f aca="false">IF($B1128="","",IF(ISNUMBER(MATCH($B1128,日別データ!$B$13:$B$32,0)),"✔ OK","⚠ 未登録"))</f>
        <v/>
      </c>
      <c r="J1128" s="80" t="str">
        <f aca="false">IF($B1128="","",IF($D1128="","－",IF(ISNUMBER($D1128),IF(AND($D1128&gt;=1,MOD($D1128,1)=0),"－",IF(MOD($D1128,1)&lt;$L$6,"朝",IF(MOD($D1128,1)&lt;$L$7,"昼",IF(MOD($D1128,1)&lt;$L$8,"夕方","夜")))),IF(OR($D1128="朝",$D1128="昼",$D1128="夕方",$D1128="夜"),$D1128,"⚠ 不明"))))</f>
        <v/>
      </c>
    </row>
    <row r="1129" customFormat="false" ht="15" hidden="false" customHeight="false" outlineLevel="0" collapsed="false">
      <c r="A1129" s="75"/>
      <c r="B1129" s="76"/>
      <c r="C1129" s="77"/>
      <c r="D1129" s="78"/>
      <c r="E1129" s="77"/>
      <c r="F1129" s="76"/>
      <c r="G1129" s="76"/>
      <c r="I1129" s="79" t="str">
        <f aca="false">IF($B1129="","",IF(ISNUMBER(MATCH($B1129,日別データ!$B$13:$B$32,0)),"✔ OK","⚠ 未登録"))</f>
        <v/>
      </c>
      <c r="J1129" s="80" t="str">
        <f aca="false">IF($B1129="","",IF($D1129="","－",IF(ISNUMBER($D1129),IF(AND($D1129&gt;=1,MOD($D1129,1)=0),"－",IF(MOD($D1129,1)&lt;$L$6,"朝",IF(MOD($D1129,1)&lt;$L$7,"昼",IF(MOD($D1129,1)&lt;$L$8,"夕方","夜")))),IF(OR($D1129="朝",$D1129="昼",$D1129="夕方",$D1129="夜"),$D1129,"⚠ 不明"))))</f>
        <v/>
      </c>
    </row>
    <row r="1130" customFormat="false" ht="15" hidden="false" customHeight="false" outlineLevel="0" collapsed="false">
      <c r="A1130" s="75"/>
      <c r="B1130" s="76"/>
      <c r="C1130" s="77"/>
      <c r="D1130" s="78"/>
      <c r="E1130" s="77"/>
      <c r="F1130" s="76"/>
      <c r="G1130" s="76"/>
      <c r="I1130" s="79" t="str">
        <f aca="false">IF($B1130="","",IF(ISNUMBER(MATCH($B1130,日別データ!$B$13:$B$32,0)),"✔ OK","⚠ 未登録"))</f>
        <v/>
      </c>
      <c r="J1130" s="80" t="str">
        <f aca="false">IF($B1130="","",IF($D1130="","－",IF(ISNUMBER($D1130),IF(AND($D1130&gt;=1,MOD($D1130,1)=0),"－",IF(MOD($D1130,1)&lt;$L$6,"朝",IF(MOD($D1130,1)&lt;$L$7,"昼",IF(MOD($D1130,1)&lt;$L$8,"夕方","夜")))),IF(OR($D1130="朝",$D1130="昼",$D1130="夕方",$D1130="夜"),$D1130,"⚠ 不明"))))</f>
        <v/>
      </c>
    </row>
    <row r="1131" customFormat="false" ht="15" hidden="false" customHeight="false" outlineLevel="0" collapsed="false">
      <c r="A1131" s="75"/>
      <c r="B1131" s="76"/>
      <c r="C1131" s="77"/>
      <c r="D1131" s="78"/>
      <c r="E1131" s="77"/>
      <c r="F1131" s="76"/>
      <c r="G1131" s="76"/>
      <c r="I1131" s="79" t="str">
        <f aca="false">IF($B1131="","",IF(ISNUMBER(MATCH($B1131,日別データ!$B$13:$B$32,0)),"✔ OK","⚠ 未登録"))</f>
        <v/>
      </c>
      <c r="J1131" s="80" t="str">
        <f aca="false">IF($B1131="","",IF($D1131="","－",IF(ISNUMBER($D1131),IF(AND($D1131&gt;=1,MOD($D1131,1)=0),"－",IF(MOD($D1131,1)&lt;$L$6,"朝",IF(MOD($D1131,1)&lt;$L$7,"昼",IF(MOD($D1131,1)&lt;$L$8,"夕方","夜")))),IF(OR($D1131="朝",$D1131="昼",$D1131="夕方",$D1131="夜"),$D1131,"⚠ 不明"))))</f>
        <v/>
      </c>
    </row>
    <row r="1132" customFormat="false" ht="15" hidden="false" customHeight="false" outlineLevel="0" collapsed="false">
      <c r="A1132" s="75"/>
      <c r="B1132" s="76"/>
      <c r="C1132" s="77"/>
      <c r="D1132" s="78"/>
      <c r="E1132" s="77"/>
      <c r="F1132" s="76"/>
      <c r="G1132" s="76"/>
      <c r="I1132" s="79" t="str">
        <f aca="false">IF($B1132="","",IF(ISNUMBER(MATCH($B1132,日別データ!$B$13:$B$32,0)),"✔ OK","⚠ 未登録"))</f>
        <v/>
      </c>
      <c r="J1132" s="80" t="str">
        <f aca="false">IF($B1132="","",IF($D1132="","－",IF(ISNUMBER($D1132),IF(AND($D1132&gt;=1,MOD($D1132,1)=0),"－",IF(MOD($D1132,1)&lt;$L$6,"朝",IF(MOD($D1132,1)&lt;$L$7,"昼",IF(MOD($D1132,1)&lt;$L$8,"夕方","夜")))),IF(OR($D1132="朝",$D1132="昼",$D1132="夕方",$D1132="夜"),$D1132,"⚠ 不明"))))</f>
        <v/>
      </c>
    </row>
    <row r="1133" customFormat="false" ht="15" hidden="false" customHeight="false" outlineLevel="0" collapsed="false">
      <c r="A1133" s="75"/>
      <c r="B1133" s="76"/>
      <c r="C1133" s="77"/>
      <c r="D1133" s="78"/>
      <c r="E1133" s="77"/>
      <c r="F1133" s="76"/>
      <c r="G1133" s="76"/>
      <c r="I1133" s="79" t="str">
        <f aca="false">IF($B1133="","",IF(ISNUMBER(MATCH($B1133,日別データ!$B$13:$B$32,0)),"✔ OK","⚠ 未登録"))</f>
        <v/>
      </c>
      <c r="J1133" s="80" t="str">
        <f aca="false">IF($B1133="","",IF($D1133="","－",IF(ISNUMBER($D1133),IF(AND($D1133&gt;=1,MOD($D1133,1)=0),"－",IF(MOD($D1133,1)&lt;$L$6,"朝",IF(MOD($D1133,1)&lt;$L$7,"昼",IF(MOD($D1133,1)&lt;$L$8,"夕方","夜")))),IF(OR($D1133="朝",$D1133="昼",$D1133="夕方",$D1133="夜"),$D1133,"⚠ 不明"))))</f>
        <v/>
      </c>
    </row>
    <row r="1134" customFormat="false" ht="15" hidden="false" customHeight="false" outlineLevel="0" collapsed="false">
      <c r="A1134" s="75"/>
      <c r="B1134" s="76"/>
      <c r="C1134" s="77"/>
      <c r="D1134" s="78"/>
      <c r="E1134" s="77"/>
      <c r="F1134" s="76"/>
      <c r="G1134" s="76"/>
      <c r="I1134" s="79" t="str">
        <f aca="false">IF($B1134="","",IF(ISNUMBER(MATCH($B1134,日別データ!$B$13:$B$32,0)),"✔ OK","⚠ 未登録"))</f>
        <v/>
      </c>
      <c r="J1134" s="80" t="str">
        <f aca="false">IF($B1134="","",IF($D1134="","－",IF(ISNUMBER($D1134),IF(AND($D1134&gt;=1,MOD($D1134,1)=0),"－",IF(MOD($D1134,1)&lt;$L$6,"朝",IF(MOD($D1134,1)&lt;$L$7,"昼",IF(MOD($D1134,1)&lt;$L$8,"夕方","夜")))),IF(OR($D1134="朝",$D1134="昼",$D1134="夕方",$D1134="夜"),$D1134,"⚠ 不明"))))</f>
        <v/>
      </c>
    </row>
    <row r="1135" customFormat="false" ht="15" hidden="false" customHeight="false" outlineLevel="0" collapsed="false">
      <c r="A1135" s="75"/>
      <c r="B1135" s="76"/>
      <c r="C1135" s="77"/>
      <c r="D1135" s="78"/>
      <c r="E1135" s="77"/>
      <c r="F1135" s="76"/>
      <c r="G1135" s="76"/>
      <c r="I1135" s="79" t="str">
        <f aca="false">IF($B1135="","",IF(ISNUMBER(MATCH($B1135,日別データ!$B$13:$B$32,0)),"✔ OK","⚠ 未登録"))</f>
        <v/>
      </c>
      <c r="J1135" s="80" t="str">
        <f aca="false">IF($B1135="","",IF($D1135="","－",IF(ISNUMBER($D1135),IF(AND($D1135&gt;=1,MOD($D1135,1)=0),"－",IF(MOD($D1135,1)&lt;$L$6,"朝",IF(MOD($D1135,1)&lt;$L$7,"昼",IF(MOD($D1135,1)&lt;$L$8,"夕方","夜")))),IF(OR($D1135="朝",$D1135="昼",$D1135="夕方",$D1135="夜"),$D1135,"⚠ 不明"))))</f>
        <v/>
      </c>
    </row>
    <row r="1136" customFormat="false" ht="15" hidden="false" customHeight="false" outlineLevel="0" collapsed="false">
      <c r="A1136" s="75"/>
      <c r="B1136" s="76"/>
      <c r="C1136" s="77"/>
      <c r="D1136" s="78"/>
      <c r="E1136" s="77"/>
      <c r="F1136" s="76"/>
      <c r="G1136" s="76"/>
      <c r="I1136" s="79" t="str">
        <f aca="false">IF($B1136="","",IF(ISNUMBER(MATCH($B1136,日別データ!$B$13:$B$32,0)),"✔ OK","⚠ 未登録"))</f>
        <v/>
      </c>
      <c r="J1136" s="80" t="str">
        <f aca="false">IF($B1136="","",IF($D1136="","－",IF(ISNUMBER($D1136),IF(AND($D1136&gt;=1,MOD($D1136,1)=0),"－",IF(MOD($D1136,1)&lt;$L$6,"朝",IF(MOD($D1136,1)&lt;$L$7,"昼",IF(MOD($D1136,1)&lt;$L$8,"夕方","夜")))),IF(OR($D1136="朝",$D1136="昼",$D1136="夕方",$D1136="夜"),$D1136,"⚠ 不明"))))</f>
        <v/>
      </c>
    </row>
    <row r="1137" customFormat="false" ht="15" hidden="false" customHeight="false" outlineLevel="0" collapsed="false">
      <c r="A1137" s="75"/>
      <c r="B1137" s="76"/>
      <c r="C1137" s="77"/>
      <c r="D1137" s="78"/>
      <c r="E1137" s="77"/>
      <c r="F1137" s="76"/>
      <c r="G1137" s="76"/>
      <c r="I1137" s="79" t="str">
        <f aca="false">IF($B1137="","",IF(ISNUMBER(MATCH($B1137,日別データ!$B$13:$B$32,0)),"✔ OK","⚠ 未登録"))</f>
        <v/>
      </c>
      <c r="J1137" s="80" t="str">
        <f aca="false">IF($B1137="","",IF($D1137="","－",IF(ISNUMBER($D1137),IF(AND($D1137&gt;=1,MOD($D1137,1)=0),"－",IF(MOD($D1137,1)&lt;$L$6,"朝",IF(MOD($D1137,1)&lt;$L$7,"昼",IF(MOD($D1137,1)&lt;$L$8,"夕方","夜")))),IF(OR($D1137="朝",$D1137="昼",$D1137="夕方",$D1137="夜"),$D1137,"⚠ 不明"))))</f>
        <v/>
      </c>
    </row>
    <row r="1138" customFormat="false" ht="15" hidden="false" customHeight="false" outlineLevel="0" collapsed="false">
      <c r="A1138" s="75"/>
      <c r="B1138" s="76"/>
      <c r="C1138" s="77"/>
      <c r="D1138" s="78"/>
      <c r="E1138" s="77"/>
      <c r="F1138" s="76"/>
      <c r="G1138" s="76"/>
      <c r="I1138" s="79" t="str">
        <f aca="false">IF($B1138="","",IF(ISNUMBER(MATCH($B1138,日別データ!$B$13:$B$32,0)),"✔ OK","⚠ 未登録"))</f>
        <v/>
      </c>
      <c r="J1138" s="80" t="str">
        <f aca="false">IF($B1138="","",IF($D1138="","－",IF(ISNUMBER($D1138),IF(AND($D1138&gt;=1,MOD($D1138,1)=0),"－",IF(MOD($D1138,1)&lt;$L$6,"朝",IF(MOD($D1138,1)&lt;$L$7,"昼",IF(MOD($D1138,1)&lt;$L$8,"夕方","夜")))),IF(OR($D1138="朝",$D1138="昼",$D1138="夕方",$D1138="夜"),$D1138,"⚠ 不明"))))</f>
        <v/>
      </c>
    </row>
    <row r="1139" customFormat="false" ht="15" hidden="false" customHeight="false" outlineLevel="0" collapsed="false">
      <c r="A1139" s="75"/>
      <c r="B1139" s="76"/>
      <c r="C1139" s="77"/>
      <c r="D1139" s="78"/>
      <c r="E1139" s="77"/>
      <c r="F1139" s="76"/>
      <c r="G1139" s="76"/>
      <c r="I1139" s="79" t="str">
        <f aca="false">IF($B1139="","",IF(ISNUMBER(MATCH($B1139,日別データ!$B$13:$B$32,0)),"✔ OK","⚠ 未登録"))</f>
        <v/>
      </c>
      <c r="J1139" s="80" t="str">
        <f aca="false">IF($B1139="","",IF($D1139="","－",IF(ISNUMBER($D1139),IF(AND($D1139&gt;=1,MOD($D1139,1)=0),"－",IF(MOD($D1139,1)&lt;$L$6,"朝",IF(MOD($D1139,1)&lt;$L$7,"昼",IF(MOD($D1139,1)&lt;$L$8,"夕方","夜")))),IF(OR($D1139="朝",$D1139="昼",$D1139="夕方",$D1139="夜"),$D1139,"⚠ 不明"))))</f>
        <v/>
      </c>
    </row>
    <row r="1140" customFormat="false" ht="15" hidden="false" customHeight="false" outlineLevel="0" collapsed="false">
      <c r="A1140" s="75"/>
      <c r="B1140" s="76"/>
      <c r="C1140" s="77"/>
      <c r="D1140" s="78"/>
      <c r="E1140" s="77"/>
      <c r="F1140" s="76"/>
      <c r="G1140" s="76"/>
      <c r="I1140" s="79" t="str">
        <f aca="false">IF($B1140="","",IF(ISNUMBER(MATCH($B1140,日別データ!$B$13:$B$32,0)),"✔ OK","⚠ 未登録"))</f>
        <v/>
      </c>
      <c r="J1140" s="80" t="str">
        <f aca="false">IF($B1140="","",IF($D1140="","－",IF(ISNUMBER($D1140),IF(AND($D1140&gt;=1,MOD($D1140,1)=0),"－",IF(MOD($D1140,1)&lt;$L$6,"朝",IF(MOD($D1140,1)&lt;$L$7,"昼",IF(MOD($D1140,1)&lt;$L$8,"夕方","夜")))),IF(OR($D1140="朝",$D1140="昼",$D1140="夕方",$D1140="夜"),$D1140,"⚠ 不明"))))</f>
        <v/>
      </c>
    </row>
    <row r="1141" customFormat="false" ht="15" hidden="false" customHeight="false" outlineLevel="0" collapsed="false">
      <c r="A1141" s="75"/>
      <c r="B1141" s="76"/>
      <c r="C1141" s="77"/>
      <c r="D1141" s="78"/>
      <c r="E1141" s="77"/>
      <c r="F1141" s="76"/>
      <c r="G1141" s="76"/>
      <c r="I1141" s="79" t="str">
        <f aca="false">IF($B1141="","",IF(ISNUMBER(MATCH($B1141,日別データ!$B$13:$B$32,0)),"✔ OK","⚠ 未登録"))</f>
        <v/>
      </c>
      <c r="J1141" s="80" t="str">
        <f aca="false">IF($B1141="","",IF($D1141="","－",IF(ISNUMBER($D1141),IF(AND($D1141&gt;=1,MOD($D1141,1)=0),"－",IF(MOD($D1141,1)&lt;$L$6,"朝",IF(MOD($D1141,1)&lt;$L$7,"昼",IF(MOD($D1141,1)&lt;$L$8,"夕方","夜")))),IF(OR($D1141="朝",$D1141="昼",$D1141="夕方",$D1141="夜"),$D1141,"⚠ 不明"))))</f>
        <v/>
      </c>
    </row>
    <row r="1142" customFormat="false" ht="15" hidden="false" customHeight="false" outlineLevel="0" collapsed="false">
      <c r="A1142" s="75"/>
      <c r="B1142" s="76"/>
      <c r="C1142" s="77"/>
      <c r="D1142" s="78"/>
      <c r="E1142" s="77"/>
      <c r="F1142" s="76"/>
      <c r="G1142" s="76"/>
      <c r="I1142" s="79" t="str">
        <f aca="false">IF($B1142="","",IF(ISNUMBER(MATCH($B1142,日別データ!$B$13:$B$32,0)),"✔ OK","⚠ 未登録"))</f>
        <v/>
      </c>
      <c r="J1142" s="80" t="str">
        <f aca="false">IF($B1142="","",IF($D1142="","－",IF(ISNUMBER($D1142),IF(AND($D1142&gt;=1,MOD($D1142,1)=0),"－",IF(MOD($D1142,1)&lt;$L$6,"朝",IF(MOD($D1142,1)&lt;$L$7,"昼",IF(MOD($D1142,1)&lt;$L$8,"夕方","夜")))),IF(OR($D1142="朝",$D1142="昼",$D1142="夕方",$D1142="夜"),$D1142,"⚠ 不明"))))</f>
        <v/>
      </c>
    </row>
    <row r="1143" customFormat="false" ht="15" hidden="false" customHeight="false" outlineLevel="0" collapsed="false">
      <c r="A1143" s="75"/>
      <c r="B1143" s="76"/>
      <c r="C1143" s="77"/>
      <c r="D1143" s="78"/>
      <c r="E1143" s="77"/>
      <c r="F1143" s="76"/>
      <c r="G1143" s="76"/>
      <c r="I1143" s="79" t="str">
        <f aca="false">IF($B1143="","",IF(ISNUMBER(MATCH($B1143,日別データ!$B$13:$B$32,0)),"✔ OK","⚠ 未登録"))</f>
        <v/>
      </c>
      <c r="J1143" s="80" t="str">
        <f aca="false">IF($B1143="","",IF($D1143="","－",IF(ISNUMBER($D1143),IF(AND($D1143&gt;=1,MOD($D1143,1)=0),"－",IF(MOD($D1143,1)&lt;$L$6,"朝",IF(MOD($D1143,1)&lt;$L$7,"昼",IF(MOD($D1143,1)&lt;$L$8,"夕方","夜")))),IF(OR($D1143="朝",$D1143="昼",$D1143="夕方",$D1143="夜"),$D1143,"⚠ 不明"))))</f>
        <v/>
      </c>
    </row>
    <row r="1144" customFormat="false" ht="15" hidden="false" customHeight="false" outlineLevel="0" collapsed="false">
      <c r="A1144" s="75"/>
      <c r="B1144" s="76"/>
      <c r="C1144" s="77"/>
      <c r="D1144" s="78"/>
      <c r="E1144" s="77"/>
      <c r="F1144" s="76"/>
      <c r="G1144" s="76"/>
      <c r="I1144" s="79" t="str">
        <f aca="false">IF($B1144="","",IF(ISNUMBER(MATCH($B1144,日別データ!$B$13:$B$32,0)),"✔ OK","⚠ 未登録"))</f>
        <v/>
      </c>
      <c r="J1144" s="80" t="str">
        <f aca="false">IF($B1144="","",IF($D1144="","－",IF(ISNUMBER($D1144),IF(AND($D1144&gt;=1,MOD($D1144,1)=0),"－",IF(MOD($D1144,1)&lt;$L$6,"朝",IF(MOD($D1144,1)&lt;$L$7,"昼",IF(MOD($D1144,1)&lt;$L$8,"夕方","夜")))),IF(OR($D1144="朝",$D1144="昼",$D1144="夕方",$D1144="夜"),$D1144,"⚠ 不明"))))</f>
        <v/>
      </c>
    </row>
    <row r="1145" customFormat="false" ht="15" hidden="false" customHeight="false" outlineLevel="0" collapsed="false">
      <c r="A1145" s="75"/>
      <c r="B1145" s="76"/>
      <c r="C1145" s="77"/>
      <c r="D1145" s="78"/>
      <c r="E1145" s="77"/>
      <c r="F1145" s="76"/>
      <c r="G1145" s="76"/>
      <c r="I1145" s="79" t="str">
        <f aca="false">IF($B1145="","",IF(ISNUMBER(MATCH($B1145,日別データ!$B$13:$B$32,0)),"✔ OK","⚠ 未登録"))</f>
        <v/>
      </c>
      <c r="J1145" s="80" t="str">
        <f aca="false">IF($B1145="","",IF($D1145="","－",IF(ISNUMBER($D1145),IF(AND($D1145&gt;=1,MOD($D1145,1)=0),"－",IF(MOD($D1145,1)&lt;$L$6,"朝",IF(MOD($D1145,1)&lt;$L$7,"昼",IF(MOD($D1145,1)&lt;$L$8,"夕方","夜")))),IF(OR($D1145="朝",$D1145="昼",$D1145="夕方",$D1145="夜"),$D1145,"⚠ 不明"))))</f>
        <v/>
      </c>
    </row>
    <row r="1146" customFormat="false" ht="15" hidden="false" customHeight="false" outlineLevel="0" collapsed="false">
      <c r="A1146" s="75"/>
      <c r="B1146" s="76"/>
      <c r="C1146" s="77"/>
      <c r="D1146" s="78"/>
      <c r="E1146" s="77"/>
      <c r="F1146" s="76"/>
      <c r="G1146" s="76"/>
      <c r="I1146" s="79" t="str">
        <f aca="false">IF($B1146="","",IF(ISNUMBER(MATCH($B1146,日別データ!$B$13:$B$32,0)),"✔ OK","⚠ 未登録"))</f>
        <v/>
      </c>
      <c r="J1146" s="80" t="str">
        <f aca="false">IF($B1146="","",IF($D1146="","－",IF(ISNUMBER($D1146),IF(AND($D1146&gt;=1,MOD($D1146,1)=0),"－",IF(MOD($D1146,1)&lt;$L$6,"朝",IF(MOD($D1146,1)&lt;$L$7,"昼",IF(MOD($D1146,1)&lt;$L$8,"夕方","夜")))),IF(OR($D1146="朝",$D1146="昼",$D1146="夕方",$D1146="夜"),$D1146,"⚠ 不明"))))</f>
        <v/>
      </c>
    </row>
    <row r="1147" customFormat="false" ht="15" hidden="false" customHeight="false" outlineLevel="0" collapsed="false">
      <c r="A1147" s="75"/>
      <c r="B1147" s="76"/>
      <c r="C1147" s="77"/>
      <c r="D1147" s="78"/>
      <c r="E1147" s="77"/>
      <c r="F1147" s="76"/>
      <c r="G1147" s="76"/>
      <c r="I1147" s="79" t="str">
        <f aca="false">IF($B1147="","",IF(ISNUMBER(MATCH($B1147,日別データ!$B$13:$B$32,0)),"✔ OK","⚠ 未登録"))</f>
        <v/>
      </c>
      <c r="J1147" s="80" t="str">
        <f aca="false">IF($B1147="","",IF($D1147="","－",IF(ISNUMBER($D1147),IF(AND($D1147&gt;=1,MOD($D1147,1)=0),"－",IF(MOD($D1147,1)&lt;$L$6,"朝",IF(MOD($D1147,1)&lt;$L$7,"昼",IF(MOD($D1147,1)&lt;$L$8,"夕方","夜")))),IF(OR($D1147="朝",$D1147="昼",$D1147="夕方",$D1147="夜"),$D1147,"⚠ 不明"))))</f>
        <v/>
      </c>
    </row>
    <row r="1148" customFormat="false" ht="15" hidden="false" customHeight="false" outlineLevel="0" collapsed="false">
      <c r="A1148" s="75"/>
      <c r="B1148" s="76"/>
      <c r="C1148" s="77"/>
      <c r="D1148" s="78"/>
      <c r="E1148" s="77"/>
      <c r="F1148" s="76"/>
      <c r="G1148" s="76"/>
      <c r="I1148" s="79" t="str">
        <f aca="false">IF($B1148="","",IF(ISNUMBER(MATCH($B1148,日別データ!$B$13:$B$32,0)),"✔ OK","⚠ 未登録"))</f>
        <v/>
      </c>
      <c r="J1148" s="80" t="str">
        <f aca="false">IF($B1148="","",IF($D1148="","－",IF(ISNUMBER($D1148),IF(AND($D1148&gt;=1,MOD($D1148,1)=0),"－",IF(MOD($D1148,1)&lt;$L$6,"朝",IF(MOD($D1148,1)&lt;$L$7,"昼",IF(MOD($D1148,1)&lt;$L$8,"夕方","夜")))),IF(OR($D1148="朝",$D1148="昼",$D1148="夕方",$D1148="夜"),$D1148,"⚠ 不明"))))</f>
        <v/>
      </c>
    </row>
    <row r="1149" customFormat="false" ht="15" hidden="false" customHeight="false" outlineLevel="0" collapsed="false">
      <c r="A1149" s="75"/>
      <c r="B1149" s="76"/>
      <c r="C1149" s="77"/>
      <c r="D1149" s="78"/>
      <c r="E1149" s="77"/>
      <c r="F1149" s="76"/>
      <c r="G1149" s="76"/>
      <c r="I1149" s="79" t="str">
        <f aca="false">IF($B1149="","",IF(ISNUMBER(MATCH($B1149,日別データ!$B$13:$B$32,0)),"✔ OK","⚠ 未登録"))</f>
        <v/>
      </c>
      <c r="J1149" s="80" t="str">
        <f aca="false">IF($B1149="","",IF($D1149="","－",IF(ISNUMBER($D1149),IF(AND($D1149&gt;=1,MOD($D1149,1)=0),"－",IF(MOD($D1149,1)&lt;$L$6,"朝",IF(MOD($D1149,1)&lt;$L$7,"昼",IF(MOD($D1149,1)&lt;$L$8,"夕方","夜")))),IF(OR($D1149="朝",$D1149="昼",$D1149="夕方",$D1149="夜"),$D1149,"⚠ 不明"))))</f>
        <v/>
      </c>
    </row>
    <row r="1150" customFormat="false" ht="15" hidden="false" customHeight="false" outlineLevel="0" collapsed="false">
      <c r="A1150" s="75"/>
      <c r="B1150" s="76"/>
      <c r="C1150" s="77"/>
      <c r="D1150" s="78"/>
      <c r="E1150" s="77"/>
      <c r="F1150" s="76"/>
      <c r="G1150" s="76"/>
      <c r="I1150" s="79" t="str">
        <f aca="false">IF($B1150="","",IF(ISNUMBER(MATCH($B1150,日別データ!$B$13:$B$32,0)),"✔ OK","⚠ 未登録"))</f>
        <v/>
      </c>
      <c r="J1150" s="80" t="str">
        <f aca="false">IF($B1150="","",IF($D1150="","－",IF(ISNUMBER($D1150),IF(AND($D1150&gt;=1,MOD($D1150,1)=0),"－",IF(MOD($D1150,1)&lt;$L$6,"朝",IF(MOD($D1150,1)&lt;$L$7,"昼",IF(MOD($D1150,1)&lt;$L$8,"夕方","夜")))),IF(OR($D1150="朝",$D1150="昼",$D1150="夕方",$D1150="夜"),$D1150,"⚠ 不明"))))</f>
        <v/>
      </c>
    </row>
    <row r="1151" customFormat="false" ht="15" hidden="false" customHeight="false" outlineLevel="0" collapsed="false">
      <c r="A1151" s="75"/>
      <c r="B1151" s="76"/>
      <c r="C1151" s="77"/>
      <c r="D1151" s="78"/>
      <c r="E1151" s="77"/>
      <c r="F1151" s="76"/>
      <c r="G1151" s="76"/>
      <c r="I1151" s="79" t="str">
        <f aca="false">IF($B1151="","",IF(ISNUMBER(MATCH($B1151,日別データ!$B$13:$B$32,0)),"✔ OK","⚠ 未登録"))</f>
        <v/>
      </c>
      <c r="J1151" s="80" t="str">
        <f aca="false">IF($B1151="","",IF($D1151="","－",IF(ISNUMBER($D1151),IF(AND($D1151&gt;=1,MOD($D1151,1)=0),"－",IF(MOD($D1151,1)&lt;$L$6,"朝",IF(MOD($D1151,1)&lt;$L$7,"昼",IF(MOD($D1151,1)&lt;$L$8,"夕方","夜")))),IF(OR($D1151="朝",$D1151="昼",$D1151="夕方",$D1151="夜"),$D1151,"⚠ 不明"))))</f>
        <v/>
      </c>
    </row>
    <row r="1152" customFormat="false" ht="15" hidden="false" customHeight="false" outlineLevel="0" collapsed="false">
      <c r="A1152" s="75"/>
      <c r="B1152" s="76"/>
      <c r="C1152" s="77"/>
      <c r="D1152" s="78"/>
      <c r="E1152" s="77"/>
      <c r="F1152" s="76"/>
      <c r="G1152" s="76"/>
      <c r="I1152" s="79" t="str">
        <f aca="false">IF($B1152="","",IF(ISNUMBER(MATCH($B1152,日別データ!$B$13:$B$32,0)),"✔ OK","⚠ 未登録"))</f>
        <v/>
      </c>
      <c r="J1152" s="80" t="str">
        <f aca="false">IF($B1152="","",IF($D1152="","－",IF(ISNUMBER($D1152),IF(AND($D1152&gt;=1,MOD($D1152,1)=0),"－",IF(MOD($D1152,1)&lt;$L$6,"朝",IF(MOD($D1152,1)&lt;$L$7,"昼",IF(MOD($D1152,1)&lt;$L$8,"夕方","夜")))),IF(OR($D1152="朝",$D1152="昼",$D1152="夕方",$D1152="夜"),$D1152,"⚠ 不明"))))</f>
        <v/>
      </c>
    </row>
    <row r="1153" customFormat="false" ht="15" hidden="false" customHeight="false" outlineLevel="0" collapsed="false">
      <c r="A1153" s="75"/>
      <c r="B1153" s="76"/>
      <c r="C1153" s="77"/>
      <c r="D1153" s="78"/>
      <c r="E1153" s="77"/>
      <c r="F1153" s="76"/>
      <c r="G1153" s="76"/>
      <c r="I1153" s="79" t="str">
        <f aca="false">IF($B1153="","",IF(ISNUMBER(MATCH($B1153,日別データ!$B$13:$B$32,0)),"✔ OK","⚠ 未登録"))</f>
        <v/>
      </c>
      <c r="J1153" s="80" t="str">
        <f aca="false">IF($B1153="","",IF($D1153="","－",IF(ISNUMBER($D1153),IF(AND($D1153&gt;=1,MOD($D1153,1)=0),"－",IF(MOD($D1153,1)&lt;$L$6,"朝",IF(MOD($D1153,1)&lt;$L$7,"昼",IF(MOD($D1153,1)&lt;$L$8,"夕方","夜")))),IF(OR($D1153="朝",$D1153="昼",$D1153="夕方",$D1153="夜"),$D1153,"⚠ 不明"))))</f>
        <v/>
      </c>
    </row>
    <row r="1154" customFormat="false" ht="15" hidden="false" customHeight="false" outlineLevel="0" collapsed="false">
      <c r="A1154" s="75"/>
      <c r="B1154" s="76"/>
      <c r="C1154" s="77"/>
      <c r="D1154" s="78"/>
      <c r="E1154" s="77"/>
      <c r="F1154" s="76"/>
      <c r="G1154" s="76"/>
      <c r="I1154" s="79" t="str">
        <f aca="false">IF($B1154="","",IF(ISNUMBER(MATCH($B1154,日別データ!$B$13:$B$32,0)),"✔ OK","⚠ 未登録"))</f>
        <v/>
      </c>
      <c r="J1154" s="80" t="str">
        <f aca="false">IF($B1154="","",IF($D1154="","－",IF(ISNUMBER($D1154),IF(AND($D1154&gt;=1,MOD($D1154,1)=0),"－",IF(MOD($D1154,1)&lt;$L$6,"朝",IF(MOD($D1154,1)&lt;$L$7,"昼",IF(MOD($D1154,1)&lt;$L$8,"夕方","夜")))),IF(OR($D1154="朝",$D1154="昼",$D1154="夕方",$D1154="夜"),$D1154,"⚠ 不明"))))</f>
        <v/>
      </c>
    </row>
    <row r="1155" customFormat="false" ht="15" hidden="false" customHeight="false" outlineLevel="0" collapsed="false">
      <c r="A1155" s="75"/>
      <c r="B1155" s="76"/>
      <c r="C1155" s="77"/>
      <c r="D1155" s="78"/>
      <c r="E1155" s="77"/>
      <c r="F1155" s="76"/>
      <c r="G1155" s="76"/>
      <c r="I1155" s="79" t="str">
        <f aca="false">IF($B1155="","",IF(ISNUMBER(MATCH($B1155,日別データ!$B$13:$B$32,0)),"✔ OK","⚠ 未登録"))</f>
        <v/>
      </c>
      <c r="J1155" s="80" t="str">
        <f aca="false">IF($B1155="","",IF($D1155="","－",IF(ISNUMBER($D1155),IF(AND($D1155&gt;=1,MOD($D1155,1)=0),"－",IF(MOD($D1155,1)&lt;$L$6,"朝",IF(MOD($D1155,1)&lt;$L$7,"昼",IF(MOD($D1155,1)&lt;$L$8,"夕方","夜")))),IF(OR($D1155="朝",$D1155="昼",$D1155="夕方",$D1155="夜"),$D1155,"⚠ 不明"))))</f>
        <v/>
      </c>
    </row>
    <row r="1156" customFormat="false" ht="15" hidden="false" customHeight="false" outlineLevel="0" collapsed="false">
      <c r="A1156" s="75"/>
      <c r="B1156" s="76"/>
      <c r="C1156" s="77"/>
      <c r="D1156" s="78"/>
      <c r="E1156" s="77"/>
      <c r="F1156" s="76"/>
      <c r="G1156" s="76"/>
      <c r="I1156" s="79" t="str">
        <f aca="false">IF($B1156="","",IF(ISNUMBER(MATCH($B1156,日別データ!$B$13:$B$32,0)),"✔ OK","⚠ 未登録"))</f>
        <v/>
      </c>
      <c r="J1156" s="80" t="str">
        <f aca="false">IF($B1156="","",IF($D1156="","－",IF(ISNUMBER($D1156),IF(AND($D1156&gt;=1,MOD($D1156,1)=0),"－",IF(MOD($D1156,1)&lt;$L$6,"朝",IF(MOD($D1156,1)&lt;$L$7,"昼",IF(MOD($D1156,1)&lt;$L$8,"夕方","夜")))),IF(OR($D1156="朝",$D1156="昼",$D1156="夕方",$D1156="夜"),$D1156,"⚠ 不明"))))</f>
        <v/>
      </c>
    </row>
    <row r="1157" customFormat="false" ht="15" hidden="false" customHeight="false" outlineLevel="0" collapsed="false">
      <c r="A1157" s="75"/>
      <c r="B1157" s="76"/>
      <c r="C1157" s="77"/>
      <c r="D1157" s="78"/>
      <c r="E1157" s="77"/>
      <c r="F1157" s="76"/>
      <c r="G1157" s="76"/>
      <c r="I1157" s="79" t="str">
        <f aca="false">IF($B1157="","",IF(ISNUMBER(MATCH($B1157,日別データ!$B$13:$B$32,0)),"✔ OK","⚠ 未登録"))</f>
        <v/>
      </c>
      <c r="J1157" s="80" t="str">
        <f aca="false">IF($B1157="","",IF($D1157="","－",IF(ISNUMBER($D1157),IF(AND($D1157&gt;=1,MOD($D1157,1)=0),"－",IF(MOD($D1157,1)&lt;$L$6,"朝",IF(MOD($D1157,1)&lt;$L$7,"昼",IF(MOD($D1157,1)&lt;$L$8,"夕方","夜")))),IF(OR($D1157="朝",$D1157="昼",$D1157="夕方",$D1157="夜"),$D1157,"⚠ 不明"))))</f>
        <v/>
      </c>
    </row>
    <row r="1158" customFormat="false" ht="15" hidden="false" customHeight="false" outlineLevel="0" collapsed="false">
      <c r="A1158" s="75"/>
      <c r="B1158" s="76"/>
      <c r="C1158" s="77"/>
      <c r="D1158" s="78"/>
      <c r="E1158" s="77"/>
      <c r="F1158" s="76"/>
      <c r="G1158" s="76"/>
      <c r="I1158" s="79" t="str">
        <f aca="false">IF($B1158="","",IF(ISNUMBER(MATCH($B1158,日別データ!$B$13:$B$32,0)),"✔ OK","⚠ 未登録"))</f>
        <v/>
      </c>
      <c r="J1158" s="80" t="str">
        <f aca="false">IF($B1158="","",IF($D1158="","－",IF(ISNUMBER($D1158),IF(AND($D1158&gt;=1,MOD($D1158,1)=0),"－",IF(MOD($D1158,1)&lt;$L$6,"朝",IF(MOD($D1158,1)&lt;$L$7,"昼",IF(MOD($D1158,1)&lt;$L$8,"夕方","夜")))),IF(OR($D1158="朝",$D1158="昼",$D1158="夕方",$D1158="夜"),$D1158,"⚠ 不明"))))</f>
        <v/>
      </c>
    </row>
    <row r="1159" customFormat="false" ht="15" hidden="false" customHeight="false" outlineLevel="0" collapsed="false">
      <c r="A1159" s="75"/>
      <c r="B1159" s="76"/>
      <c r="C1159" s="77"/>
      <c r="D1159" s="78"/>
      <c r="E1159" s="77"/>
      <c r="F1159" s="76"/>
      <c r="G1159" s="76"/>
      <c r="I1159" s="79" t="str">
        <f aca="false">IF($B1159="","",IF(ISNUMBER(MATCH($B1159,日別データ!$B$13:$B$32,0)),"✔ OK","⚠ 未登録"))</f>
        <v/>
      </c>
      <c r="J1159" s="80" t="str">
        <f aca="false">IF($B1159="","",IF($D1159="","－",IF(ISNUMBER($D1159),IF(AND($D1159&gt;=1,MOD($D1159,1)=0),"－",IF(MOD($D1159,1)&lt;$L$6,"朝",IF(MOD($D1159,1)&lt;$L$7,"昼",IF(MOD($D1159,1)&lt;$L$8,"夕方","夜")))),IF(OR($D1159="朝",$D1159="昼",$D1159="夕方",$D1159="夜"),$D1159,"⚠ 不明"))))</f>
        <v/>
      </c>
    </row>
    <row r="1160" customFormat="false" ht="15" hidden="false" customHeight="false" outlineLevel="0" collapsed="false">
      <c r="A1160" s="75"/>
      <c r="B1160" s="76"/>
      <c r="C1160" s="77"/>
      <c r="D1160" s="78"/>
      <c r="E1160" s="77"/>
      <c r="F1160" s="76"/>
      <c r="G1160" s="76"/>
      <c r="I1160" s="79" t="str">
        <f aca="false">IF($B1160="","",IF(ISNUMBER(MATCH($B1160,日別データ!$B$13:$B$32,0)),"✔ OK","⚠ 未登録"))</f>
        <v/>
      </c>
      <c r="J1160" s="80" t="str">
        <f aca="false">IF($B1160="","",IF($D1160="","－",IF(ISNUMBER($D1160),IF(AND($D1160&gt;=1,MOD($D1160,1)=0),"－",IF(MOD($D1160,1)&lt;$L$6,"朝",IF(MOD($D1160,1)&lt;$L$7,"昼",IF(MOD($D1160,1)&lt;$L$8,"夕方","夜")))),IF(OR($D1160="朝",$D1160="昼",$D1160="夕方",$D1160="夜"),$D1160,"⚠ 不明"))))</f>
        <v/>
      </c>
    </row>
    <row r="1161" customFormat="false" ht="15" hidden="false" customHeight="false" outlineLevel="0" collapsed="false">
      <c r="A1161" s="75"/>
      <c r="B1161" s="76"/>
      <c r="C1161" s="77"/>
      <c r="D1161" s="78"/>
      <c r="E1161" s="77"/>
      <c r="F1161" s="76"/>
      <c r="G1161" s="76"/>
      <c r="I1161" s="79" t="str">
        <f aca="false">IF($B1161="","",IF(ISNUMBER(MATCH($B1161,日別データ!$B$13:$B$32,0)),"✔ OK","⚠ 未登録"))</f>
        <v/>
      </c>
      <c r="J1161" s="80" t="str">
        <f aca="false">IF($B1161="","",IF($D1161="","－",IF(ISNUMBER($D1161),IF(AND($D1161&gt;=1,MOD($D1161,1)=0),"－",IF(MOD($D1161,1)&lt;$L$6,"朝",IF(MOD($D1161,1)&lt;$L$7,"昼",IF(MOD($D1161,1)&lt;$L$8,"夕方","夜")))),IF(OR($D1161="朝",$D1161="昼",$D1161="夕方",$D1161="夜"),$D1161,"⚠ 不明"))))</f>
        <v/>
      </c>
    </row>
    <row r="1162" customFormat="false" ht="15" hidden="false" customHeight="false" outlineLevel="0" collapsed="false">
      <c r="A1162" s="75"/>
      <c r="B1162" s="76"/>
      <c r="C1162" s="77"/>
      <c r="D1162" s="78"/>
      <c r="E1162" s="77"/>
      <c r="F1162" s="76"/>
      <c r="G1162" s="76"/>
      <c r="I1162" s="79" t="str">
        <f aca="false">IF($B1162="","",IF(ISNUMBER(MATCH($B1162,日別データ!$B$13:$B$32,0)),"✔ OK","⚠ 未登録"))</f>
        <v/>
      </c>
      <c r="J1162" s="80" t="str">
        <f aca="false">IF($B1162="","",IF($D1162="","－",IF(ISNUMBER($D1162),IF(AND($D1162&gt;=1,MOD($D1162,1)=0),"－",IF(MOD($D1162,1)&lt;$L$6,"朝",IF(MOD($D1162,1)&lt;$L$7,"昼",IF(MOD($D1162,1)&lt;$L$8,"夕方","夜")))),IF(OR($D1162="朝",$D1162="昼",$D1162="夕方",$D1162="夜"),$D1162,"⚠ 不明"))))</f>
        <v/>
      </c>
    </row>
    <row r="1163" customFormat="false" ht="15" hidden="false" customHeight="false" outlineLevel="0" collapsed="false">
      <c r="A1163" s="75"/>
      <c r="B1163" s="76"/>
      <c r="C1163" s="77"/>
      <c r="D1163" s="78"/>
      <c r="E1163" s="77"/>
      <c r="F1163" s="76"/>
      <c r="G1163" s="76"/>
      <c r="I1163" s="79" t="str">
        <f aca="false">IF($B1163="","",IF(ISNUMBER(MATCH($B1163,日別データ!$B$13:$B$32,0)),"✔ OK","⚠ 未登録"))</f>
        <v/>
      </c>
      <c r="J1163" s="80" t="str">
        <f aca="false">IF($B1163="","",IF($D1163="","－",IF(ISNUMBER($D1163),IF(AND($D1163&gt;=1,MOD($D1163,1)=0),"－",IF(MOD($D1163,1)&lt;$L$6,"朝",IF(MOD($D1163,1)&lt;$L$7,"昼",IF(MOD($D1163,1)&lt;$L$8,"夕方","夜")))),IF(OR($D1163="朝",$D1163="昼",$D1163="夕方",$D1163="夜"),$D1163,"⚠ 不明"))))</f>
        <v/>
      </c>
    </row>
    <row r="1164" customFormat="false" ht="15" hidden="false" customHeight="false" outlineLevel="0" collapsed="false">
      <c r="A1164" s="75"/>
      <c r="B1164" s="76"/>
      <c r="C1164" s="77"/>
      <c r="D1164" s="78"/>
      <c r="E1164" s="77"/>
      <c r="F1164" s="76"/>
      <c r="G1164" s="76"/>
      <c r="I1164" s="79" t="str">
        <f aca="false">IF($B1164="","",IF(ISNUMBER(MATCH($B1164,日別データ!$B$13:$B$32,0)),"✔ OK","⚠ 未登録"))</f>
        <v/>
      </c>
      <c r="J1164" s="80" t="str">
        <f aca="false">IF($B1164="","",IF($D1164="","－",IF(ISNUMBER($D1164),IF(AND($D1164&gt;=1,MOD($D1164,1)=0),"－",IF(MOD($D1164,1)&lt;$L$6,"朝",IF(MOD($D1164,1)&lt;$L$7,"昼",IF(MOD($D1164,1)&lt;$L$8,"夕方","夜")))),IF(OR($D1164="朝",$D1164="昼",$D1164="夕方",$D1164="夜"),$D1164,"⚠ 不明"))))</f>
        <v/>
      </c>
    </row>
    <row r="1165" customFormat="false" ht="15" hidden="false" customHeight="false" outlineLevel="0" collapsed="false">
      <c r="A1165" s="75"/>
      <c r="B1165" s="76"/>
      <c r="C1165" s="77"/>
      <c r="D1165" s="78"/>
      <c r="E1165" s="77"/>
      <c r="F1165" s="76"/>
      <c r="G1165" s="76"/>
      <c r="I1165" s="79" t="str">
        <f aca="false">IF($B1165="","",IF(ISNUMBER(MATCH($B1165,日別データ!$B$13:$B$32,0)),"✔ OK","⚠ 未登録"))</f>
        <v/>
      </c>
      <c r="J1165" s="80" t="str">
        <f aca="false">IF($B1165="","",IF($D1165="","－",IF(ISNUMBER($D1165),IF(AND($D1165&gt;=1,MOD($D1165,1)=0),"－",IF(MOD($D1165,1)&lt;$L$6,"朝",IF(MOD($D1165,1)&lt;$L$7,"昼",IF(MOD($D1165,1)&lt;$L$8,"夕方","夜")))),IF(OR($D1165="朝",$D1165="昼",$D1165="夕方",$D1165="夜"),$D1165,"⚠ 不明"))))</f>
        <v/>
      </c>
    </row>
    <row r="1166" customFormat="false" ht="15" hidden="false" customHeight="false" outlineLevel="0" collapsed="false">
      <c r="A1166" s="75"/>
      <c r="B1166" s="76"/>
      <c r="C1166" s="77"/>
      <c r="D1166" s="78"/>
      <c r="E1166" s="77"/>
      <c r="F1166" s="76"/>
      <c r="G1166" s="76"/>
      <c r="I1166" s="79" t="str">
        <f aca="false">IF($B1166="","",IF(ISNUMBER(MATCH($B1166,日別データ!$B$13:$B$32,0)),"✔ OK","⚠ 未登録"))</f>
        <v/>
      </c>
      <c r="J1166" s="80" t="str">
        <f aca="false">IF($B1166="","",IF($D1166="","－",IF(ISNUMBER($D1166),IF(AND($D1166&gt;=1,MOD($D1166,1)=0),"－",IF(MOD($D1166,1)&lt;$L$6,"朝",IF(MOD($D1166,1)&lt;$L$7,"昼",IF(MOD($D1166,1)&lt;$L$8,"夕方","夜")))),IF(OR($D1166="朝",$D1166="昼",$D1166="夕方",$D1166="夜"),$D1166,"⚠ 不明"))))</f>
        <v/>
      </c>
    </row>
    <row r="1167" customFormat="false" ht="15" hidden="false" customHeight="false" outlineLevel="0" collapsed="false">
      <c r="A1167" s="75"/>
      <c r="B1167" s="76"/>
      <c r="C1167" s="77"/>
      <c r="D1167" s="78"/>
      <c r="E1167" s="77"/>
      <c r="F1167" s="76"/>
      <c r="G1167" s="76"/>
      <c r="I1167" s="79" t="str">
        <f aca="false">IF($B1167="","",IF(ISNUMBER(MATCH($B1167,日別データ!$B$13:$B$32,0)),"✔ OK","⚠ 未登録"))</f>
        <v/>
      </c>
      <c r="J1167" s="80" t="str">
        <f aca="false">IF($B1167="","",IF($D1167="","－",IF(ISNUMBER($D1167),IF(AND($D1167&gt;=1,MOD($D1167,1)=0),"－",IF(MOD($D1167,1)&lt;$L$6,"朝",IF(MOD($D1167,1)&lt;$L$7,"昼",IF(MOD($D1167,1)&lt;$L$8,"夕方","夜")))),IF(OR($D1167="朝",$D1167="昼",$D1167="夕方",$D1167="夜"),$D1167,"⚠ 不明"))))</f>
        <v/>
      </c>
    </row>
    <row r="1168" customFormat="false" ht="15" hidden="false" customHeight="false" outlineLevel="0" collapsed="false">
      <c r="A1168" s="75"/>
      <c r="B1168" s="76"/>
      <c r="C1168" s="77"/>
      <c r="D1168" s="78"/>
      <c r="E1168" s="77"/>
      <c r="F1168" s="76"/>
      <c r="G1168" s="76"/>
      <c r="I1168" s="79" t="str">
        <f aca="false">IF($B1168="","",IF(ISNUMBER(MATCH($B1168,日別データ!$B$13:$B$32,0)),"✔ OK","⚠ 未登録"))</f>
        <v/>
      </c>
      <c r="J1168" s="80" t="str">
        <f aca="false">IF($B1168="","",IF($D1168="","－",IF(ISNUMBER($D1168),IF(AND($D1168&gt;=1,MOD($D1168,1)=0),"－",IF(MOD($D1168,1)&lt;$L$6,"朝",IF(MOD($D1168,1)&lt;$L$7,"昼",IF(MOD($D1168,1)&lt;$L$8,"夕方","夜")))),IF(OR($D1168="朝",$D1168="昼",$D1168="夕方",$D1168="夜"),$D1168,"⚠ 不明"))))</f>
        <v/>
      </c>
    </row>
    <row r="1169" customFormat="false" ht="15" hidden="false" customHeight="false" outlineLevel="0" collapsed="false">
      <c r="A1169" s="75"/>
      <c r="B1169" s="76"/>
      <c r="C1169" s="77"/>
      <c r="D1169" s="78"/>
      <c r="E1169" s="77"/>
      <c r="F1169" s="76"/>
      <c r="G1169" s="76"/>
      <c r="I1169" s="79" t="str">
        <f aca="false">IF($B1169="","",IF(ISNUMBER(MATCH($B1169,日別データ!$B$13:$B$32,0)),"✔ OK","⚠ 未登録"))</f>
        <v/>
      </c>
      <c r="J1169" s="80" t="str">
        <f aca="false">IF($B1169="","",IF($D1169="","－",IF(ISNUMBER($D1169),IF(AND($D1169&gt;=1,MOD($D1169,1)=0),"－",IF(MOD($D1169,1)&lt;$L$6,"朝",IF(MOD($D1169,1)&lt;$L$7,"昼",IF(MOD($D1169,1)&lt;$L$8,"夕方","夜")))),IF(OR($D1169="朝",$D1169="昼",$D1169="夕方",$D1169="夜"),$D1169,"⚠ 不明"))))</f>
        <v/>
      </c>
    </row>
    <row r="1170" customFormat="false" ht="15" hidden="false" customHeight="false" outlineLevel="0" collapsed="false">
      <c r="A1170" s="75"/>
      <c r="B1170" s="76"/>
      <c r="C1170" s="77"/>
      <c r="D1170" s="78"/>
      <c r="E1170" s="77"/>
      <c r="F1170" s="76"/>
      <c r="G1170" s="76"/>
      <c r="I1170" s="79" t="str">
        <f aca="false">IF($B1170="","",IF(ISNUMBER(MATCH($B1170,日別データ!$B$13:$B$32,0)),"✔ OK","⚠ 未登録"))</f>
        <v/>
      </c>
      <c r="J1170" s="80" t="str">
        <f aca="false">IF($B1170="","",IF($D1170="","－",IF(ISNUMBER($D1170),IF(AND($D1170&gt;=1,MOD($D1170,1)=0),"－",IF(MOD($D1170,1)&lt;$L$6,"朝",IF(MOD($D1170,1)&lt;$L$7,"昼",IF(MOD($D1170,1)&lt;$L$8,"夕方","夜")))),IF(OR($D1170="朝",$D1170="昼",$D1170="夕方",$D1170="夜"),$D1170,"⚠ 不明"))))</f>
        <v/>
      </c>
    </row>
    <row r="1171" customFormat="false" ht="15" hidden="false" customHeight="false" outlineLevel="0" collapsed="false">
      <c r="A1171" s="75"/>
      <c r="B1171" s="76"/>
      <c r="C1171" s="77"/>
      <c r="D1171" s="78"/>
      <c r="E1171" s="77"/>
      <c r="F1171" s="76"/>
      <c r="G1171" s="76"/>
      <c r="I1171" s="79" t="str">
        <f aca="false">IF($B1171="","",IF(ISNUMBER(MATCH($B1171,日別データ!$B$13:$B$32,0)),"✔ OK","⚠ 未登録"))</f>
        <v/>
      </c>
      <c r="J1171" s="80" t="str">
        <f aca="false">IF($B1171="","",IF($D1171="","－",IF(ISNUMBER($D1171),IF(AND($D1171&gt;=1,MOD($D1171,1)=0),"－",IF(MOD($D1171,1)&lt;$L$6,"朝",IF(MOD($D1171,1)&lt;$L$7,"昼",IF(MOD($D1171,1)&lt;$L$8,"夕方","夜")))),IF(OR($D1171="朝",$D1171="昼",$D1171="夕方",$D1171="夜"),$D1171,"⚠ 不明"))))</f>
        <v/>
      </c>
    </row>
    <row r="1172" customFormat="false" ht="15" hidden="false" customHeight="false" outlineLevel="0" collapsed="false">
      <c r="A1172" s="75"/>
      <c r="B1172" s="76"/>
      <c r="C1172" s="77"/>
      <c r="D1172" s="78"/>
      <c r="E1172" s="77"/>
      <c r="F1172" s="76"/>
      <c r="G1172" s="76"/>
      <c r="I1172" s="79" t="str">
        <f aca="false">IF($B1172="","",IF(ISNUMBER(MATCH($B1172,日別データ!$B$13:$B$32,0)),"✔ OK","⚠ 未登録"))</f>
        <v/>
      </c>
      <c r="J1172" s="80" t="str">
        <f aca="false">IF($B1172="","",IF($D1172="","－",IF(ISNUMBER($D1172),IF(AND($D1172&gt;=1,MOD($D1172,1)=0),"－",IF(MOD($D1172,1)&lt;$L$6,"朝",IF(MOD($D1172,1)&lt;$L$7,"昼",IF(MOD($D1172,1)&lt;$L$8,"夕方","夜")))),IF(OR($D1172="朝",$D1172="昼",$D1172="夕方",$D1172="夜"),$D1172,"⚠ 不明"))))</f>
        <v/>
      </c>
    </row>
    <row r="1173" customFormat="false" ht="15" hidden="false" customHeight="false" outlineLevel="0" collapsed="false">
      <c r="A1173" s="75"/>
      <c r="B1173" s="76"/>
      <c r="C1173" s="77"/>
      <c r="D1173" s="78"/>
      <c r="E1173" s="77"/>
      <c r="F1173" s="76"/>
      <c r="G1173" s="76"/>
      <c r="I1173" s="79" t="str">
        <f aca="false">IF($B1173="","",IF(ISNUMBER(MATCH($B1173,日別データ!$B$13:$B$32,0)),"✔ OK","⚠ 未登録"))</f>
        <v/>
      </c>
      <c r="J1173" s="80" t="str">
        <f aca="false">IF($B1173="","",IF($D1173="","－",IF(ISNUMBER($D1173),IF(AND($D1173&gt;=1,MOD($D1173,1)=0),"－",IF(MOD($D1173,1)&lt;$L$6,"朝",IF(MOD($D1173,1)&lt;$L$7,"昼",IF(MOD($D1173,1)&lt;$L$8,"夕方","夜")))),IF(OR($D1173="朝",$D1173="昼",$D1173="夕方",$D1173="夜"),$D1173,"⚠ 不明"))))</f>
        <v/>
      </c>
    </row>
    <row r="1174" customFormat="false" ht="15" hidden="false" customHeight="false" outlineLevel="0" collapsed="false">
      <c r="A1174" s="75"/>
      <c r="B1174" s="76"/>
      <c r="C1174" s="77"/>
      <c r="D1174" s="78"/>
      <c r="E1174" s="77"/>
      <c r="F1174" s="76"/>
      <c r="G1174" s="76"/>
      <c r="I1174" s="79" t="str">
        <f aca="false">IF($B1174="","",IF(ISNUMBER(MATCH($B1174,日別データ!$B$13:$B$32,0)),"✔ OK","⚠ 未登録"))</f>
        <v/>
      </c>
      <c r="J1174" s="80" t="str">
        <f aca="false">IF($B1174="","",IF($D1174="","－",IF(ISNUMBER($D1174),IF(AND($D1174&gt;=1,MOD($D1174,1)=0),"－",IF(MOD($D1174,1)&lt;$L$6,"朝",IF(MOD($D1174,1)&lt;$L$7,"昼",IF(MOD($D1174,1)&lt;$L$8,"夕方","夜")))),IF(OR($D1174="朝",$D1174="昼",$D1174="夕方",$D1174="夜"),$D1174,"⚠ 不明"))))</f>
        <v/>
      </c>
    </row>
    <row r="1175" customFormat="false" ht="15" hidden="false" customHeight="false" outlineLevel="0" collapsed="false">
      <c r="A1175" s="75"/>
      <c r="B1175" s="76"/>
      <c r="C1175" s="77"/>
      <c r="D1175" s="78"/>
      <c r="E1175" s="77"/>
      <c r="F1175" s="76"/>
      <c r="G1175" s="76"/>
      <c r="I1175" s="79" t="str">
        <f aca="false">IF($B1175="","",IF(ISNUMBER(MATCH($B1175,日別データ!$B$13:$B$32,0)),"✔ OK","⚠ 未登録"))</f>
        <v/>
      </c>
      <c r="J1175" s="80" t="str">
        <f aca="false">IF($B1175="","",IF($D1175="","－",IF(ISNUMBER($D1175),IF(AND($D1175&gt;=1,MOD($D1175,1)=0),"－",IF(MOD($D1175,1)&lt;$L$6,"朝",IF(MOD($D1175,1)&lt;$L$7,"昼",IF(MOD($D1175,1)&lt;$L$8,"夕方","夜")))),IF(OR($D1175="朝",$D1175="昼",$D1175="夕方",$D1175="夜"),$D1175,"⚠ 不明"))))</f>
        <v/>
      </c>
    </row>
    <row r="1176" customFormat="false" ht="15" hidden="false" customHeight="false" outlineLevel="0" collapsed="false">
      <c r="A1176" s="75"/>
      <c r="B1176" s="76"/>
      <c r="C1176" s="77"/>
      <c r="D1176" s="78"/>
      <c r="E1176" s="77"/>
      <c r="F1176" s="76"/>
      <c r="G1176" s="76"/>
      <c r="I1176" s="79" t="str">
        <f aca="false">IF($B1176="","",IF(ISNUMBER(MATCH($B1176,日別データ!$B$13:$B$32,0)),"✔ OK","⚠ 未登録"))</f>
        <v/>
      </c>
      <c r="J1176" s="80" t="str">
        <f aca="false">IF($B1176="","",IF($D1176="","－",IF(ISNUMBER($D1176),IF(AND($D1176&gt;=1,MOD($D1176,1)=0),"－",IF(MOD($D1176,1)&lt;$L$6,"朝",IF(MOD($D1176,1)&lt;$L$7,"昼",IF(MOD($D1176,1)&lt;$L$8,"夕方","夜")))),IF(OR($D1176="朝",$D1176="昼",$D1176="夕方",$D1176="夜"),$D1176,"⚠ 不明"))))</f>
        <v/>
      </c>
    </row>
    <row r="1177" customFormat="false" ht="15" hidden="false" customHeight="false" outlineLevel="0" collapsed="false">
      <c r="A1177" s="75"/>
      <c r="B1177" s="76"/>
      <c r="C1177" s="77"/>
      <c r="D1177" s="78"/>
      <c r="E1177" s="77"/>
      <c r="F1177" s="76"/>
      <c r="G1177" s="76"/>
      <c r="I1177" s="79" t="str">
        <f aca="false">IF($B1177="","",IF(ISNUMBER(MATCH($B1177,日別データ!$B$13:$B$32,0)),"✔ OK","⚠ 未登録"))</f>
        <v/>
      </c>
      <c r="J1177" s="80" t="str">
        <f aca="false">IF($B1177="","",IF($D1177="","－",IF(ISNUMBER($D1177),IF(AND($D1177&gt;=1,MOD($D1177,1)=0),"－",IF(MOD($D1177,1)&lt;$L$6,"朝",IF(MOD($D1177,1)&lt;$L$7,"昼",IF(MOD($D1177,1)&lt;$L$8,"夕方","夜")))),IF(OR($D1177="朝",$D1177="昼",$D1177="夕方",$D1177="夜"),$D1177,"⚠ 不明"))))</f>
        <v/>
      </c>
    </row>
    <row r="1178" customFormat="false" ht="15" hidden="false" customHeight="false" outlineLevel="0" collapsed="false">
      <c r="A1178" s="75"/>
      <c r="B1178" s="76"/>
      <c r="C1178" s="77"/>
      <c r="D1178" s="78"/>
      <c r="E1178" s="77"/>
      <c r="F1178" s="76"/>
      <c r="G1178" s="76"/>
      <c r="I1178" s="79" t="str">
        <f aca="false">IF($B1178="","",IF(ISNUMBER(MATCH($B1178,日別データ!$B$13:$B$32,0)),"✔ OK","⚠ 未登録"))</f>
        <v/>
      </c>
      <c r="J1178" s="80" t="str">
        <f aca="false">IF($B1178="","",IF($D1178="","－",IF(ISNUMBER($D1178),IF(AND($D1178&gt;=1,MOD($D1178,1)=0),"－",IF(MOD($D1178,1)&lt;$L$6,"朝",IF(MOD($D1178,1)&lt;$L$7,"昼",IF(MOD($D1178,1)&lt;$L$8,"夕方","夜")))),IF(OR($D1178="朝",$D1178="昼",$D1178="夕方",$D1178="夜"),$D1178,"⚠ 不明"))))</f>
        <v/>
      </c>
    </row>
    <row r="1179" customFormat="false" ht="15" hidden="false" customHeight="false" outlineLevel="0" collapsed="false">
      <c r="A1179" s="75"/>
      <c r="B1179" s="76"/>
      <c r="C1179" s="77"/>
      <c r="D1179" s="78"/>
      <c r="E1179" s="77"/>
      <c r="F1179" s="76"/>
      <c r="G1179" s="76"/>
      <c r="I1179" s="79" t="str">
        <f aca="false">IF($B1179="","",IF(ISNUMBER(MATCH($B1179,日別データ!$B$13:$B$32,0)),"✔ OK","⚠ 未登録"))</f>
        <v/>
      </c>
      <c r="J1179" s="80" t="str">
        <f aca="false">IF($B1179="","",IF($D1179="","－",IF(ISNUMBER($D1179),IF(AND($D1179&gt;=1,MOD($D1179,1)=0),"－",IF(MOD($D1179,1)&lt;$L$6,"朝",IF(MOD($D1179,1)&lt;$L$7,"昼",IF(MOD($D1179,1)&lt;$L$8,"夕方","夜")))),IF(OR($D1179="朝",$D1179="昼",$D1179="夕方",$D1179="夜"),$D1179,"⚠ 不明"))))</f>
        <v/>
      </c>
    </row>
    <row r="1180" customFormat="false" ht="15" hidden="false" customHeight="false" outlineLevel="0" collapsed="false">
      <c r="A1180" s="75"/>
      <c r="B1180" s="76"/>
      <c r="C1180" s="77"/>
      <c r="D1180" s="78"/>
      <c r="E1180" s="77"/>
      <c r="F1180" s="76"/>
      <c r="G1180" s="76"/>
      <c r="I1180" s="79" t="str">
        <f aca="false">IF($B1180="","",IF(ISNUMBER(MATCH($B1180,日別データ!$B$13:$B$32,0)),"✔ OK","⚠ 未登録"))</f>
        <v/>
      </c>
      <c r="J1180" s="80" t="str">
        <f aca="false">IF($B1180="","",IF($D1180="","－",IF(ISNUMBER($D1180),IF(AND($D1180&gt;=1,MOD($D1180,1)=0),"－",IF(MOD($D1180,1)&lt;$L$6,"朝",IF(MOD($D1180,1)&lt;$L$7,"昼",IF(MOD($D1180,1)&lt;$L$8,"夕方","夜")))),IF(OR($D1180="朝",$D1180="昼",$D1180="夕方",$D1180="夜"),$D1180,"⚠ 不明"))))</f>
        <v/>
      </c>
    </row>
    <row r="1181" customFormat="false" ht="15" hidden="false" customHeight="false" outlineLevel="0" collapsed="false">
      <c r="A1181" s="75"/>
      <c r="B1181" s="76"/>
      <c r="C1181" s="77"/>
      <c r="D1181" s="78"/>
      <c r="E1181" s="77"/>
      <c r="F1181" s="76"/>
      <c r="G1181" s="76"/>
      <c r="I1181" s="79" t="str">
        <f aca="false">IF($B1181="","",IF(ISNUMBER(MATCH($B1181,日別データ!$B$13:$B$32,0)),"✔ OK","⚠ 未登録"))</f>
        <v/>
      </c>
      <c r="J1181" s="80" t="str">
        <f aca="false">IF($B1181="","",IF($D1181="","－",IF(ISNUMBER($D1181),IF(AND($D1181&gt;=1,MOD($D1181,1)=0),"－",IF(MOD($D1181,1)&lt;$L$6,"朝",IF(MOD($D1181,1)&lt;$L$7,"昼",IF(MOD($D1181,1)&lt;$L$8,"夕方","夜")))),IF(OR($D1181="朝",$D1181="昼",$D1181="夕方",$D1181="夜"),$D1181,"⚠ 不明"))))</f>
        <v/>
      </c>
    </row>
    <row r="1182" customFormat="false" ht="15" hidden="false" customHeight="false" outlineLevel="0" collapsed="false">
      <c r="A1182" s="75"/>
      <c r="B1182" s="76"/>
      <c r="C1182" s="77"/>
      <c r="D1182" s="78"/>
      <c r="E1182" s="77"/>
      <c r="F1182" s="76"/>
      <c r="G1182" s="76"/>
      <c r="I1182" s="79" t="str">
        <f aca="false">IF($B1182="","",IF(ISNUMBER(MATCH($B1182,日別データ!$B$13:$B$32,0)),"✔ OK","⚠ 未登録"))</f>
        <v/>
      </c>
      <c r="J1182" s="80" t="str">
        <f aca="false">IF($B1182="","",IF($D1182="","－",IF(ISNUMBER($D1182),IF(AND($D1182&gt;=1,MOD($D1182,1)=0),"－",IF(MOD($D1182,1)&lt;$L$6,"朝",IF(MOD($D1182,1)&lt;$L$7,"昼",IF(MOD($D1182,1)&lt;$L$8,"夕方","夜")))),IF(OR($D1182="朝",$D1182="昼",$D1182="夕方",$D1182="夜"),$D1182,"⚠ 不明"))))</f>
        <v/>
      </c>
    </row>
    <row r="1183" customFormat="false" ht="15" hidden="false" customHeight="false" outlineLevel="0" collapsed="false">
      <c r="A1183" s="75"/>
      <c r="B1183" s="76"/>
      <c r="C1183" s="77"/>
      <c r="D1183" s="78"/>
      <c r="E1183" s="77"/>
      <c r="F1183" s="76"/>
      <c r="G1183" s="76"/>
      <c r="I1183" s="79" t="str">
        <f aca="false">IF($B1183="","",IF(ISNUMBER(MATCH($B1183,日別データ!$B$13:$B$32,0)),"✔ OK","⚠ 未登録"))</f>
        <v/>
      </c>
      <c r="J1183" s="80" t="str">
        <f aca="false">IF($B1183="","",IF($D1183="","－",IF(ISNUMBER($D1183),IF(AND($D1183&gt;=1,MOD($D1183,1)=0),"－",IF(MOD($D1183,1)&lt;$L$6,"朝",IF(MOD($D1183,1)&lt;$L$7,"昼",IF(MOD($D1183,1)&lt;$L$8,"夕方","夜")))),IF(OR($D1183="朝",$D1183="昼",$D1183="夕方",$D1183="夜"),$D1183,"⚠ 不明"))))</f>
        <v/>
      </c>
    </row>
    <row r="1184" customFormat="false" ht="15" hidden="false" customHeight="false" outlineLevel="0" collapsed="false">
      <c r="A1184" s="75"/>
      <c r="B1184" s="76"/>
      <c r="C1184" s="77"/>
      <c r="D1184" s="78"/>
      <c r="E1184" s="77"/>
      <c r="F1184" s="76"/>
      <c r="G1184" s="76"/>
      <c r="I1184" s="79" t="str">
        <f aca="false">IF($B1184="","",IF(ISNUMBER(MATCH($B1184,日別データ!$B$13:$B$32,0)),"✔ OK","⚠ 未登録"))</f>
        <v/>
      </c>
      <c r="J1184" s="80" t="str">
        <f aca="false">IF($B1184="","",IF($D1184="","－",IF(ISNUMBER($D1184),IF(AND($D1184&gt;=1,MOD($D1184,1)=0),"－",IF(MOD($D1184,1)&lt;$L$6,"朝",IF(MOD($D1184,1)&lt;$L$7,"昼",IF(MOD($D1184,1)&lt;$L$8,"夕方","夜")))),IF(OR($D1184="朝",$D1184="昼",$D1184="夕方",$D1184="夜"),$D1184,"⚠ 不明"))))</f>
        <v/>
      </c>
    </row>
    <row r="1185" customFormat="false" ht="15" hidden="false" customHeight="false" outlineLevel="0" collapsed="false">
      <c r="A1185" s="75"/>
      <c r="B1185" s="76"/>
      <c r="C1185" s="77"/>
      <c r="D1185" s="78"/>
      <c r="E1185" s="77"/>
      <c r="F1185" s="76"/>
      <c r="G1185" s="76"/>
      <c r="I1185" s="79" t="str">
        <f aca="false">IF($B1185="","",IF(ISNUMBER(MATCH($B1185,日別データ!$B$13:$B$32,0)),"✔ OK","⚠ 未登録"))</f>
        <v/>
      </c>
      <c r="J1185" s="80" t="str">
        <f aca="false">IF($B1185="","",IF($D1185="","－",IF(ISNUMBER($D1185),IF(AND($D1185&gt;=1,MOD($D1185,1)=0),"－",IF(MOD($D1185,1)&lt;$L$6,"朝",IF(MOD($D1185,1)&lt;$L$7,"昼",IF(MOD($D1185,1)&lt;$L$8,"夕方","夜")))),IF(OR($D1185="朝",$D1185="昼",$D1185="夕方",$D1185="夜"),$D1185,"⚠ 不明"))))</f>
        <v/>
      </c>
    </row>
    <row r="1186" customFormat="false" ht="15" hidden="false" customHeight="false" outlineLevel="0" collapsed="false">
      <c r="A1186" s="75"/>
      <c r="B1186" s="76"/>
      <c r="C1186" s="77"/>
      <c r="D1186" s="78"/>
      <c r="E1186" s="77"/>
      <c r="F1186" s="76"/>
      <c r="G1186" s="76"/>
      <c r="I1186" s="79" t="str">
        <f aca="false">IF($B1186="","",IF(ISNUMBER(MATCH($B1186,日別データ!$B$13:$B$32,0)),"✔ OK","⚠ 未登録"))</f>
        <v/>
      </c>
      <c r="J1186" s="80" t="str">
        <f aca="false">IF($B1186="","",IF($D1186="","－",IF(ISNUMBER($D1186),IF(AND($D1186&gt;=1,MOD($D1186,1)=0),"－",IF(MOD($D1186,1)&lt;$L$6,"朝",IF(MOD($D1186,1)&lt;$L$7,"昼",IF(MOD($D1186,1)&lt;$L$8,"夕方","夜")))),IF(OR($D1186="朝",$D1186="昼",$D1186="夕方",$D1186="夜"),$D1186,"⚠ 不明"))))</f>
        <v/>
      </c>
    </row>
    <row r="1187" customFormat="false" ht="15" hidden="false" customHeight="false" outlineLevel="0" collapsed="false">
      <c r="A1187" s="75"/>
      <c r="B1187" s="76"/>
      <c r="C1187" s="77"/>
      <c r="D1187" s="78"/>
      <c r="E1187" s="77"/>
      <c r="F1187" s="76"/>
      <c r="G1187" s="76"/>
      <c r="I1187" s="79" t="str">
        <f aca="false">IF($B1187="","",IF(ISNUMBER(MATCH($B1187,日別データ!$B$13:$B$32,0)),"✔ OK","⚠ 未登録"))</f>
        <v/>
      </c>
      <c r="J1187" s="80" t="str">
        <f aca="false">IF($B1187="","",IF($D1187="","－",IF(ISNUMBER($D1187),IF(AND($D1187&gt;=1,MOD($D1187,1)=0),"－",IF(MOD($D1187,1)&lt;$L$6,"朝",IF(MOD($D1187,1)&lt;$L$7,"昼",IF(MOD($D1187,1)&lt;$L$8,"夕方","夜")))),IF(OR($D1187="朝",$D1187="昼",$D1187="夕方",$D1187="夜"),$D1187,"⚠ 不明"))))</f>
        <v/>
      </c>
    </row>
    <row r="1188" customFormat="false" ht="15" hidden="false" customHeight="false" outlineLevel="0" collapsed="false">
      <c r="A1188" s="75"/>
      <c r="B1188" s="76"/>
      <c r="C1188" s="77"/>
      <c r="D1188" s="78"/>
      <c r="E1188" s="77"/>
      <c r="F1188" s="76"/>
      <c r="G1188" s="76"/>
      <c r="I1188" s="79" t="str">
        <f aca="false">IF($B1188="","",IF(ISNUMBER(MATCH($B1188,日別データ!$B$13:$B$32,0)),"✔ OK","⚠ 未登録"))</f>
        <v/>
      </c>
      <c r="J1188" s="80" t="str">
        <f aca="false">IF($B1188="","",IF($D1188="","－",IF(ISNUMBER($D1188),IF(AND($D1188&gt;=1,MOD($D1188,1)=0),"－",IF(MOD($D1188,1)&lt;$L$6,"朝",IF(MOD($D1188,1)&lt;$L$7,"昼",IF(MOD($D1188,1)&lt;$L$8,"夕方","夜")))),IF(OR($D1188="朝",$D1188="昼",$D1188="夕方",$D1188="夜"),$D1188,"⚠ 不明"))))</f>
        <v/>
      </c>
    </row>
    <row r="1189" customFormat="false" ht="15" hidden="false" customHeight="false" outlineLevel="0" collapsed="false">
      <c r="A1189" s="75"/>
      <c r="B1189" s="76"/>
      <c r="C1189" s="77"/>
      <c r="D1189" s="78"/>
      <c r="E1189" s="77"/>
      <c r="F1189" s="76"/>
      <c r="G1189" s="76"/>
      <c r="I1189" s="79" t="str">
        <f aca="false">IF($B1189="","",IF(ISNUMBER(MATCH($B1189,日別データ!$B$13:$B$32,0)),"✔ OK","⚠ 未登録"))</f>
        <v/>
      </c>
      <c r="J1189" s="80" t="str">
        <f aca="false">IF($B1189="","",IF($D1189="","－",IF(ISNUMBER($D1189),IF(AND($D1189&gt;=1,MOD($D1189,1)=0),"－",IF(MOD($D1189,1)&lt;$L$6,"朝",IF(MOD($D1189,1)&lt;$L$7,"昼",IF(MOD($D1189,1)&lt;$L$8,"夕方","夜")))),IF(OR($D1189="朝",$D1189="昼",$D1189="夕方",$D1189="夜"),$D1189,"⚠ 不明"))))</f>
        <v/>
      </c>
    </row>
    <row r="1190" customFormat="false" ht="15" hidden="false" customHeight="false" outlineLevel="0" collapsed="false">
      <c r="A1190" s="75"/>
      <c r="B1190" s="76"/>
      <c r="C1190" s="77"/>
      <c r="D1190" s="78"/>
      <c r="E1190" s="77"/>
      <c r="F1190" s="76"/>
      <c r="G1190" s="76"/>
      <c r="I1190" s="79" t="str">
        <f aca="false">IF($B1190="","",IF(ISNUMBER(MATCH($B1190,日別データ!$B$13:$B$32,0)),"✔ OK","⚠ 未登録"))</f>
        <v/>
      </c>
      <c r="J1190" s="80" t="str">
        <f aca="false">IF($B1190="","",IF($D1190="","－",IF(ISNUMBER($D1190),IF(AND($D1190&gt;=1,MOD($D1190,1)=0),"－",IF(MOD($D1190,1)&lt;$L$6,"朝",IF(MOD($D1190,1)&lt;$L$7,"昼",IF(MOD($D1190,1)&lt;$L$8,"夕方","夜")))),IF(OR($D1190="朝",$D1190="昼",$D1190="夕方",$D1190="夜"),$D1190,"⚠ 不明"))))</f>
        <v/>
      </c>
    </row>
    <row r="1191" customFormat="false" ht="15" hidden="false" customHeight="false" outlineLevel="0" collapsed="false">
      <c r="A1191" s="75"/>
      <c r="B1191" s="76"/>
      <c r="C1191" s="77"/>
      <c r="D1191" s="78"/>
      <c r="E1191" s="77"/>
      <c r="F1191" s="76"/>
      <c r="G1191" s="76"/>
      <c r="I1191" s="79" t="str">
        <f aca="false">IF($B1191="","",IF(ISNUMBER(MATCH($B1191,日別データ!$B$13:$B$32,0)),"✔ OK","⚠ 未登録"))</f>
        <v/>
      </c>
      <c r="J1191" s="80" t="str">
        <f aca="false">IF($B1191="","",IF($D1191="","－",IF(ISNUMBER($D1191),IF(AND($D1191&gt;=1,MOD($D1191,1)=0),"－",IF(MOD($D1191,1)&lt;$L$6,"朝",IF(MOD($D1191,1)&lt;$L$7,"昼",IF(MOD($D1191,1)&lt;$L$8,"夕方","夜")))),IF(OR($D1191="朝",$D1191="昼",$D1191="夕方",$D1191="夜"),$D1191,"⚠ 不明"))))</f>
        <v/>
      </c>
    </row>
    <row r="1192" customFormat="false" ht="15" hidden="false" customHeight="false" outlineLevel="0" collapsed="false">
      <c r="A1192" s="75"/>
      <c r="B1192" s="76"/>
      <c r="C1192" s="77"/>
      <c r="D1192" s="78"/>
      <c r="E1192" s="77"/>
      <c r="F1192" s="76"/>
      <c r="G1192" s="76"/>
      <c r="I1192" s="79" t="str">
        <f aca="false">IF($B1192="","",IF(ISNUMBER(MATCH($B1192,日別データ!$B$13:$B$32,0)),"✔ OK","⚠ 未登録"))</f>
        <v/>
      </c>
      <c r="J1192" s="80" t="str">
        <f aca="false">IF($B1192="","",IF($D1192="","－",IF(ISNUMBER($D1192),IF(AND($D1192&gt;=1,MOD($D1192,1)=0),"－",IF(MOD($D1192,1)&lt;$L$6,"朝",IF(MOD($D1192,1)&lt;$L$7,"昼",IF(MOD($D1192,1)&lt;$L$8,"夕方","夜")))),IF(OR($D1192="朝",$D1192="昼",$D1192="夕方",$D1192="夜"),$D1192,"⚠ 不明"))))</f>
        <v/>
      </c>
    </row>
    <row r="1193" customFormat="false" ht="15" hidden="false" customHeight="false" outlineLevel="0" collapsed="false">
      <c r="A1193" s="75"/>
      <c r="B1193" s="76"/>
      <c r="C1193" s="77"/>
      <c r="D1193" s="78"/>
      <c r="E1193" s="77"/>
      <c r="F1193" s="76"/>
      <c r="G1193" s="76"/>
      <c r="I1193" s="79" t="str">
        <f aca="false">IF($B1193="","",IF(ISNUMBER(MATCH($B1193,日別データ!$B$13:$B$32,0)),"✔ OK","⚠ 未登録"))</f>
        <v/>
      </c>
      <c r="J1193" s="80" t="str">
        <f aca="false">IF($B1193="","",IF($D1193="","－",IF(ISNUMBER($D1193),IF(AND($D1193&gt;=1,MOD($D1193,1)=0),"－",IF(MOD($D1193,1)&lt;$L$6,"朝",IF(MOD($D1193,1)&lt;$L$7,"昼",IF(MOD($D1193,1)&lt;$L$8,"夕方","夜")))),IF(OR($D1193="朝",$D1193="昼",$D1193="夕方",$D1193="夜"),$D1193,"⚠ 不明"))))</f>
        <v/>
      </c>
    </row>
    <row r="1194" customFormat="false" ht="15" hidden="false" customHeight="false" outlineLevel="0" collapsed="false">
      <c r="A1194" s="75"/>
      <c r="B1194" s="76"/>
      <c r="C1194" s="77"/>
      <c r="D1194" s="78"/>
      <c r="E1194" s="77"/>
      <c r="F1194" s="76"/>
      <c r="G1194" s="76"/>
      <c r="I1194" s="79" t="str">
        <f aca="false">IF($B1194="","",IF(ISNUMBER(MATCH($B1194,日別データ!$B$13:$B$32,0)),"✔ OK","⚠ 未登録"))</f>
        <v/>
      </c>
      <c r="J1194" s="80" t="str">
        <f aca="false">IF($B1194="","",IF($D1194="","－",IF(ISNUMBER($D1194),IF(AND($D1194&gt;=1,MOD($D1194,1)=0),"－",IF(MOD($D1194,1)&lt;$L$6,"朝",IF(MOD($D1194,1)&lt;$L$7,"昼",IF(MOD($D1194,1)&lt;$L$8,"夕方","夜")))),IF(OR($D1194="朝",$D1194="昼",$D1194="夕方",$D1194="夜"),$D1194,"⚠ 不明"))))</f>
        <v/>
      </c>
    </row>
    <row r="1195" customFormat="false" ht="15" hidden="false" customHeight="false" outlineLevel="0" collapsed="false">
      <c r="A1195" s="75"/>
      <c r="B1195" s="76"/>
      <c r="C1195" s="77"/>
      <c r="D1195" s="78"/>
      <c r="E1195" s="77"/>
      <c r="F1195" s="76"/>
      <c r="G1195" s="76"/>
      <c r="I1195" s="79" t="str">
        <f aca="false">IF($B1195="","",IF(ISNUMBER(MATCH($B1195,日別データ!$B$13:$B$32,0)),"✔ OK","⚠ 未登録"))</f>
        <v/>
      </c>
      <c r="J1195" s="80" t="str">
        <f aca="false">IF($B1195="","",IF($D1195="","－",IF(ISNUMBER($D1195),IF(AND($D1195&gt;=1,MOD($D1195,1)=0),"－",IF(MOD($D1195,1)&lt;$L$6,"朝",IF(MOD($D1195,1)&lt;$L$7,"昼",IF(MOD($D1195,1)&lt;$L$8,"夕方","夜")))),IF(OR($D1195="朝",$D1195="昼",$D1195="夕方",$D1195="夜"),$D1195,"⚠ 不明"))))</f>
        <v/>
      </c>
    </row>
    <row r="1196" customFormat="false" ht="15" hidden="false" customHeight="false" outlineLevel="0" collapsed="false">
      <c r="A1196" s="75"/>
      <c r="B1196" s="76"/>
      <c r="C1196" s="77"/>
      <c r="D1196" s="78"/>
      <c r="E1196" s="77"/>
      <c r="F1196" s="76"/>
      <c r="G1196" s="76"/>
      <c r="I1196" s="79" t="str">
        <f aca="false">IF($B1196="","",IF(ISNUMBER(MATCH($B1196,日別データ!$B$13:$B$32,0)),"✔ OK","⚠ 未登録"))</f>
        <v/>
      </c>
      <c r="J1196" s="80" t="str">
        <f aca="false">IF($B1196="","",IF($D1196="","－",IF(ISNUMBER($D1196),IF(AND($D1196&gt;=1,MOD($D1196,1)=0),"－",IF(MOD($D1196,1)&lt;$L$6,"朝",IF(MOD($D1196,1)&lt;$L$7,"昼",IF(MOD($D1196,1)&lt;$L$8,"夕方","夜")))),IF(OR($D1196="朝",$D1196="昼",$D1196="夕方",$D1196="夜"),$D1196,"⚠ 不明"))))</f>
        <v/>
      </c>
    </row>
    <row r="1197" customFormat="false" ht="15" hidden="false" customHeight="false" outlineLevel="0" collapsed="false">
      <c r="A1197" s="75"/>
      <c r="B1197" s="76"/>
      <c r="C1197" s="77"/>
      <c r="D1197" s="78"/>
      <c r="E1197" s="77"/>
      <c r="F1197" s="76"/>
      <c r="G1197" s="76"/>
      <c r="I1197" s="79" t="str">
        <f aca="false">IF($B1197="","",IF(ISNUMBER(MATCH($B1197,日別データ!$B$13:$B$32,0)),"✔ OK","⚠ 未登録"))</f>
        <v/>
      </c>
      <c r="J1197" s="80" t="str">
        <f aca="false">IF($B1197="","",IF($D1197="","－",IF(ISNUMBER($D1197),IF(AND($D1197&gt;=1,MOD($D1197,1)=0),"－",IF(MOD($D1197,1)&lt;$L$6,"朝",IF(MOD($D1197,1)&lt;$L$7,"昼",IF(MOD($D1197,1)&lt;$L$8,"夕方","夜")))),IF(OR($D1197="朝",$D1197="昼",$D1197="夕方",$D1197="夜"),$D1197,"⚠ 不明"))))</f>
        <v/>
      </c>
    </row>
    <row r="1198" customFormat="false" ht="15" hidden="false" customHeight="false" outlineLevel="0" collapsed="false">
      <c r="A1198" s="75"/>
      <c r="B1198" s="76"/>
      <c r="C1198" s="77"/>
      <c r="D1198" s="78"/>
      <c r="E1198" s="77"/>
      <c r="F1198" s="76"/>
      <c r="G1198" s="76"/>
      <c r="I1198" s="79" t="str">
        <f aca="false">IF($B1198="","",IF(ISNUMBER(MATCH($B1198,日別データ!$B$13:$B$32,0)),"✔ OK","⚠ 未登録"))</f>
        <v/>
      </c>
      <c r="J1198" s="80" t="str">
        <f aca="false">IF($B1198="","",IF($D1198="","－",IF(ISNUMBER($D1198),IF(AND($D1198&gt;=1,MOD($D1198,1)=0),"－",IF(MOD($D1198,1)&lt;$L$6,"朝",IF(MOD($D1198,1)&lt;$L$7,"昼",IF(MOD($D1198,1)&lt;$L$8,"夕方","夜")))),IF(OR($D1198="朝",$D1198="昼",$D1198="夕方",$D1198="夜"),$D1198,"⚠ 不明"))))</f>
        <v/>
      </c>
    </row>
    <row r="1199" customFormat="false" ht="15" hidden="false" customHeight="false" outlineLevel="0" collapsed="false">
      <c r="A1199" s="75"/>
      <c r="B1199" s="76"/>
      <c r="C1199" s="77"/>
      <c r="D1199" s="78"/>
      <c r="E1199" s="77"/>
      <c r="F1199" s="76"/>
      <c r="G1199" s="76"/>
      <c r="I1199" s="79" t="str">
        <f aca="false">IF($B1199="","",IF(ISNUMBER(MATCH($B1199,日別データ!$B$13:$B$32,0)),"✔ OK","⚠ 未登録"))</f>
        <v/>
      </c>
      <c r="J1199" s="80" t="str">
        <f aca="false">IF($B1199="","",IF($D1199="","－",IF(ISNUMBER($D1199),IF(AND($D1199&gt;=1,MOD($D1199,1)=0),"－",IF(MOD($D1199,1)&lt;$L$6,"朝",IF(MOD($D1199,1)&lt;$L$7,"昼",IF(MOD($D1199,1)&lt;$L$8,"夕方","夜")))),IF(OR($D1199="朝",$D1199="昼",$D1199="夕方",$D1199="夜"),$D1199,"⚠ 不明"))))</f>
        <v/>
      </c>
    </row>
    <row r="1200" customFormat="false" ht="15" hidden="false" customHeight="false" outlineLevel="0" collapsed="false">
      <c r="A1200" s="75"/>
      <c r="B1200" s="76"/>
      <c r="C1200" s="77"/>
      <c r="D1200" s="78"/>
      <c r="E1200" s="77"/>
      <c r="F1200" s="76"/>
      <c r="G1200" s="76"/>
      <c r="I1200" s="79" t="str">
        <f aca="false">IF($B1200="","",IF(ISNUMBER(MATCH($B1200,日別データ!$B$13:$B$32,0)),"✔ OK","⚠ 未登録"))</f>
        <v/>
      </c>
      <c r="J1200" s="80" t="str">
        <f aca="false">IF($B1200="","",IF($D1200="","－",IF(ISNUMBER($D1200),IF(AND($D1200&gt;=1,MOD($D1200,1)=0),"－",IF(MOD($D1200,1)&lt;$L$6,"朝",IF(MOD($D1200,1)&lt;$L$7,"昼",IF(MOD($D1200,1)&lt;$L$8,"夕方","夜")))),IF(OR($D1200="朝",$D1200="昼",$D1200="夕方",$D1200="夜"),$D1200,"⚠ 不明"))))</f>
        <v/>
      </c>
    </row>
    <row r="1201" customFormat="false" ht="15" hidden="false" customHeight="false" outlineLevel="0" collapsed="false">
      <c r="A1201" s="75"/>
      <c r="B1201" s="76"/>
      <c r="C1201" s="77"/>
      <c r="D1201" s="78"/>
      <c r="E1201" s="77"/>
      <c r="F1201" s="76"/>
      <c r="G1201" s="76"/>
      <c r="I1201" s="79" t="str">
        <f aca="false">IF($B1201="","",IF(ISNUMBER(MATCH($B1201,日別データ!$B$13:$B$32,0)),"✔ OK","⚠ 未登録"))</f>
        <v/>
      </c>
      <c r="J1201" s="80" t="str">
        <f aca="false">IF($B1201="","",IF($D1201="","－",IF(ISNUMBER($D1201),IF(AND($D1201&gt;=1,MOD($D1201,1)=0),"－",IF(MOD($D1201,1)&lt;$L$6,"朝",IF(MOD($D1201,1)&lt;$L$7,"昼",IF(MOD($D1201,1)&lt;$L$8,"夕方","夜")))),IF(OR($D1201="朝",$D1201="昼",$D1201="夕方",$D1201="夜"),$D1201,"⚠ 不明"))))</f>
        <v/>
      </c>
    </row>
    <row r="1202" customFormat="false" ht="15" hidden="false" customHeight="false" outlineLevel="0" collapsed="false">
      <c r="A1202" s="75"/>
      <c r="B1202" s="76"/>
      <c r="C1202" s="77"/>
      <c r="D1202" s="78"/>
      <c r="E1202" s="77"/>
      <c r="F1202" s="76"/>
      <c r="G1202" s="76"/>
      <c r="I1202" s="79" t="str">
        <f aca="false">IF($B1202="","",IF(ISNUMBER(MATCH($B1202,日別データ!$B$13:$B$32,0)),"✔ OK","⚠ 未登録"))</f>
        <v/>
      </c>
      <c r="J1202" s="80" t="str">
        <f aca="false">IF($B1202="","",IF($D1202="","－",IF(ISNUMBER($D1202),IF(AND($D1202&gt;=1,MOD($D1202,1)=0),"－",IF(MOD($D1202,1)&lt;$L$6,"朝",IF(MOD($D1202,1)&lt;$L$7,"昼",IF(MOD($D1202,1)&lt;$L$8,"夕方","夜")))),IF(OR($D1202="朝",$D1202="昼",$D1202="夕方",$D1202="夜"),$D1202,"⚠ 不明"))))</f>
        <v/>
      </c>
    </row>
    <row r="1203" customFormat="false" ht="15" hidden="false" customHeight="false" outlineLevel="0" collapsed="false">
      <c r="A1203" s="75"/>
      <c r="B1203" s="76"/>
      <c r="C1203" s="77"/>
      <c r="D1203" s="78"/>
      <c r="E1203" s="77"/>
      <c r="F1203" s="76"/>
      <c r="G1203" s="76"/>
      <c r="I1203" s="79" t="str">
        <f aca="false">IF($B1203="","",IF(ISNUMBER(MATCH($B1203,日別データ!$B$13:$B$32,0)),"✔ OK","⚠ 未登録"))</f>
        <v/>
      </c>
      <c r="J1203" s="80" t="str">
        <f aca="false">IF($B1203="","",IF($D1203="","－",IF(ISNUMBER($D1203),IF(AND($D1203&gt;=1,MOD($D1203,1)=0),"－",IF(MOD($D1203,1)&lt;$L$6,"朝",IF(MOD($D1203,1)&lt;$L$7,"昼",IF(MOD($D1203,1)&lt;$L$8,"夕方","夜")))),IF(OR($D1203="朝",$D1203="昼",$D1203="夕方",$D1203="夜"),$D1203,"⚠ 不明"))))</f>
        <v/>
      </c>
    </row>
    <row r="1204" customFormat="false" ht="15" hidden="false" customHeight="false" outlineLevel="0" collapsed="false">
      <c r="A1204" s="75"/>
      <c r="B1204" s="76"/>
      <c r="C1204" s="77"/>
      <c r="D1204" s="78"/>
      <c r="E1204" s="77"/>
      <c r="F1204" s="76"/>
      <c r="G1204" s="76"/>
      <c r="I1204" s="79" t="str">
        <f aca="false">IF($B1204="","",IF(ISNUMBER(MATCH($B1204,日別データ!$B$13:$B$32,0)),"✔ OK","⚠ 未登録"))</f>
        <v/>
      </c>
      <c r="J1204" s="80" t="str">
        <f aca="false">IF($B1204="","",IF($D1204="","－",IF(ISNUMBER($D1204),IF(AND($D1204&gt;=1,MOD($D1204,1)=0),"－",IF(MOD($D1204,1)&lt;$L$6,"朝",IF(MOD($D1204,1)&lt;$L$7,"昼",IF(MOD($D1204,1)&lt;$L$8,"夕方","夜")))),IF(OR($D1204="朝",$D1204="昼",$D1204="夕方",$D1204="夜"),$D1204,"⚠ 不明"))))</f>
        <v/>
      </c>
    </row>
    <row r="1205" customFormat="false" ht="15" hidden="false" customHeight="false" outlineLevel="0" collapsed="false">
      <c r="A1205" s="75"/>
      <c r="B1205" s="76"/>
      <c r="C1205" s="77"/>
      <c r="D1205" s="78"/>
      <c r="E1205" s="77"/>
      <c r="F1205" s="76"/>
      <c r="G1205" s="76"/>
      <c r="I1205" s="79" t="str">
        <f aca="false">IF($B1205="","",IF(ISNUMBER(MATCH($B1205,日別データ!$B$13:$B$32,0)),"✔ OK","⚠ 未登録"))</f>
        <v/>
      </c>
      <c r="J1205" s="80" t="str">
        <f aca="false">IF($B1205="","",IF($D1205="","－",IF(ISNUMBER($D1205),IF(AND($D1205&gt;=1,MOD($D1205,1)=0),"－",IF(MOD($D1205,1)&lt;$L$6,"朝",IF(MOD($D1205,1)&lt;$L$7,"昼",IF(MOD($D1205,1)&lt;$L$8,"夕方","夜")))),IF(OR($D1205="朝",$D1205="昼",$D1205="夕方",$D1205="夜"),$D1205,"⚠ 不明"))))</f>
        <v/>
      </c>
    </row>
    <row r="1206" customFormat="false" ht="15" hidden="false" customHeight="false" outlineLevel="0" collapsed="false">
      <c r="A1206" s="75"/>
      <c r="B1206" s="76"/>
      <c r="C1206" s="77"/>
      <c r="D1206" s="78"/>
      <c r="E1206" s="77"/>
      <c r="F1206" s="76"/>
      <c r="G1206" s="76"/>
      <c r="I1206" s="79" t="str">
        <f aca="false">IF($B1206="","",IF(ISNUMBER(MATCH($B1206,日別データ!$B$13:$B$32,0)),"✔ OK","⚠ 未登録"))</f>
        <v/>
      </c>
      <c r="J1206" s="80" t="str">
        <f aca="false">IF($B1206="","",IF($D1206="","－",IF(ISNUMBER($D1206),IF(AND($D1206&gt;=1,MOD($D1206,1)=0),"－",IF(MOD($D1206,1)&lt;$L$6,"朝",IF(MOD($D1206,1)&lt;$L$7,"昼",IF(MOD($D1206,1)&lt;$L$8,"夕方","夜")))),IF(OR($D1206="朝",$D1206="昼",$D1206="夕方",$D1206="夜"),$D1206,"⚠ 不明"))))</f>
        <v/>
      </c>
    </row>
    <row r="1207" customFormat="false" ht="15" hidden="false" customHeight="false" outlineLevel="0" collapsed="false">
      <c r="A1207" s="75"/>
      <c r="B1207" s="76"/>
      <c r="C1207" s="77"/>
      <c r="D1207" s="78"/>
      <c r="E1207" s="77"/>
      <c r="F1207" s="76"/>
      <c r="G1207" s="76"/>
      <c r="I1207" s="79" t="str">
        <f aca="false">IF($B1207="","",IF(ISNUMBER(MATCH($B1207,日別データ!$B$13:$B$32,0)),"✔ OK","⚠ 未登録"))</f>
        <v/>
      </c>
      <c r="J1207" s="80" t="str">
        <f aca="false">IF($B1207="","",IF($D1207="","－",IF(ISNUMBER($D1207),IF(AND($D1207&gt;=1,MOD($D1207,1)=0),"－",IF(MOD($D1207,1)&lt;$L$6,"朝",IF(MOD($D1207,1)&lt;$L$7,"昼",IF(MOD($D1207,1)&lt;$L$8,"夕方","夜")))),IF(OR($D1207="朝",$D1207="昼",$D1207="夕方",$D1207="夜"),$D1207,"⚠ 不明"))))</f>
        <v/>
      </c>
    </row>
    <row r="1208" customFormat="false" ht="15" hidden="false" customHeight="false" outlineLevel="0" collapsed="false">
      <c r="A1208" s="75"/>
      <c r="B1208" s="76"/>
      <c r="C1208" s="77"/>
      <c r="D1208" s="78"/>
      <c r="E1208" s="77"/>
      <c r="F1208" s="76"/>
      <c r="G1208" s="76"/>
      <c r="I1208" s="79" t="str">
        <f aca="false">IF($B1208="","",IF(ISNUMBER(MATCH($B1208,日別データ!$B$13:$B$32,0)),"✔ OK","⚠ 未登録"))</f>
        <v/>
      </c>
      <c r="J1208" s="80" t="str">
        <f aca="false">IF($B1208="","",IF($D1208="","－",IF(ISNUMBER($D1208),IF(AND($D1208&gt;=1,MOD($D1208,1)=0),"－",IF(MOD($D1208,1)&lt;$L$6,"朝",IF(MOD($D1208,1)&lt;$L$7,"昼",IF(MOD($D1208,1)&lt;$L$8,"夕方","夜")))),IF(OR($D1208="朝",$D1208="昼",$D1208="夕方",$D1208="夜"),$D1208,"⚠ 不明"))))</f>
        <v/>
      </c>
    </row>
    <row r="1209" customFormat="false" ht="15" hidden="false" customHeight="false" outlineLevel="0" collapsed="false">
      <c r="A1209" s="75"/>
      <c r="B1209" s="76"/>
      <c r="C1209" s="77"/>
      <c r="D1209" s="78"/>
      <c r="E1209" s="77"/>
      <c r="F1209" s="76"/>
      <c r="G1209" s="76"/>
      <c r="I1209" s="79" t="str">
        <f aca="false">IF($B1209="","",IF(ISNUMBER(MATCH($B1209,日別データ!$B$13:$B$32,0)),"✔ OK","⚠ 未登録"))</f>
        <v/>
      </c>
      <c r="J1209" s="80" t="str">
        <f aca="false">IF($B1209="","",IF($D1209="","－",IF(ISNUMBER($D1209),IF(AND($D1209&gt;=1,MOD($D1209,1)=0),"－",IF(MOD($D1209,1)&lt;$L$6,"朝",IF(MOD($D1209,1)&lt;$L$7,"昼",IF(MOD($D1209,1)&lt;$L$8,"夕方","夜")))),IF(OR($D1209="朝",$D1209="昼",$D1209="夕方",$D1209="夜"),$D1209,"⚠ 不明"))))</f>
        <v/>
      </c>
    </row>
    <row r="1210" customFormat="false" ht="15" hidden="false" customHeight="false" outlineLevel="0" collapsed="false">
      <c r="A1210" s="75"/>
      <c r="B1210" s="76"/>
      <c r="C1210" s="77"/>
      <c r="D1210" s="78"/>
      <c r="E1210" s="77"/>
      <c r="F1210" s="76"/>
      <c r="G1210" s="76"/>
      <c r="I1210" s="79" t="str">
        <f aca="false">IF($B1210="","",IF(ISNUMBER(MATCH($B1210,日別データ!$B$13:$B$32,0)),"✔ OK","⚠ 未登録"))</f>
        <v/>
      </c>
      <c r="J1210" s="80" t="str">
        <f aca="false">IF($B1210="","",IF($D1210="","－",IF(ISNUMBER($D1210),IF(AND($D1210&gt;=1,MOD($D1210,1)=0),"－",IF(MOD($D1210,1)&lt;$L$6,"朝",IF(MOD($D1210,1)&lt;$L$7,"昼",IF(MOD($D1210,1)&lt;$L$8,"夕方","夜")))),IF(OR($D1210="朝",$D1210="昼",$D1210="夕方",$D1210="夜"),$D1210,"⚠ 不明"))))</f>
        <v/>
      </c>
    </row>
    <row r="1211" customFormat="false" ht="15" hidden="false" customHeight="false" outlineLevel="0" collapsed="false">
      <c r="A1211" s="75"/>
      <c r="B1211" s="76"/>
      <c r="C1211" s="77"/>
      <c r="D1211" s="78"/>
      <c r="E1211" s="77"/>
      <c r="F1211" s="76"/>
      <c r="G1211" s="76"/>
      <c r="I1211" s="79" t="str">
        <f aca="false">IF($B1211="","",IF(ISNUMBER(MATCH($B1211,日別データ!$B$13:$B$32,0)),"✔ OK","⚠ 未登録"))</f>
        <v/>
      </c>
      <c r="J1211" s="80" t="str">
        <f aca="false">IF($B1211="","",IF($D1211="","－",IF(ISNUMBER($D1211),IF(AND($D1211&gt;=1,MOD($D1211,1)=0),"－",IF(MOD($D1211,1)&lt;$L$6,"朝",IF(MOD($D1211,1)&lt;$L$7,"昼",IF(MOD($D1211,1)&lt;$L$8,"夕方","夜")))),IF(OR($D1211="朝",$D1211="昼",$D1211="夕方",$D1211="夜"),$D1211,"⚠ 不明"))))</f>
        <v/>
      </c>
    </row>
    <row r="1212" customFormat="false" ht="15" hidden="false" customHeight="false" outlineLevel="0" collapsed="false">
      <c r="A1212" s="75"/>
      <c r="B1212" s="76"/>
      <c r="C1212" s="77"/>
      <c r="D1212" s="78"/>
      <c r="E1212" s="77"/>
      <c r="F1212" s="76"/>
      <c r="G1212" s="76"/>
      <c r="I1212" s="79" t="str">
        <f aca="false">IF($B1212="","",IF(ISNUMBER(MATCH($B1212,日別データ!$B$13:$B$32,0)),"✔ OK","⚠ 未登録"))</f>
        <v/>
      </c>
      <c r="J1212" s="80" t="str">
        <f aca="false">IF($B1212="","",IF($D1212="","－",IF(ISNUMBER($D1212),IF(AND($D1212&gt;=1,MOD($D1212,1)=0),"－",IF(MOD($D1212,1)&lt;$L$6,"朝",IF(MOD($D1212,1)&lt;$L$7,"昼",IF(MOD($D1212,1)&lt;$L$8,"夕方","夜")))),IF(OR($D1212="朝",$D1212="昼",$D1212="夕方",$D1212="夜"),$D1212,"⚠ 不明"))))</f>
        <v/>
      </c>
    </row>
    <row r="1213" customFormat="false" ht="15" hidden="false" customHeight="false" outlineLevel="0" collapsed="false">
      <c r="A1213" s="75"/>
      <c r="B1213" s="76"/>
      <c r="C1213" s="77"/>
      <c r="D1213" s="78"/>
      <c r="E1213" s="77"/>
      <c r="F1213" s="76"/>
      <c r="G1213" s="76"/>
      <c r="I1213" s="79" t="str">
        <f aca="false">IF($B1213="","",IF(ISNUMBER(MATCH($B1213,日別データ!$B$13:$B$32,0)),"✔ OK","⚠ 未登録"))</f>
        <v/>
      </c>
      <c r="J1213" s="80" t="str">
        <f aca="false">IF($B1213="","",IF($D1213="","－",IF(ISNUMBER($D1213),IF(AND($D1213&gt;=1,MOD($D1213,1)=0),"－",IF(MOD($D1213,1)&lt;$L$6,"朝",IF(MOD($D1213,1)&lt;$L$7,"昼",IF(MOD($D1213,1)&lt;$L$8,"夕方","夜")))),IF(OR($D1213="朝",$D1213="昼",$D1213="夕方",$D1213="夜"),$D1213,"⚠ 不明"))))</f>
        <v/>
      </c>
    </row>
    <row r="1214" customFormat="false" ht="15" hidden="false" customHeight="false" outlineLevel="0" collapsed="false">
      <c r="A1214" s="75"/>
      <c r="B1214" s="76"/>
      <c r="C1214" s="77"/>
      <c r="D1214" s="78"/>
      <c r="E1214" s="77"/>
      <c r="F1214" s="76"/>
      <c r="G1214" s="76"/>
      <c r="I1214" s="79" t="str">
        <f aca="false">IF($B1214="","",IF(ISNUMBER(MATCH($B1214,日別データ!$B$13:$B$32,0)),"✔ OK","⚠ 未登録"))</f>
        <v/>
      </c>
      <c r="J1214" s="80" t="str">
        <f aca="false">IF($B1214="","",IF($D1214="","－",IF(ISNUMBER($D1214),IF(AND($D1214&gt;=1,MOD($D1214,1)=0),"－",IF(MOD($D1214,1)&lt;$L$6,"朝",IF(MOD($D1214,1)&lt;$L$7,"昼",IF(MOD($D1214,1)&lt;$L$8,"夕方","夜")))),IF(OR($D1214="朝",$D1214="昼",$D1214="夕方",$D1214="夜"),$D1214,"⚠ 不明"))))</f>
        <v/>
      </c>
    </row>
    <row r="1215" customFormat="false" ht="15" hidden="false" customHeight="false" outlineLevel="0" collapsed="false">
      <c r="A1215" s="75"/>
      <c r="B1215" s="76"/>
      <c r="C1215" s="77"/>
      <c r="D1215" s="78"/>
      <c r="E1215" s="77"/>
      <c r="F1215" s="76"/>
      <c r="G1215" s="76"/>
      <c r="I1215" s="79" t="str">
        <f aca="false">IF($B1215="","",IF(ISNUMBER(MATCH($B1215,日別データ!$B$13:$B$32,0)),"✔ OK","⚠ 未登録"))</f>
        <v/>
      </c>
      <c r="J1215" s="80" t="str">
        <f aca="false">IF($B1215="","",IF($D1215="","－",IF(ISNUMBER($D1215),IF(AND($D1215&gt;=1,MOD($D1215,1)=0),"－",IF(MOD($D1215,1)&lt;$L$6,"朝",IF(MOD($D1215,1)&lt;$L$7,"昼",IF(MOD($D1215,1)&lt;$L$8,"夕方","夜")))),IF(OR($D1215="朝",$D1215="昼",$D1215="夕方",$D1215="夜"),$D1215,"⚠ 不明"))))</f>
        <v/>
      </c>
    </row>
    <row r="1216" customFormat="false" ht="15" hidden="false" customHeight="false" outlineLevel="0" collapsed="false">
      <c r="A1216" s="75"/>
      <c r="B1216" s="76"/>
      <c r="C1216" s="77"/>
      <c r="D1216" s="78"/>
      <c r="E1216" s="77"/>
      <c r="F1216" s="76"/>
      <c r="G1216" s="76"/>
      <c r="I1216" s="79" t="str">
        <f aca="false">IF($B1216="","",IF(ISNUMBER(MATCH($B1216,日別データ!$B$13:$B$32,0)),"✔ OK","⚠ 未登録"))</f>
        <v/>
      </c>
      <c r="J1216" s="80" t="str">
        <f aca="false">IF($B1216="","",IF($D1216="","－",IF(ISNUMBER($D1216),IF(AND($D1216&gt;=1,MOD($D1216,1)=0),"－",IF(MOD($D1216,1)&lt;$L$6,"朝",IF(MOD($D1216,1)&lt;$L$7,"昼",IF(MOD($D1216,1)&lt;$L$8,"夕方","夜")))),IF(OR($D1216="朝",$D1216="昼",$D1216="夕方",$D1216="夜"),$D1216,"⚠ 不明"))))</f>
        <v/>
      </c>
    </row>
    <row r="1217" customFormat="false" ht="15" hidden="false" customHeight="false" outlineLevel="0" collapsed="false">
      <c r="A1217" s="75"/>
      <c r="B1217" s="76"/>
      <c r="C1217" s="77"/>
      <c r="D1217" s="78"/>
      <c r="E1217" s="77"/>
      <c r="F1217" s="76"/>
      <c r="G1217" s="76"/>
      <c r="I1217" s="79" t="str">
        <f aca="false">IF($B1217="","",IF(ISNUMBER(MATCH($B1217,日別データ!$B$13:$B$32,0)),"✔ OK","⚠ 未登録"))</f>
        <v/>
      </c>
      <c r="J1217" s="80" t="str">
        <f aca="false">IF($B1217="","",IF($D1217="","－",IF(ISNUMBER($D1217),IF(AND($D1217&gt;=1,MOD($D1217,1)=0),"－",IF(MOD($D1217,1)&lt;$L$6,"朝",IF(MOD($D1217,1)&lt;$L$7,"昼",IF(MOD($D1217,1)&lt;$L$8,"夕方","夜")))),IF(OR($D1217="朝",$D1217="昼",$D1217="夕方",$D1217="夜"),$D1217,"⚠ 不明"))))</f>
        <v/>
      </c>
    </row>
    <row r="1218" customFormat="false" ht="15" hidden="false" customHeight="false" outlineLevel="0" collapsed="false">
      <c r="A1218" s="75"/>
      <c r="B1218" s="76"/>
      <c r="C1218" s="77"/>
      <c r="D1218" s="78"/>
      <c r="E1218" s="77"/>
      <c r="F1218" s="76"/>
      <c r="G1218" s="76"/>
      <c r="I1218" s="79" t="str">
        <f aca="false">IF($B1218="","",IF(ISNUMBER(MATCH($B1218,日別データ!$B$13:$B$32,0)),"✔ OK","⚠ 未登録"))</f>
        <v/>
      </c>
      <c r="J1218" s="80" t="str">
        <f aca="false">IF($B1218="","",IF($D1218="","－",IF(ISNUMBER($D1218),IF(AND($D1218&gt;=1,MOD($D1218,1)=0),"－",IF(MOD($D1218,1)&lt;$L$6,"朝",IF(MOD($D1218,1)&lt;$L$7,"昼",IF(MOD($D1218,1)&lt;$L$8,"夕方","夜")))),IF(OR($D1218="朝",$D1218="昼",$D1218="夕方",$D1218="夜"),$D1218,"⚠ 不明"))))</f>
        <v/>
      </c>
    </row>
    <row r="1219" customFormat="false" ht="15" hidden="false" customHeight="false" outlineLevel="0" collapsed="false">
      <c r="A1219" s="75"/>
      <c r="B1219" s="76"/>
      <c r="C1219" s="77"/>
      <c r="D1219" s="78"/>
      <c r="E1219" s="77"/>
      <c r="F1219" s="76"/>
      <c r="G1219" s="76"/>
      <c r="I1219" s="79" t="str">
        <f aca="false">IF($B1219="","",IF(ISNUMBER(MATCH($B1219,日別データ!$B$13:$B$32,0)),"✔ OK","⚠ 未登録"))</f>
        <v/>
      </c>
      <c r="J1219" s="80" t="str">
        <f aca="false">IF($B1219="","",IF($D1219="","－",IF(ISNUMBER($D1219),IF(AND($D1219&gt;=1,MOD($D1219,1)=0),"－",IF(MOD($D1219,1)&lt;$L$6,"朝",IF(MOD($D1219,1)&lt;$L$7,"昼",IF(MOD($D1219,1)&lt;$L$8,"夕方","夜")))),IF(OR($D1219="朝",$D1219="昼",$D1219="夕方",$D1219="夜"),$D1219,"⚠ 不明"))))</f>
        <v/>
      </c>
    </row>
    <row r="1220" customFormat="false" ht="15" hidden="false" customHeight="false" outlineLevel="0" collapsed="false">
      <c r="A1220" s="75"/>
      <c r="B1220" s="76"/>
      <c r="C1220" s="77"/>
      <c r="D1220" s="78"/>
      <c r="E1220" s="77"/>
      <c r="F1220" s="76"/>
      <c r="G1220" s="76"/>
      <c r="I1220" s="79" t="str">
        <f aca="false">IF($B1220="","",IF(ISNUMBER(MATCH($B1220,日別データ!$B$13:$B$32,0)),"✔ OK","⚠ 未登録"))</f>
        <v/>
      </c>
      <c r="J1220" s="80" t="str">
        <f aca="false">IF($B1220="","",IF($D1220="","－",IF(ISNUMBER($D1220),IF(AND($D1220&gt;=1,MOD($D1220,1)=0),"－",IF(MOD($D1220,1)&lt;$L$6,"朝",IF(MOD($D1220,1)&lt;$L$7,"昼",IF(MOD($D1220,1)&lt;$L$8,"夕方","夜")))),IF(OR($D1220="朝",$D1220="昼",$D1220="夕方",$D1220="夜"),$D1220,"⚠ 不明"))))</f>
        <v/>
      </c>
    </row>
    <row r="1221" customFormat="false" ht="15" hidden="false" customHeight="false" outlineLevel="0" collapsed="false">
      <c r="A1221" s="75"/>
      <c r="B1221" s="76"/>
      <c r="C1221" s="77"/>
      <c r="D1221" s="78"/>
      <c r="E1221" s="77"/>
      <c r="F1221" s="76"/>
      <c r="G1221" s="76"/>
      <c r="I1221" s="79" t="str">
        <f aca="false">IF($B1221="","",IF(ISNUMBER(MATCH($B1221,日別データ!$B$13:$B$32,0)),"✔ OK","⚠ 未登録"))</f>
        <v/>
      </c>
      <c r="J1221" s="80" t="str">
        <f aca="false">IF($B1221="","",IF($D1221="","－",IF(ISNUMBER($D1221),IF(AND($D1221&gt;=1,MOD($D1221,1)=0),"－",IF(MOD($D1221,1)&lt;$L$6,"朝",IF(MOD($D1221,1)&lt;$L$7,"昼",IF(MOD($D1221,1)&lt;$L$8,"夕方","夜")))),IF(OR($D1221="朝",$D1221="昼",$D1221="夕方",$D1221="夜"),$D1221,"⚠ 不明"))))</f>
        <v/>
      </c>
    </row>
    <row r="1222" customFormat="false" ht="15" hidden="false" customHeight="false" outlineLevel="0" collapsed="false">
      <c r="A1222" s="75"/>
      <c r="B1222" s="76"/>
      <c r="C1222" s="77"/>
      <c r="D1222" s="78"/>
      <c r="E1222" s="77"/>
      <c r="F1222" s="76"/>
      <c r="G1222" s="76"/>
      <c r="I1222" s="79" t="str">
        <f aca="false">IF($B1222="","",IF(ISNUMBER(MATCH($B1222,日別データ!$B$13:$B$32,0)),"✔ OK","⚠ 未登録"))</f>
        <v/>
      </c>
      <c r="J1222" s="80" t="str">
        <f aca="false">IF($B1222="","",IF($D1222="","－",IF(ISNUMBER($D1222),IF(AND($D1222&gt;=1,MOD($D1222,1)=0),"－",IF(MOD($D1222,1)&lt;$L$6,"朝",IF(MOD($D1222,1)&lt;$L$7,"昼",IF(MOD($D1222,1)&lt;$L$8,"夕方","夜")))),IF(OR($D1222="朝",$D1222="昼",$D1222="夕方",$D1222="夜"),$D1222,"⚠ 不明"))))</f>
        <v/>
      </c>
    </row>
    <row r="1223" customFormat="false" ht="15" hidden="false" customHeight="false" outlineLevel="0" collapsed="false">
      <c r="A1223" s="75"/>
      <c r="B1223" s="76"/>
      <c r="C1223" s="77"/>
      <c r="D1223" s="78"/>
      <c r="E1223" s="77"/>
      <c r="F1223" s="76"/>
      <c r="G1223" s="76"/>
      <c r="I1223" s="79" t="str">
        <f aca="false">IF($B1223="","",IF(ISNUMBER(MATCH($B1223,日別データ!$B$13:$B$32,0)),"✔ OK","⚠ 未登録"))</f>
        <v/>
      </c>
      <c r="J1223" s="80" t="str">
        <f aca="false">IF($B1223="","",IF($D1223="","－",IF(ISNUMBER($D1223),IF(AND($D1223&gt;=1,MOD($D1223,1)=0),"－",IF(MOD($D1223,1)&lt;$L$6,"朝",IF(MOD($D1223,1)&lt;$L$7,"昼",IF(MOD($D1223,1)&lt;$L$8,"夕方","夜")))),IF(OR($D1223="朝",$D1223="昼",$D1223="夕方",$D1223="夜"),$D1223,"⚠ 不明"))))</f>
        <v/>
      </c>
    </row>
    <row r="1224" customFormat="false" ht="15" hidden="false" customHeight="false" outlineLevel="0" collapsed="false">
      <c r="A1224" s="75"/>
      <c r="B1224" s="76"/>
      <c r="C1224" s="77"/>
      <c r="D1224" s="78"/>
      <c r="E1224" s="77"/>
      <c r="F1224" s="76"/>
      <c r="G1224" s="76"/>
      <c r="I1224" s="79" t="str">
        <f aca="false">IF($B1224="","",IF(ISNUMBER(MATCH($B1224,日別データ!$B$13:$B$32,0)),"✔ OK","⚠ 未登録"))</f>
        <v/>
      </c>
      <c r="J1224" s="80" t="str">
        <f aca="false">IF($B1224="","",IF($D1224="","－",IF(ISNUMBER($D1224),IF(AND($D1224&gt;=1,MOD($D1224,1)=0),"－",IF(MOD($D1224,1)&lt;$L$6,"朝",IF(MOD($D1224,1)&lt;$L$7,"昼",IF(MOD($D1224,1)&lt;$L$8,"夕方","夜")))),IF(OR($D1224="朝",$D1224="昼",$D1224="夕方",$D1224="夜"),$D1224,"⚠ 不明"))))</f>
        <v/>
      </c>
    </row>
    <row r="1225" customFormat="false" ht="15" hidden="false" customHeight="false" outlineLevel="0" collapsed="false">
      <c r="A1225" s="75"/>
      <c r="B1225" s="76"/>
      <c r="C1225" s="77"/>
      <c r="D1225" s="78"/>
      <c r="E1225" s="77"/>
      <c r="F1225" s="76"/>
      <c r="G1225" s="76"/>
      <c r="I1225" s="79" t="str">
        <f aca="false">IF($B1225="","",IF(ISNUMBER(MATCH($B1225,日別データ!$B$13:$B$32,0)),"✔ OK","⚠ 未登録"))</f>
        <v/>
      </c>
      <c r="J1225" s="80" t="str">
        <f aca="false">IF($B1225="","",IF($D1225="","－",IF(ISNUMBER($D1225),IF(AND($D1225&gt;=1,MOD($D1225,1)=0),"－",IF(MOD($D1225,1)&lt;$L$6,"朝",IF(MOD($D1225,1)&lt;$L$7,"昼",IF(MOD($D1225,1)&lt;$L$8,"夕方","夜")))),IF(OR($D1225="朝",$D1225="昼",$D1225="夕方",$D1225="夜"),$D1225,"⚠ 不明"))))</f>
        <v/>
      </c>
    </row>
    <row r="1226" customFormat="false" ht="15" hidden="false" customHeight="false" outlineLevel="0" collapsed="false">
      <c r="A1226" s="75"/>
      <c r="B1226" s="76"/>
      <c r="C1226" s="77"/>
      <c r="D1226" s="78"/>
      <c r="E1226" s="77"/>
      <c r="F1226" s="76"/>
      <c r="G1226" s="76"/>
      <c r="I1226" s="79" t="str">
        <f aca="false">IF($B1226="","",IF(ISNUMBER(MATCH($B1226,日別データ!$B$13:$B$32,0)),"✔ OK","⚠ 未登録"))</f>
        <v/>
      </c>
      <c r="J1226" s="80" t="str">
        <f aca="false">IF($B1226="","",IF($D1226="","－",IF(ISNUMBER($D1226),IF(AND($D1226&gt;=1,MOD($D1226,1)=0),"－",IF(MOD($D1226,1)&lt;$L$6,"朝",IF(MOD($D1226,1)&lt;$L$7,"昼",IF(MOD($D1226,1)&lt;$L$8,"夕方","夜")))),IF(OR($D1226="朝",$D1226="昼",$D1226="夕方",$D1226="夜"),$D1226,"⚠ 不明"))))</f>
        <v/>
      </c>
    </row>
    <row r="1227" customFormat="false" ht="15" hidden="false" customHeight="false" outlineLevel="0" collapsed="false">
      <c r="A1227" s="75"/>
      <c r="B1227" s="76"/>
      <c r="C1227" s="77"/>
      <c r="D1227" s="78"/>
      <c r="E1227" s="77"/>
      <c r="F1227" s="76"/>
      <c r="G1227" s="76"/>
      <c r="I1227" s="79" t="str">
        <f aca="false">IF($B1227="","",IF(ISNUMBER(MATCH($B1227,日別データ!$B$13:$B$32,0)),"✔ OK","⚠ 未登録"))</f>
        <v/>
      </c>
      <c r="J1227" s="80" t="str">
        <f aca="false">IF($B1227="","",IF($D1227="","－",IF(ISNUMBER($D1227),IF(AND($D1227&gt;=1,MOD($D1227,1)=0),"－",IF(MOD($D1227,1)&lt;$L$6,"朝",IF(MOD($D1227,1)&lt;$L$7,"昼",IF(MOD($D1227,1)&lt;$L$8,"夕方","夜")))),IF(OR($D1227="朝",$D1227="昼",$D1227="夕方",$D1227="夜"),$D1227,"⚠ 不明"))))</f>
        <v/>
      </c>
    </row>
    <row r="1228" customFormat="false" ht="15" hidden="false" customHeight="false" outlineLevel="0" collapsed="false">
      <c r="A1228" s="75"/>
      <c r="B1228" s="76"/>
      <c r="C1228" s="77"/>
      <c r="D1228" s="78"/>
      <c r="E1228" s="77"/>
      <c r="F1228" s="76"/>
      <c r="G1228" s="76"/>
      <c r="I1228" s="79" t="str">
        <f aca="false">IF($B1228="","",IF(ISNUMBER(MATCH($B1228,日別データ!$B$13:$B$32,0)),"✔ OK","⚠ 未登録"))</f>
        <v/>
      </c>
      <c r="J1228" s="80" t="str">
        <f aca="false">IF($B1228="","",IF($D1228="","－",IF(ISNUMBER($D1228),IF(AND($D1228&gt;=1,MOD($D1228,1)=0),"－",IF(MOD($D1228,1)&lt;$L$6,"朝",IF(MOD($D1228,1)&lt;$L$7,"昼",IF(MOD($D1228,1)&lt;$L$8,"夕方","夜")))),IF(OR($D1228="朝",$D1228="昼",$D1228="夕方",$D1228="夜"),$D1228,"⚠ 不明"))))</f>
        <v/>
      </c>
    </row>
    <row r="1229" customFormat="false" ht="15" hidden="false" customHeight="false" outlineLevel="0" collapsed="false">
      <c r="A1229" s="75"/>
      <c r="B1229" s="76"/>
      <c r="C1229" s="77"/>
      <c r="D1229" s="78"/>
      <c r="E1229" s="77"/>
      <c r="F1229" s="76"/>
      <c r="G1229" s="76"/>
      <c r="I1229" s="79" t="str">
        <f aca="false">IF($B1229="","",IF(ISNUMBER(MATCH($B1229,日別データ!$B$13:$B$32,0)),"✔ OK","⚠ 未登録"))</f>
        <v/>
      </c>
      <c r="J1229" s="80" t="str">
        <f aca="false">IF($B1229="","",IF($D1229="","－",IF(ISNUMBER($D1229),IF(AND($D1229&gt;=1,MOD($D1229,1)=0),"－",IF(MOD($D1229,1)&lt;$L$6,"朝",IF(MOD($D1229,1)&lt;$L$7,"昼",IF(MOD($D1229,1)&lt;$L$8,"夕方","夜")))),IF(OR($D1229="朝",$D1229="昼",$D1229="夕方",$D1229="夜"),$D1229,"⚠ 不明"))))</f>
        <v/>
      </c>
    </row>
    <row r="1230" customFormat="false" ht="15" hidden="false" customHeight="false" outlineLevel="0" collapsed="false">
      <c r="A1230" s="75"/>
      <c r="B1230" s="76"/>
      <c r="C1230" s="77"/>
      <c r="D1230" s="78"/>
      <c r="E1230" s="77"/>
      <c r="F1230" s="76"/>
      <c r="G1230" s="76"/>
      <c r="I1230" s="79" t="str">
        <f aca="false">IF($B1230="","",IF(ISNUMBER(MATCH($B1230,日別データ!$B$13:$B$32,0)),"✔ OK","⚠ 未登録"))</f>
        <v/>
      </c>
      <c r="J1230" s="80" t="str">
        <f aca="false">IF($B1230="","",IF($D1230="","－",IF(ISNUMBER($D1230),IF(AND($D1230&gt;=1,MOD($D1230,1)=0),"－",IF(MOD($D1230,1)&lt;$L$6,"朝",IF(MOD($D1230,1)&lt;$L$7,"昼",IF(MOD($D1230,1)&lt;$L$8,"夕方","夜")))),IF(OR($D1230="朝",$D1230="昼",$D1230="夕方",$D1230="夜"),$D1230,"⚠ 不明"))))</f>
        <v/>
      </c>
    </row>
    <row r="1231" customFormat="false" ht="15" hidden="false" customHeight="false" outlineLevel="0" collapsed="false">
      <c r="A1231" s="75"/>
      <c r="B1231" s="76"/>
      <c r="C1231" s="77"/>
      <c r="D1231" s="78"/>
      <c r="E1231" s="77"/>
      <c r="F1231" s="76"/>
      <c r="G1231" s="76"/>
      <c r="I1231" s="79" t="str">
        <f aca="false">IF($B1231="","",IF(ISNUMBER(MATCH($B1231,日別データ!$B$13:$B$32,0)),"✔ OK","⚠ 未登録"))</f>
        <v/>
      </c>
      <c r="J1231" s="80" t="str">
        <f aca="false">IF($B1231="","",IF($D1231="","－",IF(ISNUMBER($D1231),IF(AND($D1231&gt;=1,MOD($D1231,1)=0),"－",IF(MOD($D1231,1)&lt;$L$6,"朝",IF(MOD($D1231,1)&lt;$L$7,"昼",IF(MOD($D1231,1)&lt;$L$8,"夕方","夜")))),IF(OR($D1231="朝",$D1231="昼",$D1231="夕方",$D1231="夜"),$D1231,"⚠ 不明"))))</f>
        <v/>
      </c>
    </row>
    <row r="1232" customFormat="false" ht="15" hidden="false" customHeight="false" outlineLevel="0" collapsed="false">
      <c r="A1232" s="75"/>
      <c r="B1232" s="76"/>
      <c r="C1232" s="77"/>
      <c r="D1232" s="78"/>
      <c r="E1232" s="77"/>
      <c r="F1232" s="76"/>
      <c r="G1232" s="76"/>
      <c r="I1232" s="79" t="str">
        <f aca="false">IF($B1232="","",IF(ISNUMBER(MATCH($B1232,日別データ!$B$13:$B$32,0)),"✔ OK","⚠ 未登録"))</f>
        <v/>
      </c>
      <c r="J1232" s="80" t="str">
        <f aca="false">IF($B1232="","",IF($D1232="","－",IF(ISNUMBER($D1232),IF(AND($D1232&gt;=1,MOD($D1232,1)=0),"－",IF(MOD($D1232,1)&lt;$L$6,"朝",IF(MOD($D1232,1)&lt;$L$7,"昼",IF(MOD($D1232,1)&lt;$L$8,"夕方","夜")))),IF(OR($D1232="朝",$D1232="昼",$D1232="夕方",$D1232="夜"),$D1232,"⚠ 不明"))))</f>
        <v/>
      </c>
    </row>
    <row r="1233" customFormat="false" ht="15" hidden="false" customHeight="false" outlineLevel="0" collapsed="false">
      <c r="A1233" s="75"/>
      <c r="B1233" s="76"/>
      <c r="C1233" s="77"/>
      <c r="D1233" s="78"/>
      <c r="E1233" s="77"/>
      <c r="F1233" s="76"/>
      <c r="G1233" s="76"/>
      <c r="I1233" s="79" t="str">
        <f aca="false">IF($B1233="","",IF(ISNUMBER(MATCH($B1233,日別データ!$B$13:$B$32,0)),"✔ OK","⚠ 未登録"))</f>
        <v/>
      </c>
      <c r="J1233" s="80" t="str">
        <f aca="false">IF($B1233="","",IF($D1233="","－",IF(ISNUMBER($D1233),IF(AND($D1233&gt;=1,MOD($D1233,1)=0),"－",IF(MOD($D1233,1)&lt;$L$6,"朝",IF(MOD($D1233,1)&lt;$L$7,"昼",IF(MOD($D1233,1)&lt;$L$8,"夕方","夜")))),IF(OR($D1233="朝",$D1233="昼",$D1233="夕方",$D1233="夜"),$D1233,"⚠ 不明"))))</f>
        <v/>
      </c>
    </row>
    <row r="1234" customFormat="false" ht="15" hidden="false" customHeight="false" outlineLevel="0" collapsed="false">
      <c r="A1234" s="75"/>
      <c r="B1234" s="76"/>
      <c r="C1234" s="77"/>
      <c r="D1234" s="78"/>
      <c r="E1234" s="77"/>
      <c r="F1234" s="76"/>
      <c r="G1234" s="76"/>
      <c r="I1234" s="79" t="str">
        <f aca="false">IF($B1234="","",IF(ISNUMBER(MATCH($B1234,日別データ!$B$13:$B$32,0)),"✔ OK","⚠ 未登録"))</f>
        <v/>
      </c>
      <c r="J1234" s="80" t="str">
        <f aca="false">IF($B1234="","",IF($D1234="","－",IF(ISNUMBER($D1234),IF(AND($D1234&gt;=1,MOD($D1234,1)=0),"－",IF(MOD($D1234,1)&lt;$L$6,"朝",IF(MOD($D1234,1)&lt;$L$7,"昼",IF(MOD($D1234,1)&lt;$L$8,"夕方","夜")))),IF(OR($D1234="朝",$D1234="昼",$D1234="夕方",$D1234="夜"),$D1234,"⚠ 不明"))))</f>
        <v/>
      </c>
    </row>
    <row r="1235" customFormat="false" ht="15" hidden="false" customHeight="false" outlineLevel="0" collapsed="false">
      <c r="A1235" s="75"/>
      <c r="B1235" s="76"/>
      <c r="C1235" s="77"/>
      <c r="D1235" s="78"/>
      <c r="E1235" s="77"/>
      <c r="F1235" s="76"/>
      <c r="G1235" s="76"/>
      <c r="I1235" s="79" t="str">
        <f aca="false">IF($B1235="","",IF(ISNUMBER(MATCH($B1235,日別データ!$B$13:$B$32,0)),"✔ OK","⚠ 未登録"))</f>
        <v/>
      </c>
      <c r="J1235" s="80" t="str">
        <f aca="false">IF($B1235="","",IF($D1235="","－",IF(ISNUMBER($D1235),IF(AND($D1235&gt;=1,MOD($D1235,1)=0),"－",IF(MOD($D1235,1)&lt;$L$6,"朝",IF(MOD($D1235,1)&lt;$L$7,"昼",IF(MOD($D1235,1)&lt;$L$8,"夕方","夜")))),IF(OR($D1235="朝",$D1235="昼",$D1235="夕方",$D1235="夜"),$D1235,"⚠ 不明"))))</f>
        <v/>
      </c>
    </row>
    <row r="1236" customFormat="false" ht="15" hidden="false" customHeight="false" outlineLevel="0" collapsed="false">
      <c r="A1236" s="75"/>
      <c r="B1236" s="76"/>
      <c r="C1236" s="77"/>
      <c r="D1236" s="78"/>
      <c r="E1236" s="77"/>
      <c r="F1236" s="76"/>
      <c r="G1236" s="76"/>
      <c r="I1236" s="79" t="str">
        <f aca="false">IF($B1236="","",IF(ISNUMBER(MATCH($B1236,日別データ!$B$13:$B$32,0)),"✔ OK","⚠ 未登録"))</f>
        <v/>
      </c>
      <c r="J1236" s="80" t="str">
        <f aca="false">IF($B1236="","",IF($D1236="","－",IF(ISNUMBER($D1236),IF(AND($D1236&gt;=1,MOD($D1236,1)=0),"－",IF(MOD($D1236,1)&lt;$L$6,"朝",IF(MOD($D1236,1)&lt;$L$7,"昼",IF(MOD($D1236,1)&lt;$L$8,"夕方","夜")))),IF(OR($D1236="朝",$D1236="昼",$D1236="夕方",$D1236="夜"),$D1236,"⚠ 不明"))))</f>
        <v/>
      </c>
    </row>
    <row r="1237" customFormat="false" ht="15" hidden="false" customHeight="false" outlineLevel="0" collapsed="false">
      <c r="A1237" s="75"/>
      <c r="B1237" s="76"/>
      <c r="C1237" s="77"/>
      <c r="D1237" s="78"/>
      <c r="E1237" s="77"/>
      <c r="F1237" s="76"/>
      <c r="G1237" s="76"/>
      <c r="I1237" s="79" t="str">
        <f aca="false">IF($B1237="","",IF(ISNUMBER(MATCH($B1237,日別データ!$B$13:$B$32,0)),"✔ OK","⚠ 未登録"))</f>
        <v/>
      </c>
      <c r="J1237" s="80" t="str">
        <f aca="false">IF($B1237="","",IF($D1237="","－",IF(ISNUMBER($D1237),IF(AND($D1237&gt;=1,MOD($D1237,1)=0),"－",IF(MOD($D1237,1)&lt;$L$6,"朝",IF(MOD($D1237,1)&lt;$L$7,"昼",IF(MOD($D1237,1)&lt;$L$8,"夕方","夜")))),IF(OR($D1237="朝",$D1237="昼",$D1237="夕方",$D1237="夜"),$D1237,"⚠ 不明"))))</f>
        <v/>
      </c>
    </row>
    <row r="1238" customFormat="false" ht="15" hidden="false" customHeight="false" outlineLevel="0" collapsed="false">
      <c r="A1238" s="75"/>
      <c r="B1238" s="76"/>
      <c r="C1238" s="77"/>
      <c r="D1238" s="78"/>
      <c r="E1238" s="77"/>
      <c r="F1238" s="76"/>
      <c r="G1238" s="76"/>
      <c r="I1238" s="79" t="str">
        <f aca="false">IF($B1238="","",IF(ISNUMBER(MATCH($B1238,日別データ!$B$13:$B$32,0)),"✔ OK","⚠ 未登録"))</f>
        <v/>
      </c>
      <c r="J1238" s="80" t="str">
        <f aca="false">IF($B1238="","",IF($D1238="","－",IF(ISNUMBER($D1238),IF(AND($D1238&gt;=1,MOD($D1238,1)=0),"－",IF(MOD($D1238,1)&lt;$L$6,"朝",IF(MOD($D1238,1)&lt;$L$7,"昼",IF(MOD($D1238,1)&lt;$L$8,"夕方","夜")))),IF(OR($D1238="朝",$D1238="昼",$D1238="夕方",$D1238="夜"),$D1238,"⚠ 不明"))))</f>
        <v/>
      </c>
    </row>
    <row r="1239" customFormat="false" ht="15" hidden="false" customHeight="false" outlineLevel="0" collapsed="false">
      <c r="A1239" s="75"/>
      <c r="B1239" s="76"/>
      <c r="C1239" s="77"/>
      <c r="D1239" s="78"/>
      <c r="E1239" s="77"/>
      <c r="F1239" s="76"/>
      <c r="G1239" s="76"/>
      <c r="I1239" s="79" t="str">
        <f aca="false">IF($B1239="","",IF(ISNUMBER(MATCH($B1239,日別データ!$B$13:$B$32,0)),"✔ OK","⚠ 未登録"))</f>
        <v/>
      </c>
      <c r="J1239" s="80" t="str">
        <f aca="false">IF($B1239="","",IF($D1239="","－",IF(ISNUMBER($D1239),IF(AND($D1239&gt;=1,MOD($D1239,1)=0),"－",IF(MOD($D1239,1)&lt;$L$6,"朝",IF(MOD($D1239,1)&lt;$L$7,"昼",IF(MOD($D1239,1)&lt;$L$8,"夕方","夜")))),IF(OR($D1239="朝",$D1239="昼",$D1239="夕方",$D1239="夜"),$D1239,"⚠ 不明"))))</f>
        <v/>
      </c>
    </row>
    <row r="1240" customFormat="false" ht="15" hidden="false" customHeight="false" outlineLevel="0" collapsed="false">
      <c r="A1240" s="75"/>
      <c r="B1240" s="76"/>
      <c r="C1240" s="77"/>
      <c r="D1240" s="78"/>
      <c r="E1240" s="77"/>
      <c r="F1240" s="76"/>
      <c r="G1240" s="76"/>
      <c r="I1240" s="79" t="str">
        <f aca="false">IF($B1240="","",IF(ISNUMBER(MATCH($B1240,日別データ!$B$13:$B$32,0)),"✔ OK","⚠ 未登録"))</f>
        <v/>
      </c>
      <c r="J1240" s="80" t="str">
        <f aca="false">IF($B1240="","",IF($D1240="","－",IF(ISNUMBER($D1240),IF(AND($D1240&gt;=1,MOD($D1240,1)=0),"－",IF(MOD($D1240,1)&lt;$L$6,"朝",IF(MOD($D1240,1)&lt;$L$7,"昼",IF(MOD($D1240,1)&lt;$L$8,"夕方","夜")))),IF(OR($D1240="朝",$D1240="昼",$D1240="夕方",$D1240="夜"),$D1240,"⚠ 不明"))))</f>
        <v/>
      </c>
    </row>
    <row r="1241" customFormat="false" ht="15" hidden="false" customHeight="false" outlineLevel="0" collapsed="false">
      <c r="A1241" s="75"/>
      <c r="B1241" s="76"/>
      <c r="C1241" s="77"/>
      <c r="D1241" s="78"/>
      <c r="E1241" s="77"/>
      <c r="F1241" s="76"/>
      <c r="G1241" s="76"/>
      <c r="I1241" s="79" t="str">
        <f aca="false">IF($B1241="","",IF(ISNUMBER(MATCH($B1241,日別データ!$B$13:$B$32,0)),"✔ OK","⚠ 未登録"))</f>
        <v/>
      </c>
      <c r="J1241" s="80" t="str">
        <f aca="false">IF($B1241="","",IF($D1241="","－",IF(ISNUMBER($D1241),IF(AND($D1241&gt;=1,MOD($D1241,1)=0),"－",IF(MOD($D1241,1)&lt;$L$6,"朝",IF(MOD($D1241,1)&lt;$L$7,"昼",IF(MOD($D1241,1)&lt;$L$8,"夕方","夜")))),IF(OR($D1241="朝",$D1241="昼",$D1241="夕方",$D1241="夜"),$D1241,"⚠ 不明"))))</f>
        <v/>
      </c>
    </row>
    <row r="1242" customFormat="false" ht="15" hidden="false" customHeight="false" outlineLevel="0" collapsed="false">
      <c r="A1242" s="75"/>
      <c r="B1242" s="76"/>
      <c r="C1242" s="77"/>
      <c r="D1242" s="78"/>
      <c r="E1242" s="77"/>
      <c r="F1242" s="76"/>
      <c r="G1242" s="76"/>
      <c r="I1242" s="79" t="str">
        <f aca="false">IF($B1242="","",IF(ISNUMBER(MATCH($B1242,日別データ!$B$13:$B$32,0)),"✔ OK","⚠ 未登録"))</f>
        <v/>
      </c>
      <c r="J1242" s="80" t="str">
        <f aca="false">IF($B1242="","",IF($D1242="","－",IF(ISNUMBER($D1242),IF(AND($D1242&gt;=1,MOD($D1242,1)=0),"－",IF(MOD($D1242,1)&lt;$L$6,"朝",IF(MOD($D1242,1)&lt;$L$7,"昼",IF(MOD($D1242,1)&lt;$L$8,"夕方","夜")))),IF(OR($D1242="朝",$D1242="昼",$D1242="夕方",$D1242="夜"),$D1242,"⚠ 不明"))))</f>
        <v/>
      </c>
    </row>
    <row r="1243" customFormat="false" ht="15" hidden="false" customHeight="false" outlineLevel="0" collapsed="false">
      <c r="A1243" s="75"/>
      <c r="B1243" s="76"/>
      <c r="C1243" s="77"/>
      <c r="D1243" s="78"/>
      <c r="E1243" s="77"/>
      <c r="F1243" s="76"/>
      <c r="G1243" s="76"/>
      <c r="I1243" s="79" t="str">
        <f aca="false">IF($B1243="","",IF(ISNUMBER(MATCH($B1243,日別データ!$B$13:$B$32,0)),"✔ OK","⚠ 未登録"))</f>
        <v/>
      </c>
      <c r="J1243" s="80" t="str">
        <f aca="false">IF($B1243="","",IF($D1243="","－",IF(ISNUMBER($D1243),IF(AND($D1243&gt;=1,MOD($D1243,1)=0),"－",IF(MOD($D1243,1)&lt;$L$6,"朝",IF(MOD($D1243,1)&lt;$L$7,"昼",IF(MOD($D1243,1)&lt;$L$8,"夕方","夜")))),IF(OR($D1243="朝",$D1243="昼",$D1243="夕方",$D1243="夜"),$D1243,"⚠ 不明"))))</f>
        <v/>
      </c>
    </row>
    <row r="1244" customFormat="false" ht="15" hidden="false" customHeight="false" outlineLevel="0" collapsed="false">
      <c r="A1244" s="75"/>
      <c r="B1244" s="76"/>
      <c r="C1244" s="77"/>
      <c r="D1244" s="78"/>
      <c r="E1244" s="77"/>
      <c r="F1244" s="76"/>
      <c r="G1244" s="76"/>
      <c r="I1244" s="79" t="str">
        <f aca="false">IF($B1244="","",IF(ISNUMBER(MATCH($B1244,日別データ!$B$13:$B$32,0)),"✔ OK","⚠ 未登録"))</f>
        <v/>
      </c>
      <c r="J1244" s="80" t="str">
        <f aca="false">IF($B1244="","",IF($D1244="","－",IF(ISNUMBER($D1244),IF(AND($D1244&gt;=1,MOD($D1244,1)=0),"－",IF(MOD($D1244,1)&lt;$L$6,"朝",IF(MOD($D1244,1)&lt;$L$7,"昼",IF(MOD($D1244,1)&lt;$L$8,"夕方","夜")))),IF(OR($D1244="朝",$D1244="昼",$D1244="夕方",$D1244="夜"),$D1244,"⚠ 不明"))))</f>
        <v/>
      </c>
    </row>
    <row r="1245" customFormat="false" ht="15" hidden="false" customHeight="false" outlineLevel="0" collapsed="false">
      <c r="A1245" s="75"/>
      <c r="B1245" s="76"/>
      <c r="C1245" s="77"/>
      <c r="D1245" s="78"/>
      <c r="E1245" s="77"/>
      <c r="F1245" s="76"/>
      <c r="G1245" s="76"/>
      <c r="I1245" s="79" t="str">
        <f aca="false">IF($B1245="","",IF(ISNUMBER(MATCH($B1245,日別データ!$B$13:$B$32,0)),"✔ OK","⚠ 未登録"))</f>
        <v/>
      </c>
      <c r="J1245" s="80" t="str">
        <f aca="false">IF($B1245="","",IF($D1245="","－",IF(ISNUMBER($D1245),IF(AND($D1245&gt;=1,MOD($D1245,1)=0),"－",IF(MOD($D1245,1)&lt;$L$6,"朝",IF(MOD($D1245,1)&lt;$L$7,"昼",IF(MOD($D1245,1)&lt;$L$8,"夕方","夜")))),IF(OR($D1245="朝",$D1245="昼",$D1245="夕方",$D1245="夜"),$D1245,"⚠ 不明"))))</f>
        <v/>
      </c>
    </row>
    <row r="1246" customFormat="false" ht="15" hidden="false" customHeight="false" outlineLevel="0" collapsed="false">
      <c r="A1246" s="75"/>
      <c r="B1246" s="76"/>
      <c r="C1246" s="77"/>
      <c r="D1246" s="78"/>
      <c r="E1246" s="77"/>
      <c r="F1246" s="76"/>
      <c r="G1246" s="76"/>
      <c r="I1246" s="79" t="str">
        <f aca="false">IF($B1246="","",IF(ISNUMBER(MATCH($B1246,日別データ!$B$13:$B$32,0)),"✔ OK","⚠ 未登録"))</f>
        <v/>
      </c>
      <c r="J1246" s="80" t="str">
        <f aca="false">IF($B1246="","",IF($D1246="","－",IF(ISNUMBER($D1246),IF(AND($D1246&gt;=1,MOD($D1246,1)=0),"－",IF(MOD($D1246,1)&lt;$L$6,"朝",IF(MOD($D1246,1)&lt;$L$7,"昼",IF(MOD($D1246,1)&lt;$L$8,"夕方","夜")))),IF(OR($D1246="朝",$D1246="昼",$D1246="夕方",$D1246="夜"),$D1246,"⚠ 不明"))))</f>
        <v/>
      </c>
    </row>
    <row r="1247" customFormat="false" ht="15" hidden="false" customHeight="false" outlineLevel="0" collapsed="false">
      <c r="A1247" s="75"/>
      <c r="B1247" s="76"/>
      <c r="C1247" s="77"/>
      <c r="D1247" s="78"/>
      <c r="E1247" s="77"/>
      <c r="F1247" s="76"/>
      <c r="G1247" s="76"/>
      <c r="I1247" s="79" t="str">
        <f aca="false">IF($B1247="","",IF(ISNUMBER(MATCH($B1247,日別データ!$B$13:$B$32,0)),"✔ OK","⚠ 未登録"))</f>
        <v/>
      </c>
      <c r="J1247" s="80" t="str">
        <f aca="false">IF($B1247="","",IF($D1247="","－",IF(ISNUMBER($D1247),IF(AND($D1247&gt;=1,MOD($D1247,1)=0),"－",IF(MOD($D1247,1)&lt;$L$6,"朝",IF(MOD($D1247,1)&lt;$L$7,"昼",IF(MOD($D1247,1)&lt;$L$8,"夕方","夜")))),IF(OR($D1247="朝",$D1247="昼",$D1247="夕方",$D1247="夜"),$D1247,"⚠ 不明"))))</f>
        <v/>
      </c>
    </row>
    <row r="1248" customFormat="false" ht="15" hidden="false" customHeight="false" outlineLevel="0" collapsed="false">
      <c r="A1248" s="75"/>
      <c r="B1248" s="76"/>
      <c r="C1248" s="77"/>
      <c r="D1248" s="78"/>
      <c r="E1248" s="77"/>
      <c r="F1248" s="76"/>
      <c r="G1248" s="76"/>
      <c r="I1248" s="79" t="str">
        <f aca="false">IF($B1248="","",IF(ISNUMBER(MATCH($B1248,日別データ!$B$13:$B$32,0)),"✔ OK","⚠ 未登録"))</f>
        <v/>
      </c>
      <c r="J1248" s="80" t="str">
        <f aca="false">IF($B1248="","",IF($D1248="","－",IF(ISNUMBER($D1248),IF(AND($D1248&gt;=1,MOD($D1248,1)=0),"－",IF(MOD($D1248,1)&lt;$L$6,"朝",IF(MOD($D1248,1)&lt;$L$7,"昼",IF(MOD($D1248,1)&lt;$L$8,"夕方","夜")))),IF(OR($D1248="朝",$D1248="昼",$D1248="夕方",$D1248="夜"),$D1248,"⚠ 不明"))))</f>
        <v/>
      </c>
    </row>
    <row r="1249" customFormat="false" ht="15" hidden="false" customHeight="false" outlineLevel="0" collapsed="false">
      <c r="A1249" s="75"/>
      <c r="B1249" s="76"/>
      <c r="C1249" s="77"/>
      <c r="D1249" s="78"/>
      <c r="E1249" s="77"/>
      <c r="F1249" s="76"/>
      <c r="G1249" s="76"/>
      <c r="I1249" s="79" t="str">
        <f aca="false">IF($B1249="","",IF(ISNUMBER(MATCH($B1249,日別データ!$B$13:$B$32,0)),"✔ OK","⚠ 未登録"))</f>
        <v/>
      </c>
      <c r="J1249" s="80" t="str">
        <f aca="false">IF($B1249="","",IF($D1249="","－",IF(ISNUMBER($D1249),IF(AND($D1249&gt;=1,MOD($D1249,1)=0),"－",IF(MOD($D1249,1)&lt;$L$6,"朝",IF(MOD($D1249,1)&lt;$L$7,"昼",IF(MOD($D1249,1)&lt;$L$8,"夕方","夜")))),IF(OR($D1249="朝",$D1249="昼",$D1249="夕方",$D1249="夜"),$D1249,"⚠ 不明"))))</f>
        <v/>
      </c>
    </row>
    <row r="1250" customFormat="false" ht="15" hidden="false" customHeight="false" outlineLevel="0" collapsed="false">
      <c r="A1250" s="75"/>
      <c r="B1250" s="76"/>
      <c r="C1250" s="77"/>
      <c r="D1250" s="78"/>
      <c r="E1250" s="77"/>
      <c r="F1250" s="76"/>
      <c r="G1250" s="76"/>
      <c r="I1250" s="79" t="str">
        <f aca="false">IF($B1250="","",IF(ISNUMBER(MATCH($B1250,日別データ!$B$13:$B$32,0)),"✔ OK","⚠ 未登録"))</f>
        <v/>
      </c>
      <c r="J1250" s="80" t="str">
        <f aca="false">IF($B1250="","",IF($D1250="","－",IF(ISNUMBER($D1250),IF(AND($D1250&gt;=1,MOD($D1250,1)=0),"－",IF(MOD($D1250,1)&lt;$L$6,"朝",IF(MOD($D1250,1)&lt;$L$7,"昼",IF(MOD($D1250,1)&lt;$L$8,"夕方","夜")))),IF(OR($D1250="朝",$D1250="昼",$D1250="夕方",$D1250="夜"),$D1250,"⚠ 不明"))))</f>
        <v/>
      </c>
    </row>
    <row r="1251" customFormat="false" ht="15" hidden="false" customHeight="false" outlineLevel="0" collapsed="false">
      <c r="A1251" s="75"/>
      <c r="B1251" s="76"/>
      <c r="C1251" s="77"/>
      <c r="D1251" s="78"/>
      <c r="E1251" s="77"/>
      <c r="F1251" s="76"/>
      <c r="G1251" s="76"/>
      <c r="I1251" s="79" t="str">
        <f aca="false">IF($B1251="","",IF(ISNUMBER(MATCH($B1251,日別データ!$B$13:$B$32,0)),"✔ OK","⚠ 未登録"))</f>
        <v/>
      </c>
      <c r="J1251" s="80" t="str">
        <f aca="false">IF($B1251="","",IF($D1251="","－",IF(ISNUMBER($D1251),IF(AND($D1251&gt;=1,MOD($D1251,1)=0),"－",IF(MOD($D1251,1)&lt;$L$6,"朝",IF(MOD($D1251,1)&lt;$L$7,"昼",IF(MOD($D1251,1)&lt;$L$8,"夕方","夜")))),IF(OR($D1251="朝",$D1251="昼",$D1251="夕方",$D1251="夜"),$D1251,"⚠ 不明"))))</f>
        <v/>
      </c>
    </row>
    <row r="1252" customFormat="false" ht="15" hidden="false" customHeight="false" outlineLevel="0" collapsed="false">
      <c r="A1252" s="75"/>
      <c r="B1252" s="76"/>
      <c r="C1252" s="77"/>
      <c r="D1252" s="78"/>
      <c r="E1252" s="77"/>
      <c r="F1252" s="76"/>
      <c r="G1252" s="76"/>
      <c r="I1252" s="79" t="str">
        <f aca="false">IF($B1252="","",IF(ISNUMBER(MATCH($B1252,日別データ!$B$13:$B$32,0)),"✔ OK","⚠ 未登録"))</f>
        <v/>
      </c>
      <c r="J1252" s="80" t="str">
        <f aca="false">IF($B1252="","",IF($D1252="","－",IF(ISNUMBER($D1252),IF(AND($D1252&gt;=1,MOD($D1252,1)=0),"－",IF(MOD($D1252,1)&lt;$L$6,"朝",IF(MOD($D1252,1)&lt;$L$7,"昼",IF(MOD($D1252,1)&lt;$L$8,"夕方","夜")))),IF(OR($D1252="朝",$D1252="昼",$D1252="夕方",$D1252="夜"),$D1252,"⚠ 不明"))))</f>
        <v/>
      </c>
    </row>
    <row r="1253" customFormat="false" ht="15" hidden="false" customHeight="false" outlineLevel="0" collapsed="false">
      <c r="A1253" s="75"/>
      <c r="B1253" s="76"/>
      <c r="C1253" s="77"/>
      <c r="D1253" s="78"/>
      <c r="E1253" s="77"/>
      <c r="F1253" s="76"/>
      <c r="G1253" s="76"/>
      <c r="I1253" s="79" t="str">
        <f aca="false">IF($B1253="","",IF(ISNUMBER(MATCH($B1253,日別データ!$B$13:$B$32,0)),"✔ OK","⚠ 未登録"))</f>
        <v/>
      </c>
      <c r="J1253" s="80" t="str">
        <f aca="false">IF($B1253="","",IF($D1253="","－",IF(ISNUMBER($D1253),IF(AND($D1253&gt;=1,MOD($D1253,1)=0),"－",IF(MOD($D1253,1)&lt;$L$6,"朝",IF(MOD($D1253,1)&lt;$L$7,"昼",IF(MOD($D1253,1)&lt;$L$8,"夕方","夜")))),IF(OR($D1253="朝",$D1253="昼",$D1253="夕方",$D1253="夜"),$D1253,"⚠ 不明"))))</f>
        <v/>
      </c>
    </row>
    <row r="1254" customFormat="false" ht="15" hidden="false" customHeight="false" outlineLevel="0" collapsed="false">
      <c r="A1254" s="75"/>
      <c r="B1254" s="76"/>
      <c r="C1254" s="77"/>
      <c r="D1254" s="78"/>
      <c r="E1254" s="77"/>
      <c r="F1254" s="76"/>
      <c r="G1254" s="76"/>
      <c r="I1254" s="79" t="str">
        <f aca="false">IF($B1254="","",IF(ISNUMBER(MATCH($B1254,日別データ!$B$13:$B$32,0)),"✔ OK","⚠ 未登録"))</f>
        <v/>
      </c>
      <c r="J1254" s="80" t="str">
        <f aca="false">IF($B1254="","",IF($D1254="","－",IF(ISNUMBER($D1254),IF(AND($D1254&gt;=1,MOD($D1254,1)=0),"－",IF(MOD($D1254,1)&lt;$L$6,"朝",IF(MOD($D1254,1)&lt;$L$7,"昼",IF(MOD($D1254,1)&lt;$L$8,"夕方","夜")))),IF(OR($D1254="朝",$D1254="昼",$D1254="夕方",$D1254="夜"),$D1254,"⚠ 不明"))))</f>
        <v/>
      </c>
    </row>
    <row r="1255" customFormat="false" ht="15" hidden="false" customHeight="false" outlineLevel="0" collapsed="false">
      <c r="A1255" s="75"/>
      <c r="B1255" s="76"/>
      <c r="C1255" s="77"/>
      <c r="D1255" s="78"/>
      <c r="E1255" s="77"/>
      <c r="F1255" s="76"/>
      <c r="G1255" s="76"/>
      <c r="I1255" s="79" t="str">
        <f aca="false">IF($B1255="","",IF(ISNUMBER(MATCH($B1255,日別データ!$B$13:$B$32,0)),"✔ OK","⚠ 未登録"))</f>
        <v/>
      </c>
      <c r="J1255" s="80" t="str">
        <f aca="false">IF($B1255="","",IF($D1255="","－",IF(ISNUMBER($D1255),IF(AND($D1255&gt;=1,MOD($D1255,1)=0),"－",IF(MOD($D1255,1)&lt;$L$6,"朝",IF(MOD($D1255,1)&lt;$L$7,"昼",IF(MOD($D1255,1)&lt;$L$8,"夕方","夜")))),IF(OR($D1255="朝",$D1255="昼",$D1255="夕方",$D1255="夜"),$D1255,"⚠ 不明"))))</f>
        <v/>
      </c>
    </row>
    <row r="1256" customFormat="false" ht="15" hidden="false" customHeight="false" outlineLevel="0" collapsed="false">
      <c r="A1256" s="75"/>
      <c r="B1256" s="76"/>
      <c r="C1256" s="77"/>
      <c r="D1256" s="78"/>
      <c r="E1256" s="77"/>
      <c r="F1256" s="76"/>
      <c r="G1256" s="76"/>
      <c r="I1256" s="79" t="str">
        <f aca="false">IF($B1256="","",IF(ISNUMBER(MATCH($B1256,日別データ!$B$13:$B$32,0)),"✔ OK","⚠ 未登録"))</f>
        <v/>
      </c>
      <c r="J1256" s="80" t="str">
        <f aca="false">IF($B1256="","",IF($D1256="","－",IF(ISNUMBER($D1256),IF(AND($D1256&gt;=1,MOD($D1256,1)=0),"－",IF(MOD($D1256,1)&lt;$L$6,"朝",IF(MOD($D1256,1)&lt;$L$7,"昼",IF(MOD($D1256,1)&lt;$L$8,"夕方","夜")))),IF(OR($D1256="朝",$D1256="昼",$D1256="夕方",$D1256="夜"),$D1256,"⚠ 不明"))))</f>
        <v/>
      </c>
    </row>
    <row r="1257" customFormat="false" ht="15" hidden="false" customHeight="false" outlineLevel="0" collapsed="false">
      <c r="A1257" s="75"/>
      <c r="B1257" s="76"/>
      <c r="C1257" s="77"/>
      <c r="D1257" s="78"/>
      <c r="E1257" s="77"/>
      <c r="F1257" s="76"/>
      <c r="G1257" s="76"/>
      <c r="I1257" s="79" t="str">
        <f aca="false">IF($B1257="","",IF(ISNUMBER(MATCH($B1257,日別データ!$B$13:$B$32,0)),"✔ OK","⚠ 未登録"))</f>
        <v/>
      </c>
      <c r="J1257" s="80" t="str">
        <f aca="false">IF($B1257="","",IF($D1257="","－",IF(ISNUMBER($D1257),IF(AND($D1257&gt;=1,MOD($D1257,1)=0),"－",IF(MOD($D1257,1)&lt;$L$6,"朝",IF(MOD($D1257,1)&lt;$L$7,"昼",IF(MOD($D1257,1)&lt;$L$8,"夕方","夜")))),IF(OR($D1257="朝",$D1257="昼",$D1257="夕方",$D1257="夜"),$D1257,"⚠ 不明"))))</f>
        <v/>
      </c>
    </row>
    <row r="1258" customFormat="false" ht="15" hidden="false" customHeight="false" outlineLevel="0" collapsed="false">
      <c r="A1258" s="75"/>
      <c r="B1258" s="76"/>
      <c r="C1258" s="77"/>
      <c r="D1258" s="78"/>
      <c r="E1258" s="77"/>
      <c r="F1258" s="76"/>
      <c r="G1258" s="76"/>
      <c r="I1258" s="79" t="str">
        <f aca="false">IF($B1258="","",IF(ISNUMBER(MATCH($B1258,日別データ!$B$13:$B$32,0)),"✔ OK","⚠ 未登録"))</f>
        <v/>
      </c>
      <c r="J1258" s="80" t="str">
        <f aca="false">IF($B1258="","",IF($D1258="","－",IF(ISNUMBER($D1258),IF(AND($D1258&gt;=1,MOD($D1258,1)=0),"－",IF(MOD($D1258,1)&lt;$L$6,"朝",IF(MOD($D1258,1)&lt;$L$7,"昼",IF(MOD($D1258,1)&lt;$L$8,"夕方","夜")))),IF(OR($D1258="朝",$D1258="昼",$D1258="夕方",$D1258="夜"),$D1258,"⚠ 不明"))))</f>
        <v/>
      </c>
    </row>
    <row r="1259" customFormat="false" ht="15" hidden="false" customHeight="false" outlineLevel="0" collapsed="false">
      <c r="A1259" s="75"/>
      <c r="B1259" s="76"/>
      <c r="C1259" s="77"/>
      <c r="D1259" s="78"/>
      <c r="E1259" s="77"/>
      <c r="F1259" s="76"/>
      <c r="G1259" s="76"/>
      <c r="I1259" s="79" t="str">
        <f aca="false">IF($B1259="","",IF(ISNUMBER(MATCH($B1259,日別データ!$B$13:$B$32,0)),"✔ OK","⚠ 未登録"))</f>
        <v/>
      </c>
      <c r="J1259" s="80" t="str">
        <f aca="false">IF($B1259="","",IF($D1259="","－",IF(ISNUMBER($D1259),IF(AND($D1259&gt;=1,MOD($D1259,1)=0),"－",IF(MOD($D1259,1)&lt;$L$6,"朝",IF(MOD($D1259,1)&lt;$L$7,"昼",IF(MOD($D1259,1)&lt;$L$8,"夕方","夜")))),IF(OR($D1259="朝",$D1259="昼",$D1259="夕方",$D1259="夜"),$D1259,"⚠ 不明"))))</f>
        <v/>
      </c>
    </row>
    <row r="1260" customFormat="false" ht="15" hidden="false" customHeight="false" outlineLevel="0" collapsed="false">
      <c r="A1260" s="75"/>
      <c r="B1260" s="76"/>
      <c r="C1260" s="77"/>
      <c r="D1260" s="78"/>
      <c r="E1260" s="77"/>
      <c r="F1260" s="76"/>
      <c r="G1260" s="76"/>
      <c r="I1260" s="79" t="str">
        <f aca="false">IF($B1260="","",IF(ISNUMBER(MATCH($B1260,日別データ!$B$13:$B$32,0)),"✔ OK","⚠ 未登録"))</f>
        <v/>
      </c>
      <c r="J1260" s="80" t="str">
        <f aca="false">IF($B1260="","",IF($D1260="","－",IF(ISNUMBER($D1260),IF(AND($D1260&gt;=1,MOD($D1260,1)=0),"－",IF(MOD($D1260,1)&lt;$L$6,"朝",IF(MOD($D1260,1)&lt;$L$7,"昼",IF(MOD($D1260,1)&lt;$L$8,"夕方","夜")))),IF(OR($D1260="朝",$D1260="昼",$D1260="夕方",$D1260="夜"),$D1260,"⚠ 不明"))))</f>
        <v/>
      </c>
    </row>
    <row r="1261" customFormat="false" ht="15" hidden="false" customHeight="false" outlineLevel="0" collapsed="false">
      <c r="A1261" s="75"/>
      <c r="B1261" s="76"/>
      <c r="C1261" s="77"/>
      <c r="D1261" s="78"/>
      <c r="E1261" s="77"/>
      <c r="F1261" s="76"/>
      <c r="G1261" s="76"/>
      <c r="I1261" s="79" t="str">
        <f aca="false">IF($B1261="","",IF(ISNUMBER(MATCH($B1261,日別データ!$B$13:$B$32,0)),"✔ OK","⚠ 未登録"))</f>
        <v/>
      </c>
      <c r="J1261" s="80" t="str">
        <f aca="false">IF($B1261="","",IF($D1261="","－",IF(ISNUMBER($D1261),IF(AND($D1261&gt;=1,MOD($D1261,1)=0),"－",IF(MOD($D1261,1)&lt;$L$6,"朝",IF(MOD($D1261,1)&lt;$L$7,"昼",IF(MOD($D1261,1)&lt;$L$8,"夕方","夜")))),IF(OR($D1261="朝",$D1261="昼",$D1261="夕方",$D1261="夜"),$D1261,"⚠ 不明"))))</f>
        <v/>
      </c>
    </row>
    <row r="1262" customFormat="false" ht="15" hidden="false" customHeight="false" outlineLevel="0" collapsed="false">
      <c r="A1262" s="75"/>
      <c r="B1262" s="76"/>
      <c r="C1262" s="77"/>
      <c r="D1262" s="78"/>
      <c r="E1262" s="77"/>
      <c r="F1262" s="76"/>
      <c r="G1262" s="76"/>
      <c r="I1262" s="79" t="str">
        <f aca="false">IF($B1262="","",IF(ISNUMBER(MATCH($B1262,日別データ!$B$13:$B$32,0)),"✔ OK","⚠ 未登録"))</f>
        <v/>
      </c>
      <c r="J1262" s="80" t="str">
        <f aca="false">IF($B1262="","",IF($D1262="","－",IF(ISNUMBER($D1262),IF(AND($D1262&gt;=1,MOD($D1262,1)=0),"－",IF(MOD($D1262,1)&lt;$L$6,"朝",IF(MOD($D1262,1)&lt;$L$7,"昼",IF(MOD($D1262,1)&lt;$L$8,"夕方","夜")))),IF(OR($D1262="朝",$D1262="昼",$D1262="夕方",$D1262="夜"),$D1262,"⚠ 不明"))))</f>
        <v/>
      </c>
    </row>
    <row r="1263" customFormat="false" ht="15" hidden="false" customHeight="false" outlineLevel="0" collapsed="false">
      <c r="A1263" s="75"/>
      <c r="B1263" s="76"/>
      <c r="C1263" s="77"/>
      <c r="D1263" s="78"/>
      <c r="E1263" s="77"/>
      <c r="F1263" s="76"/>
      <c r="G1263" s="76"/>
      <c r="I1263" s="79" t="str">
        <f aca="false">IF($B1263="","",IF(ISNUMBER(MATCH($B1263,日別データ!$B$13:$B$32,0)),"✔ OK","⚠ 未登録"))</f>
        <v/>
      </c>
      <c r="J1263" s="80" t="str">
        <f aca="false">IF($B1263="","",IF($D1263="","－",IF(ISNUMBER($D1263),IF(AND($D1263&gt;=1,MOD($D1263,1)=0),"－",IF(MOD($D1263,1)&lt;$L$6,"朝",IF(MOD($D1263,1)&lt;$L$7,"昼",IF(MOD($D1263,1)&lt;$L$8,"夕方","夜")))),IF(OR($D1263="朝",$D1263="昼",$D1263="夕方",$D1263="夜"),$D1263,"⚠ 不明"))))</f>
        <v/>
      </c>
    </row>
    <row r="1264" customFormat="false" ht="15" hidden="false" customHeight="false" outlineLevel="0" collapsed="false">
      <c r="A1264" s="75"/>
      <c r="B1264" s="76"/>
      <c r="C1264" s="77"/>
      <c r="D1264" s="78"/>
      <c r="E1264" s="77"/>
      <c r="F1264" s="76"/>
      <c r="G1264" s="76"/>
      <c r="I1264" s="79" t="str">
        <f aca="false">IF($B1264="","",IF(ISNUMBER(MATCH($B1264,日別データ!$B$13:$B$32,0)),"✔ OK","⚠ 未登録"))</f>
        <v/>
      </c>
      <c r="J1264" s="80" t="str">
        <f aca="false">IF($B1264="","",IF($D1264="","－",IF(ISNUMBER($D1264),IF(AND($D1264&gt;=1,MOD($D1264,1)=0),"－",IF(MOD($D1264,1)&lt;$L$6,"朝",IF(MOD($D1264,1)&lt;$L$7,"昼",IF(MOD($D1264,1)&lt;$L$8,"夕方","夜")))),IF(OR($D1264="朝",$D1264="昼",$D1264="夕方",$D1264="夜"),$D1264,"⚠ 不明"))))</f>
        <v/>
      </c>
    </row>
    <row r="1265" customFormat="false" ht="15" hidden="false" customHeight="false" outlineLevel="0" collapsed="false">
      <c r="A1265" s="75"/>
      <c r="B1265" s="76"/>
      <c r="C1265" s="77"/>
      <c r="D1265" s="78"/>
      <c r="E1265" s="77"/>
      <c r="F1265" s="76"/>
      <c r="G1265" s="76"/>
      <c r="I1265" s="79" t="str">
        <f aca="false">IF($B1265="","",IF(ISNUMBER(MATCH($B1265,日別データ!$B$13:$B$32,0)),"✔ OK","⚠ 未登録"))</f>
        <v/>
      </c>
      <c r="J1265" s="80" t="str">
        <f aca="false">IF($B1265="","",IF($D1265="","－",IF(ISNUMBER($D1265),IF(AND($D1265&gt;=1,MOD($D1265,1)=0),"－",IF(MOD($D1265,1)&lt;$L$6,"朝",IF(MOD($D1265,1)&lt;$L$7,"昼",IF(MOD($D1265,1)&lt;$L$8,"夕方","夜")))),IF(OR($D1265="朝",$D1265="昼",$D1265="夕方",$D1265="夜"),$D1265,"⚠ 不明"))))</f>
        <v/>
      </c>
    </row>
    <row r="1266" customFormat="false" ht="15" hidden="false" customHeight="false" outlineLevel="0" collapsed="false">
      <c r="A1266" s="75"/>
      <c r="B1266" s="76"/>
      <c r="C1266" s="77"/>
      <c r="D1266" s="78"/>
      <c r="E1266" s="77"/>
      <c r="F1266" s="76"/>
      <c r="G1266" s="76"/>
      <c r="I1266" s="79" t="str">
        <f aca="false">IF($B1266="","",IF(ISNUMBER(MATCH($B1266,日別データ!$B$13:$B$32,0)),"✔ OK","⚠ 未登録"))</f>
        <v/>
      </c>
      <c r="J1266" s="80" t="str">
        <f aca="false">IF($B1266="","",IF($D1266="","－",IF(ISNUMBER($D1266),IF(AND($D1266&gt;=1,MOD($D1266,1)=0),"－",IF(MOD($D1266,1)&lt;$L$6,"朝",IF(MOD($D1266,1)&lt;$L$7,"昼",IF(MOD($D1266,1)&lt;$L$8,"夕方","夜")))),IF(OR($D1266="朝",$D1266="昼",$D1266="夕方",$D1266="夜"),$D1266,"⚠ 不明"))))</f>
        <v/>
      </c>
    </row>
    <row r="1267" customFormat="false" ht="15" hidden="false" customHeight="false" outlineLevel="0" collapsed="false">
      <c r="A1267" s="75"/>
      <c r="B1267" s="76"/>
      <c r="C1267" s="77"/>
      <c r="D1267" s="78"/>
      <c r="E1267" s="77"/>
      <c r="F1267" s="76"/>
      <c r="G1267" s="76"/>
      <c r="I1267" s="79" t="str">
        <f aca="false">IF($B1267="","",IF(ISNUMBER(MATCH($B1267,日別データ!$B$13:$B$32,0)),"✔ OK","⚠ 未登録"))</f>
        <v/>
      </c>
      <c r="J1267" s="80" t="str">
        <f aca="false">IF($B1267="","",IF($D1267="","－",IF(ISNUMBER($D1267),IF(AND($D1267&gt;=1,MOD($D1267,1)=0),"－",IF(MOD($D1267,1)&lt;$L$6,"朝",IF(MOD($D1267,1)&lt;$L$7,"昼",IF(MOD($D1267,1)&lt;$L$8,"夕方","夜")))),IF(OR($D1267="朝",$D1267="昼",$D1267="夕方",$D1267="夜"),$D1267,"⚠ 不明"))))</f>
        <v/>
      </c>
    </row>
    <row r="1268" customFormat="false" ht="15" hidden="false" customHeight="false" outlineLevel="0" collapsed="false">
      <c r="A1268" s="75"/>
      <c r="B1268" s="76"/>
      <c r="C1268" s="77"/>
      <c r="D1268" s="78"/>
      <c r="E1268" s="77"/>
      <c r="F1268" s="76"/>
      <c r="G1268" s="76"/>
      <c r="I1268" s="79" t="str">
        <f aca="false">IF($B1268="","",IF(ISNUMBER(MATCH($B1268,日別データ!$B$13:$B$32,0)),"✔ OK","⚠ 未登録"))</f>
        <v/>
      </c>
      <c r="J1268" s="80" t="str">
        <f aca="false">IF($B1268="","",IF($D1268="","－",IF(ISNUMBER($D1268),IF(AND($D1268&gt;=1,MOD($D1268,1)=0),"－",IF(MOD($D1268,1)&lt;$L$6,"朝",IF(MOD($D1268,1)&lt;$L$7,"昼",IF(MOD($D1268,1)&lt;$L$8,"夕方","夜")))),IF(OR($D1268="朝",$D1268="昼",$D1268="夕方",$D1268="夜"),$D1268,"⚠ 不明"))))</f>
        <v/>
      </c>
    </row>
    <row r="1269" customFormat="false" ht="15" hidden="false" customHeight="false" outlineLevel="0" collapsed="false">
      <c r="A1269" s="75"/>
      <c r="B1269" s="76"/>
      <c r="C1269" s="77"/>
      <c r="D1269" s="78"/>
      <c r="E1269" s="77"/>
      <c r="F1269" s="76"/>
      <c r="G1269" s="76"/>
      <c r="I1269" s="79" t="str">
        <f aca="false">IF($B1269="","",IF(ISNUMBER(MATCH($B1269,日別データ!$B$13:$B$32,0)),"✔ OK","⚠ 未登録"))</f>
        <v/>
      </c>
      <c r="J1269" s="80" t="str">
        <f aca="false">IF($B1269="","",IF($D1269="","－",IF(ISNUMBER($D1269),IF(AND($D1269&gt;=1,MOD($D1269,1)=0),"－",IF(MOD($D1269,1)&lt;$L$6,"朝",IF(MOD($D1269,1)&lt;$L$7,"昼",IF(MOD($D1269,1)&lt;$L$8,"夕方","夜")))),IF(OR($D1269="朝",$D1269="昼",$D1269="夕方",$D1269="夜"),$D1269,"⚠ 不明"))))</f>
        <v/>
      </c>
    </row>
    <row r="1270" customFormat="false" ht="15" hidden="false" customHeight="false" outlineLevel="0" collapsed="false">
      <c r="A1270" s="75"/>
      <c r="B1270" s="76"/>
      <c r="C1270" s="77"/>
      <c r="D1270" s="78"/>
      <c r="E1270" s="77"/>
      <c r="F1270" s="76"/>
      <c r="G1270" s="76"/>
      <c r="I1270" s="79" t="str">
        <f aca="false">IF($B1270="","",IF(ISNUMBER(MATCH($B1270,日別データ!$B$13:$B$32,0)),"✔ OK","⚠ 未登録"))</f>
        <v/>
      </c>
      <c r="J1270" s="80" t="str">
        <f aca="false">IF($B1270="","",IF($D1270="","－",IF(ISNUMBER($D1270),IF(AND($D1270&gt;=1,MOD($D1270,1)=0),"－",IF(MOD($D1270,1)&lt;$L$6,"朝",IF(MOD($D1270,1)&lt;$L$7,"昼",IF(MOD($D1270,1)&lt;$L$8,"夕方","夜")))),IF(OR($D1270="朝",$D1270="昼",$D1270="夕方",$D1270="夜"),$D1270,"⚠ 不明"))))</f>
        <v/>
      </c>
    </row>
    <row r="1271" customFormat="false" ht="15" hidden="false" customHeight="false" outlineLevel="0" collapsed="false">
      <c r="A1271" s="75"/>
      <c r="B1271" s="76"/>
      <c r="C1271" s="77"/>
      <c r="D1271" s="78"/>
      <c r="E1271" s="77"/>
      <c r="F1271" s="76"/>
      <c r="G1271" s="76"/>
      <c r="I1271" s="79" t="str">
        <f aca="false">IF($B1271="","",IF(ISNUMBER(MATCH($B1271,日別データ!$B$13:$B$32,0)),"✔ OK","⚠ 未登録"))</f>
        <v/>
      </c>
      <c r="J1271" s="80" t="str">
        <f aca="false">IF($B1271="","",IF($D1271="","－",IF(ISNUMBER($D1271),IF(AND($D1271&gt;=1,MOD($D1271,1)=0),"－",IF(MOD($D1271,1)&lt;$L$6,"朝",IF(MOD($D1271,1)&lt;$L$7,"昼",IF(MOD($D1271,1)&lt;$L$8,"夕方","夜")))),IF(OR($D1271="朝",$D1271="昼",$D1271="夕方",$D1271="夜"),$D1271,"⚠ 不明"))))</f>
        <v/>
      </c>
    </row>
    <row r="1272" customFormat="false" ht="15" hidden="false" customHeight="false" outlineLevel="0" collapsed="false">
      <c r="A1272" s="75"/>
      <c r="B1272" s="76"/>
      <c r="C1272" s="77"/>
      <c r="D1272" s="78"/>
      <c r="E1272" s="77"/>
      <c r="F1272" s="76"/>
      <c r="G1272" s="76"/>
      <c r="I1272" s="79" t="str">
        <f aca="false">IF($B1272="","",IF(ISNUMBER(MATCH($B1272,日別データ!$B$13:$B$32,0)),"✔ OK","⚠ 未登録"))</f>
        <v/>
      </c>
      <c r="J1272" s="80" t="str">
        <f aca="false">IF($B1272="","",IF($D1272="","－",IF(ISNUMBER($D1272),IF(AND($D1272&gt;=1,MOD($D1272,1)=0),"－",IF(MOD($D1272,1)&lt;$L$6,"朝",IF(MOD($D1272,1)&lt;$L$7,"昼",IF(MOD($D1272,1)&lt;$L$8,"夕方","夜")))),IF(OR($D1272="朝",$D1272="昼",$D1272="夕方",$D1272="夜"),$D1272,"⚠ 不明"))))</f>
        <v/>
      </c>
    </row>
    <row r="1273" customFormat="false" ht="15" hidden="false" customHeight="false" outlineLevel="0" collapsed="false">
      <c r="A1273" s="75"/>
      <c r="B1273" s="76"/>
      <c r="C1273" s="77"/>
      <c r="D1273" s="78"/>
      <c r="E1273" s="77"/>
      <c r="F1273" s="76"/>
      <c r="G1273" s="76"/>
      <c r="I1273" s="79" t="str">
        <f aca="false">IF($B1273="","",IF(ISNUMBER(MATCH($B1273,日別データ!$B$13:$B$32,0)),"✔ OK","⚠ 未登録"))</f>
        <v/>
      </c>
      <c r="J1273" s="80" t="str">
        <f aca="false">IF($B1273="","",IF($D1273="","－",IF(ISNUMBER($D1273),IF(AND($D1273&gt;=1,MOD($D1273,1)=0),"－",IF(MOD($D1273,1)&lt;$L$6,"朝",IF(MOD($D1273,1)&lt;$L$7,"昼",IF(MOD($D1273,1)&lt;$L$8,"夕方","夜")))),IF(OR($D1273="朝",$D1273="昼",$D1273="夕方",$D1273="夜"),$D1273,"⚠ 不明"))))</f>
        <v/>
      </c>
    </row>
    <row r="1274" customFormat="false" ht="15" hidden="false" customHeight="false" outlineLevel="0" collapsed="false">
      <c r="A1274" s="75"/>
      <c r="B1274" s="76"/>
      <c r="C1274" s="77"/>
      <c r="D1274" s="78"/>
      <c r="E1274" s="77"/>
      <c r="F1274" s="76"/>
      <c r="G1274" s="76"/>
      <c r="I1274" s="79" t="str">
        <f aca="false">IF($B1274="","",IF(ISNUMBER(MATCH($B1274,日別データ!$B$13:$B$32,0)),"✔ OK","⚠ 未登録"))</f>
        <v/>
      </c>
      <c r="J1274" s="80" t="str">
        <f aca="false">IF($B1274="","",IF($D1274="","－",IF(ISNUMBER($D1274),IF(AND($D1274&gt;=1,MOD($D1274,1)=0),"－",IF(MOD($D1274,1)&lt;$L$6,"朝",IF(MOD($D1274,1)&lt;$L$7,"昼",IF(MOD($D1274,1)&lt;$L$8,"夕方","夜")))),IF(OR($D1274="朝",$D1274="昼",$D1274="夕方",$D1274="夜"),$D1274,"⚠ 不明"))))</f>
        <v/>
      </c>
    </row>
    <row r="1275" customFormat="false" ht="15" hidden="false" customHeight="false" outlineLevel="0" collapsed="false">
      <c r="A1275" s="75"/>
      <c r="B1275" s="76"/>
      <c r="C1275" s="77"/>
      <c r="D1275" s="78"/>
      <c r="E1275" s="77"/>
      <c r="F1275" s="76"/>
      <c r="G1275" s="76"/>
      <c r="I1275" s="79" t="str">
        <f aca="false">IF($B1275="","",IF(ISNUMBER(MATCH($B1275,日別データ!$B$13:$B$32,0)),"✔ OK","⚠ 未登録"))</f>
        <v/>
      </c>
      <c r="J1275" s="80" t="str">
        <f aca="false">IF($B1275="","",IF($D1275="","－",IF(ISNUMBER($D1275),IF(AND($D1275&gt;=1,MOD($D1275,1)=0),"－",IF(MOD($D1275,1)&lt;$L$6,"朝",IF(MOD($D1275,1)&lt;$L$7,"昼",IF(MOD($D1275,1)&lt;$L$8,"夕方","夜")))),IF(OR($D1275="朝",$D1275="昼",$D1275="夕方",$D1275="夜"),$D1275,"⚠ 不明"))))</f>
        <v/>
      </c>
    </row>
    <row r="1276" customFormat="false" ht="15" hidden="false" customHeight="false" outlineLevel="0" collapsed="false">
      <c r="A1276" s="75"/>
      <c r="B1276" s="76"/>
      <c r="C1276" s="77"/>
      <c r="D1276" s="78"/>
      <c r="E1276" s="77"/>
      <c r="F1276" s="76"/>
      <c r="G1276" s="76"/>
      <c r="I1276" s="79" t="str">
        <f aca="false">IF($B1276="","",IF(ISNUMBER(MATCH($B1276,日別データ!$B$13:$B$32,0)),"✔ OK","⚠ 未登録"))</f>
        <v/>
      </c>
      <c r="J1276" s="80" t="str">
        <f aca="false">IF($B1276="","",IF($D1276="","－",IF(ISNUMBER($D1276),IF(AND($D1276&gt;=1,MOD($D1276,1)=0),"－",IF(MOD($D1276,1)&lt;$L$6,"朝",IF(MOD($D1276,1)&lt;$L$7,"昼",IF(MOD($D1276,1)&lt;$L$8,"夕方","夜")))),IF(OR($D1276="朝",$D1276="昼",$D1276="夕方",$D1276="夜"),$D1276,"⚠ 不明"))))</f>
        <v/>
      </c>
    </row>
    <row r="1277" customFormat="false" ht="15" hidden="false" customHeight="false" outlineLevel="0" collapsed="false">
      <c r="A1277" s="75"/>
      <c r="B1277" s="76"/>
      <c r="C1277" s="77"/>
      <c r="D1277" s="78"/>
      <c r="E1277" s="77"/>
      <c r="F1277" s="76"/>
      <c r="G1277" s="76"/>
      <c r="I1277" s="79" t="str">
        <f aca="false">IF($B1277="","",IF(ISNUMBER(MATCH($B1277,日別データ!$B$13:$B$32,0)),"✔ OK","⚠ 未登録"))</f>
        <v/>
      </c>
      <c r="J1277" s="80" t="str">
        <f aca="false">IF($B1277="","",IF($D1277="","－",IF(ISNUMBER($D1277),IF(AND($D1277&gt;=1,MOD($D1277,1)=0),"－",IF(MOD($D1277,1)&lt;$L$6,"朝",IF(MOD($D1277,1)&lt;$L$7,"昼",IF(MOD($D1277,1)&lt;$L$8,"夕方","夜")))),IF(OR($D1277="朝",$D1277="昼",$D1277="夕方",$D1277="夜"),$D1277,"⚠ 不明"))))</f>
        <v/>
      </c>
    </row>
    <row r="1278" customFormat="false" ht="15" hidden="false" customHeight="false" outlineLevel="0" collapsed="false">
      <c r="A1278" s="75"/>
      <c r="B1278" s="76"/>
      <c r="C1278" s="77"/>
      <c r="D1278" s="78"/>
      <c r="E1278" s="77"/>
      <c r="F1278" s="76"/>
      <c r="G1278" s="76"/>
      <c r="I1278" s="79" t="str">
        <f aca="false">IF($B1278="","",IF(ISNUMBER(MATCH($B1278,日別データ!$B$13:$B$32,0)),"✔ OK","⚠ 未登録"))</f>
        <v/>
      </c>
      <c r="J1278" s="80" t="str">
        <f aca="false">IF($B1278="","",IF($D1278="","－",IF(ISNUMBER($D1278),IF(AND($D1278&gt;=1,MOD($D1278,1)=0),"－",IF(MOD($D1278,1)&lt;$L$6,"朝",IF(MOD($D1278,1)&lt;$L$7,"昼",IF(MOD($D1278,1)&lt;$L$8,"夕方","夜")))),IF(OR($D1278="朝",$D1278="昼",$D1278="夕方",$D1278="夜"),$D1278,"⚠ 不明"))))</f>
        <v/>
      </c>
    </row>
    <row r="1279" customFormat="false" ht="15" hidden="false" customHeight="false" outlineLevel="0" collapsed="false">
      <c r="A1279" s="75"/>
      <c r="B1279" s="76"/>
      <c r="C1279" s="77"/>
      <c r="D1279" s="78"/>
      <c r="E1279" s="77"/>
      <c r="F1279" s="76"/>
      <c r="G1279" s="76"/>
      <c r="I1279" s="79" t="str">
        <f aca="false">IF($B1279="","",IF(ISNUMBER(MATCH($B1279,日別データ!$B$13:$B$32,0)),"✔ OK","⚠ 未登録"))</f>
        <v/>
      </c>
      <c r="J1279" s="80" t="str">
        <f aca="false">IF($B1279="","",IF($D1279="","－",IF(ISNUMBER($D1279),IF(AND($D1279&gt;=1,MOD($D1279,1)=0),"－",IF(MOD($D1279,1)&lt;$L$6,"朝",IF(MOD($D1279,1)&lt;$L$7,"昼",IF(MOD($D1279,1)&lt;$L$8,"夕方","夜")))),IF(OR($D1279="朝",$D1279="昼",$D1279="夕方",$D1279="夜"),$D1279,"⚠ 不明"))))</f>
        <v/>
      </c>
    </row>
    <row r="1280" customFormat="false" ht="15" hidden="false" customHeight="false" outlineLevel="0" collapsed="false">
      <c r="A1280" s="75"/>
      <c r="B1280" s="76"/>
      <c r="C1280" s="77"/>
      <c r="D1280" s="78"/>
      <c r="E1280" s="77"/>
      <c r="F1280" s="76"/>
      <c r="G1280" s="76"/>
      <c r="I1280" s="79" t="str">
        <f aca="false">IF($B1280="","",IF(ISNUMBER(MATCH($B1280,日別データ!$B$13:$B$32,0)),"✔ OK","⚠ 未登録"))</f>
        <v/>
      </c>
      <c r="J1280" s="80" t="str">
        <f aca="false">IF($B1280="","",IF($D1280="","－",IF(ISNUMBER($D1280),IF(AND($D1280&gt;=1,MOD($D1280,1)=0),"－",IF(MOD($D1280,1)&lt;$L$6,"朝",IF(MOD($D1280,1)&lt;$L$7,"昼",IF(MOD($D1280,1)&lt;$L$8,"夕方","夜")))),IF(OR($D1280="朝",$D1280="昼",$D1280="夕方",$D1280="夜"),$D1280,"⚠ 不明"))))</f>
        <v/>
      </c>
    </row>
    <row r="1281" customFormat="false" ht="15" hidden="false" customHeight="false" outlineLevel="0" collapsed="false">
      <c r="A1281" s="75"/>
      <c r="B1281" s="76"/>
      <c r="C1281" s="77"/>
      <c r="D1281" s="78"/>
      <c r="E1281" s="77"/>
      <c r="F1281" s="76"/>
      <c r="G1281" s="76"/>
      <c r="I1281" s="79" t="str">
        <f aca="false">IF($B1281="","",IF(ISNUMBER(MATCH($B1281,日別データ!$B$13:$B$32,0)),"✔ OK","⚠ 未登録"))</f>
        <v/>
      </c>
      <c r="J1281" s="80" t="str">
        <f aca="false">IF($B1281="","",IF($D1281="","－",IF(ISNUMBER($D1281),IF(AND($D1281&gt;=1,MOD($D1281,1)=0),"－",IF(MOD($D1281,1)&lt;$L$6,"朝",IF(MOD($D1281,1)&lt;$L$7,"昼",IF(MOD($D1281,1)&lt;$L$8,"夕方","夜")))),IF(OR($D1281="朝",$D1281="昼",$D1281="夕方",$D1281="夜"),$D1281,"⚠ 不明"))))</f>
        <v/>
      </c>
    </row>
    <row r="1282" customFormat="false" ht="15" hidden="false" customHeight="false" outlineLevel="0" collapsed="false">
      <c r="A1282" s="75"/>
      <c r="B1282" s="76"/>
      <c r="C1282" s="77"/>
      <c r="D1282" s="78"/>
      <c r="E1282" s="77"/>
      <c r="F1282" s="76"/>
      <c r="G1282" s="76"/>
      <c r="I1282" s="79" t="str">
        <f aca="false">IF($B1282="","",IF(ISNUMBER(MATCH($B1282,日別データ!$B$13:$B$32,0)),"✔ OK","⚠ 未登録"))</f>
        <v/>
      </c>
      <c r="J1282" s="80" t="str">
        <f aca="false">IF($B1282="","",IF($D1282="","－",IF(ISNUMBER($D1282),IF(AND($D1282&gt;=1,MOD($D1282,1)=0),"－",IF(MOD($D1282,1)&lt;$L$6,"朝",IF(MOD($D1282,1)&lt;$L$7,"昼",IF(MOD($D1282,1)&lt;$L$8,"夕方","夜")))),IF(OR($D1282="朝",$D1282="昼",$D1282="夕方",$D1282="夜"),$D1282,"⚠ 不明"))))</f>
        <v/>
      </c>
    </row>
    <row r="1283" customFormat="false" ht="15" hidden="false" customHeight="false" outlineLevel="0" collapsed="false">
      <c r="A1283" s="75"/>
      <c r="B1283" s="76"/>
      <c r="C1283" s="77"/>
      <c r="D1283" s="78"/>
      <c r="E1283" s="77"/>
      <c r="F1283" s="76"/>
      <c r="G1283" s="76"/>
      <c r="I1283" s="79" t="str">
        <f aca="false">IF($B1283="","",IF(ISNUMBER(MATCH($B1283,日別データ!$B$13:$B$32,0)),"✔ OK","⚠ 未登録"))</f>
        <v/>
      </c>
      <c r="J1283" s="80" t="str">
        <f aca="false">IF($B1283="","",IF($D1283="","－",IF(ISNUMBER($D1283),IF(AND($D1283&gt;=1,MOD($D1283,1)=0),"－",IF(MOD($D1283,1)&lt;$L$6,"朝",IF(MOD($D1283,1)&lt;$L$7,"昼",IF(MOD($D1283,1)&lt;$L$8,"夕方","夜")))),IF(OR($D1283="朝",$D1283="昼",$D1283="夕方",$D1283="夜"),$D1283,"⚠ 不明"))))</f>
        <v/>
      </c>
    </row>
    <row r="1284" customFormat="false" ht="15" hidden="false" customHeight="false" outlineLevel="0" collapsed="false">
      <c r="A1284" s="75"/>
      <c r="B1284" s="76"/>
      <c r="C1284" s="77"/>
      <c r="D1284" s="78"/>
      <c r="E1284" s="77"/>
      <c r="F1284" s="76"/>
      <c r="G1284" s="76"/>
      <c r="I1284" s="79" t="str">
        <f aca="false">IF($B1284="","",IF(ISNUMBER(MATCH($B1284,日別データ!$B$13:$B$32,0)),"✔ OK","⚠ 未登録"))</f>
        <v/>
      </c>
      <c r="J1284" s="80" t="str">
        <f aca="false">IF($B1284="","",IF($D1284="","－",IF(ISNUMBER($D1284),IF(AND($D1284&gt;=1,MOD($D1284,1)=0),"－",IF(MOD($D1284,1)&lt;$L$6,"朝",IF(MOD($D1284,1)&lt;$L$7,"昼",IF(MOD($D1284,1)&lt;$L$8,"夕方","夜")))),IF(OR($D1284="朝",$D1284="昼",$D1284="夕方",$D1284="夜"),$D1284,"⚠ 不明"))))</f>
        <v/>
      </c>
    </row>
    <row r="1285" customFormat="false" ht="15" hidden="false" customHeight="false" outlineLevel="0" collapsed="false">
      <c r="A1285" s="75"/>
      <c r="B1285" s="76"/>
      <c r="C1285" s="77"/>
      <c r="D1285" s="78"/>
      <c r="E1285" s="77"/>
      <c r="F1285" s="76"/>
      <c r="G1285" s="76"/>
      <c r="I1285" s="79" t="str">
        <f aca="false">IF($B1285="","",IF(ISNUMBER(MATCH($B1285,日別データ!$B$13:$B$32,0)),"✔ OK","⚠ 未登録"))</f>
        <v/>
      </c>
      <c r="J1285" s="80" t="str">
        <f aca="false">IF($B1285="","",IF($D1285="","－",IF(ISNUMBER($D1285),IF(AND($D1285&gt;=1,MOD($D1285,1)=0),"－",IF(MOD($D1285,1)&lt;$L$6,"朝",IF(MOD($D1285,1)&lt;$L$7,"昼",IF(MOD($D1285,1)&lt;$L$8,"夕方","夜")))),IF(OR($D1285="朝",$D1285="昼",$D1285="夕方",$D1285="夜"),$D1285,"⚠ 不明"))))</f>
        <v/>
      </c>
    </row>
    <row r="1286" customFormat="false" ht="15" hidden="false" customHeight="false" outlineLevel="0" collapsed="false">
      <c r="A1286" s="75"/>
      <c r="B1286" s="76"/>
      <c r="C1286" s="77"/>
      <c r="D1286" s="78"/>
      <c r="E1286" s="77"/>
      <c r="F1286" s="76"/>
      <c r="G1286" s="76"/>
      <c r="I1286" s="79" t="str">
        <f aca="false">IF($B1286="","",IF(ISNUMBER(MATCH($B1286,日別データ!$B$13:$B$32,0)),"✔ OK","⚠ 未登録"))</f>
        <v/>
      </c>
      <c r="J1286" s="80" t="str">
        <f aca="false">IF($B1286="","",IF($D1286="","－",IF(ISNUMBER($D1286),IF(AND($D1286&gt;=1,MOD($D1286,1)=0),"－",IF(MOD($D1286,1)&lt;$L$6,"朝",IF(MOD($D1286,1)&lt;$L$7,"昼",IF(MOD($D1286,1)&lt;$L$8,"夕方","夜")))),IF(OR($D1286="朝",$D1286="昼",$D1286="夕方",$D1286="夜"),$D1286,"⚠ 不明"))))</f>
        <v/>
      </c>
    </row>
    <row r="1287" customFormat="false" ht="15" hidden="false" customHeight="false" outlineLevel="0" collapsed="false">
      <c r="A1287" s="75"/>
      <c r="B1287" s="76"/>
      <c r="C1287" s="77"/>
      <c r="D1287" s="78"/>
      <c r="E1287" s="77"/>
      <c r="F1287" s="76"/>
      <c r="G1287" s="76"/>
      <c r="I1287" s="79" t="str">
        <f aca="false">IF($B1287="","",IF(ISNUMBER(MATCH($B1287,日別データ!$B$13:$B$32,0)),"✔ OK","⚠ 未登録"))</f>
        <v/>
      </c>
      <c r="J1287" s="80" t="str">
        <f aca="false">IF($B1287="","",IF($D1287="","－",IF(ISNUMBER($D1287),IF(AND($D1287&gt;=1,MOD($D1287,1)=0),"－",IF(MOD($D1287,1)&lt;$L$6,"朝",IF(MOD($D1287,1)&lt;$L$7,"昼",IF(MOD($D1287,1)&lt;$L$8,"夕方","夜")))),IF(OR($D1287="朝",$D1287="昼",$D1287="夕方",$D1287="夜"),$D1287,"⚠ 不明"))))</f>
        <v/>
      </c>
    </row>
    <row r="1288" customFormat="false" ht="15" hidden="false" customHeight="false" outlineLevel="0" collapsed="false">
      <c r="A1288" s="75"/>
      <c r="B1288" s="76"/>
      <c r="C1288" s="77"/>
      <c r="D1288" s="78"/>
      <c r="E1288" s="77"/>
      <c r="F1288" s="76"/>
      <c r="G1288" s="76"/>
      <c r="I1288" s="79" t="str">
        <f aca="false">IF($B1288="","",IF(ISNUMBER(MATCH($B1288,日別データ!$B$13:$B$32,0)),"✔ OK","⚠ 未登録"))</f>
        <v/>
      </c>
      <c r="J1288" s="80" t="str">
        <f aca="false">IF($B1288="","",IF($D1288="","－",IF(ISNUMBER($D1288),IF(AND($D1288&gt;=1,MOD($D1288,1)=0),"－",IF(MOD($D1288,1)&lt;$L$6,"朝",IF(MOD($D1288,1)&lt;$L$7,"昼",IF(MOD($D1288,1)&lt;$L$8,"夕方","夜")))),IF(OR($D1288="朝",$D1288="昼",$D1288="夕方",$D1288="夜"),$D1288,"⚠ 不明"))))</f>
        <v/>
      </c>
    </row>
    <row r="1289" customFormat="false" ht="15" hidden="false" customHeight="false" outlineLevel="0" collapsed="false">
      <c r="A1289" s="75"/>
      <c r="B1289" s="76"/>
      <c r="C1289" s="77"/>
      <c r="D1289" s="78"/>
      <c r="E1289" s="77"/>
      <c r="F1289" s="76"/>
      <c r="G1289" s="76"/>
      <c r="I1289" s="79" t="str">
        <f aca="false">IF($B1289="","",IF(ISNUMBER(MATCH($B1289,日別データ!$B$13:$B$32,0)),"✔ OK","⚠ 未登録"))</f>
        <v/>
      </c>
      <c r="J1289" s="80" t="str">
        <f aca="false">IF($B1289="","",IF($D1289="","－",IF(ISNUMBER($D1289),IF(AND($D1289&gt;=1,MOD($D1289,1)=0),"－",IF(MOD($D1289,1)&lt;$L$6,"朝",IF(MOD($D1289,1)&lt;$L$7,"昼",IF(MOD($D1289,1)&lt;$L$8,"夕方","夜")))),IF(OR($D1289="朝",$D1289="昼",$D1289="夕方",$D1289="夜"),$D1289,"⚠ 不明"))))</f>
        <v/>
      </c>
    </row>
    <row r="1290" customFormat="false" ht="15" hidden="false" customHeight="false" outlineLevel="0" collapsed="false">
      <c r="A1290" s="75"/>
      <c r="B1290" s="76"/>
      <c r="C1290" s="77"/>
      <c r="D1290" s="78"/>
      <c r="E1290" s="77"/>
      <c r="F1290" s="76"/>
      <c r="G1290" s="76"/>
      <c r="I1290" s="79" t="str">
        <f aca="false">IF($B1290="","",IF(ISNUMBER(MATCH($B1290,日別データ!$B$13:$B$32,0)),"✔ OK","⚠ 未登録"))</f>
        <v/>
      </c>
      <c r="J1290" s="80" t="str">
        <f aca="false">IF($B1290="","",IF($D1290="","－",IF(ISNUMBER($D1290),IF(AND($D1290&gt;=1,MOD($D1290,1)=0),"－",IF(MOD($D1290,1)&lt;$L$6,"朝",IF(MOD($D1290,1)&lt;$L$7,"昼",IF(MOD($D1290,1)&lt;$L$8,"夕方","夜")))),IF(OR($D1290="朝",$D1290="昼",$D1290="夕方",$D1290="夜"),$D1290,"⚠ 不明"))))</f>
        <v/>
      </c>
    </row>
    <row r="1291" customFormat="false" ht="15" hidden="false" customHeight="false" outlineLevel="0" collapsed="false">
      <c r="A1291" s="75"/>
      <c r="B1291" s="76"/>
      <c r="C1291" s="77"/>
      <c r="D1291" s="78"/>
      <c r="E1291" s="77"/>
      <c r="F1291" s="76"/>
      <c r="G1291" s="76"/>
      <c r="I1291" s="79" t="str">
        <f aca="false">IF($B1291="","",IF(ISNUMBER(MATCH($B1291,日別データ!$B$13:$B$32,0)),"✔ OK","⚠ 未登録"))</f>
        <v/>
      </c>
      <c r="J1291" s="80" t="str">
        <f aca="false">IF($B1291="","",IF($D1291="","－",IF(ISNUMBER($D1291),IF(AND($D1291&gt;=1,MOD($D1291,1)=0),"－",IF(MOD($D1291,1)&lt;$L$6,"朝",IF(MOD($D1291,1)&lt;$L$7,"昼",IF(MOD($D1291,1)&lt;$L$8,"夕方","夜")))),IF(OR($D1291="朝",$D1291="昼",$D1291="夕方",$D1291="夜"),$D1291,"⚠ 不明"))))</f>
        <v/>
      </c>
    </row>
    <row r="1292" customFormat="false" ht="15" hidden="false" customHeight="false" outlineLevel="0" collapsed="false">
      <c r="A1292" s="75"/>
      <c r="B1292" s="76"/>
      <c r="C1292" s="77"/>
      <c r="D1292" s="78"/>
      <c r="E1292" s="77"/>
      <c r="F1292" s="76"/>
      <c r="G1292" s="76"/>
      <c r="I1292" s="79" t="str">
        <f aca="false">IF($B1292="","",IF(ISNUMBER(MATCH($B1292,日別データ!$B$13:$B$32,0)),"✔ OK","⚠ 未登録"))</f>
        <v/>
      </c>
      <c r="J1292" s="80" t="str">
        <f aca="false">IF($B1292="","",IF($D1292="","－",IF(ISNUMBER($D1292),IF(AND($D1292&gt;=1,MOD($D1292,1)=0),"－",IF(MOD($D1292,1)&lt;$L$6,"朝",IF(MOD($D1292,1)&lt;$L$7,"昼",IF(MOD($D1292,1)&lt;$L$8,"夕方","夜")))),IF(OR($D1292="朝",$D1292="昼",$D1292="夕方",$D1292="夜"),$D1292,"⚠ 不明"))))</f>
        <v/>
      </c>
    </row>
    <row r="1293" customFormat="false" ht="15" hidden="false" customHeight="false" outlineLevel="0" collapsed="false">
      <c r="A1293" s="75"/>
      <c r="B1293" s="76"/>
      <c r="C1293" s="77"/>
      <c r="D1293" s="78"/>
      <c r="E1293" s="77"/>
      <c r="F1293" s="76"/>
      <c r="G1293" s="76"/>
      <c r="I1293" s="79" t="str">
        <f aca="false">IF($B1293="","",IF(ISNUMBER(MATCH($B1293,日別データ!$B$13:$B$32,0)),"✔ OK","⚠ 未登録"))</f>
        <v/>
      </c>
      <c r="J1293" s="80" t="str">
        <f aca="false">IF($B1293="","",IF($D1293="","－",IF(ISNUMBER($D1293),IF(AND($D1293&gt;=1,MOD($D1293,1)=0),"－",IF(MOD($D1293,1)&lt;$L$6,"朝",IF(MOD($D1293,1)&lt;$L$7,"昼",IF(MOD($D1293,1)&lt;$L$8,"夕方","夜")))),IF(OR($D1293="朝",$D1293="昼",$D1293="夕方",$D1293="夜"),$D1293,"⚠ 不明"))))</f>
        <v/>
      </c>
    </row>
    <row r="1294" customFormat="false" ht="15" hidden="false" customHeight="false" outlineLevel="0" collapsed="false">
      <c r="A1294" s="75"/>
      <c r="B1294" s="76"/>
      <c r="C1294" s="77"/>
      <c r="D1294" s="78"/>
      <c r="E1294" s="77"/>
      <c r="F1294" s="76"/>
      <c r="G1294" s="76"/>
      <c r="I1294" s="79" t="str">
        <f aca="false">IF($B1294="","",IF(ISNUMBER(MATCH($B1294,日別データ!$B$13:$B$32,0)),"✔ OK","⚠ 未登録"))</f>
        <v/>
      </c>
      <c r="J1294" s="80" t="str">
        <f aca="false">IF($B1294="","",IF($D1294="","－",IF(ISNUMBER($D1294),IF(AND($D1294&gt;=1,MOD($D1294,1)=0),"－",IF(MOD($D1294,1)&lt;$L$6,"朝",IF(MOD($D1294,1)&lt;$L$7,"昼",IF(MOD($D1294,1)&lt;$L$8,"夕方","夜")))),IF(OR($D1294="朝",$D1294="昼",$D1294="夕方",$D1294="夜"),$D1294,"⚠ 不明"))))</f>
        <v/>
      </c>
    </row>
    <row r="1295" customFormat="false" ht="15" hidden="false" customHeight="false" outlineLevel="0" collapsed="false">
      <c r="A1295" s="75"/>
      <c r="B1295" s="76"/>
      <c r="C1295" s="77"/>
      <c r="D1295" s="78"/>
      <c r="E1295" s="77"/>
      <c r="F1295" s="76"/>
      <c r="G1295" s="76"/>
      <c r="I1295" s="79" t="str">
        <f aca="false">IF($B1295="","",IF(ISNUMBER(MATCH($B1295,日別データ!$B$13:$B$32,0)),"✔ OK","⚠ 未登録"))</f>
        <v/>
      </c>
      <c r="J1295" s="80" t="str">
        <f aca="false">IF($B1295="","",IF($D1295="","－",IF(ISNUMBER($D1295),IF(AND($D1295&gt;=1,MOD($D1295,1)=0),"－",IF(MOD($D1295,1)&lt;$L$6,"朝",IF(MOD($D1295,1)&lt;$L$7,"昼",IF(MOD($D1295,1)&lt;$L$8,"夕方","夜")))),IF(OR($D1295="朝",$D1295="昼",$D1295="夕方",$D1295="夜"),$D1295,"⚠ 不明"))))</f>
        <v/>
      </c>
    </row>
    <row r="1296" customFormat="false" ht="15" hidden="false" customHeight="false" outlineLevel="0" collapsed="false">
      <c r="A1296" s="75"/>
      <c r="B1296" s="76"/>
      <c r="C1296" s="77"/>
      <c r="D1296" s="78"/>
      <c r="E1296" s="77"/>
      <c r="F1296" s="76"/>
      <c r="G1296" s="76"/>
      <c r="I1296" s="79" t="str">
        <f aca="false">IF($B1296="","",IF(ISNUMBER(MATCH($B1296,日別データ!$B$13:$B$32,0)),"✔ OK","⚠ 未登録"))</f>
        <v/>
      </c>
      <c r="J1296" s="80" t="str">
        <f aca="false">IF($B1296="","",IF($D1296="","－",IF(ISNUMBER($D1296),IF(AND($D1296&gt;=1,MOD($D1296,1)=0),"－",IF(MOD($D1296,1)&lt;$L$6,"朝",IF(MOD($D1296,1)&lt;$L$7,"昼",IF(MOD($D1296,1)&lt;$L$8,"夕方","夜")))),IF(OR($D1296="朝",$D1296="昼",$D1296="夕方",$D1296="夜"),$D1296,"⚠ 不明"))))</f>
        <v/>
      </c>
    </row>
    <row r="1297" customFormat="false" ht="15" hidden="false" customHeight="false" outlineLevel="0" collapsed="false">
      <c r="A1297" s="75"/>
      <c r="B1297" s="76"/>
      <c r="C1297" s="77"/>
      <c r="D1297" s="78"/>
      <c r="E1297" s="77"/>
      <c r="F1297" s="76"/>
      <c r="G1297" s="76"/>
      <c r="I1297" s="79" t="str">
        <f aca="false">IF($B1297="","",IF(ISNUMBER(MATCH($B1297,日別データ!$B$13:$B$32,0)),"✔ OK","⚠ 未登録"))</f>
        <v/>
      </c>
      <c r="J1297" s="80" t="str">
        <f aca="false">IF($B1297="","",IF($D1297="","－",IF(ISNUMBER($D1297),IF(AND($D1297&gt;=1,MOD($D1297,1)=0),"－",IF(MOD($D1297,1)&lt;$L$6,"朝",IF(MOD($D1297,1)&lt;$L$7,"昼",IF(MOD($D1297,1)&lt;$L$8,"夕方","夜")))),IF(OR($D1297="朝",$D1297="昼",$D1297="夕方",$D1297="夜"),$D1297,"⚠ 不明"))))</f>
        <v/>
      </c>
    </row>
    <row r="1298" customFormat="false" ht="15" hidden="false" customHeight="false" outlineLevel="0" collapsed="false">
      <c r="A1298" s="75"/>
      <c r="B1298" s="76"/>
      <c r="C1298" s="77"/>
      <c r="D1298" s="78"/>
      <c r="E1298" s="77"/>
      <c r="F1298" s="76"/>
      <c r="G1298" s="76"/>
      <c r="I1298" s="79" t="str">
        <f aca="false">IF($B1298="","",IF(ISNUMBER(MATCH($B1298,日別データ!$B$13:$B$32,0)),"✔ OK","⚠ 未登録"))</f>
        <v/>
      </c>
      <c r="J1298" s="80" t="str">
        <f aca="false">IF($B1298="","",IF($D1298="","－",IF(ISNUMBER($D1298),IF(AND($D1298&gt;=1,MOD($D1298,1)=0),"－",IF(MOD($D1298,1)&lt;$L$6,"朝",IF(MOD($D1298,1)&lt;$L$7,"昼",IF(MOD($D1298,1)&lt;$L$8,"夕方","夜")))),IF(OR($D1298="朝",$D1298="昼",$D1298="夕方",$D1298="夜"),$D1298,"⚠ 不明"))))</f>
        <v/>
      </c>
    </row>
    <row r="1299" customFormat="false" ht="15" hidden="false" customHeight="false" outlineLevel="0" collapsed="false">
      <c r="A1299" s="75"/>
      <c r="B1299" s="76"/>
      <c r="C1299" s="77"/>
      <c r="D1299" s="78"/>
      <c r="E1299" s="77"/>
      <c r="F1299" s="76"/>
      <c r="G1299" s="76"/>
      <c r="I1299" s="79" t="str">
        <f aca="false">IF($B1299="","",IF(ISNUMBER(MATCH($B1299,日別データ!$B$13:$B$32,0)),"✔ OK","⚠ 未登録"))</f>
        <v/>
      </c>
      <c r="J1299" s="80" t="str">
        <f aca="false">IF($B1299="","",IF($D1299="","－",IF(ISNUMBER($D1299),IF(AND($D1299&gt;=1,MOD($D1299,1)=0),"－",IF(MOD($D1299,1)&lt;$L$6,"朝",IF(MOD($D1299,1)&lt;$L$7,"昼",IF(MOD($D1299,1)&lt;$L$8,"夕方","夜")))),IF(OR($D1299="朝",$D1299="昼",$D1299="夕方",$D1299="夜"),$D1299,"⚠ 不明"))))</f>
        <v/>
      </c>
    </row>
    <row r="1300" customFormat="false" ht="15" hidden="false" customHeight="false" outlineLevel="0" collapsed="false">
      <c r="A1300" s="75"/>
      <c r="B1300" s="76"/>
      <c r="C1300" s="77"/>
      <c r="D1300" s="78"/>
      <c r="E1300" s="77"/>
      <c r="F1300" s="76"/>
      <c r="G1300" s="76"/>
      <c r="I1300" s="79" t="str">
        <f aca="false">IF($B1300="","",IF(ISNUMBER(MATCH($B1300,日別データ!$B$13:$B$32,0)),"✔ OK","⚠ 未登録"))</f>
        <v/>
      </c>
      <c r="J1300" s="80" t="str">
        <f aca="false">IF($B1300="","",IF($D1300="","－",IF(ISNUMBER($D1300),IF(AND($D1300&gt;=1,MOD($D1300,1)=0),"－",IF(MOD($D1300,1)&lt;$L$6,"朝",IF(MOD($D1300,1)&lt;$L$7,"昼",IF(MOD($D1300,1)&lt;$L$8,"夕方","夜")))),IF(OR($D1300="朝",$D1300="昼",$D1300="夕方",$D1300="夜"),$D1300,"⚠ 不明"))))</f>
        <v/>
      </c>
    </row>
    <row r="1301" customFormat="false" ht="15" hidden="false" customHeight="false" outlineLevel="0" collapsed="false">
      <c r="A1301" s="75"/>
      <c r="B1301" s="76"/>
      <c r="C1301" s="77"/>
      <c r="D1301" s="78"/>
      <c r="E1301" s="77"/>
      <c r="F1301" s="76"/>
      <c r="G1301" s="76"/>
      <c r="I1301" s="79" t="str">
        <f aca="false">IF($B1301="","",IF(ISNUMBER(MATCH($B1301,日別データ!$B$13:$B$32,0)),"✔ OK","⚠ 未登録"))</f>
        <v/>
      </c>
      <c r="J1301" s="80" t="str">
        <f aca="false">IF($B1301="","",IF($D1301="","－",IF(ISNUMBER($D1301),IF(AND($D1301&gt;=1,MOD($D1301,1)=0),"－",IF(MOD($D1301,1)&lt;$L$6,"朝",IF(MOD($D1301,1)&lt;$L$7,"昼",IF(MOD($D1301,1)&lt;$L$8,"夕方","夜")))),IF(OR($D1301="朝",$D1301="昼",$D1301="夕方",$D1301="夜"),$D1301,"⚠ 不明"))))</f>
        <v/>
      </c>
    </row>
    <row r="1302" customFormat="false" ht="15" hidden="false" customHeight="false" outlineLevel="0" collapsed="false">
      <c r="A1302" s="75"/>
      <c r="B1302" s="76"/>
      <c r="C1302" s="77"/>
      <c r="D1302" s="78"/>
      <c r="E1302" s="77"/>
      <c r="F1302" s="76"/>
      <c r="G1302" s="76"/>
      <c r="I1302" s="79" t="str">
        <f aca="false">IF($B1302="","",IF(ISNUMBER(MATCH($B1302,日別データ!$B$13:$B$32,0)),"✔ OK","⚠ 未登録"))</f>
        <v/>
      </c>
      <c r="J1302" s="80" t="str">
        <f aca="false">IF($B1302="","",IF($D1302="","－",IF(ISNUMBER($D1302),IF(AND($D1302&gt;=1,MOD($D1302,1)=0),"－",IF(MOD($D1302,1)&lt;$L$6,"朝",IF(MOD($D1302,1)&lt;$L$7,"昼",IF(MOD($D1302,1)&lt;$L$8,"夕方","夜")))),IF(OR($D1302="朝",$D1302="昼",$D1302="夕方",$D1302="夜"),$D1302,"⚠ 不明"))))</f>
        <v/>
      </c>
    </row>
    <row r="1303" customFormat="false" ht="15" hidden="false" customHeight="false" outlineLevel="0" collapsed="false">
      <c r="A1303" s="75"/>
      <c r="B1303" s="76"/>
      <c r="C1303" s="77"/>
      <c r="D1303" s="78"/>
      <c r="E1303" s="77"/>
      <c r="F1303" s="76"/>
      <c r="G1303" s="76"/>
      <c r="I1303" s="79" t="str">
        <f aca="false">IF($B1303="","",IF(ISNUMBER(MATCH($B1303,日別データ!$B$13:$B$32,0)),"✔ OK","⚠ 未登録"))</f>
        <v/>
      </c>
      <c r="J1303" s="80" t="str">
        <f aca="false">IF($B1303="","",IF($D1303="","－",IF(ISNUMBER($D1303),IF(AND($D1303&gt;=1,MOD($D1303,1)=0),"－",IF(MOD($D1303,1)&lt;$L$6,"朝",IF(MOD($D1303,1)&lt;$L$7,"昼",IF(MOD($D1303,1)&lt;$L$8,"夕方","夜")))),IF(OR($D1303="朝",$D1303="昼",$D1303="夕方",$D1303="夜"),$D1303,"⚠ 不明"))))</f>
        <v/>
      </c>
    </row>
    <row r="1304" customFormat="false" ht="15" hidden="false" customHeight="false" outlineLevel="0" collapsed="false">
      <c r="A1304" s="75"/>
      <c r="B1304" s="76"/>
      <c r="C1304" s="77"/>
      <c r="D1304" s="78"/>
      <c r="E1304" s="77"/>
      <c r="F1304" s="76"/>
      <c r="G1304" s="76"/>
      <c r="I1304" s="79" t="str">
        <f aca="false">IF($B1304="","",IF(ISNUMBER(MATCH($B1304,日別データ!$B$13:$B$32,0)),"✔ OK","⚠ 未登録"))</f>
        <v/>
      </c>
      <c r="J1304" s="80" t="str">
        <f aca="false">IF($B1304="","",IF($D1304="","－",IF(ISNUMBER($D1304),IF(AND($D1304&gt;=1,MOD($D1304,1)=0),"－",IF(MOD($D1304,1)&lt;$L$6,"朝",IF(MOD($D1304,1)&lt;$L$7,"昼",IF(MOD($D1304,1)&lt;$L$8,"夕方","夜")))),IF(OR($D1304="朝",$D1304="昼",$D1304="夕方",$D1304="夜"),$D1304,"⚠ 不明"))))</f>
        <v/>
      </c>
    </row>
    <row r="1305" customFormat="false" ht="15" hidden="false" customHeight="false" outlineLevel="0" collapsed="false">
      <c r="A1305" s="75"/>
      <c r="B1305" s="76"/>
      <c r="C1305" s="77"/>
      <c r="D1305" s="78"/>
      <c r="E1305" s="77"/>
      <c r="F1305" s="76"/>
      <c r="G1305" s="76"/>
      <c r="I1305" s="79" t="str">
        <f aca="false">IF($B1305="","",IF(ISNUMBER(MATCH($B1305,日別データ!$B$13:$B$32,0)),"✔ OK","⚠ 未登録"))</f>
        <v/>
      </c>
      <c r="J1305" s="80" t="str">
        <f aca="false">IF($B1305="","",IF($D1305="","－",IF(ISNUMBER($D1305),IF(AND($D1305&gt;=1,MOD($D1305,1)=0),"－",IF(MOD($D1305,1)&lt;$L$6,"朝",IF(MOD($D1305,1)&lt;$L$7,"昼",IF(MOD($D1305,1)&lt;$L$8,"夕方","夜")))),IF(OR($D1305="朝",$D1305="昼",$D1305="夕方",$D1305="夜"),$D1305,"⚠ 不明"))))</f>
        <v/>
      </c>
    </row>
    <row r="1306" customFormat="false" ht="15" hidden="false" customHeight="false" outlineLevel="0" collapsed="false">
      <c r="A1306" s="75"/>
      <c r="B1306" s="76"/>
      <c r="C1306" s="77"/>
      <c r="D1306" s="78"/>
      <c r="E1306" s="77"/>
      <c r="F1306" s="76"/>
      <c r="G1306" s="76"/>
      <c r="I1306" s="79" t="str">
        <f aca="false">IF($B1306="","",IF(ISNUMBER(MATCH($B1306,日別データ!$B$13:$B$32,0)),"✔ OK","⚠ 未登録"))</f>
        <v/>
      </c>
      <c r="J1306" s="80" t="str">
        <f aca="false">IF($B1306="","",IF($D1306="","－",IF(ISNUMBER($D1306),IF(AND($D1306&gt;=1,MOD($D1306,1)=0),"－",IF(MOD($D1306,1)&lt;$L$6,"朝",IF(MOD($D1306,1)&lt;$L$7,"昼",IF(MOD($D1306,1)&lt;$L$8,"夕方","夜")))),IF(OR($D1306="朝",$D1306="昼",$D1306="夕方",$D1306="夜"),$D1306,"⚠ 不明"))))</f>
        <v/>
      </c>
    </row>
    <row r="1307" customFormat="false" ht="15" hidden="false" customHeight="false" outlineLevel="0" collapsed="false">
      <c r="A1307" s="75"/>
      <c r="B1307" s="76"/>
      <c r="C1307" s="77"/>
      <c r="D1307" s="78"/>
      <c r="E1307" s="77"/>
      <c r="F1307" s="76"/>
      <c r="G1307" s="76"/>
      <c r="I1307" s="79" t="str">
        <f aca="false">IF($B1307="","",IF(ISNUMBER(MATCH($B1307,日別データ!$B$13:$B$32,0)),"✔ OK","⚠ 未登録"))</f>
        <v/>
      </c>
      <c r="J1307" s="80" t="str">
        <f aca="false">IF($B1307="","",IF($D1307="","－",IF(ISNUMBER($D1307),IF(AND($D1307&gt;=1,MOD($D1307,1)=0),"－",IF(MOD($D1307,1)&lt;$L$6,"朝",IF(MOD($D1307,1)&lt;$L$7,"昼",IF(MOD($D1307,1)&lt;$L$8,"夕方","夜")))),IF(OR($D1307="朝",$D1307="昼",$D1307="夕方",$D1307="夜"),$D1307,"⚠ 不明"))))</f>
        <v/>
      </c>
    </row>
    <row r="1308" customFormat="false" ht="15" hidden="false" customHeight="false" outlineLevel="0" collapsed="false">
      <c r="A1308" s="75"/>
      <c r="B1308" s="76"/>
      <c r="C1308" s="77"/>
      <c r="D1308" s="78"/>
      <c r="E1308" s="77"/>
      <c r="F1308" s="76"/>
      <c r="G1308" s="76"/>
      <c r="I1308" s="79" t="str">
        <f aca="false">IF($B1308="","",IF(ISNUMBER(MATCH($B1308,日別データ!$B$13:$B$32,0)),"✔ OK","⚠ 未登録"))</f>
        <v/>
      </c>
      <c r="J1308" s="80" t="str">
        <f aca="false">IF($B1308="","",IF($D1308="","－",IF(ISNUMBER($D1308),IF(AND($D1308&gt;=1,MOD($D1308,1)=0),"－",IF(MOD($D1308,1)&lt;$L$6,"朝",IF(MOD($D1308,1)&lt;$L$7,"昼",IF(MOD($D1308,1)&lt;$L$8,"夕方","夜")))),IF(OR($D1308="朝",$D1308="昼",$D1308="夕方",$D1308="夜"),$D1308,"⚠ 不明"))))</f>
        <v/>
      </c>
    </row>
    <row r="1309" customFormat="false" ht="15" hidden="false" customHeight="false" outlineLevel="0" collapsed="false">
      <c r="A1309" s="75"/>
      <c r="B1309" s="76"/>
      <c r="C1309" s="77"/>
      <c r="D1309" s="78"/>
      <c r="E1309" s="77"/>
      <c r="F1309" s="76"/>
      <c r="G1309" s="76"/>
      <c r="I1309" s="79" t="str">
        <f aca="false">IF($B1309="","",IF(ISNUMBER(MATCH($B1309,日別データ!$B$13:$B$32,0)),"✔ OK","⚠ 未登録"))</f>
        <v/>
      </c>
      <c r="J1309" s="80" t="str">
        <f aca="false">IF($B1309="","",IF($D1309="","－",IF(ISNUMBER($D1309),IF(AND($D1309&gt;=1,MOD($D1309,1)=0),"－",IF(MOD($D1309,1)&lt;$L$6,"朝",IF(MOD($D1309,1)&lt;$L$7,"昼",IF(MOD($D1309,1)&lt;$L$8,"夕方","夜")))),IF(OR($D1309="朝",$D1309="昼",$D1309="夕方",$D1309="夜"),$D1309,"⚠ 不明"))))</f>
        <v/>
      </c>
    </row>
    <row r="1310" customFormat="false" ht="15" hidden="false" customHeight="false" outlineLevel="0" collapsed="false">
      <c r="A1310" s="75"/>
      <c r="B1310" s="76"/>
      <c r="C1310" s="77"/>
      <c r="D1310" s="78"/>
      <c r="E1310" s="77"/>
      <c r="F1310" s="76"/>
      <c r="G1310" s="76"/>
      <c r="I1310" s="79" t="str">
        <f aca="false">IF($B1310="","",IF(ISNUMBER(MATCH($B1310,日別データ!$B$13:$B$32,0)),"✔ OK","⚠ 未登録"))</f>
        <v/>
      </c>
      <c r="J1310" s="80" t="str">
        <f aca="false">IF($B1310="","",IF($D1310="","－",IF(ISNUMBER($D1310),IF(AND($D1310&gt;=1,MOD($D1310,1)=0),"－",IF(MOD($D1310,1)&lt;$L$6,"朝",IF(MOD($D1310,1)&lt;$L$7,"昼",IF(MOD($D1310,1)&lt;$L$8,"夕方","夜")))),IF(OR($D1310="朝",$D1310="昼",$D1310="夕方",$D1310="夜"),$D1310,"⚠ 不明"))))</f>
        <v/>
      </c>
    </row>
    <row r="1311" customFormat="false" ht="15" hidden="false" customHeight="false" outlineLevel="0" collapsed="false">
      <c r="A1311" s="75"/>
      <c r="B1311" s="76"/>
      <c r="C1311" s="77"/>
      <c r="D1311" s="78"/>
      <c r="E1311" s="77"/>
      <c r="F1311" s="76"/>
      <c r="G1311" s="76"/>
      <c r="I1311" s="79" t="str">
        <f aca="false">IF($B1311="","",IF(ISNUMBER(MATCH($B1311,日別データ!$B$13:$B$32,0)),"✔ OK","⚠ 未登録"))</f>
        <v/>
      </c>
      <c r="J1311" s="80" t="str">
        <f aca="false">IF($B1311="","",IF($D1311="","－",IF(ISNUMBER($D1311),IF(AND($D1311&gt;=1,MOD($D1311,1)=0),"－",IF(MOD($D1311,1)&lt;$L$6,"朝",IF(MOD($D1311,1)&lt;$L$7,"昼",IF(MOD($D1311,1)&lt;$L$8,"夕方","夜")))),IF(OR($D1311="朝",$D1311="昼",$D1311="夕方",$D1311="夜"),$D1311,"⚠ 不明"))))</f>
        <v/>
      </c>
    </row>
    <row r="1312" customFormat="false" ht="15" hidden="false" customHeight="false" outlineLevel="0" collapsed="false">
      <c r="A1312" s="75"/>
      <c r="B1312" s="76"/>
      <c r="C1312" s="77"/>
      <c r="D1312" s="78"/>
      <c r="E1312" s="77"/>
      <c r="F1312" s="76"/>
      <c r="G1312" s="76"/>
      <c r="I1312" s="79" t="str">
        <f aca="false">IF($B1312="","",IF(ISNUMBER(MATCH($B1312,日別データ!$B$13:$B$32,0)),"✔ OK","⚠ 未登録"))</f>
        <v/>
      </c>
      <c r="J1312" s="80" t="str">
        <f aca="false">IF($B1312="","",IF($D1312="","－",IF(ISNUMBER($D1312),IF(AND($D1312&gt;=1,MOD($D1312,1)=0),"－",IF(MOD($D1312,1)&lt;$L$6,"朝",IF(MOD($D1312,1)&lt;$L$7,"昼",IF(MOD($D1312,1)&lt;$L$8,"夕方","夜")))),IF(OR($D1312="朝",$D1312="昼",$D1312="夕方",$D1312="夜"),$D1312,"⚠ 不明"))))</f>
        <v/>
      </c>
    </row>
    <row r="1313" customFormat="false" ht="15" hidden="false" customHeight="false" outlineLevel="0" collapsed="false">
      <c r="A1313" s="75"/>
      <c r="B1313" s="76"/>
      <c r="C1313" s="77"/>
      <c r="D1313" s="78"/>
      <c r="E1313" s="77"/>
      <c r="F1313" s="76"/>
      <c r="G1313" s="76"/>
      <c r="I1313" s="79" t="str">
        <f aca="false">IF($B1313="","",IF(ISNUMBER(MATCH($B1313,日別データ!$B$13:$B$32,0)),"✔ OK","⚠ 未登録"))</f>
        <v/>
      </c>
      <c r="J1313" s="80" t="str">
        <f aca="false">IF($B1313="","",IF($D1313="","－",IF(ISNUMBER($D1313),IF(AND($D1313&gt;=1,MOD($D1313,1)=0),"－",IF(MOD($D1313,1)&lt;$L$6,"朝",IF(MOD($D1313,1)&lt;$L$7,"昼",IF(MOD($D1313,1)&lt;$L$8,"夕方","夜")))),IF(OR($D1313="朝",$D1313="昼",$D1313="夕方",$D1313="夜"),$D1313,"⚠ 不明"))))</f>
        <v/>
      </c>
    </row>
    <row r="1314" customFormat="false" ht="15" hidden="false" customHeight="false" outlineLevel="0" collapsed="false">
      <c r="A1314" s="75"/>
      <c r="B1314" s="76"/>
      <c r="C1314" s="77"/>
      <c r="D1314" s="78"/>
      <c r="E1314" s="77"/>
      <c r="F1314" s="76"/>
      <c r="G1314" s="76"/>
      <c r="I1314" s="79" t="str">
        <f aca="false">IF($B1314="","",IF(ISNUMBER(MATCH($B1314,日別データ!$B$13:$B$32,0)),"✔ OK","⚠ 未登録"))</f>
        <v/>
      </c>
      <c r="J1314" s="80" t="str">
        <f aca="false">IF($B1314="","",IF($D1314="","－",IF(ISNUMBER($D1314),IF(AND($D1314&gt;=1,MOD($D1314,1)=0),"－",IF(MOD($D1314,1)&lt;$L$6,"朝",IF(MOD($D1314,1)&lt;$L$7,"昼",IF(MOD($D1314,1)&lt;$L$8,"夕方","夜")))),IF(OR($D1314="朝",$D1314="昼",$D1314="夕方",$D1314="夜"),$D1314,"⚠ 不明"))))</f>
        <v/>
      </c>
    </row>
    <row r="1315" customFormat="false" ht="15" hidden="false" customHeight="false" outlineLevel="0" collapsed="false">
      <c r="A1315" s="75"/>
      <c r="B1315" s="76"/>
      <c r="C1315" s="77"/>
      <c r="D1315" s="78"/>
      <c r="E1315" s="77"/>
      <c r="F1315" s="76"/>
      <c r="G1315" s="76"/>
      <c r="I1315" s="79" t="str">
        <f aca="false">IF($B1315="","",IF(ISNUMBER(MATCH($B1315,日別データ!$B$13:$B$32,0)),"✔ OK","⚠ 未登録"))</f>
        <v/>
      </c>
      <c r="J1315" s="80" t="str">
        <f aca="false">IF($B1315="","",IF($D1315="","－",IF(ISNUMBER($D1315),IF(AND($D1315&gt;=1,MOD($D1315,1)=0),"－",IF(MOD($D1315,1)&lt;$L$6,"朝",IF(MOD($D1315,1)&lt;$L$7,"昼",IF(MOD($D1315,1)&lt;$L$8,"夕方","夜")))),IF(OR($D1315="朝",$D1315="昼",$D1315="夕方",$D1315="夜"),$D1315,"⚠ 不明"))))</f>
        <v/>
      </c>
    </row>
    <row r="1316" customFormat="false" ht="15" hidden="false" customHeight="false" outlineLevel="0" collapsed="false">
      <c r="A1316" s="75"/>
      <c r="B1316" s="76"/>
      <c r="C1316" s="77"/>
      <c r="D1316" s="78"/>
      <c r="E1316" s="77"/>
      <c r="F1316" s="76"/>
      <c r="G1316" s="76"/>
      <c r="I1316" s="79" t="str">
        <f aca="false">IF($B1316="","",IF(ISNUMBER(MATCH($B1316,日別データ!$B$13:$B$32,0)),"✔ OK","⚠ 未登録"))</f>
        <v/>
      </c>
      <c r="J1316" s="80" t="str">
        <f aca="false">IF($B1316="","",IF($D1316="","－",IF(ISNUMBER($D1316),IF(AND($D1316&gt;=1,MOD($D1316,1)=0),"－",IF(MOD($D1316,1)&lt;$L$6,"朝",IF(MOD($D1316,1)&lt;$L$7,"昼",IF(MOD($D1316,1)&lt;$L$8,"夕方","夜")))),IF(OR($D1316="朝",$D1316="昼",$D1316="夕方",$D1316="夜"),$D1316,"⚠ 不明"))))</f>
        <v/>
      </c>
    </row>
    <row r="1317" customFormat="false" ht="15" hidden="false" customHeight="false" outlineLevel="0" collapsed="false">
      <c r="A1317" s="75"/>
      <c r="B1317" s="76"/>
      <c r="C1317" s="77"/>
      <c r="D1317" s="78"/>
      <c r="E1317" s="77"/>
      <c r="F1317" s="76"/>
      <c r="G1317" s="76"/>
      <c r="I1317" s="79" t="str">
        <f aca="false">IF($B1317="","",IF(ISNUMBER(MATCH($B1317,日別データ!$B$13:$B$32,0)),"✔ OK","⚠ 未登録"))</f>
        <v/>
      </c>
      <c r="J1317" s="80" t="str">
        <f aca="false">IF($B1317="","",IF($D1317="","－",IF(ISNUMBER($D1317),IF(AND($D1317&gt;=1,MOD($D1317,1)=0),"－",IF(MOD($D1317,1)&lt;$L$6,"朝",IF(MOD($D1317,1)&lt;$L$7,"昼",IF(MOD($D1317,1)&lt;$L$8,"夕方","夜")))),IF(OR($D1317="朝",$D1317="昼",$D1317="夕方",$D1317="夜"),$D1317,"⚠ 不明"))))</f>
        <v/>
      </c>
    </row>
    <row r="1318" customFormat="false" ht="15" hidden="false" customHeight="false" outlineLevel="0" collapsed="false">
      <c r="A1318" s="75"/>
      <c r="B1318" s="76"/>
      <c r="C1318" s="77"/>
      <c r="D1318" s="78"/>
      <c r="E1318" s="77"/>
      <c r="F1318" s="76"/>
      <c r="G1318" s="76"/>
      <c r="I1318" s="79" t="str">
        <f aca="false">IF($B1318="","",IF(ISNUMBER(MATCH($B1318,日別データ!$B$13:$B$32,0)),"✔ OK","⚠ 未登録"))</f>
        <v/>
      </c>
      <c r="J1318" s="80" t="str">
        <f aca="false">IF($B1318="","",IF($D1318="","－",IF(ISNUMBER($D1318),IF(AND($D1318&gt;=1,MOD($D1318,1)=0),"－",IF(MOD($D1318,1)&lt;$L$6,"朝",IF(MOD($D1318,1)&lt;$L$7,"昼",IF(MOD($D1318,1)&lt;$L$8,"夕方","夜")))),IF(OR($D1318="朝",$D1318="昼",$D1318="夕方",$D1318="夜"),$D1318,"⚠ 不明"))))</f>
        <v/>
      </c>
    </row>
    <row r="1319" customFormat="false" ht="15" hidden="false" customHeight="false" outlineLevel="0" collapsed="false">
      <c r="A1319" s="75"/>
      <c r="B1319" s="76"/>
      <c r="C1319" s="77"/>
      <c r="D1319" s="78"/>
      <c r="E1319" s="77"/>
      <c r="F1319" s="76"/>
      <c r="G1319" s="76"/>
      <c r="I1319" s="79" t="str">
        <f aca="false">IF($B1319="","",IF(ISNUMBER(MATCH($B1319,日別データ!$B$13:$B$32,0)),"✔ OK","⚠ 未登録"))</f>
        <v/>
      </c>
      <c r="J1319" s="80" t="str">
        <f aca="false">IF($B1319="","",IF($D1319="","－",IF(ISNUMBER($D1319),IF(AND($D1319&gt;=1,MOD($D1319,1)=0),"－",IF(MOD($D1319,1)&lt;$L$6,"朝",IF(MOD($D1319,1)&lt;$L$7,"昼",IF(MOD($D1319,1)&lt;$L$8,"夕方","夜")))),IF(OR($D1319="朝",$D1319="昼",$D1319="夕方",$D1319="夜"),$D1319,"⚠ 不明"))))</f>
        <v/>
      </c>
    </row>
    <row r="1320" customFormat="false" ht="15" hidden="false" customHeight="false" outlineLevel="0" collapsed="false">
      <c r="A1320" s="75"/>
      <c r="B1320" s="76"/>
      <c r="C1320" s="77"/>
      <c r="D1320" s="78"/>
      <c r="E1320" s="77"/>
      <c r="F1320" s="76"/>
      <c r="G1320" s="76"/>
      <c r="I1320" s="79" t="str">
        <f aca="false">IF($B1320="","",IF(ISNUMBER(MATCH($B1320,日別データ!$B$13:$B$32,0)),"✔ OK","⚠ 未登録"))</f>
        <v/>
      </c>
      <c r="J1320" s="80" t="str">
        <f aca="false">IF($B1320="","",IF($D1320="","－",IF(ISNUMBER($D1320),IF(AND($D1320&gt;=1,MOD($D1320,1)=0),"－",IF(MOD($D1320,1)&lt;$L$6,"朝",IF(MOD($D1320,1)&lt;$L$7,"昼",IF(MOD($D1320,1)&lt;$L$8,"夕方","夜")))),IF(OR($D1320="朝",$D1320="昼",$D1320="夕方",$D1320="夜"),$D1320,"⚠ 不明"))))</f>
        <v/>
      </c>
    </row>
    <row r="1321" customFormat="false" ht="15" hidden="false" customHeight="false" outlineLevel="0" collapsed="false">
      <c r="A1321" s="75"/>
      <c r="B1321" s="76"/>
      <c r="C1321" s="77"/>
      <c r="D1321" s="78"/>
      <c r="E1321" s="77"/>
      <c r="F1321" s="76"/>
      <c r="G1321" s="76"/>
      <c r="I1321" s="79" t="str">
        <f aca="false">IF($B1321="","",IF(ISNUMBER(MATCH($B1321,日別データ!$B$13:$B$32,0)),"✔ OK","⚠ 未登録"))</f>
        <v/>
      </c>
      <c r="J1321" s="80" t="str">
        <f aca="false">IF($B1321="","",IF($D1321="","－",IF(ISNUMBER($D1321),IF(AND($D1321&gt;=1,MOD($D1321,1)=0),"－",IF(MOD($D1321,1)&lt;$L$6,"朝",IF(MOD($D1321,1)&lt;$L$7,"昼",IF(MOD($D1321,1)&lt;$L$8,"夕方","夜")))),IF(OR($D1321="朝",$D1321="昼",$D1321="夕方",$D1321="夜"),$D1321,"⚠ 不明"))))</f>
        <v/>
      </c>
    </row>
    <row r="1322" customFormat="false" ht="15" hidden="false" customHeight="false" outlineLevel="0" collapsed="false">
      <c r="A1322" s="75"/>
      <c r="B1322" s="76"/>
      <c r="C1322" s="77"/>
      <c r="D1322" s="78"/>
      <c r="E1322" s="77"/>
      <c r="F1322" s="76"/>
      <c r="G1322" s="76"/>
      <c r="I1322" s="79" t="str">
        <f aca="false">IF($B1322="","",IF(ISNUMBER(MATCH($B1322,日別データ!$B$13:$B$32,0)),"✔ OK","⚠ 未登録"))</f>
        <v/>
      </c>
      <c r="J1322" s="80" t="str">
        <f aca="false">IF($B1322="","",IF($D1322="","－",IF(ISNUMBER($D1322),IF(AND($D1322&gt;=1,MOD($D1322,1)=0),"－",IF(MOD($D1322,1)&lt;$L$6,"朝",IF(MOD($D1322,1)&lt;$L$7,"昼",IF(MOD($D1322,1)&lt;$L$8,"夕方","夜")))),IF(OR($D1322="朝",$D1322="昼",$D1322="夕方",$D1322="夜"),$D1322,"⚠ 不明"))))</f>
        <v/>
      </c>
    </row>
    <row r="1323" customFormat="false" ht="15" hidden="false" customHeight="false" outlineLevel="0" collapsed="false">
      <c r="A1323" s="75"/>
      <c r="B1323" s="76"/>
      <c r="C1323" s="77"/>
      <c r="D1323" s="78"/>
      <c r="E1323" s="77"/>
      <c r="F1323" s="76"/>
      <c r="G1323" s="76"/>
      <c r="I1323" s="79" t="str">
        <f aca="false">IF($B1323="","",IF(ISNUMBER(MATCH($B1323,日別データ!$B$13:$B$32,0)),"✔ OK","⚠ 未登録"))</f>
        <v/>
      </c>
      <c r="J1323" s="80" t="str">
        <f aca="false">IF($B1323="","",IF($D1323="","－",IF(ISNUMBER($D1323),IF(AND($D1323&gt;=1,MOD($D1323,1)=0),"－",IF(MOD($D1323,1)&lt;$L$6,"朝",IF(MOD($D1323,1)&lt;$L$7,"昼",IF(MOD($D1323,1)&lt;$L$8,"夕方","夜")))),IF(OR($D1323="朝",$D1323="昼",$D1323="夕方",$D1323="夜"),$D1323,"⚠ 不明"))))</f>
        <v/>
      </c>
    </row>
    <row r="1324" customFormat="false" ht="15" hidden="false" customHeight="false" outlineLevel="0" collapsed="false">
      <c r="A1324" s="75"/>
      <c r="B1324" s="76"/>
      <c r="C1324" s="77"/>
      <c r="D1324" s="78"/>
      <c r="E1324" s="77"/>
      <c r="F1324" s="76"/>
      <c r="G1324" s="76"/>
      <c r="I1324" s="79" t="str">
        <f aca="false">IF($B1324="","",IF(ISNUMBER(MATCH($B1324,日別データ!$B$13:$B$32,0)),"✔ OK","⚠ 未登録"))</f>
        <v/>
      </c>
      <c r="J1324" s="80" t="str">
        <f aca="false">IF($B1324="","",IF($D1324="","－",IF(ISNUMBER($D1324),IF(AND($D1324&gt;=1,MOD($D1324,1)=0),"－",IF(MOD($D1324,1)&lt;$L$6,"朝",IF(MOD($D1324,1)&lt;$L$7,"昼",IF(MOD($D1324,1)&lt;$L$8,"夕方","夜")))),IF(OR($D1324="朝",$D1324="昼",$D1324="夕方",$D1324="夜"),$D1324,"⚠ 不明"))))</f>
        <v/>
      </c>
    </row>
    <row r="1325" customFormat="false" ht="15" hidden="false" customHeight="false" outlineLevel="0" collapsed="false">
      <c r="A1325" s="75"/>
      <c r="B1325" s="76"/>
      <c r="C1325" s="77"/>
      <c r="D1325" s="78"/>
      <c r="E1325" s="77"/>
      <c r="F1325" s="76"/>
      <c r="G1325" s="76"/>
      <c r="I1325" s="79" t="str">
        <f aca="false">IF($B1325="","",IF(ISNUMBER(MATCH($B1325,日別データ!$B$13:$B$32,0)),"✔ OK","⚠ 未登録"))</f>
        <v/>
      </c>
      <c r="J1325" s="80" t="str">
        <f aca="false">IF($B1325="","",IF($D1325="","－",IF(ISNUMBER($D1325),IF(AND($D1325&gt;=1,MOD($D1325,1)=0),"－",IF(MOD($D1325,1)&lt;$L$6,"朝",IF(MOD($D1325,1)&lt;$L$7,"昼",IF(MOD($D1325,1)&lt;$L$8,"夕方","夜")))),IF(OR($D1325="朝",$D1325="昼",$D1325="夕方",$D1325="夜"),$D1325,"⚠ 不明"))))</f>
        <v/>
      </c>
    </row>
    <row r="1326" customFormat="false" ht="15" hidden="false" customHeight="false" outlineLevel="0" collapsed="false">
      <c r="A1326" s="75"/>
      <c r="B1326" s="76"/>
      <c r="C1326" s="77"/>
      <c r="D1326" s="78"/>
      <c r="E1326" s="77"/>
      <c r="F1326" s="76"/>
      <c r="G1326" s="76"/>
      <c r="I1326" s="79" t="str">
        <f aca="false">IF($B1326="","",IF(ISNUMBER(MATCH($B1326,日別データ!$B$13:$B$32,0)),"✔ OK","⚠ 未登録"))</f>
        <v/>
      </c>
      <c r="J1326" s="80" t="str">
        <f aca="false">IF($B1326="","",IF($D1326="","－",IF(ISNUMBER($D1326),IF(AND($D1326&gt;=1,MOD($D1326,1)=0),"－",IF(MOD($D1326,1)&lt;$L$6,"朝",IF(MOD($D1326,1)&lt;$L$7,"昼",IF(MOD($D1326,1)&lt;$L$8,"夕方","夜")))),IF(OR($D1326="朝",$D1326="昼",$D1326="夕方",$D1326="夜"),$D1326,"⚠ 不明"))))</f>
        <v/>
      </c>
    </row>
    <row r="1327" customFormat="false" ht="15" hidden="false" customHeight="false" outlineLevel="0" collapsed="false">
      <c r="A1327" s="75"/>
      <c r="B1327" s="76"/>
      <c r="C1327" s="77"/>
      <c r="D1327" s="78"/>
      <c r="E1327" s="77"/>
      <c r="F1327" s="76"/>
      <c r="G1327" s="76"/>
      <c r="I1327" s="79" t="str">
        <f aca="false">IF($B1327="","",IF(ISNUMBER(MATCH($B1327,日別データ!$B$13:$B$32,0)),"✔ OK","⚠ 未登録"))</f>
        <v/>
      </c>
      <c r="J1327" s="80" t="str">
        <f aca="false">IF($B1327="","",IF($D1327="","－",IF(ISNUMBER($D1327),IF(AND($D1327&gt;=1,MOD($D1327,1)=0),"－",IF(MOD($D1327,1)&lt;$L$6,"朝",IF(MOD($D1327,1)&lt;$L$7,"昼",IF(MOD($D1327,1)&lt;$L$8,"夕方","夜")))),IF(OR($D1327="朝",$D1327="昼",$D1327="夕方",$D1327="夜"),$D1327,"⚠ 不明"))))</f>
        <v/>
      </c>
    </row>
    <row r="1328" customFormat="false" ht="15" hidden="false" customHeight="false" outlineLevel="0" collapsed="false">
      <c r="A1328" s="75"/>
      <c r="B1328" s="76"/>
      <c r="C1328" s="77"/>
      <c r="D1328" s="78"/>
      <c r="E1328" s="77"/>
      <c r="F1328" s="76"/>
      <c r="G1328" s="76"/>
      <c r="I1328" s="79" t="str">
        <f aca="false">IF($B1328="","",IF(ISNUMBER(MATCH($B1328,日別データ!$B$13:$B$32,0)),"✔ OK","⚠ 未登録"))</f>
        <v/>
      </c>
      <c r="J1328" s="80" t="str">
        <f aca="false">IF($B1328="","",IF($D1328="","－",IF(ISNUMBER($D1328),IF(AND($D1328&gt;=1,MOD($D1328,1)=0),"－",IF(MOD($D1328,1)&lt;$L$6,"朝",IF(MOD($D1328,1)&lt;$L$7,"昼",IF(MOD($D1328,1)&lt;$L$8,"夕方","夜")))),IF(OR($D1328="朝",$D1328="昼",$D1328="夕方",$D1328="夜"),$D1328,"⚠ 不明"))))</f>
        <v/>
      </c>
    </row>
    <row r="1329" customFormat="false" ht="15" hidden="false" customHeight="false" outlineLevel="0" collapsed="false">
      <c r="A1329" s="75"/>
      <c r="B1329" s="76"/>
      <c r="C1329" s="77"/>
      <c r="D1329" s="78"/>
      <c r="E1329" s="77"/>
      <c r="F1329" s="76"/>
      <c r="G1329" s="76"/>
      <c r="I1329" s="79" t="str">
        <f aca="false">IF($B1329="","",IF(ISNUMBER(MATCH($B1329,日別データ!$B$13:$B$32,0)),"✔ OK","⚠ 未登録"))</f>
        <v/>
      </c>
      <c r="J1329" s="80" t="str">
        <f aca="false">IF($B1329="","",IF($D1329="","－",IF(ISNUMBER($D1329),IF(AND($D1329&gt;=1,MOD($D1329,1)=0),"－",IF(MOD($D1329,1)&lt;$L$6,"朝",IF(MOD($D1329,1)&lt;$L$7,"昼",IF(MOD($D1329,1)&lt;$L$8,"夕方","夜")))),IF(OR($D1329="朝",$D1329="昼",$D1329="夕方",$D1329="夜"),$D1329,"⚠ 不明"))))</f>
        <v/>
      </c>
    </row>
    <row r="1330" customFormat="false" ht="15" hidden="false" customHeight="false" outlineLevel="0" collapsed="false">
      <c r="A1330" s="75"/>
      <c r="B1330" s="76"/>
      <c r="C1330" s="77"/>
      <c r="D1330" s="78"/>
      <c r="E1330" s="77"/>
      <c r="F1330" s="76"/>
      <c r="G1330" s="76"/>
      <c r="I1330" s="79" t="str">
        <f aca="false">IF($B1330="","",IF(ISNUMBER(MATCH($B1330,日別データ!$B$13:$B$32,0)),"✔ OK","⚠ 未登録"))</f>
        <v/>
      </c>
      <c r="J1330" s="80" t="str">
        <f aca="false">IF($B1330="","",IF($D1330="","－",IF(ISNUMBER($D1330),IF(AND($D1330&gt;=1,MOD($D1330,1)=0),"－",IF(MOD($D1330,1)&lt;$L$6,"朝",IF(MOD($D1330,1)&lt;$L$7,"昼",IF(MOD($D1330,1)&lt;$L$8,"夕方","夜")))),IF(OR($D1330="朝",$D1330="昼",$D1330="夕方",$D1330="夜"),$D1330,"⚠ 不明"))))</f>
        <v/>
      </c>
    </row>
    <row r="1331" customFormat="false" ht="15" hidden="false" customHeight="false" outlineLevel="0" collapsed="false">
      <c r="A1331" s="75"/>
      <c r="B1331" s="76"/>
      <c r="C1331" s="77"/>
      <c r="D1331" s="78"/>
      <c r="E1331" s="77"/>
      <c r="F1331" s="76"/>
      <c r="G1331" s="76"/>
      <c r="I1331" s="79" t="str">
        <f aca="false">IF($B1331="","",IF(ISNUMBER(MATCH($B1331,日別データ!$B$13:$B$32,0)),"✔ OK","⚠ 未登録"))</f>
        <v/>
      </c>
      <c r="J1331" s="80" t="str">
        <f aca="false">IF($B1331="","",IF($D1331="","－",IF(ISNUMBER($D1331),IF(AND($D1331&gt;=1,MOD($D1331,1)=0),"－",IF(MOD($D1331,1)&lt;$L$6,"朝",IF(MOD($D1331,1)&lt;$L$7,"昼",IF(MOD($D1331,1)&lt;$L$8,"夕方","夜")))),IF(OR($D1331="朝",$D1331="昼",$D1331="夕方",$D1331="夜"),$D1331,"⚠ 不明"))))</f>
        <v/>
      </c>
    </row>
    <row r="1332" customFormat="false" ht="15" hidden="false" customHeight="false" outlineLevel="0" collapsed="false">
      <c r="A1332" s="75"/>
      <c r="B1332" s="76"/>
      <c r="C1332" s="77"/>
      <c r="D1332" s="78"/>
      <c r="E1332" s="77"/>
      <c r="F1332" s="76"/>
      <c r="G1332" s="76"/>
      <c r="I1332" s="79" t="str">
        <f aca="false">IF($B1332="","",IF(ISNUMBER(MATCH($B1332,日別データ!$B$13:$B$32,0)),"✔ OK","⚠ 未登録"))</f>
        <v/>
      </c>
      <c r="J1332" s="80" t="str">
        <f aca="false">IF($B1332="","",IF($D1332="","－",IF(ISNUMBER($D1332),IF(AND($D1332&gt;=1,MOD($D1332,1)=0),"－",IF(MOD($D1332,1)&lt;$L$6,"朝",IF(MOD($D1332,1)&lt;$L$7,"昼",IF(MOD($D1332,1)&lt;$L$8,"夕方","夜")))),IF(OR($D1332="朝",$D1332="昼",$D1332="夕方",$D1332="夜"),$D1332,"⚠ 不明"))))</f>
        <v/>
      </c>
    </row>
    <row r="1333" customFormat="false" ht="15" hidden="false" customHeight="false" outlineLevel="0" collapsed="false">
      <c r="A1333" s="75"/>
      <c r="B1333" s="76"/>
      <c r="C1333" s="77"/>
      <c r="D1333" s="78"/>
      <c r="E1333" s="77"/>
      <c r="F1333" s="76"/>
      <c r="G1333" s="76"/>
      <c r="I1333" s="79" t="str">
        <f aca="false">IF($B1333="","",IF(ISNUMBER(MATCH($B1333,日別データ!$B$13:$B$32,0)),"✔ OK","⚠ 未登録"))</f>
        <v/>
      </c>
      <c r="J1333" s="80" t="str">
        <f aca="false">IF($B1333="","",IF($D1333="","－",IF(ISNUMBER($D1333),IF(AND($D1333&gt;=1,MOD($D1333,1)=0),"－",IF(MOD($D1333,1)&lt;$L$6,"朝",IF(MOD($D1333,1)&lt;$L$7,"昼",IF(MOD($D1333,1)&lt;$L$8,"夕方","夜")))),IF(OR($D1333="朝",$D1333="昼",$D1333="夕方",$D1333="夜"),$D1333,"⚠ 不明"))))</f>
        <v/>
      </c>
    </row>
    <row r="1334" customFormat="false" ht="15" hidden="false" customHeight="false" outlineLevel="0" collapsed="false">
      <c r="A1334" s="75"/>
      <c r="B1334" s="76"/>
      <c r="C1334" s="77"/>
      <c r="D1334" s="78"/>
      <c r="E1334" s="77"/>
      <c r="F1334" s="76"/>
      <c r="G1334" s="76"/>
      <c r="I1334" s="79" t="str">
        <f aca="false">IF($B1334="","",IF(ISNUMBER(MATCH($B1334,日別データ!$B$13:$B$32,0)),"✔ OK","⚠ 未登録"))</f>
        <v/>
      </c>
      <c r="J1334" s="80" t="str">
        <f aca="false">IF($B1334="","",IF($D1334="","－",IF(ISNUMBER($D1334),IF(AND($D1334&gt;=1,MOD($D1334,1)=0),"－",IF(MOD($D1334,1)&lt;$L$6,"朝",IF(MOD($D1334,1)&lt;$L$7,"昼",IF(MOD($D1334,1)&lt;$L$8,"夕方","夜")))),IF(OR($D1334="朝",$D1334="昼",$D1334="夕方",$D1334="夜"),$D1334,"⚠ 不明"))))</f>
        <v/>
      </c>
    </row>
    <row r="1335" customFormat="false" ht="15" hidden="false" customHeight="false" outlineLevel="0" collapsed="false">
      <c r="A1335" s="75"/>
      <c r="B1335" s="76"/>
      <c r="C1335" s="77"/>
      <c r="D1335" s="78"/>
      <c r="E1335" s="77"/>
      <c r="F1335" s="76"/>
      <c r="G1335" s="76"/>
      <c r="I1335" s="79" t="str">
        <f aca="false">IF($B1335="","",IF(ISNUMBER(MATCH($B1335,日別データ!$B$13:$B$32,0)),"✔ OK","⚠ 未登録"))</f>
        <v/>
      </c>
      <c r="J1335" s="80" t="str">
        <f aca="false">IF($B1335="","",IF($D1335="","－",IF(ISNUMBER($D1335),IF(AND($D1335&gt;=1,MOD($D1335,1)=0),"－",IF(MOD($D1335,1)&lt;$L$6,"朝",IF(MOD($D1335,1)&lt;$L$7,"昼",IF(MOD($D1335,1)&lt;$L$8,"夕方","夜")))),IF(OR($D1335="朝",$D1335="昼",$D1335="夕方",$D1335="夜"),$D1335,"⚠ 不明"))))</f>
        <v/>
      </c>
    </row>
    <row r="1336" customFormat="false" ht="15" hidden="false" customHeight="false" outlineLevel="0" collapsed="false">
      <c r="A1336" s="75"/>
      <c r="B1336" s="76"/>
      <c r="C1336" s="77"/>
      <c r="D1336" s="78"/>
      <c r="E1336" s="77"/>
      <c r="F1336" s="76"/>
      <c r="G1336" s="76"/>
      <c r="I1336" s="79" t="str">
        <f aca="false">IF($B1336="","",IF(ISNUMBER(MATCH($B1336,日別データ!$B$13:$B$32,0)),"✔ OK","⚠ 未登録"))</f>
        <v/>
      </c>
      <c r="J1336" s="80" t="str">
        <f aca="false">IF($B1336="","",IF($D1336="","－",IF(ISNUMBER($D1336),IF(AND($D1336&gt;=1,MOD($D1336,1)=0),"－",IF(MOD($D1336,1)&lt;$L$6,"朝",IF(MOD($D1336,1)&lt;$L$7,"昼",IF(MOD($D1336,1)&lt;$L$8,"夕方","夜")))),IF(OR($D1336="朝",$D1336="昼",$D1336="夕方",$D1336="夜"),$D1336,"⚠ 不明"))))</f>
        <v/>
      </c>
    </row>
    <row r="1337" customFormat="false" ht="15" hidden="false" customHeight="false" outlineLevel="0" collapsed="false">
      <c r="A1337" s="75"/>
      <c r="B1337" s="76"/>
      <c r="C1337" s="77"/>
      <c r="D1337" s="78"/>
      <c r="E1337" s="77"/>
      <c r="F1337" s="76"/>
      <c r="G1337" s="76"/>
      <c r="I1337" s="79" t="str">
        <f aca="false">IF($B1337="","",IF(ISNUMBER(MATCH($B1337,日別データ!$B$13:$B$32,0)),"✔ OK","⚠ 未登録"))</f>
        <v/>
      </c>
      <c r="J1337" s="80" t="str">
        <f aca="false">IF($B1337="","",IF($D1337="","－",IF(ISNUMBER($D1337),IF(AND($D1337&gt;=1,MOD($D1337,1)=0),"－",IF(MOD($D1337,1)&lt;$L$6,"朝",IF(MOD($D1337,1)&lt;$L$7,"昼",IF(MOD($D1337,1)&lt;$L$8,"夕方","夜")))),IF(OR($D1337="朝",$D1337="昼",$D1337="夕方",$D1337="夜"),$D1337,"⚠ 不明"))))</f>
        <v/>
      </c>
    </row>
    <row r="1338" customFormat="false" ht="15" hidden="false" customHeight="false" outlineLevel="0" collapsed="false">
      <c r="A1338" s="75"/>
      <c r="B1338" s="76"/>
      <c r="C1338" s="77"/>
      <c r="D1338" s="78"/>
      <c r="E1338" s="77"/>
      <c r="F1338" s="76"/>
      <c r="G1338" s="76"/>
      <c r="I1338" s="79" t="str">
        <f aca="false">IF($B1338="","",IF(ISNUMBER(MATCH($B1338,日別データ!$B$13:$B$32,0)),"✔ OK","⚠ 未登録"))</f>
        <v/>
      </c>
      <c r="J1338" s="80" t="str">
        <f aca="false">IF($B1338="","",IF($D1338="","－",IF(ISNUMBER($D1338),IF(AND($D1338&gt;=1,MOD($D1338,1)=0),"－",IF(MOD($D1338,1)&lt;$L$6,"朝",IF(MOD($D1338,1)&lt;$L$7,"昼",IF(MOD($D1338,1)&lt;$L$8,"夕方","夜")))),IF(OR($D1338="朝",$D1338="昼",$D1338="夕方",$D1338="夜"),$D1338,"⚠ 不明"))))</f>
        <v/>
      </c>
    </row>
    <row r="1339" customFormat="false" ht="15" hidden="false" customHeight="false" outlineLevel="0" collapsed="false">
      <c r="A1339" s="75"/>
      <c r="B1339" s="76"/>
      <c r="C1339" s="77"/>
      <c r="D1339" s="78"/>
      <c r="E1339" s="77"/>
      <c r="F1339" s="76"/>
      <c r="G1339" s="76"/>
      <c r="I1339" s="79" t="str">
        <f aca="false">IF($B1339="","",IF(ISNUMBER(MATCH($B1339,日別データ!$B$13:$B$32,0)),"✔ OK","⚠ 未登録"))</f>
        <v/>
      </c>
      <c r="J1339" s="80" t="str">
        <f aca="false">IF($B1339="","",IF($D1339="","－",IF(ISNUMBER($D1339),IF(AND($D1339&gt;=1,MOD($D1339,1)=0),"－",IF(MOD($D1339,1)&lt;$L$6,"朝",IF(MOD($D1339,1)&lt;$L$7,"昼",IF(MOD($D1339,1)&lt;$L$8,"夕方","夜")))),IF(OR($D1339="朝",$D1339="昼",$D1339="夕方",$D1339="夜"),$D1339,"⚠ 不明"))))</f>
        <v/>
      </c>
    </row>
    <row r="1340" customFormat="false" ht="15" hidden="false" customHeight="false" outlineLevel="0" collapsed="false">
      <c r="A1340" s="75"/>
      <c r="B1340" s="76"/>
      <c r="C1340" s="77"/>
      <c r="D1340" s="78"/>
      <c r="E1340" s="77"/>
      <c r="F1340" s="76"/>
      <c r="G1340" s="76"/>
      <c r="I1340" s="79" t="str">
        <f aca="false">IF($B1340="","",IF(ISNUMBER(MATCH($B1340,日別データ!$B$13:$B$32,0)),"✔ OK","⚠ 未登録"))</f>
        <v/>
      </c>
      <c r="J1340" s="80" t="str">
        <f aca="false">IF($B1340="","",IF($D1340="","－",IF(ISNUMBER($D1340),IF(AND($D1340&gt;=1,MOD($D1340,1)=0),"－",IF(MOD($D1340,1)&lt;$L$6,"朝",IF(MOD($D1340,1)&lt;$L$7,"昼",IF(MOD($D1340,1)&lt;$L$8,"夕方","夜")))),IF(OR($D1340="朝",$D1340="昼",$D1340="夕方",$D1340="夜"),$D1340,"⚠ 不明"))))</f>
        <v/>
      </c>
    </row>
    <row r="1341" customFormat="false" ht="15" hidden="false" customHeight="false" outlineLevel="0" collapsed="false">
      <c r="A1341" s="75"/>
      <c r="B1341" s="76"/>
      <c r="C1341" s="77"/>
      <c r="D1341" s="78"/>
      <c r="E1341" s="77"/>
      <c r="F1341" s="76"/>
      <c r="G1341" s="76"/>
      <c r="I1341" s="79" t="str">
        <f aca="false">IF($B1341="","",IF(ISNUMBER(MATCH($B1341,日別データ!$B$13:$B$32,0)),"✔ OK","⚠ 未登録"))</f>
        <v/>
      </c>
      <c r="J1341" s="80" t="str">
        <f aca="false">IF($B1341="","",IF($D1341="","－",IF(ISNUMBER($D1341),IF(AND($D1341&gt;=1,MOD($D1341,1)=0),"－",IF(MOD($D1341,1)&lt;$L$6,"朝",IF(MOD($D1341,1)&lt;$L$7,"昼",IF(MOD($D1341,1)&lt;$L$8,"夕方","夜")))),IF(OR($D1341="朝",$D1341="昼",$D1341="夕方",$D1341="夜"),$D1341,"⚠ 不明"))))</f>
        <v/>
      </c>
    </row>
    <row r="1342" customFormat="false" ht="15" hidden="false" customHeight="false" outlineLevel="0" collapsed="false">
      <c r="A1342" s="75"/>
      <c r="B1342" s="76"/>
      <c r="C1342" s="77"/>
      <c r="D1342" s="78"/>
      <c r="E1342" s="77"/>
      <c r="F1342" s="76"/>
      <c r="G1342" s="76"/>
      <c r="I1342" s="79" t="str">
        <f aca="false">IF($B1342="","",IF(ISNUMBER(MATCH($B1342,日別データ!$B$13:$B$32,0)),"✔ OK","⚠ 未登録"))</f>
        <v/>
      </c>
      <c r="J1342" s="80" t="str">
        <f aca="false">IF($B1342="","",IF($D1342="","－",IF(ISNUMBER($D1342),IF(AND($D1342&gt;=1,MOD($D1342,1)=0),"－",IF(MOD($D1342,1)&lt;$L$6,"朝",IF(MOD($D1342,1)&lt;$L$7,"昼",IF(MOD($D1342,1)&lt;$L$8,"夕方","夜")))),IF(OR($D1342="朝",$D1342="昼",$D1342="夕方",$D1342="夜"),$D1342,"⚠ 不明"))))</f>
        <v/>
      </c>
    </row>
    <row r="1343" customFormat="false" ht="15" hidden="false" customHeight="false" outlineLevel="0" collapsed="false">
      <c r="A1343" s="75"/>
      <c r="B1343" s="76"/>
      <c r="C1343" s="77"/>
      <c r="D1343" s="78"/>
      <c r="E1343" s="77"/>
      <c r="F1343" s="76"/>
      <c r="G1343" s="76"/>
      <c r="I1343" s="79" t="str">
        <f aca="false">IF($B1343="","",IF(ISNUMBER(MATCH($B1343,日別データ!$B$13:$B$32,0)),"✔ OK","⚠ 未登録"))</f>
        <v/>
      </c>
      <c r="J1343" s="80" t="str">
        <f aca="false">IF($B1343="","",IF($D1343="","－",IF(ISNUMBER($D1343),IF(AND($D1343&gt;=1,MOD($D1343,1)=0),"－",IF(MOD($D1343,1)&lt;$L$6,"朝",IF(MOD($D1343,1)&lt;$L$7,"昼",IF(MOD($D1343,1)&lt;$L$8,"夕方","夜")))),IF(OR($D1343="朝",$D1343="昼",$D1343="夕方",$D1343="夜"),$D1343,"⚠ 不明"))))</f>
        <v/>
      </c>
    </row>
    <row r="1344" customFormat="false" ht="15" hidden="false" customHeight="false" outlineLevel="0" collapsed="false">
      <c r="A1344" s="75"/>
      <c r="B1344" s="76"/>
      <c r="C1344" s="77"/>
      <c r="D1344" s="78"/>
      <c r="E1344" s="77"/>
      <c r="F1344" s="76"/>
      <c r="G1344" s="76"/>
      <c r="I1344" s="79" t="str">
        <f aca="false">IF($B1344="","",IF(ISNUMBER(MATCH($B1344,日別データ!$B$13:$B$32,0)),"✔ OK","⚠ 未登録"))</f>
        <v/>
      </c>
      <c r="J1344" s="80" t="str">
        <f aca="false">IF($B1344="","",IF($D1344="","－",IF(ISNUMBER($D1344),IF(AND($D1344&gt;=1,MOD($D1344,1)=0),"－",IF(MOD($D1344,1)&lt;$L$6,"朝",IF(MOD($D1344,1)&lt;$L$7,"昼",IF(MOD($D1344,1)&lt;$L$8,"夕方","夜")))),IF(OR($D1344="朝",$D1344="昼",$D1344="夕方",$D1344="夜"),$D1344,"⚠ 不明"))))</f>
        <v/>
      </c>
    </row>
    <row r="1345" customFormat="false" ht="15" hidden="false" customHeight="false" outlineLevel="0" collapsed="false">
      <c r="A1345" s="75"/>
      <c r="B1345" s="76"/>
      <c r="C1345" s="77"/>
      <c r="D1345" s="78"/>
      <c r="E1345" s="77"/>
      <c r="F1345" s="76"/>
      <c r="G1345" s="76"/>
      <c r="I1345" s="79" t="str">
        <f aca="false">IF($B1345="","",IF(ISNUMBER(MATCH($B1345,日別データ!$B$13:$B$32,0)),"✔ OK","⚠ 未登録"))</f>
        <v/>
      </c>
      <c r="J1345" s="80" t="str">
        <f aca="false">IF($B1345="","",IF($D1345="","－",IF(ISNUMBER($D1345),IF(AND($D1345&gt;=1,MOD($D1345,1)=0),"－",IF(MOD($D1345,1)&lt;$L$6,"朝",IF(MOD($D1345,1)&lt;$L$7,"昼",IF(MOD($D1345,1)&lt;$L$8,"夕方","夜")))),IF(OR($D1345="朝",$D1345="昼",$D1345="夕方",$D1345="夜"),$D1345,"⚠ 不明"))))</f>
        <v/>
      </c>
    </row>
    <row r="1346" customFormat="false" ht="15" hidden="false" customHeight="false" outlineLevel="0" collapsed="false">
      <c r="A1346" s="75"/>
      <c r="B1346" s="76"/>
      <c r="C1346" s="77"/>
      <c r="D1346" s="78"/>
      <c r="E1346" s="77"/>
      <c r="F1346" s="76"/>
      <c r="G1346" s="76"/>
      <c r="I1346" s="79" t="str">
        <f aca="false">IF($B1346="","",IF(ISNUMBER(MATCH($B1346,日別データ!$B$13:$B$32,0)),"✔ OK","⚠ 未登録"))</f>
        <v/>
      </c>
      <c r="J1346" s="80" t="str">
        <f aca="false">IF($B1346="","",IF($D1346="","－",IF(ISNUMBER($D1346),IF(AND($D1346&gt;=1,MOD($D1346,1)=0),"－",IF(MOD($D1346,1)&lt;$L$6,"朝",IF(MOD($D1346,1)&lt;$L$7,"昼",IF(MOD($D1346,1)&lt;$L$8,"夕方","夜")))),IF(OR($D1346="朝",$D1346="昼",$D1346="夕方",$D1346="夜"),$D1346,"⚠ 不明"))))</f>
        <v/>
      </c>
    </row>
    <row r="1347" customFormat="false" ht="15" hidden="false" customHeight="false" outlineLevel="0" collapsed="false">
      <c r="A1347" s="75"/>
      <c r="B1347" s="76"/>
      <c r="C1347" s="77"/>
      <c r="D1347" s="78"/>
      <c r="E1347" s="77"/>
      <c r="F1347" s="76"/>
      <c r="G1347" s="76"/>
      <c r="I1347" s="79" t="str">
        <f aca="false">IF($B1347="","",IF(ISNUMBER(MATCH($B1347,日別データ!$B$13:$B$32,0)),"✔ OK","⚠ 未登録"))</f>
        <v/>
      </c>
      <c r="J1347" s="80" t="str">
        <f aca="false">IF($B1347="","",IF($D1347="","－",IF(ISNUMBER($D1347),IF(AND($D1347&gt;=1,MOD($D1347,1)=0),"－",IF(MOD($D1347,1)&lt;$L$6,"朝",IF(MOD($D1347,1)&lt;$L$7,"昼",IF(MOD($D1347,1)&lt;$L$8,"夕方","夜")))),IF(OR($D1347="朝",$D1347="昼",$D1347="夕方",$D1347="夜"),$D1347,"⚠ 不明"))))</f>
        <v/>
      </c>
    </row>
    <row r="1348" customFormat="false" ht="15" hidden="false" customHeight="false" outlineLevel="0" collapsed="false">
      <c r="A1348" s="75"/>
      <c r="B1348" s="76"/>
      <c r="C1348" s="77"/>
      <c r="D1348" s="78"/>
      <c r="E1348" s="77"/>
      <c r="F1348" s="76"/>
      <c r="G1348" s="76"/>
      <c r="I1348" s="79" t="str">
        <f aca="false">IF($B1348="","",IF(ISNUMBER(MATCH($B1348,日別データ!$B$13:$B$32,0)),"✔ OK","⚠ 未登録"))</f>
        <v/>
      </c>
      <c r="J1348" s="80" t="str">
        <f aca="false">IF($B1348="","",IF($D1348="","－",IF(ISNUMBER($D1348),IF(AND($D1348&gt;=1,MOD($D1348,1)=0),"－",IF(MOD($D1348,1)&lt;$L$6,"朝",IF(MOD($D1348,1)&lt;$L$7,"昼",IF(MOD($D1348,1)&lt;$L$8,"夕方","夜")))),IF(OR($D1348="朝",$D1348="昼",$D1348="夕方",$D1348="夜"),$D1348,"⚠ 不明"))))</f>
        <v/>
      </c>
    </row>
    <row r="1349" customFormat="false" ht="15" hidden="false" customHeight="false" outlineLevel="0" collapsed="false">
      <c r="A1349" s="75"/>
      <c r="B1349" s="76"/>
      <c r="C1349" s="77"/>
      <c r="D1349" s="78"/>
      <c r="E1349" s="77"/>
      <c r="F1349" s="76"/>
      <c r="G1349" s="76"/>
      <c r="I1349" s="79" t="str">
        <f aca="false">IF($B1349="","",IF(ISNUMBER(MATCH($B1349,日別データ!$B$13:$B$32,0)),"✔ OK","⚠ 未登録"))</f>
        <v/>
      </c>
      <c r="J1349" s="80" t="str">
        <f aca="false">IF($B1349="","",IF($D1349="","－",IF(ISNUMBER($D1349),IF(AND($D1349&gt;=1,MOD($D1349,1)=0),"－",IF(MOD($D1349,1)&lt;$L$6,"朝",IF(MOD($D1349,1)&lt;$L$7,"昼",IF(MOD($D1349,1)&lt;$L$8,"夕方","夜")))),IF(OR($D1349="朝",$D1349="昼",$D1349="夕方",$D1349="夜"),$D1349,"⚠ 不明"))))</f>
        <v/>
      </c>
    </row>
    <row r="1350" customFormat="false" ht="15" hidden="false" customHeight="false" outlineLevel="0" collapsed="false">
      <c r="A1350" s="75"/>
      <c r="B1350" s="76"/>
      <c r="C1350" s="77"/>
      <c r="D1350" s="78"/>
      <c r="E1350" s="77"/>
      <c r="F1350" s="76"/>
      <c r="G1350" s="76"/>
      <c r="I1350" s="79" t="str">
        <f aca="false">IF($B1350="","",IF(ISNUMBER(MATCH($B1350,日別データ!$B$13:$B$32,0)),"✔ OK","⚠ 未登録"))</f>
        <v/>
      </c>
      <c r="J1350" s="80" t="str">
        <f aca="false">IF($B1350="","",IF($D1350="","－",IF(ISNUMBER($D1350),IF(AND($D1350&gt;=1,MOD($D1350,1)=0),"－",IF(MOD($D1350,1)&lt;$L$6,"朝",IF(MOD($D1350,1)&lt;$L$7,"昼",IF(MOD($D1350,1)&lt;$L$8,"夕方","夜")))),IF(OR($D1350="朝",$D1350="昼",$D1350="夕方",$D1350="夜"),$D1350,"⚠ 不明"))))</f>
        <v/>
      </c>
    </row>
    <row r="1351" customFormat="false" ht="15" hidden="false" customHeight="false" outlineLevel="0" collapsed="false">
      <c r="A1351" s="75"/>
      <c r="B1351" s="76"/>
      <c r="C1351" s="77"/>
      <c r="D1351" s="78"/>
      <c r="E1351" s="77"/>
      <c r="F1351" s="76"/>
      <c r="G1351" s="76"/>
      <c r="I1351" s="79" t="str">
        <f aca="false">IF($B1351="","",IF(ISNUMBER(MATCH($B1351,日別データ!$B$13:$B$32,0)),"✔ OK","⚠ 未登録"))</f>
        <v/>
      </c>
      <c r="J1351" s="80" t="str">
        <f aca="false">IF($B1351="","",IF($D1351="","－",IF(ISNUMBER($D1351),IF(AND($D1351&gt;=1,MOD($D1351,1)=0),"－",IF(MOD($D1351,1)&lt;$L$6,"朝",IF(MOD($D1351,1)&lt;$L$7,"昼",IF(MOD($D1351,1)&lt;$L$8,"夕方","夜")))),IF(OR($D1351="朝",$D1351="昼",$D1351="夕方",$D1351="夜"),$D1351,"⚠ 不明"))))</f>
        <v/>
      </c>
    </row>
    <row r="1352" customFormat="false" ht="15" hidden="false" customHeight="false" outlineLevel="0" collapsed="false">
      <c r="A1352" s="75"/>
      <c r="B1352" s="76"/>
      <c r="C1352" s="77"/>
      <c r="D1352" s="78"/>
      <c r="E1352" s="77"/>
      <c r="F1352" s="76"/>
      <c r="G1352" s="76"/>
      <c r="I1352" s="79" t="str">
        <f aca="false">IF($B1352="","",IF(ISNUMBER(MATCH($B1352,日別データ!$B$13:$B$32,0)),"✔ OK","⚠ 未登録"))</f>
        <v/>
      </c>
      <c r="J1352" s="80" t="str">
        <f aca="false">IF($B1352="","",IF($D1352="","－",IF(ISNUMBER($D1352),IF(AND($D1352&gt;=1,MOD($D1352,1)=0),"－",IF(MOD($D1352,1)&lt;$L$6,"朝",IF(MOD($D1352,1)&lt;$L$7,"昼",IF(MOD($D1352,1)&lt;$L$8,"夕方","夜")))),IF(OR($D1352="朝",$D1352="昼",$D1352="夕方",$D1352="夜"),$D1352,"⚠ 不明"))))</f>
        <v/>
      </c>
    </row>
    <row r="1353" customFormat="false" ht="15" hidden="false" customHeight="false" outlineLevel="0" collapsed="false">
      <c r="A1353" s="75"/>
      <c r="B1353" s="76"/>
      <c r="C1353" s="77"/>
      <c r="D1353" s="78"/>
      <c r="E1353" s="77"/>
      <c r="F1353" s="76"/>
      <c r="G1353" s="76"/>
      <c r="I1353" s="79" t="str">
        <f aca="false">IF($B1353="","",IF(ISNUMBER(MATCH($B1353,日別データ!$B$13:$B$32,0)),"✔ OK","⚠ 未登録"))</f>
        <v/>
      </c>
      <c r="J1353" s="80" t="str">
        <f aca="false">IF($B1353="","",IF($D1353="","－",IF(ISNUMBER($D1353),IF(AND($D1353&gt;=1,MOD($D1353,1)=0),"－",IF(MOD($D1353,1)&lt;$L$6,"朝",IF(MOD($D1353,1)&lt;$L$7,"昼",IF(MOD($D1353,1)&lt;$L$8,"夕方","夜")))),IF(OR($D1353="朝",$D1353="昼",$D1353="夕方",$D1353="夜"),$D1353,"⚠ 不明"))))</f>
        <v/>
      </c>
    </row>
    <row r="1354" customFormat="false" ht="15" hidden="false" customHeight="false" outlineLevel="0" collapsed="false">
      <c r="A1354" s="75"/>
      <c r="B1354" s="76"/>
      <c r="C1354" s="77"/>
      <c r="D1354" s="78"/>
      <c r="E1354" s="77"/>
      <c r="F1354" s="76"/>
      <c r="G1354" s="76"/>
      <c r="I1354" s="79" t="str">
        <f aca="false">IF($B1354="","",IF(ISNUMBER(MATCH($B1354,日別データ!$B$13:$B$32,0)),"✔ OK","⚠ 未登録"))</f>
        <v/>
      </c>
      <c r="J1354" s="80" t="str">
        <f aca="false">IF($B1354="","",IF($D1354="","－",IF(ISNUMBER($D1354),IF(AND($D1354&gt;=1,MOD($D1354,1)=0),"－",IF(MOD($D1354,1)&lt;$L$6,"朝",IF(MOD($D1354,1)&lt;$L$7,"昼",IF(MOD($D1354,1)&lt;$L$8,"夕方","夜")))),IF(OR($D1354="朝",$D1354="昼",$D1354="夕方",$D1354="夜"),$D1354,"⚠ 不明"))))</f>
        <v/>
      </c>
    </row>
    <row r="1355" customFormat="false" ht="15" hidden="false" customHeight="false" outlineLevel="0" collapsed="false">
      <c r="A1355" s="75"/>
      <c r="B1355" s="76"/>
      <c r="C1355" s="77"/>
      <c r="D1355" s="78"/>
      <c r="E1355" s="77"/>
      <c r="F1355" s="76"/>
      <c r="G1355" s="76"/>
      <c r="I1355" s="79" t="str">
        <f aca="false">IF($B1355="","",IF(ISNUMBER(MATCH($B1355,日別データ!$B$13:$B$32,0)),"✔ OK","⚠ 未登録"))</f>
        <v/>
      </c>
      <c r="J1355" s="80" t="str">
        <f aca="false">IF($B1355="","",IF($D1355="","－",IF(ISNUMBER($D1355),IF(AND($D1355&gt;=1,MOD($D1355,1)=0),"－",IF(MOD($D1355,1)&lt;$L$6,"朝",IF(MOD($D1355,1)&lt;$L$7,"昼",IF(MOD($D1355,1)&lt;$L$8,"夕方","夜")))),IF(OR($D1355="朝",$D1355="昼",$D1355="夕方",$D1355="夜"),$D1355,"⚠ 不明"))))</f>
        <v/>
      </c>
    </row>
    <row r="1356" customFormat="false" ht="15" hidden="false" customHeight="false" outlineLevel="0" collapsed="false">
      <c r="A1356" s="75"/>
      <c r="B1356" s="76"/>
      <c r="C1356" s="77"/>
      <c r="D1356" s="78"/>
      <c r="E1356" s="77"/>
      <c r="F1356" s="76"/>
      <c r="G1356" s="76"/>
      <c r="I1356" s="79" t="str">
        <f aca="false">IF($B1356="","",IF(ISNUMBER(MATCH($B1356,日別データ!$B$13:$B$32,0)),"✔ OK","⚠ 未登録"))</f>
        <v/>
      </c>
      <c r="J1356" s="80" t="str">
        <f aca="false">IF($B1356="","",IF($D1356="","－",IF(ISNUMBER($D1356),IF(AND($D1356&gt;=1,MOD($D1356,1)=0),"－",IF(MOD($D1356,1)&lt;$L$6,"朝",IF(MOD($D1356,1)&lt;$L$7,"昼",IF(MOD($D1356,1)&lt;$L$8,"夕方","夜")))),IF(OR($D1356="朝",$D1356="昼",$D1356="夕方",$D1356="夜"),$D1356,"⚠ 不明"))))</f>
        <v/>
      </c>
    </row>
    <row r="1357" customFormat="false" ht="15" hidden="false" customHeight="false" outlineLevel="0" collapsed="false">
      <c r="A1357" s="75"/>
      <c r="B1357" s="76"/>
      <c r="C1357" s="77"/>
      <c r="D1357" s="78"/>
      <c r="E1357" s="77"/>
      <c r="F1357" s="76"/>
      <c r="G1357" s="76"/>
      <c r="I1357" s="79" t="str">
        <f aca="false">IF($B1357="","",IF(ISNUMBER(MATCH($B1357,日別データ!$B$13:$B$32,0)),"✔ OK","⚠ 未登録"))</f>
        <v/>
      </c>
      <c r="J1357" s="80" t="str">
        <f aca="false">IF($B1357="","",IF($D1357="","－",IF(ISNUMBER($D1357),IF(AND($D1357&gt;=1,MOD($D1357,1)=0),"－",IF(MOD($D1357,1)&lt;$L$6,"朝",IF(MOD($D1357,1)&lt;$L$7,"昼",IF(MOD($D1357,1)&lt;$L$8,"夕方","夜")))),IF(OR($D1357="朝",$D1357="昼",$D1357="夕方",$D1357="夜"),$D1357,"⚠ 不明"))))</f>
        <v/>
      </c>
    </row>
    <row r="1358" customFormat="false" ht="15" hidden="false" customHeight="false" outlineLevel="0" collapsed="false">
      <c r="A1358" s="75"/>
      <c r="B1358" s="76"/>
      <c r="C1358" s="77"/>
      <c r="D1358" s="78"/>
      <c r="E1358" s="77"/>
      <c r="F1358" s="76"/>
      <c r="G1358" s="76"/>
      <c r="I1358" s="79" t="str">
        <f aca="false">IF($B1358="","",IF(ISNUMBER(MATCH($B1358,日別データ!$B$13:$B$32,0)),"✔ OK","⚠ 未登録"))</f>
        <v/>
      </c>
      <c r="J1358" s="80" t="str">
        <f aca="false">IF($B1358="","",IF($D1358="","－",IF(ISNUMBER($D1358),IF(AND($D1358&gt;=1,MOD($D1358,1)=0),"－",IF(MOD($D1358,1)&lt;$L$6,"朝",IF(MOD($D1358,1)&lt;$L$7,"昼",IF(MOD($D1358,1)&lt;$L$8,"夕方","夜")))),IF(OR($D1358="朝",$D1358="昼",$D1358="夕方",$D1358="夜"),$D1358,"⚠ 不明"))))</f>
        <v/>
      </c>
    </row>
    <row r="1359" customFormat="false" ht="15" hidden="false" customHeight="false" outlineLevel="0" collapsed="false">
      <c r="A1359" s="75"/>
      <c r="B1359" s="76"/>
      <c r="C1359" s="77"/>
      <c r="D1359" s="78"/>
      <c r="E1359" s="77"/>
      <c r="F1359" s="76"/>
      <c r="G1359" s="76"/>
      <c r="I1359" s="79" t="str">
        <f aca="false">IF($B1359="","",IF(ISNUMBER(MATCH($B1359,日別データ!$B$13:$B$32,0)),"✔ OK","⚠ 未登録"))</f>
        <v/>
      </c>
      <c r="J1359" s="80" t="str">
        <f aca="false">IF($B1359="","",IF($D1359="","－",IF(ISNUMBER($D1359),IF(AND($D1359&gt;=1,MOD($D1359,1)=0),"－",IF(MOD($D1359,1)&lt;$L$6,"朝",IF(MOD($D1359,1)&lt;$L$7,"昼",IF(MOD($D1359,1)&lt;$L$8,"夕方","夜")))),IF(OR($D1359="朝",$D1359="昼",$D1359="夕方",$D1359="夜"),$D1359,"⚠ 不明"))))</f>
        <v/>
      </c>
    </row>
    <row r="1360" customFormat="false" ht="15" hidden="false" customHeight="false" outlineLevel="0" collapsed="false">
      <c r="A1360" s="75"/>
      <c r="B1360" s="76"/>
      <c r="C1360" s="77"/>
      <c r="D1360" s="78"/>
      <c r="E1360" s="77"/>
      <c r="F1360" s="76"/>
      <c r="G1360" s="76"/>
      <c r="I1360" s="79" t="str">
        <f aca="false">IF($B1360="","",IF(ISNUMBER(MATCH($B1360,日別データ!$B$13:$B$32,0)),"✔ OK","⚠ 未登録"))</f>
        <v/>
      </c>
      <c r="J1360" s="80" t="str">
        <f aca="false">IF($B1360="","",IF($D1360="","－",IF(ISNUMBER($D1360),IF(AND($D1360&gt;=1,MOD($D1360,1)=0),"－",IF(MOD($D1360,1)&lt;$L$6,"朝",IF(MOD($D1360,1)&lt;$L$7,"昼",IF(MOD($D1360,1)&lt;$L$8,"夕方","夜")))),IF(OR($D1360="朝",$D1360="昼",$D1360="夕方",$D1360="夜"),$D1360,"⚠ 不明"))))</f>
        <v/>
      </c>
    </row>
    <row r="1361" customFormat="false" ht="15" hidden="false" customHeight="false" outlineLevel="0" collapsed="false">
      <c r="A1361" s="75"/>
      <c r="B1361" s="76"/>
      <c r="C1361" s="77"/>
      <c r="D1361" s="78"/>
      <c r="E1361" s="77"/>
      <c r="F1361" s="76"/>
      <c r="G1361" s="76"/>
      <c r="I1361" s="79" t="str">
        <f aca="false">IF($B1361="","",IF(ISNUMBER(MATCH($B1361,日別データ!$B$13:$B$32,0)),"✔ OK","⚠ 未登録"))</f>
        <v/>
      </c>
      <c r="J1361" s="80" t="str">
        <f aca="false">IF($B1361="","",IF($D1361="","－",IF(ISNUMBER($D1361),IF(AND($D1361&gt;=1,MOD($D1361,1)=0),"－",IF(MOD($D1361,1)&lt;$L$6,"朝",IF(MOD($D1361,1)&lt;$L$7,"昼",IF(MOD($D1361,1)&lt;$L$8,"夕方","夜")))),IF(OR($D1361="朝",$D1361="昼",$D1361="夕方",$D1361="夜"),$D1361,"⚠ 不明"))))</f>
        <v/>
      </c>
    </row>
    <row r="1362" customFormat="false" ht="15" hidden="false" customHeight="false" outlineLevel="0" collapsed="false">
      <c r="A1362" s="75"/>
      <c r="B1362" s="76"/>
      <c r="C1362" s="77"/>
      <c r="D1362" s="78"/>
      <c r="E1362" s="77"/>
      <c r="F1362" s="76"/>
      <c r="G1362" s="76"/>
      <c r="I1362" s="79" t="str">
        <f aca="false">IF($B1362="","",IF(ISNUMBER(MATCH($B1362,日別データ!$B$13:$B$32,0)),"✔ OK","⚠ 未登録"))</f>
        <v/>
      </c>
      <c r="J1362" s="80" t="str">
        <f aca="false">IF($B1362="","",IF($D1362="","－",IF(ISNUMBER($D1362),IF(AND($D1362&gt;=1,MOD($D1362,1)=0),"－",IF(MOD($D1362,1)&lt;$L$6,"朝",IF(MOD($D1362,1)&lt;$L$7,"昼",IF(MOD($D1362,1)&lt;$L$8,"夕方","夜")))),IF(OR($D1362="朝",$D1362="昼",$D1362="夕方",$D1362="夜"),$D1362,"⚠ 不明"))))</f>
        <v/>
      </c>
    </row>
    <row r="1363" customFormat="false" ht="15" hidden="false" customHeight="false" outlineLevel="0" collapsed="false">
      <c r="A1363" s="75"/>
      <c r="B1363" s="76"/>
      <c r="C1363" s="77"/>
      <c r="D1363" s="78"/>
      <c r="E1363" s="77"/>
      <c r="F1363" s="76"/>
      <c r="G1363" s="76"/>
      <c r="I1363" s="79" t="str">
        <f aca="false">IF($B1363="","",IF(ISNUMBER(MATCH($B1363,日別データ!$B$13:$B$32,0)),"✔ OK","⚠ 未登録"))</f>
        <v/>
      </c>
      <c r="J1363" s="80" t="str">
        <f aca="false">IF($B1363="","",IF($D1363="","－",IF(ISNUMBER($D1363),IF(AND($D1363&gt;=1,MOD($D1363,1)=0),"－",IF(MOD($D1363,1)&lt;$L$6,"朝",IF(MOD($D1363,1)&lt;$L$7,"昼",IF(MOD($D1363,1)&lt;$L$8,"夕方","夜")))),IF(OR($D1363="朝",$D1363="昼",$D1363="夕方",$D1363="夜"),$D1363,"⚠ 不明"))))</f>
        <v/>
      </c>
    </row>
    <row r="1364" customFormat="false" ht="15" hidden="false" customHeight="false" outlineLevel="0" collapsed="false">
      <c r="A1364" s="75"/>
      <c r="B1364" s="76"/>
      <c r="C1364" s="77"/>
      <c r="D1364" s="78"/>
      <c r="E1364" s="77"/>
      <c r="F1364" s="76"/>
      <c r="G1364" s="76"/>
      <c r="I1364" s="79" t="str">
        <f aca="false">IF($B1364="","",IF(ISNUMBER(MATCH($B1364,日別データ!$B$13:$B$32,0)),"✔ OK","⚠ 未登録"))</f>
        <v/>
      </c>
      <c r="J1364" s="80" t="str">
        <f aca="false">IF($B1364="","",IF($D1364="","－",IF(ISNUMBER($D1364),IF(AND($D1364&gt;=1,MOD($D1364,1)=0),"－",IF(MOD($D1364,1)&lt;$L$6,"朝",IF(MOD($D1364,1)&lt;$L$7,"昼",IF(MOD($D1364,1)&lt;$L$8,"夕方","夜")))),IF(OR($D1364="朝",$D1364="昼",$D1364="夕方",$D1364="夜"),$D1364,"⚠ 不明"))))</f>
        <v/>
      </c>
    </row>
    <row r="1365" customFormat="false" ht="15" hidden="false" customHeight="false" outlineLevel="0" collapsed="false">
      <c r="A1365" s="75"/>
      <c r="B1365" s="76"/>
      <c r="C1365" s="77"/>
      <c r="D1365" s="78"/>
      <c r="E1365" s="77"/>
      <c r="F1365" s="76"/>
      <c r="G1365" s="76"/>
      <c r="I1365" s="79" t="str">
        <f aca="false">IF($B1365="","",IF(ISNUMBER(MATCH($B1365,日別データ!$B$13:$B$32,0)),"✔ OK","⚠ 未登録"))</f>
        <v/>
      </c>
      <c r="J1365" s="80" t="str">
        <f aca="false">IF($B1365="","",IF($D1365="","－",IF(ISNUMBER($D1365),IF(AND($D1365&gt;=1,MOD($D1365,1)=0),"－",IF(MOD($D1365,1)&lt;$L$6,"朝",IF(MOD($D1365,1)&lt;$L$7,"昼",IF(MOD($D1365,1)&lt;$L$8,"夕方","夜")))),IF(OR($D1365="朝",$D1365="昼",$D1365="夕方",$D1365="夜"),$D1365,"⚠ 不明"))))</f>
        <v/>
      </c>
    </row>
    <row r="1366" customFormat="false" ht="15" hidden="false" customHeight="false" outlineLevel="0" collapsed="false">
      <c r="A1366" s="75"/>
      <c r="B1366" s="76"/>
      <c r="C1366" s="77"/>
      <c r="D1366" s="78"/>
      <c r="E1366" s="77"/>
      <c r="F1366" s="76"/>
      <c r="G1366" s="76"/>
      <c r="I1366" s="79" t="str">
        <f aca="false">IF($B1366="","",IF(ISNUMBER(MATCH($B1366,日別データ!$B$13:$B$32,0)),"✔ OK","⚠ 未登録"))</f>
        <v/>
      </c>
      <c r="J1366" s="80" t="str">
        <f aca="false">IF($B1366="","",IF($D1366="","－",IF(ISNUMBER($D1366),IF(AND($D1366&gt;=1,MOD($D1366,1)=0),"－",IF(MOD($D1366,1)&lt;$L$6,"朝",IF(MOD($D1366,1)&lt;$L$7,"昼",IF(MOD($D1366,1)&lt;$L$8,"夕方","夜")))),IF(OR($D1366="朝",$D1366="昼",$D1366="夕方",$D1366="夜"),$D1366,"⚠ 不明"))))</f>
        <v/>
      </c>
    </row>
    <row r="1367" customFormat="false" ht="15" hidden="false" customHeight="false" outlineLevel="0" collapsed="false">
      <c r="A1367" s="75"/>
      <c r="B1367" s="76"/>
      <c r="C1367" s="77"/>
      <c r="D1367" s="78"/>
      <c r="E1367" s="77"/>
      <c r="F1367" s="76"/>
      <c r="G1367" s="76"/>
      <c r="I1367" s="79" t="str">
        <f aca="false">IF($B1367="","",IF(ISNUMBER(MATCH($B1367,日別データ!$B$13:$B$32,0)),"✔ OK","⚠ 未登録"))</f>
        <v/>
      </c>
      <c r="J1367" s="80" t="str">
        <f aca="false">IF($B1367="","",IF($D1367="","－",IF(ISNUMBER($D1367),IF(AND($D1367&gt;=1,MOD($D1367,1)=0),"－",IF(MOD($D1367,1)&lt;$L$6,"朝",IF(MOD($D1367,1)&lt;$L$7,"昼",IF(MOD($D1367,1)&lt;$L$8,"夕方","夜")))),IF(OR($D1367="朝",$D1367="昼",$D1367="夕方",$D1367="夜"),$D1367,"⚠ 不明"))))</f>
        <v/>
      </c>
    </row>
    <row r="1368" customFormat="false" ht="15" hidden="false" customHeight="false" outlineLevel="0" collapsed="false">
      <c r="A1368" s="75"/>
      <c r="B1368" s="76"/>
      <c r="C1368" s="77"/>
      <c r="D1368" s="78"/>
      <c r="E1368" s="77"/>
      <c r="F1368" s="76"/>
      <c r="G1368" s="76"/>
      <c r="I1368" s="79" t="str">
        <f aca="false">IF($B1368="","",IF(ISNUMBER(MATCH($B1368,日別データ!$B$13:$B$32,0)),"✔ OK","⚠ 未登録"))</f>
        <v/>
      </c>
      <c r="J1368" s="80" t="str">
        <f aca="false">IF($B1368="","",IF($D1368="","－",IF(ISNUMBER($D1368),IF(AND($D1368&gt;=1,MOD($D1368,1)=0),"－",IF(MOD($D1368,1)&lt;$L$6,"朝",IF(MOD($D1368,1)&lt;$L$7,"昼",IF(MOD($D1368,1)&lt;$L$8,"夕方","夜")))),IF(OR($D1368="朝",$D1368="昼",$D1368="夕方",$D1368="夜"),$D1368,"⚠ 不明"))))</f>
        <v/>
      </c>
    </row>
    <row r="1369" customFormat="false" ht="15" hidden="false" customHeight="false" outlineLevel="0" collapsed="false">
      <c r="A1369" s="75"/>
      <c r="B1369" s="76"/>
      <c r="C1369" s="77"/>
      <c r="D1369" s="78"/>
      <c r="E1369" s="77"/>
      <c r="F1369" s="76"/>
      <c r="G1369" s="76"/>
      <c r="I1369" s="79" t="str">
        <f aca="false">IF($B1369="","",IF(ISNUMBER(MATCH($B1369,日別データ!$B$13:$B$32,0)),"✔ OK","⚠ 未登録"))</f>
        <v/>
      </c>
      <c r="J1369" s="80" t="str">
        <f aca="false">IF($B1369="","",IF($D1369="","－",IF(ISNUMBER($D1369),IF(AND($D1369&gt;=1,MOD($D1369,1)=0),"－",IF(MOD($D1369,1)&lt;$L$6,"朝",IF(MOD($D1369,1)&lt;$L$7,"昼",IF(MOD($D1369,1)&lt;$L$8,"夕方","夜")))),IF(OR($D1369="朝",$D1369="昼",$D1369="夕方",$D1369="夜"),$D1369,"⚠ 不明"))))</f>
        <v/>
      </c>
    </row>
    <row r="1370" customFormat="false" ht="15" hidden="false" customHeight="false" outlineLevel="0" collapsed="false">
      <c r="A1370" s="75"/>
      <c r="B1370" s="76"/>
      <c r="C1370" s="77"/>
      <c r="D1370" s="78"/>
      <c r="E1370" s="77"/>
      <c r="F1370" s="76"/>
      <c r="G1370" s="76"/>
      <c r="I1370" s="79" t="str">
        <f aca="false">IF($B1370="","",IF(ISNUMBER(MATCH($B1370,日別データ!$B$13:$B$32,0)),"✔ OK","⚠ 未登録"))</f>
        <v/>
      </c>
      <c r="J1370" s="80" t="str">
        <f aca="false">IF($B1370="","",IF($D1370="","－",IF(ISNUMBER($D1370),IF(AND($D1370&gt;=1,MOD($D1370,1)=0),"－",IF(MOD($D1370,1)&lt;$L$6,"朝",IF(MOD($D1370,1)&lt;$L$7,"昼",IF(MOD($D1370,1)&lt;$L$8,"夕方","夜")))),IF(OR($D1370="朝",$D1370="昼",$D1370="夕方",$D1370="夜"),$D1370,"⚠ 不明"))))</f>
        <v/>
      </c>
    </row>
    <row r="1371" customFormat="false" ht="15" hidden="false" customHeight="false" outlineLevel="0" collapsed="false">
      <c r="A1371" s="75"/>
      <c r="B1371" s="76"/>
      <c r="C1371" s="77"/>
      <c r="D1371" s="78"/>
      <c r="E1371" s="77"/>
      <c r="F1371" s="76"/>
      <c r="G1371" s="76"/>
      <c r="I1371" s="79" t="str">
        <f aca="false">IF($B1371="","",IF(ISNUMBER(MATCH($B1371,日別データ!$B$13:$B$32,0)),"✔ OK","⚠ 未登録"))</f>
        <v/>
      </c>
      <c r="J1371" s="80" t="str">
        <f aca="false">IF($B1371="","",IF($D1371="","－",IF(ISNUMBER($D1371),IF(AND($D1371&gt;=1,MOD($D1371,1)=0),"－",IF(MOD($D1371,1)&lt;$L$6,"朝",IF(MOD($D1371,1)&lt;$L$7,"昼",IF(MOD($D1371,1)&lt;$L$8,"夕方","夜")))),IF(OR($D1371="朝",$D1371="昼",$D1371="夕方",$D1371="夜"),$D1371,"⚠ 不明"))))</f>
        <v/>
      </c>
    </row>
    <row r="1372" customFormat="false" ht="15" hidden="false" customHeight="false" outlineLevel="0" collapsed="false">
      <c r="A1372" s="75"/>
      <c r="B1372" s="76"/>
      <c r="C1372" s="77"/>
      <c r="D1372" s="78"/>
      <c r="E1372" s="77"/>
      <c r="F1372" s="76"/>
      <c r="G1372" s="76"/>
      <c r="I1372" s="79" t="str">
        <f aca="false">IF($B1372="","",IF(ISNUMBER(MATCH($B1372,日別データ!$B$13:$B$32,0)),"✔ OK","⚠ 未登録"))</f>
        <v/>
      </c>
      <c r="J1372" s="80" t="str">
        <f aca="false">IF($B1372="","",IF($D1372="","－",IF(ISNUMBER($D1372),IF(AND($D1372&gt;=1,MOD($D1372,1)=0),"－",IF(MOD($D1372,1)&lt;$L$6,"朝",IF(MOD($D1372,1)&lt;$L$7,"昼",IF(MOD($D1372,1)&lt;$L$8,"夕方","夜")))),IF(OR($D1372="朝",$D1372="昼",$D1372="夕方",$D1372="夜"),$D1372,"⚠ 不明"))))</f>
        <v/>
      </c>
    </row>
    <row r="1373" customFormat="false" ht="15" hidden="false" customHeight="false" outlineLevel="0" collapsed="false">
      <c r="A1373" s="75"/>
      <c r="B1373" s="76"/>
      <c r="C1373" s="77"/>
      <c r="D1373" s="78"/>
      <c r="E1373" s="77"/>
      <c r="F1373" s="76"/>
      <c r="G1373" s="76"/>
      <c r="I1373" s="79" t="str">
        <f aca="false">IF($B1373="","",IF(ISNUMBER(MATCH($B1373,日別データ!$B$13:$B$32,0)),"✔ OK","⚠ 未登録"))</f>
        <v/>
      </c>
      <c r="J1373" s="80" t="str">
        <f aca="false">IF($B1373="","",IF($D1373="","－",IF(ISNUMBER($D1373),IF(AND($D1373&gt;=1,MOD($D1373,1)=0),"－",IF(MOD($D1373,1)&lt;$L$6,"朝",IF(MOD($D1373,1)&lt;$L$7,"昼",IF(MOD($D1373,1)&lt;$L$8,"夕方","夜")))),IF(OR($D1373="朝",$D1373="昼",$D1373="夕方",$D1373="夜"),$D1373,"⚠ 不明"))))</f>
        <v/>
      </c>
    </row>
    <row r="1374" customFormat="false" ht="15" hidden="false" customHeight="false" outlineLevel="0" collapsed="false">
      <c r="A1374" s="75"/>
      <c r="B1374" s="76"/>
      <c r="C1374" s="77"/>
      <c r="D1374" s="78"/>
      <c r="E1374" s="77"/>
      <c r="F1374" s="76"/>
      <c r="G1374" s="76"/>
      <c r="I1374" s="79" t="str">
        <f aca="false">IF($B1374="","",IF(ISNUMBER(MATCH($B1374,日別データ!$B$13:$B$32,0)),"✔ OK","⚠ 未登録"))</f>
        <v/>
      </c>
      <c r="J1374" s="80" t="str">
        <f aca="false">IF($B1374="","",IF($D1374="","－",IF(ISNUMBER($D1374),IF(AND($D1374&gt;=1,MOD($D1374,1)=0),"－",IF(MOD($D1374,1)&lt;$L$6,"朝",IF(MOD($D1374,1)&lt;$L$7,"昼",IF(MOD($D1374,1)&lt;$L$8,"夕方","夜")))),IF(OR($D1374="朝",$D1374="昼",$D1374="夕方",$D1374="夜"),$D1374,"⚠ 不明"))))</f>
        <v/>
      </c>
    </row>
    <row r="1375" customFormat="false" ht="15" hidden="false" customHeight="false" outlineLevel="0" collapsed="false">
      <c r="A1375" s="75"/>
      <c r="B1375" s="76"/>
      <c r="C1375" s="77"/>
      <c r="D1375" s="78"/>
      <c r="E1375" s="77"/>
      <c r="F1375" s="76"/>
      <c r="G1375" s="76"/>
      <c r="I1375" s="79" t="str">
        <f aca="false">IF($B1375="","",IF(ISNUMBER(MATCH($B1375,日別データ!$B$13:$B$32,0)),"✔ OK","⚠ 未登録"))</f>
        <v/>
      </c>
      <c r="J1375" s="80" t="str">
        <f aca="false">IF($B1375="","",IF($D1375="","－",IF(ISNUMBER($D1375),IF(AND($D1375&gt;=1,MOD($D1375,1)=0),"－",IF(MOD($D1375,1)&lt;$L$6,"朝",IF(MOD($D1375,1)&lt;$L$7,"昼",IF(MOD($D1375,1)&lt;$L$8,"夕方","夜")))),IF(OR($D1375="朝",$D1375="昼",$D1375="夕方",$D1375="夜"),$D1375,"⚠ 不明"))))</f>
        <v/>
      </c>
    </row>
    <row r="1376" customFormat="false" ht="15" hidden="false" customHeight="false" outlineLevel="0" collapsed="false">
      <c r="A1376" s="75"/>
      <c r="B1376" s="76"/>
      <c r="C1376" s="77"/>
      <c r="D1376" s="78"/>
      <c r="E1376" s="77"/>
      <c r="F1376" s="76"/>
      <c r="G1376" s="76"/>
      <c r="I1376" s="79" t="str">
        <f aca="false">IF($B1376="","",IF(ISNUMBER(MATCH($B1376,日別データ!$B$13:$B$32,0)),"✔ OK","⚠ 未登録"))</f>
        <v/>
      </c>
      <c r="J1376" s="80" t="str">
        <f aca="false">IF($B1376="","",IF($D1376="","－",IF(ISNUMBER($D1376),IF(AND($D1376&gt;=1,MOD($D1376,1)=0),"－",IF(MOD($D1376,1)&lt;$L$6,"朝",IF(MOD($D1376,1)&lt;$L$7,"昼",IF(MOD($D1376,1)&lt;$L$8,"夕方","夜")))),IF(OR($D1376="朝",$D1376="昼",$D1376="夕方",$D1376="夜"),$D1376,"⚠ 不明"))))</f>
        <v/>
      </c>
    </row>
    <row r="1377" customFormat="false" ht="15" hidden="false" customHeight="false" outlineLevel="0" collapsed="false">
      <c r="A1377" s="75"/>
      <c r="B1377" s="76"/>
      <c r="C1377" s="77"/>
      <c r="D1377" s="78"/>
      <c r="E1377" s="77"/>
      <c r="F1377" s="76"/>
      <c r="G1377" s="76"/>
      <c r="I1377" s="79" t="str">
        <f aca="false">IF($B1377="","",IF(ISNUMBER(MATCH($B1377,日別データ!$B$13:$B$32,0)),"✔ OK","⚠ 未登録"))</f>
        <v/>
      </c>
      <c r="J1377" s="80" t="str">
        <f aca="false">IF($B1377="","",IF($D1377="","－",IF(ISNUMBER($D1377),IF(AND($D1377&gt;=1,MOD($D1377,1)=0),"－",IF(MOD($D1377,1)&lt;$L$6,"朝",IF(MOD($D1377,1)&lt;$L$7,"昼",IF(MOD($D1377,1)&lt;$L$8,"夕方","夜")))),IF(OR($D1377="朝",$D1377="昼",$D1377="夕方",$D1377="夜"),$D1377,"⚠ 不明"))))</f>
        <v/>
      </c>
    </row>
    <row r="1378" customFormat="false" ht="15" hidden="false" customHeight="false" outlineLevel="0" collapsed="false">
      <c r="A1378" s="75"/>
      <c r="B1378" s="76"/>
      <c r="C1378" s="77"/>
      <c r="D1378" s="78"/>
      <c r="E1378" s="77"/>
      <c r="F1378" s="76"/>
      <c r="G1378" s="76"/>
      <c r="I1378" s="79" t="str">
        <f aca="false">IF($B1378="","",IF(ISNUMBER(MATCH($B1378,日別データ!$B$13:$B$32,0)),"✔ OK","⚠ 未登録"))</f>
        <v/>
      </c>
      <c r="J1378" s="80" t="str">
        <f aca="false">IF($B1378="","",IF($D1378="","－",IF(ISNUMBER($D1378),IF(AND($D1378&gt;=1,MOD($D1378,1)=0),"－",IF(MOD($D1378,1)&lt;$L$6,"朝",IF(MOD($D1378,1)&lt;$L$7,"昼",IF(MOD($D1378,1)&lt;$L$8,"夕方","夜")))),IF(OR($D1378="朝",$D1378="昼",$D1378="夕方",$D1378="夜"),$D1378,"⚠ 不明"))))</f>
        <v/>
      </c>
    </row>
    <row r="1379" customFormat="false" ht="15" hidden="false" customHeight="false" outlineLevel="0" collapsed="false">
      <c r="A1379" s="75"/>
      <c r="B1379" s="76"/>
      <c r="C1379" s="77"/>
      <c r="D1379" s="78"/>
      <c r="E1379" s="77"/>
      <c r="F1379" s="76"/>
      <c r="G1379" s="76"/>
      <c r="I1379" s="79" t="str">
        <f aca="false">IF($B1379="","",IF(ISNUMBER(MATCH($B1379,日別データ!$B$13:$B$32,0)),"✔ OK","⚠ 未登録"))</f>
        <v/>
      </c>
      <c r="J1379" s="80" t="str">
        <f aca="false">IF($B1379="","",IF($D1379="","－",IF(ISNUMBER($D1379),IF(AND($D1379&gt;=1,MOD($D1379,1)=0),"－",IF(MOD($D1379,1)&lt;$L$6,"朝",IF(MOD($D1379,1)&lt;$L$7,"昼",IF(MOD($D1379,1)&lt;$L$8,"夕方","夜")))),IF(OR($D1379="朝",$D1379="昼",$D1379="夕方",$D1379="夜"),$D1379,"⚠ 不明"))))</f>
        <v/>
      </c>
    </row>
    <row r="1380" customFormat="false" ht="15" hidden="false" customHeight="false" outlineLevel="0" collapsed="false">
      <c r="A1380" s="75"/>
      <c r="B1380" s="76"/>
      <c r="C1380" s="77"/>
      <c r="D1380" s="78"/>
      <c r="E1380" s="77"/>
      <c r="F1380" s="76"/>
      <c r="G1380" s="76"/>
      <c r="I1380" s="79" t="str">
        <f aca="false">IF($B1380="","",IF(ISNUMBER(MATCH($B1380,日別データ!$B$13:$B$32,0)),"✔ OK","⚠ 未登録"))</f>
        <v/>
      </c>
      <c r="J1380" s="80" t="str">
        <f aca="false">IF($B1380="","",IF($D1380="","－",IF(ISNUMBER($D1380),IF(AND($D1380&gt;=1,MOD($D1380,1)=0),"－",IF(MOD($D1380,1)&lt;$L$6,"朝",IF(MOD($D1380,1)&lt;$L$7,"昼",IF(MOD($D1380,1)&lt;$L$8,"夕方","夜")))),IF(OR($D1380="朝",$D1380="昼",$D1380="夕方",$D1380="夜"),$D1380,"⚠ 不明"))))</f>
        <v/>
      </c>
    </row>
    <row r="1381" customFormat="false" ht="15" hidden="false" customHeight="false" outlineLevel="0" collapsed="false">
      <c r="A1381" s="75"/>
      <c r="B1381" s="76"/>
      <c r="C1381" s="77"/>
      <c r="D1381" s="78"/>
      <c r="E1381" s="77"/>
      <c r="F1381" s="76"/>
      <c r="G1381" s="76"/>
      <c r="I1381" s="79" t="str">
        <f aca="false">IF($B1381="","",IF(ISNUMBER(MATCH($B1381,日別データ!$B$13:$B$32,0)),"✔ OK","⚠ 未登録"))</f>
        <v/>
      </c>
      <c r="J1381" s="80" t="str">
        <f aca="false">IF($B1381="","",IF($D1381="","－",IF(ISNUMBER($D1381),IF(AND($D1381&gt;=1,MOD($D1381,1)=0),"－",IF(MOD($D1381,1)&lt;$L$6,"朝",IF(MOD($D1381,1)&lt;$L$7,"昼",IF(MOD($D1381,1)&lt;$L$8,"夕方","夜")))),IF(OR($D1381="朝",$D1381="昼",$D1381="夕方",$D1381="夜"),$D1381,"⚠ 不明"))))</f>
        <v/>
      </c>
    </row>
    <row r="1382" customFormat="false" ht="15" hidden="false" customHeight="false" outlineLevel="0" collapsed="false">
      <c r="A1382" s="75"/>
      <c r="B1382" s="76"/>
      <c r="C1382" s="77"/>
      <c r="D1382" s="78"/>
      <c r="E1382" s="77"/>
      <c r="F1382" s="76"/>
      <c r="G1382" s="76"/>
      <c r="I1382" s="79" t="str">
        <f aca="false">IF($B1382="","",IF(ISNUMBER(MATCH($B1382,日別データ!$B$13:$B$32,0)),"✔ OK","⚠ 未登録"))</f>
        <v/>
      </c>
      <c r="J1382" s="80" t="str">
        <f aca="false">IF($B1382="","",IF($D1382="","－",IF(ISNUMBER($D1382),IF(AND($D1382&gt;=1,MOD($D1382,1)=0),"－",IF(MOD($D1382,1)&lt;$L$6,"朝",IF(MOD($D1382,1)&lt;$L$7,"昼",IF(MOD($D1382,1)&lt;$L$8,"夕方","夜")))),IF(OR($D1382="朝",$D1382="昼",$D1382="夕方",$D1382="夜"),$D1382,"⚠ 不明"))))</f>
        <v/>
      </c>
    </row>
    <row r="1383" customFormat="false" ht="15" hidden="false" customHeight="false" outlineLevel="0" collapsed="false">
      <c r="A1383" s="75"/>
      <c r="B1383" s="76"/>
      <c r="C1383" s="77"/>
      <c r="D1383" s="78"/>
      <c r="E1383" s="77"/>
      <c r="F1383" s="76"/>
      <c r="G1383" s="76"/>
      <c r="I1383" s="79" t="str">
        <f aca="false">IF($B1383="","",IF(ISNUMBER(MATCH($B1383,日別データ!$B$13:$B$32,0)),"✔ OK","⚠ 未登録"))</f>
        <v/>
      </c>
      <c r="J1383" s="80" t="str">
        <f aca="false">IF($B1383="","",IF($D1383="","－",IF(ISNUMBER($D1383),IF(AND($D1383&gt;=1,MOD($D1383,1)=0),"－",IF(MOD($D1383,1)&lt;$L$6,"朝",IF(MOD($D1383,1)&lt;$L$7,"昼",IF(MOD($D1383,1)&lt;$L$8,"夕方","夜")))),IF(OR($D1383="朝",$D1383="昼",$D1383="夕方",$D1383="夜"),$D1383,"⚠ 不明"))))</f>
        <v/>
      </c>
    </row>
    <row r="1384" customFormat="false" ht="15" hidden="false" customHeight="false" outlineLevel="0" collapsed="false">
      <c r="A1384" s="75"/>
      <c r="B1384" s="76"/>
      <c r="C1384" s="77"/>
      <c r="D1384" s="78"/>
      <c r="E1384" s="77"/>
      <c r="F1384" s="76"/>
      <c r="G1384" s="76"/>
      <c r="I1384" s="79" t="str">
        <f aca="false">IF($B1384="","",IF(ISNUMBER(MATCH($B1384,日別データ!$B$13:$B$32,0)),"✔ OK","⚠ 未登録"))</f>
        <v/>
      </c>
      <c r="J1384" s="80" t="str">
        <f aca="false">IF($B1384="","",IF($D1384="","－",IF(ISNUMBER($D1384),IF(AND($D1384&gt;=1,MOD($D1384,1)=0),"－",IF(MOD($D1384,1)&lt;$L$6,"朝",IF(MOD($D1384,1)&lt;$L$7,"昼",IF(MOD($D1384,1)&lt;$L$8,"夕方","夜")))),IF(OR($D1384="朝",$D1384="昼",$D1384="夕方",$D1384="夜"),$D1384,"⚠ 不明"))))</f>
        <v/>
      </c>
    </row>
    <row r="1385" customFormat="false" ht="15" hidden="false" customHeight="false" outlineLevel="0" collapsed="false">
      <c r="A1385" s="75"/>
      <c r="B1385" s="76"/>
      <c r="C1385" s="77"/>
      <c r="D1385" s="78"/>
      <c r="E1385" s="77"/>
      <c r="F1385" s="76"/>
      <c r="G1385" s="76"/>
      <c r="I1385" s="79" t="str">
        <f aca="false">IF($B1385="","",IF(ISNUMBER(MATCH($B1385,日別データ!$B$13:$B$32,0)),"✔ OK","⚠ 未登録"))</f>
        <v/>
      </c>
      <c r="J1385" s="80" t="str">
        <f aca="false">IF($B1385="","",IF($D1385="","－",IF(ISNUMBER($D1385),IF(AND($D1385&gt;=1,MOD($D1385,1)=0),"－",IF(MOD($D1385,1)&lt;$L$6,"朝",IF(MOD($D1385,1)&lt;$L$7,"昼",IF(MOD($D1385,1)&lt;$L$8,"夕方","夜")))),IF(OR($D1385="朝",$D1385="昼",$D1385="夕方",$D1385="夜"),$D1385,"⚠ 不明"))))</f>
        <v/>
      </c>
    </row>
    <row r="1386" customFormat="false" ht="15" hidden="false" customHeight="false" outlineLevel="0" collapsed="false">
      <c r="A1386" s="75"/>
      <c r="B1386" s="76"/>
      <c r="C1386" s="77"/>
      <c r="D1386" s="78"/>
      <c r="E1386" s="77"/>
      <c r="F1386" s="76"/>
      <c r="G1386" s="76"/>
      <c r="I1386" s="79" t="str">
        <f aca="false">IF($B1386="","",IF(ISNUMBER(MATCH($B1386,日別データ!$B$13:$B$32,0)),"✔ OK","⚠ 未登録"))</f>
        <v/>
      </c>
      <c r="J1386" s="80" t="str">
        <f aca="false">IF($B1386="","",IF($D1386="","－",IF(ISNUMBER($D1386),IF(AND($D1386&gt;=1,MOD($D1386,1)=0),"－",IF(MOD($D1386,1)&lt;$L$6,"朝",IF(MOD($D1386,1)&lt;$L$7,"昼",IF(MOD($D1386,1)&lt;$L$8,"夕方","夜")))),IF(OR($D1386="朝",$D1386="昼",$D1386="夕方",$D1386="夜"),$D1386,"⚠ 不明"))))</f>
        <v/>
      </c>
    </row>
    <row r="1387" customFormat="false" ht="15" hidden="false" customHeight="false" outlineLevel="0" collapsed="false">
      <c r="A1387" s="75"/>
      <c r="B1387" s="76"/>
      <c r="C1387" s="77"/>
      <c r="D1387" s="78"/>
      <c r="E1387" s="77"/>
      <c r="F1387" s="76"/>
      <c r="G1387" s="76"/>
      <c r="I1387" s="79" t="str">
        <f aca="false">IF($B1387="","",IF(ISNUMBER(MATCH($B1387,日別データ!$B$13:$B$32,0)),"✔ OK","⚠ 未登録"))</f>
        <v/>
      </c>
      <c r="J1387" s="80" t="str">
        <f aca="false">IF($B1387="","",IF($D1387="","－",IF(ISNUMBER($D1387),IF(AND($D1387&gt;=1,MOD($D1387,1)=0),"－",IF(MOD($D1387,1)&lt;$L$6,"朝",IF(MOD($D1387,1)&lt;$L$7,"昼",IF(MOD($D1387,1)&lt;$L$8,"夕方","夜")))),IF(OR($D1387="朝",$D1387="昼",$D1387="夕方",$D1387="夜"),$D1387,"⚠ 不明"))))</f>
        <v/>
      </c>
    </row>
    <row r="1388" customFormat="false" ht="15" hidden="false" customHeight="false" outlineLevel="0" collapsed="false">
      <c r="A1388" s="75"/>
      <c r="B1388" s="76"/>
      <c r="C1388" s="77"/>
      <c r="D1388" s="78"/>
      <c r="E1388" s="77"/>
      <c r="F1388" s="76"/>
      <c r="G1388" s="76"/>
      <c r="I1388" s="79" t="str">
        <f aca="false">IF($B1388="","",IF(ISNUMBER(MATCH($B1388,日別データ!$B$13:$B$32,0)),"✔ OK","⚠ 未登録"))</f>
        <v/>
      </c>
      <c r="J1388" s="80" t="str">
        <f aca="false">IF($B1388="","",IF($D1388="","－",IF(ISNUMBER($D1388),IF(AND($D1388&gt;=1,MOD($D1388,1)=0),"－",IF(MOD($D1388,1)&lt;$L$6,"朝",IF(MOD($D1388,1)&lt;$L$7,"昼",IF(MOD($D1388,1)&lt;$L$8,"夕方","夜")))),IF(OR($D1388="朝",$D1388="昼",$D1388="夕方",$D1388="夜"),$D1388,"⚠ 不明"))))</f>
        <v/>
      </c>
    </row>
    <row r="1389" customFormat="false" ht="15" hidden="false" customHeight="false" outlineLevel="0" collapsed="false">
      <c r="A1389" s="75"/>
      <c r="B1389" s="76"/>
      <c r="C1389" s="77"/>
      <c r="D1389" s="78"/>
      <c r="E1389" s="77"/>
      <c r="F1389" s="76"/>
      <c r="G1389" s="76"/>
      <c r="I1389" s="79" t="str">
        <f aca="false">IF($B1389="","",IF(ISNUMBER(MATCH($B1389,日別データ!$B$13:$B$32,0)),"✔ OK","⚠ 未登録"))</f>
        <v/>
      </c>
      <c r="J1389" s="80" t="str">
        <f aca="false">IF($B1389="","",IF($D1389="","－",IF(ISNUMBER($D1389),IF(AND($D1389&gt;=1,MOD($D1389,1)=0),"－",IF(MOD($D1389,1)&lt;$L$6,"朝",IF(MOD($D1389,1)&lt;$L$7,"昼",IF(MOD($D1389,1)&lt;$L$8,"夕方","夜")))),IF(OR($D1389="朝",$D1389="昼",$D1389="夕方",$D1389="夜"),$D1389,"⚠ 不明"))))</f>
        <v/>
      </c>
    </row>
    <row r="1390" customFormat="false" ht="15" hidden="false" customHeight="false" outlineLevel="0" collapsed="false">
      <c r="A1390" s="75"/>
      <c r="B1390" s="76"/>
      <c r="C1390" s="77"/>
      <c r="D1390" s="78"/>
      <c r="E1390" s="77"/>
      <c r="F1390" s="76"/>
      <c r="G1390" s="76"/>
      <c r="I1390" s="79" t="str">
        <f aca="false">IF($B1390="","",IF(ISNUMBER(MATCH($B1390,日別データ!$B$13:$B$32,0)),"✔ OK","⚠ 未登録"))</f>
        <v/>
      </c>
      <c r="J1390" s="80" t="str">
        <f aca="false">IF($B1390="","",IF($D1390="","－",IF(ISNUMBER($D1390),IF(AND($D1390&gt;=1,MOD($D1390,1)=0),"－",IF(MOD($D1390,1)&lt;$L$6,"朝",IF(MOD($D1390,1)&lt;$L$7,"昼",IF(MOD($D1390,1)&lt;$L$8,"夕方","夜")))),IF(OR($D1390="朝",$D1390="昼",$D1390="夕方",$D1390="夜"),$D1390,"⚠ 不明"))))</f>
        <v/>
      </c>
    </row>
    <row r="1391" customFormat="false" ht="15" hidden="false" customHeight="false" outlineLevel="0" collapsed="false">
      <c r="A1391" s="75"/>
      <c r="B1391" s="76"/>
      <c r="C1391" s="77"/>
      <c r="D1391" s="78"/>
      <c r="E1391" s="77"/>
      <c r="F1391" s="76"/>
      <c r="G1391" s="76"/>
      <c r="I1391" s="79" t="str">
        <f aca="false">IF($B1391="","",IF(ISNUMBER(MATCH($B1391,日別データ!$B$13:$B$32,0)),"✔ OK","⚠ 未登録"))</f>
        <v/>
      </c>
      <c r="J1391" s="80" t="str">
        <f aca="false">IF($B1391="","",IF($D1391="","－",IF(ISNUMBER($D1391),IF(AND($D1391&gt;=1,MOD($D1391,1)=0),"－",IF(MOD($D1391,1)&lt;$L$6,"朝",IF(MOD($D1391,1)&lt;$L$7,"昼",IF(MOD($D1391,1)&lt;$L$8,"夕方","夜")))),IF(OR($D1391="朝",$D1391="昼",$D1391="夕方",$D1391="夜"),$D1391,"⚠ 不明"))))</f>
        <v/>
      </c>
    </row>
    <row r="1392" customFormat="false" ht="15" hidden="false" customHeight="false" outlineLevel="0" collapsed="false">
      <c r="A1392" s="75"/>
      <c r="B1392" s="76"/>
      <c r="C1392" s="77"/>
      <c r="D1392" s="78"/>
      <c r="E1392" s="77"/>
      <c r="F1392" s="76"/>
      <c r="G1392" s="76"/>
      <c r="I1392" s="79" t="str">
        <f aca="false">IF($B1392="","",IF(ISNUMBER(MATCH($B1392,日別データ!$B$13:$B$32,0)),"✔ OK","⚠ 未登録"))</f>
        <v/>
      </c>
      <c r="J1392" s="80" t="str">
        <f aca="false">IF($B1392="","",IF($D1392="","－",IF(ISNUMBER($D1392),IF(AND($D1392&gt;=1,MOD($D1392,1)=0),"－",IF(MOD($D1392,1)&lt;$L$6,"朝",IF(MOD($D1392,1)&lt;$L$7,"昼",IF(MOD($D1392,1)&lt;$L$8,"夕方","夜")))),IF(OR($D1392="朝",$D1392="昼",$D1392="夕方",$D1392="夜"),$D1392,"⚠ 不明"))))</f>
        <v/>
      </c>
    </row>
    <row r="1393" customFormat="false" ht="15" hidden="false" customHeight="false" outlineLevel="0" collapsed="false">
      <c r="A1393" s="75"/>
      <c r="B1393" s="76"/>
      <c r="C1393" s="77"/>
      <c r="D1393" s="78"/>
      <c r="E1393" s="77"/>
      <c r="F1393" s="76"/>
      <c r="G1393" s="76"/>
      <c r="I1393" s="79" t="str">
        <f aca="false">IF($B1393="","",IF(ISNUMBER(MATCH($B1393,日別データ!$B$13:$B$32,0)),"✔ OK","⚠ 未登録"))</f>
        <v/>
      </c>
      <c r="J1393" s="80" t="str">
        <f aca="false">IF($B1393="","",IF($D1393="","－",IF(ISNUMBER($D1393),IF(AND($D1393&gt;=1,MOD($D1393,1)=0),"－",IF(MOD($D1393,1)&lt;$L$6,"朝",IF(MOD($D1393,1)&lt;$L$7,"昼",IF(MOD($D1393,1)&lt;$L$8,"夕方","夜")))),IF(OR($D1393="朝",$D1393="昼",$D1393="夕方",$D1393="夜"),$D1393,"⚠ 不明"))))</f>
        <v/>
      </c>
    </row>
    <row r="1394" customFormat="false" ht="15" hidden="false" customHeight="false" outlineLevel="0" collapsed="false">
      <c r="A1394" s="75"/>
      <c r="B1394" s="76"/>
      <c r="C1394" s="77"/>
      <c r="D1394" s="78"/>
      <c r="E1394" s="77"/>
      <c r="F1394" s="76"/>
      <c r="G1394" s="76"/>
      <c r="I1394" s="79" t="str">
        <f aca="false">IF($B1394="","",IF(ISNUMBER(MATCH($B1394,日別データ!$B$13:$B$32,0)),"✔ OK","⚠ 未登録"))</f>
        <v/>
      </c>
      <c r="J1394" s="80" t="str">
        <f aca="false">IF($B1394="","",IF($D1394="","－",IF(ISNUMBER($D1394),IF(AND($D1394&gt;=1,MOD($D1394,1)=0),"－",IF(MOD($D1394,1)&lt;$L$6,"朝",IF(MOD($D1394,1)&lt;$L$7,"昼",IF(MOD($D1394,1)&lt;$L$8,"夕方","夜")))),IF(OR($D1394="朝",$D1394="昼",$D1394="夕方",$D1394="夜"),$D1394,"⚠ 不明"))))</f>
        <v/>
      </c>
    </row>
    <row r="1395" customFormat="false" ht="15" hidden="false" customHeight="false" outlineLevel="0" collapsed="false">
      <c r="A1395" s="75"/>
      <c r="B1395" s="76"/>
      <c r="C1395" s="77"/>
      <c r="D1395" s="78"/>
      <c r="E1395" s="77"/>
      <c r="F1395" s="76"/>
      <c r="G1395" s="76"/>
      <c r="I1395" s="79" t="str">
        <f aca="false">IF($B1395="","",IF(ISNUMBER(MATCH($B1395,日別データ!$B$13:$B$32,0)),"✔ OK","⚠ 未登録"))</f>
        <v/>
      </c>
      <c r="J1395" s="80" t="str">
        <f aca="false">IF($B1395="","",IF($D1395="","－",IF(ISNUMBER($D1395),IF(AND($D1395&gt;=1,MOD($D1395,1)=0),"－",IF(MOD($D1395,1)&lt;$L$6,"朝",IF(MOD($D1395,1)&lt;$L$7,"昼",IF(MOD($D1395,1)&lt;$L$8,"夕方","夜")))),IF(OR($D1395="朝",$D1395="昼",$D1395="夕方",$D1395="夜"),$D1395,"⚠ 不明"))))</f>
        <v/>
      </c>
    </row>
    <row r="1396" customFormat="false" ht="15" hidden="false" customHeight="false" outlineLevel="0" collapsed="false">
      <c r="A1396" s="75"/>
      <c r="B1396" s="76"/>
      <c r="C1396" s="77"/>
      <c r="D1396" s="78"/>
      <c r="E1396" s="77"/>
      <c r="F1396" s="76"/>
      <c r="G1396" s="76"/>
      <c r="I1396" s="79" t="str">
        <f aca="false">IF($B1396="","",IF(ISNUMBER(MATCH($B1396,日別データ!$B$13:$B$32,0)),"✔ OK","⚠ 未登録"))</f>
        <v/>
      </c>
      <c r="J1396" s="80" t="str">
        <f aca="false">IF($B1396="","",IF($D1396="","－",IF(ISNUMBER($D1396),IF(AND($D1396&gt;=1,MOD($D1396,1)=0),"－",IF(MOD($D1396,1)&lt;$L$6,"朝",IF(MOD($D1396,1)&lt;$L$7,"昼",IF(MOD($D1396,1)&lt;$L$8,"夕方","夜")))),IF(OR($D1396="朝",$D1396="昼",$D1396="夕方",$D1396="夜"),$D1396,"⚠ 不明"))))</f>
        <v/>
      </c>
    </row>
    <row r="1397" customFormat="false" ht="15" hidden="false" customHeight="false" outlineLevel="0" collapsed="false">
      <c r="A1397" s="75"/>
      <c r="B1397" s="76"/>
      <c r="C1397" s="77"/>
      <c r="D1397" s="78"/>
      <c r="E1397" s="77"/>
      <c r="F1397" s="76"/>
      <c r="G1397" s="76"/>
      <c r="I1397" s="79" t="str">
        <f aca="false">IF($B1397="","",IF(ISNUMBER(MATCH($B1397,日別データ!$B$13:$B$32,0)),"✔ OK","⚠ 未登録"))</f>
        <v/>
      </c>
      <c r="J1397" s="80" t="str">
        <f aca="false">IF($B1397="","",IF($D1397="","－",IF(ISNUMBER($D1397),IF(AND($D1397&gt;=1,MOD($D1397,1)=0),"－",IF(MOD($D1397,1)&lt;$L$6,"朝",IF(MOD($D1397,1)&lt;$L$7,"昼",IF(MOD($D1397,1)&lt;$L$8,"夕方","夜")))),IF(OR($D1397="朝",$D1397="昼",$D1397="夕方",$D1397="夜"),$D1397,"⚠ 不明"))))</f>
        <v/>
      </c>
    </row>
    <row r="1398" customFormat="false" ht="15" hidden="false" customHeight="false" outlineLevel="0" collapsed="false">
      <c r="A1398" s="75"/>
      <c r="B1398" s="76"/>
      <c r="C1398" s="77"/>
      <c r="D1398" s="78"/>
      <c r="E1398" s="77"/>
      <c r="F1398" s="76"/>
      <c r="G1398" s="76"/>
      <c r="I1398" s="79" t="str">
        <f aca="false">IF($B1398="","",IF(ISNUMBER(MATCH($B1398,日別データ!$B$13:$B$32,0)),"✔ OK","⚠ 未登録"))</f>
        <v/>
      </c>
      <c r="J1398" s="80" t="str">
        <f aca="false">IF($B1398="","",IF($D1398="","－",IF(ISNUMBER($D1398),IF(AND($D1398&gt;=1,MOD($D1398,1)=0),"－",IF(MOD($D1398,1)&lt;$L$6,"朝",IF(MOD($D1398,1)&lt;$L$7,"昼",IF(MOD($D1398,1)&lt;$L$8,"夕方","夜")))),IF(OR($D1398="朝",$D1398="昼",$D1398="夕方",$D1398="夜"),$D1398,"⚠ 不明"))))</f>
        <v/>
      </c>
    </row>
    <row r="1399" customFormat="false" ht="15" hidden="false" customHeight="false" outlineLevel="0" collapsed="false">
      <c r="A1399" s="75"/>
      <c r="B1399" s="76"/>
      <c r="C1399" s="77"/>
      <c r="D1399" s="78"/>
      <c r="E1399" s="77"/>
      <c r="F1399" s="76"/>
      <c r="G1399" s="76"/>
      <c r="I1399" s="79" t="str">
        <f aca="false">IF($B1399="","",IF(ISNUMBER(MATCH($B1399,日別データ!$B$13:$B$32,0)),"✔ OK","⚠ 未登録"))</f>
        <v/>
      </c>
      <c r="J1399" s="80" t="str">
        <f aca="false">IF($B1399="","",IF($D1399="","－",IF(ISNUMBER($D1399),IF(AND($D1399&gt;=1,MOD($D1399,1)=0),"－",IF(MOD($D1399,1)&lt;$L$6,"朝",IF(MOD($D1399,1)&lt;$L$7,"昼",IF(MOD($D1399,1)&lt;$L$8,"夕方","夜")))),IF(OR($D1399="朝",$D1399="昼",$D1399="夕方",$D1399="夜"),$D1399,"⚠ 不明"))))</f>
        <v/>
      </c>
    </row>
    <row r="1400" customFormat="false" ht="15" hidden="false" customHeight="false" outlineLevel="0" collapsed="false">
      <c r="A1400" s="75"/>
      <c r="B1400" s="76"/>
      <c r="C1400" s="77"/>
      <c r="D1400" s="78"/>
      <c r="E1400" s="77"/>
      <c r="F1400" s="76"/>
      <c r="G1400" s="76"/>
      <c r="I1400" s="79" t="str">
        <f aca="false">IF($B1400="","",IF(ISNUMBER(MATCH($B1400,日別データ!$B$13:$B$32,0)),"✔ OK","⚠ 未登録"))</f>
        <v/>
      </c>
      <c r="J1400" s="80" t="str">
        <f aca="false">IF($B1400="","",IF($D1400="","－",IF(ISNUMBER($D1400),IF(AND($D1400&gt;=1,MOD($D1400,1)=0),"－",IF(MOD($D1400,1)&lt;$L$6,"朝",IF(MOD($D1400,1)&lt;$L$7,"昼",IF(MOD($D1400,1)&lt;$L$8,"夕方","夜")))),IF(OR($D1400="朝",$D1400="昼",$D1400="夕方",$D1400="夜"),$D1400,"⚠ 不明"))))</f>
        <v/>
      </c>
    </row>
    <row r="1401" customFormat="false" ht="15" hidden="false" customHeight="false" outlineLevel="0" collapsed="false">
      <c r="A1401" s="75"/>
      <c r="B1401" s="76"/>
      <c r="C1401" s="77"/>
      <c r="D1401" s="78"/>
      <c r="E1401" s="77"/>
      <c r="F1401" s="76"/>
      <c r="G1401" s="76"/>
      <c r="I1401" s="79" t="str">
        <f aca="false">IF($B1401="","",IF(ISNUMBER(MATCH($B1401,日別データ!$B$13:$B$32,0)),"✔ OK","⚠ 未登録"))</f>
        <v/>
      </c>
      <c r="J1401" s="80" t="str">
        <f aca="false">IF($B1401="","",IF($D1401="","－",IF(ISNUMBER($D1401),IF(AND($D1401&gt;=1,MOD($D1401,1)=0),"－",IF(MOD($D1401,1)&lt;$L$6,"朝",IF(MOD($D1401,1)&lt;$L$7,"昼",IF(MOD($D1401,1)&lt;$L$8,"夕方","夜")))),IF(OR($D1401="朝",$D1401="昼",$D1401="夕方",$D1401="夜"),$D1401,"⚠ 不明"))))</f>
        <v/>
      </c>
    </row>
    <row r="1402" customFormat="false" ht="15" hidden="false" customHeight="false" outlineLevel="0" collapsed="false">
      <c r="A1402" s="75"/>
      <c r="B1402" s="76"/>
      <c r="C1402" s="77"/>
      <c r="D1402" s="78"/>
      <c r="E1402" s="77"/>
      <c r="F1402" s="76"/>
      <c r="G1402" s="76"/>
      <c r="I1402" s="79" t="str">
        <f aca="false">IF($B1402="","",IF(ISNUMBER(MATCH($B1402,日別データ!$B$13:$B$32,0)),"✔ OK","⚠ 未登録"))</f>
        <v/>
      </c>
      <c r="J1402" s="80" t="str">
        <f aca="false">IF($B1402="","",IF($D1402="","－",IF(ISNUMBER($D1402),IF(AND($D1402&gt;=1,MOD($D1402,1)=0),"－",IF(MOD($D1402,1)&lt;$L$6,"朝",IF(MOD($D1402,1)&lt;$L$7,"昼",IF(MOD($D1402,1)&lt;$L$8,"夕方","夜")))),IF(OR($D1402="朝",$D1402="昼",$D1402="夕方",$D1402="夜"),$D1402,"⚠ 不明"))))</f>
        <v/>
      </c>
    </row>
    <row r="1403" customFormat="false" ht="15" hidden="false" customHeight="false" outlineLevel="0" collapsed="false">
      <c r="A1403" s="75"/>
      <c r="B1403" s="76"/>
      <c r="C1403" s="77"/>
      <c r="D1403" s="78"/>
      <c r="E1403" s="77"/>
      <c r="F1403" s="76"/>
      <c r="G1403" s="76"/>
      <c r="I1403" s="79" t="str">
        <f aca="false">IF($B1403="","",IF(ISNUMBER(MATCH($B1403,日別データ!$B$13:$B$32,0)),"✔ OK","⚠ 未登録"))</f>
        <v/>
      </c>
      <c r="J1403" s="80" t="str">
        <f aca="false">IF($B1403="","",IF($D1403="","－",IF(ISNUMBER($D1403),IF(AND($D1403&gt;=1,MOD($D1403,1)=0),"－",IF(MOD($D1403,1)&lt;$L$6,"朝",IF(MOD($D1403,1)&lt;$L$7,"昼",IF(MOD($D1403,1)&lt;$L$8,"夕方","夜")))),IF(OR($D1403="朝",$D1403="昼",$D1403="夕方",$D1403="夜"),$D1403,"⚠ 不明"))))</f>
        <v/>
      </c>
    </row>
    <row r="1404" customFormat="false" ht="15" hidden="false" customHeight="false" outlineLevel="0" collapsed="false">
      <c r="A1404" s="75"/>
      <c r="B1404" s="76"/>
      <c r="C1404" s="77"/>
      <c r="D1404" s="78"/>
      <c r="E1404" s="77"/>
      <c r="F1404" s="76"/>
      <c r="G1404" s="76"/>
      <c r="I1404" s="79" t="str">
        <f aca="false">IF($B1404="","",IF(ISNUMBER(MATCH($B1404,日別データ!$B$13:$B$32,0)),"✔ OK","⚠ 未登録"))</f>
        <v/>
      </c>
      <c r="J1404" s="80" t="str">
        <f aca="false">IF($B1404="","",IF($D1404="","－",IF(ISNUMBER($D1404),IF(AND($D1404&gt;=1,MOD($D1404,1)=0),"－",IF(MOD($D1404,1)&lt;$L$6,"朝",IF(MOD($D1404,1)&lt;$L$7,"昼",IF(MOD($D1404,1)&lt;$L$8,"夕方","夜")))),IF(OR($D1404="朝",$D1404="昼",$D1404="夕方",$D1404="夜"),$D1404,"⚠ 不明"))))</f>
        <v/>
      </c>
    </row>
    <row r="1405" customFormat="false" ht="15" hidden="false" customHeight="false" outlineLevel="0" collapsed="false">
      <c r="A1405" s="75"/>
      <c r="B1405" s="76"/>
      <c r="C1405" s="77"/>
      <c r="D1405" s="78"/>
      <c r="E1405" s="77"/>
      <c r="F1405" s="76"/>
      <c r="G1405" s="76"/>
      <c r="I1405" s="79" t="str">
        <f aca="false">IF($B1405="","",IF(ISNUMBER(MATCH($B1405,日別データ!$B$13:$B$32,0)),"✔ OK","⚠ 未登録"))</f>
        <v/>
      </c>
      <c r="J1405" s="80" t="str">
        <f aca="false">IF($B1405="","",IF($D1405="","－",IF(ISNUMBER($D1405),IF(AND($D1405&gt;=1,MOD($D1405,1)=0),"－",IF(MOD($D1405,1)&lt;$L$6,"朝",IF(MOD($D1405,1)&lt;$L$7,"昼",IF(MOD($D1405,1)&lt;$L$8,"夕方","夜")))),IF(OR($D1405="朝",$D1405="昼",$D1405="夕方",$D1405="夜"),$D1405,"⚠ 不明"))))</f>
        <v/>
      </c>
    </row>
    <row r="1406" customFormat="false" ht="15" hidden="false" customHeight="false" outlineLevel="0" collapsed="false">
      <c r="A1406" s="75"/>
      <c r="B1406" s="76"/>
      <c r="C1406" s="77"/>
      <c r="D1406" s="78"/>
      <c r="E1406" s="77"/>
      <c r="F1406" s="76"/>
      <c r="G1406" s="76"/>
      <c r="I1406" s="79" t="str">
        <f aca="false">IF($B1406="","",IF(ISNUMBER(MATCH($B1406,日別データ!$B$13:$B$32,0)),"✔ OK","⚠ 未登録"))</f>
        <v/>
      </c>
      <c r="J1406" s="80" t="str">
        <f aca="false">IF($B1406="","",IF($D1406="","－",IF(ISNUMBER($D1406),IF(AND($D1406&gt;=1,MOD($D1406,1)=0),"－",IF(MOD($D1406,1)&lt;$L$6,"朝",IF(MOD($D1406,1)&lt;$L$7,"昼",IF(MOD($D1406,1)&lt;$L$8,"夕方","夜")))),IF(OR($D1406="朝",$D1406="昼",$D1406="夕方",$D1406="夜"),$D1406,"⚠ 不明"))))</f>
        <v/>
      </c>
    </row>
    <row r="1407" customFormat="false" ht="15" hidden="false" customHeight="false" outlineLevel="0" collapsed="false">
      <c r="A1407" s="75"/>
      <c r="B1407" s="76"/>
      <c r="C1407" s="77"/>
      <c r="D1407" s="78"/>
      <c r="E1407" s="77"/>
      <c r="F1407" s="76"/>
      <c r="G1407" s="76"/>
      <c r="I1407" s="79" t="str">
        <f aca="false">IF($B1407="","",IF(ISNUMBER(MATCH($B1407,日別データ!$B$13:$B$32,0)),"✔ OK","⚠ 未登録"))</f>
        <v/>
      </c>
      <c r="J1407" s="80" t="str">
        <f aca="false">IF($B1407="","",IF($D1407="","－",IF(ISNUMBER($D1407),IF(AND($D1407&gt;=1,MOD($D1407,1)=0),"－",IF(MOD($D1407,1)&lt;$L$6,"朝",IF(MOD($D1407,1)&lt;$L$7,"昼",IF(MOD($D1407,1)&lt;$L$8,"夕方","夜")))),IF(OR($D1407="朝",$D1407="昼",$D1407="夕方",$D1407="夜"),$D1407,"⚠ 不明"))))</f>
        <v/>
      </c>
    </row>
    <row r="1408" customFormat="false" ht="15" hidden="false" customHeight="false" outlineLevel="0" collapsed="false">
      <c r="A1408" s="75"/>
      <c r="B1408" s="76"/>
      <c r="C1408" s="77"/>
      <c r="D1408" s="78"/>
      <c r="E1408" s="77"/>
      <c r="F1408" s="76"/>
      <c r="G1408" s="76"/>
      <c r="I1408" s="79" t="str">
        <f aca="false">IF($B1408="","",IF(ISNUMBER(MATCH($B1408,日別データ!$B$13:$B$32,0)),"✔ OK","⚠ 未登録"))</f>
        <v/>
      </c>
      <c r="J1408" s="80" t="str">
        <f aca="false">IF($B1408="","",IF($D1408="","－",IF(ISNUMBER($D1408),IF(AND($D1408&gt;=1,MOD($D1408,1)=0),"－",IF(MOD($D1408,1)&lt;$L$6,"朝",IF(MOD($D1408,1)&lt;$L$7,"昼",IF(MOD($D1408,1)&lt;$L$8,"夕方","夜")))),IF(OR($D1408="朝",$D1408="昼",$D1408="夕方",$D1408="夜"),$D1408,"⚠ 不明"))))</f>
        <v/>
      </c>
    </row>
    <row r="1409" customFormat="false" ht="15" hidden="false" customHeight="false" outlineLevel="0" collapsed="false">
      <c r="A1409" s="75"/>
      <c r="B1409" s="76"/>
      <c r="C1409" s="77"/>
      <c r="D1409" s="78"/>
      <c r="E1409" s="77"/>
      <c r="F1409" s="76"/>
      <c r="G1409" s="76"/>
      <c r="I1409" s="79" t="str">
        <f aca="false">IF($B1409="","",IF(ISNUMBER(MATCH($B1409,日別データ!$B$13:$B$32,0)),"✔ OK","⚠ 未登録"))</f>
        <v/>
      </c>
      <c r="J1409" s="80" t="str">
        <f aca="false">IF($B1409="","",IF($D1409="","－",IF(ISNUMBER($D1409),IF(AND($D1409&gt;=1,MOD($D1409,1)=0),"－",IF(MOD($D1409,1)&lt;$L$6,"朝",IF(MOD($D1409,1)&lt;$L$7,"昼",IF(MOD($D1409,1)&lt;$L$8,"夕方","夜")))),IF(OR($D1409="朝",$D1409="昼",$D1409="夕方",$D1409="夜"),$D1409,"⚠ 不明"))))</f>
        <v/>
      </c>
    </row>
    <row r="1410" customFormat="false" ht="15" hidden="false" customHeight="false" outlineLevel="0" collapsed="false">
      <c r="A1410" s="75"/>
      <c r="B1410" s="76"/>
      <c r="C1410" s="77"/>
      <c r="D1410" s="78"/>
      <c r="E1410" s="77"/>
      <c r="F1410" s="76"/>
      <c r="G1410" s="76"/>
      <c r="I1410" s="79" t="str">
        <f aca="false">IF($B1410="","",IF(ISNUMBER(MATCH($B1410,日別データ!$B$13:$B$32,0)),"✔ OK","⚠ 未登録"))</f>
        <v/>
      </c>
      <c r="J1410" s="80" t="str">
        <f aca="false">IF($B1410="","",IF($D1410="","－",IF(ISNUMBER($D1410),IF(AND($D1410&gt;=1,MOD($D1410,1)=0),"－",IF(MOD($D1410,1)&lt;$L$6,"朝",IF(MOD($D1410,1)&lt;$L$7,"昼",IF(MOD($D1410,1)&lt;$L$8,"夕方","夜")))),IF(OR($D1410="朝",$D1410="昼",$D1410="夕方",$D1410="夜"),$D1410,"⚠ 不明"))))</f>
        <v/>
      </c>
    </row>
    <row r="1411" customFormat="false" ht="15" hidden="false" customHeight="false" outlineLevel="0" collapsed="false">
      <c r="A1411" s="75"/>
      <c r="B1411" s="76"/>
      <c r="C1411" s="77"/>
      <c r="D1411" s="78"/>
      <c r="E1411" s="77"/>
      <c r="F1411" s="76"/>
      <c r="G1411" s="76"/>
      <c r="I1411" s="79" t="str">
        <f aca="false">IF($B1411="","",IF(ISNUMBER(MATCH($B1411,日別データ!$B$13:$B$32,0)),"✔ OK","⚠ 未登録"))</f>
        <v/>
      </c>
      <c r="J1411" s="80" t="str">
        <f aca="false">IF($B1411="","",IF($D1411="","－",IF(ISNUMBER($D1411),IF(AND($D1411&gt;=1,MOD($D1411,1)=0),"－",IF(MOD($D1411,1)&lt;$L$6,"朝",IF(MOD($D1411,1)&lt;$L$7,"昼",IF(MOD($D1411,1)&lt;$L$8,"夕方","夜")))),IF(OR($D1411="朝",$D1411="昼",$D1411="夕方",$D1411="夜"),$D1411,"⚠ 不明"))))</f>
        <v/>
      </c>
    </row>
    <row r="1412" customFormat="false" ht="15" hidden="false" customHeight="false" outlineLevel="0" collapsed="false">
      <c r="A1412" s="75"/>
      <c r="B1412" s="76"/>
      <c r="C1412" s="77"/>
      <c r="D1412" s="78"/>
      <c r="E1412" s="77"/>
      <c r="F1412" s="76"/>
      <c r="G1412" s="76"/>
      <c r="I1412" s="79" t="str">
        <f aca="false">IF($B1412="","",IF(ISNUMBER(MATCH($B1412,日別データ!$B$13:$B$32,0)),"✔ OK","⚠ 未登録"))</f>
        <v/>
      </c>
      <c r="J1412" s="80" t="str">
        <f aca="false">IF($B1412="","",IF($D1412="","－",IF(ISNUMBER($D1412),IF(AND($D1412&gt;=1,MOD($D1412,1)=0),"－",IF(MOD($D1412,1)&lt;$L$6,"朝",IF(MOD($D1412,1)&lt;$L$7,"昼",IF(MOD($D1412,1)&lt;$L$8,"夕方","夜")))),IF(OR($D1412="朝",$D1412="昼",$D1412="夕方",$D1412="夜"),$D1412,"⚠ 不明"))))</f>
        <v/>
      </c>
    </row>
    <row r="1413" customFormat="false" ht="15" hidden="false" customHeight="false" outlineLevel="0" collapsed="false">
      <c r="A1413" s="75"/>
      <c r="B1413" s="76"/>
      <c r="C1413" s="77"/>
      <c r="D1413" s="78"/>
      <c r="E1413" s="77"/>
      <c r="F1413" s="76"/>
      <c r="G1413" s="76"/>
      <c r="I1413" s="79" t="str">
        <f aca="false">IF($B1413="","",IF(ISNUMBER(MATCH($B1413,日別データ!$B$13:$B$32,0)),"✔ OK","⚠ 未登録"))</f>
        <v/>
      </c>
      <c r="J1413" s="80" t="str">
        <f aca="false">IF($B1413="","",IF($D1413="","－",IF(ISNUMBER($D1413),IF(AND($D1413&gt;=1,MOD($D1413,1)=0),"－",IF(MOD($D1413,1)&lt;$L$6,"朝",IF(MOD($D1413,1)&lt;$L$7,"昼",IF(MOD($D1413,1)&lt;$L$8,"夕方","夜")))),IF(OR($D1413="朝",$D1413="昼",$D1413="夕方",$D1413="夜"),$D1413,"⚠ 不明"))))</f>
        <v/>
      </c>
    </row>
    <row r="1414" customFormat="false" ht="15" hidden="false" customHeight="false" outlineLevel="0" collapsed="false">
      <c r="A1414" s="75"/>
      <c r="B1414" s="76"/>
      <c r="C1414" s="77"/>
      <c r="D1414" s="78"/>
      <c r="E1414" s="77"/>
      <c r="F1414" s="76"/>
      <c r="G1414" s="76"/>
      <c r="I1414" s="79" t="str">
        <f aca="false">IF($B1414="","",IF(ISNUMBER(MATCH($B1414,日別データ!$B$13:$B$32,0)),"✔ OK","⚠ 未登録"))</f>
        <v/>
      </c>
      <c r="J1414" s="80" t="str">
        <f aca="false">IF($B1414="","",IF($D1414="","－",IF(ISNUMBER($D1414),IF(AND($D1414&gt;=1,MOD($D1414,1)=0),"－",IF(MOD($D1414,1)&lt;$L$6,"朝",IF(MOD($D1414,1)&lt;$L$7,"昼",IF(MOD($D1414,1)&lt;$L$8,"夕方","夜")))),IF(OR($D1414="朝",$D1414="昼",$D1414="夕方",$D1414="夜"),$D1414,"⚠ 不明"))))</f>
        <v/>
      </c>
    </row>
    <row r="1415" customFormat="false" ht="15" hidden="false" customHeight="false" outlineLevel="0" collapsed="false">
      <c r="A1415" s="75"/>
      <c r="B1415" s="76"/>
      <c r="C1415" s="77"/>
      <c r="D1415" s="78"/>
      <c r="E1415" s="77"/>
      <c r="F1415" s="76"/>
      <c r="G1415" s="76"/>
      <c r="I1415" s="79" t="str">
        <f aca="false">IF($B1415="","",IF(ISNUMBER(MATCH($B1415,日別データ!$B$13:$B$32,0)),"✔ OK","⚠ 未登録"))</f>
        <v/>
      </c>
      <c r="J1415" s="80" t="str">
        <f aca="false">IF($B1415="","",IF($D1415="","－",IF(ISNUMBER($D1415),IF(AND($D1415&gt;=1,MOD($D1415,1)=0),"－",IF(MOD($D1415,1)&lt;$L$6,"朝",IF(MOD($D1415,1)&lt;$L$7,"昼",IF(MOD($D1415,1)&lt;$L$8,"夕方","夜")))),IF(OR($D1415="朝",$D1415="昼",$D1415="夕方",$D1415="夜"),$D1415,"⚠ 不明"))))</f>
        <v/>
      </c>
    </row>
    <row r="1416" customFormat="false" ht="15" hidden="false" customHeight="false" outlineLevel="0" collapsed="false">
      <c r="A1416" s="75"/>
      <c r="B1416" s="76"/>
      <c r="C1416" s="77"/>
      <c r="D1416" s="78"/>
      <c r="E1416" s="77"/>
      <c r="F1416" s="76"/>
      <c r="G1416" s="76"/>
      <c r="I1416" s="79" t="str">
        <f aca="false">IF($B1416="","",IF(ISNUMBER(MATCH($B1416,日別データ!$B$13:$B$32,0)),"✔ OK","⚠ 未登録"))</f>
        <v/>
      </c>
      <c r="J1416" s="80" t="str">
        <f aca="false">IF($B1416="","",IF($D1416="","－",IF(ISNUMBER($D1416),IF(AND($D1416&gt;=1,MOD($D1416,1)=0),"－",IF(MOD($D1416,1)&lt;$L$6,"朝",IF(MOD($D1416,1)&lt;$L$7,"昼",IF(MOD($D1416,1)&lt;$L$8,"夕方","夜")))),IF(OR($D1416="朝",$D1416="昼",$D1416="夕方",$D1416="夜"),$D1416,"⚠ 不明"))))</f>
        <v/>
      </c>
    </row>
    <row r="1417" customFormat="false" ht="15" hidden="false" customHeight="false" outlineLevel="0" collapsed="false">
      <c r="A1417" s="75"/>
      <c r="B1417" s="76"/>
      <c r="C1417" s="77"/>
      <c r="D1417" s="78"/>
      <c r="E1417" s="77"/>
      <c r="F1417" s="76"/>
      <c r="G1417" s="76"/>
      <c r="I1417" s="79" t="str">
        <f aca="false">IF($B1417="","",IF(ISNUMBER(MATCH($B1417,日別データ!$B$13:$B$32,0)),"✔ OK","⚠ 未登録"))</f>
        <v/>
      </c>
      <c r="J1417" s="80" t="str">
        <f aca="false">IF($B1417="","",IF($D1417="","－",IF(ISNUMBER($D1417),IF(AND($D1417&gt;=1,MOD($D1417,1)=0),"－",IF(MOD($D1417,1)&lt;$L$6,"朝",IF(MOD($D1417,1)&lt;$L$7,"昼",IF(MOD($D1417,1)&lt;$L$8,"夕方","夜")))),IF(OR($D1417="朝",$D1417="昼",$D1417="夕方",$D1417="夜"),$D1417,"⚠ 不明"))))</f>
        <v/>
      </c>
    </row>
    <row r="1418" customFormat="false" ht="15" hidden="false" customHeight="false" outlineLevel="0" collapsed="false">
      <c r="A1418" s="75"/>
      <c r="B1418" s="76"/>
      <c r="C1418" s="77"/>
      <c r="D1418" s="78"/>
      <c r="E1418" s="77"/>
      <c r="F1418" s="76"/>
      <c r="G1418" s="76"/>
      <c r="I1418" s="79" t="str">
        <f aca="false">IF($B1418="","",IF(ISNUMBER(MATCH($B1418,日別データ!$B$13:$B$32,0)),"✔ OK","⚠ 未登録"))</f>
        <v/>
      </c>
      <c r="J1418" s="80" t="str">
        <f aca="false">IF($B1418="","",IF($D1418="","－",IF(ISNUMBER($D1418),IF(AND($D1418&gt;=1,MOD($D1418,1)=0),"－",IF(MOD($D1418,1)&lt;$L$6,"朝",IF(MOD($D1418,1)&lt;$L$7,"昼",IF(MOD($D1418,1)&lt;$L$8,"夕方","夜")))),IF(OR($D1418="朝",$D1418="昼",$D1418="夕方",$D1418="夜"),$D1418,"⚠ 不明"))))</f>
        <v/>
      </c>
    </row>
    <row r="1419" customFormat="false" ht="15" hidden="false" customHeight="false" outlineLevel="0" collapsed="false">
      <c r="A1419" s="75"/>
      <c r="B1419" s="76"/>
      <c r="C1419" s="77"/>
      <c r="D1419" s="78"/>
      <c r="E1419" s="77"/>
      <c r="F1419" s="76"/>
      <c r="G1419" s="76"/>
      <c r="I1419" s="79" t="str">
        <f aca="false">IF($B1419="","",IF(ISNUMBER(MATCH($B1419,日別データ!$B$13:$B$32,0)),"✔ OK","⚠ 未登録"))</f>
        <v/>
      </c>
      <c r="J1419" s="80" t="str">
        <f aca="false">IF($B1419="","",IF($D1419="","－",IF(ISNUMBER($D1419),IF(AND($D1419&gt;=1,MOD($D1419,1)=0),"－",IF(MOD($D1419,1)&lt;$L$6,"朝",IF(MOD($D1419,1)&lt;$L$7,"昼",IF(MOD($D1419,1)&lt;$L$8,"夕方","夜")))),IF(OR($D1419="朝",$D1419="昼",$D1419="夕方",$D1419="夜"),$D1419,"⚠ 不明"))))</f>
        <v/>
      </c>
    </row>
    <row r="1420" customFormat="false" ht="15" hidden="false" customHeight="false" outlineLevel="0" collapsed="false">
      <c r="A1420" s="75"/>
      <c r="B1420" s="76"/>
      <c r="C1420" s="77"/>
      <c r="D1420" s="78"/>
      <c r="E1420" s="77"/>
      <c r="F1420" s="76"/>
      <c r="G1420" s="76"/>
      <c r="I1420" s="79" t="str">
        <f aca="false">IF($B1420="","",IF(ISNUMBER(MATCH($B1420,日別データ!$B$13:$B$32,0)),"✔ OK","⚠ 未登録"))</f>
        <v/>
      </c>
      <c r="J1420" s="80" t="str">
        <f aca="false">IF($B1420="","",IF($D1420="","－",IF(ISNUMBER($D1420),IF(AND($D1420&gt;=1,MOD($D1420,1)=0),"－",IF(MOD($D1420,1)&lt;$L$6,"朝",IF(MOD($D1420,1)&lt;$L$7,"昼",IF(MOD($D1420,1)&lt;$L$8,"夕方","夜")))),IF(OR($D1420="朝",$D1420="昼",$D1420="夕方",$D1420="夜"),$D1420,"⚠ 不明"))))</f>
        <v/>
      </c>
    </row>
    <row r="1421" customFormat="false" ht="15" hidden="false" customHeight="false" outlineLevel="0" collapsed="false">
      <c r="A1421" s="75"/>
      <c r="B1421" s="76"/>
      <c r="C1421" s="77"/>
      <c r="D1421" s="78"/>
      <c r="E1421" s="77"/>
      <c r="F1421" s="76"/>
      <c r="G1421" s="76"/>
      <c r="I1421" s="79" t="str">
        <f aca="false">IF($B1421="","",IF(ISNUMBER(MATCH($B1421,日別データ!$B$13:$B$32,0)),"✔ OK","⚠ 未登録"))</f>
        <v/>
      </c>
      <c r="J1421" s="80" t="str">
        <f aca="false">IF($B1421="","",IF($D1421="","－",IF(ISNUMBER($D1421),IF(AND($D1421&gt;=1,MOD($D1421,1)=0),"－",IF(MOD($D1421,1)&lt;$L$6,"朝",IF(MOD($D1421,1)&lt;$L$7,"昼",IF(MOD($D1421,1)&lt;$L$8,"夕方","夜")))),IF(OR($D1421="朝",$D1421="昼",$D1421="夕方",$D1421="夜"),$D1421,"⚠ 不明"))))</f>
        <v/>
      </c>
    </row>
    <row r="1422" customFormat="false" ht="15" hidden="false" customHeight="false" outlineLevel="0" collapsed="false">
      <c r="A1422" s="75"/>
      <c r="B1422" s="76"/>
      <c r="C1422" s="77"/>
      <c r="D1422" s="78"/>
      <c r="E1422" s="77"/>
      <c r="F1422" s="76"/>
      <c r="G1422" s="76"/>
      <c r="I1422" s="79" t="str">
        <f aca="false">IF($B1422="","",IF(ISNUMBER(MATCH($B1422,日別データ!$B$13:$B$32,0)),"✔ OK","⚠ 未登録"))</f>
        <v/>
      </c>
      <c r="J1422" s="80" t="str">
        <f aca="false">IF($B1422="","",IF($D1422="","－",IF(ISNUMBER($D1422),IF(AND($D1422&gt;=1,MOD($D1422,1)=0),"－",IF(MOD($D1422,1)&lt;$L$6,"朝",IF(MOD($D1422,1)&lt;$L$7,"昼",IF(MOD($D1422,1)&lt;$L$8,"夕方","夜")))),IF(OR($D1422="朝",$D1422="昼",$D1422="夕方",$D1422="夜"),$D1422,"⚠ 不明"))))</f>
        <v/>
      </c>
    </row>
    <row r="1423" customFormat="false" ht="15" hidden="false" customHeight="false" outlineLevel="0" collapsed="false">
      <c r="A1423" s="75"/>
      <c r="B1423" s="76"/>
      <c r="C1423" s="77"/>
      <c r="D1423" s="78"/>
      <c r="E1423" s="77"/>
      <c r="F1423" s="76"/>
      <c r="G1423" s="76"/>
      <c r="I1423" s="79" t="str">
        <f aca="false">IF($B1423="","",IF(ISNUMBER(MATCH($B1423,日別データ!$B$13:$B$32,0)),"✔ OK","⚠ 未登録"))</f>
        <v/>
      </c>
      <c r="J1423" s="80" t="str">
        <f aca="false">IF($B1423="","",IF($D1423="","－",IF(ISNUMBER($D1423),IF(AND($D1423&gt;=1,MOD($D1423,1)=0),"－",IF(MOD($D1423,1)&lt;$L$6,"朝",IF(MOD($D1423,1)&lt;$L$7,"昼",IF(MOD($D1423,1)&lt;$L$8,"夕方","夜")))),IF(OR($D1423="朝",$D1423="昼",$D1423="夕方",$D1423="夜"),$D1423,"⚠ 不明"))))</f>
        <v/>
      </c>
    </row>
    <row r="1424" customFormat="false" ht="15" hidden="false" customHeight="false" outlineLevel="0" collapsed="false">
      <c r="A1424" s="75"/>
      <c r="B1424" s="76"/>
      <c r="C1424" s="77"/>
      <c r="D1424" s="78"/>
      <c r="E1424" s="77"/>
      <c r="F1424" s="76"/>
      <c r="G1424" s="76"/>
      <c r="I1424" s="79" t="str">
        <f aca="false">IF($B1424="","",IF(ISNUMBER(MATCH($B1424,日別データ!$B$13:$B$32,0)),"✔ OK","⚠ 未登録"))</f>
        <v/>
      </c>
      <c r="J1424" s="80" t="str">
        <f aca="false">IF($B1424="","",IF($D1424="","－",IF(ISNUMBER($D1424),IF(AND($D1424&gt;=1,MOD($D1424,1)=0),"－",IF(MOD($D1424,1)&lt;$L$6,"朝",IF(MOD($D1424,1)&lt;$L$7,"昼",IF(MOD($D1424,1)&lt;$L$8,"夕方","夜")))),IF(OR($D1424="朝",$D1424="昼",$D1424="夕方",$D1424="夜"),$D1424,"⚠ 不明"))))</f>
        <v/>
      </c>
    </row>
    <row r="1425" customFormat="false" ht="15" hidden="false" customHeight="false" outlineLevel="0" collapsed="false">
      <c r="A1425" s="75"/>
      <c r="B1425" s="76"/>
      <c r="C1425" s="77"/>
      <c r="D1425" s="78"/>
      <c r="E1425" s="77"/>
      <c r="F1425" s="76"/>
      <c r="G1425" s="76"/>
      <c r="I1425" s="79" t="str">
        <f aca="false">IF($B1425="","",IF(ISNUMBER(MATCH($B1425,日別データ!$B$13:$B$32,0)),"✔ OK","⚠ 未登録"))</f>
        <v/>
      </c>
      <c r="J1425" s="80" t="str">
        <f aca="false">IF($B1425="","",IF($D1425="","－",IF(ISNUMBER($D1425),IF(AND($D1425&gt;=1,MOD($D1425,1)=0),"－",IF(MOD($D1425,1)&lt;$L$6,"朝",IF(MOD($D1425,1)&lt;$L$7,"昼",IF(MOD($D1425,1)&lt;$L$8,"夕方","夜")))),IF(OR($D1425="朝",$D1425="昼",$D1425="夕方",$D1425="夜"),$D1425,"⚠ 不明"))))</f>
        <v/>
      </c>
    </row>
    <row r="1426" customFormat="false" ht="15" hidden="false" customHeight="false" outlineLevel="0" collapsed="false">
      <c r="A1426" s="75"/>
      <c r="B1426" s="76"/>
      <c r="C1426" s="77"/>
      <c r="D1426" s="78"/>
      <c r="E1426" s="77"/>
      <c r="F1426" s="76"/>
      <c r="G1426" s="76"/>
      <c r="I1426" s="79" t="str">
        <f aca="false">IF($B1426="","",IF(ISNUMBER(MATCH($B1426,日別データ!$B$13:$B$32,0)),"✔ OK","⚠ 未登録"))</f>
        <v/>
      </c>
      <c r="J1426" s="80" t="str">
        <f aca="false">IF($B1426="","",IF($D1426="","－",IF(ISNUMBER($D1426),IF(AND($D1426&gt;=1,MOD($D1426,1)=0),"－",IF(MOD($D1426,1)&lt;$L$6,"朝",IF(MOD($D1426,1)&lt;$L$7,"昼",IF(MOD($D1426,1)&lt;$L$8,"夕方","夜")))),IF(OR($D1426="朝",$D1426="昼",$D1426="夕方",$D1426="夜"),$D1426,"⚠ 不明"))))</f>
        <v/>
      </c>
    </row>
    <row r="1427" customFormat="false" ht="15" hidden="false" customHeight="false" outlineLevel="0" collapsed="false">
      <c r="A1427" s="75"/>
      <c r="B1427" s="76"/>
      <c r="C1427" s="77"/>
      <c r="D1427" s="78"/>
      <c r="E1427" s="77"/>
      <c r="F1427" s="76"/>
      <c r="G1427" s="76"/>
      <c r="I1427" s="79" t="str">
        <f aca="false">IF($B1427="","",IF(ISNUMBER(MATCH($B1427,日別データ!$B$13:$B$32,0)),"✔ OK","⚠ 未登録"))</f>
        <v/>
      </c>
      <c r="J1427" s="80" t="str">
        <f aca="false">IF($B1427="","",IF($D1427="","－",IF(ISNUMBER($D1427),IF(AND($D1427&gt;=1,MOD($D1427,1)=0),"－",IF(MOD($D1427,1)&lt;$L$6,"朝",IF(MOD($D1427,1)&lt;$L$7,"昼",IF(MOD($D1427,1)&lt;$L$8,"夕方","夜")))),IF(OR($D1427="朝",$D1427="昼",$D1427="夕方",$D1427="夜"),$D1427,"⚠ 不明"))))</f>
        <v/>
      </c>
    </row>
    <row r="1428" customFormat="false" ht="15" hidden="false" customHeight="false" outlineLevel="0" collapsed="false">
      <c r="A1428" s="75"/>
      <c r="B1428" s="76"/>
      <c r="C1428" s="77"/>
      <c r="D1428" s="78"/>
      <c r="E1428" s="77"/>
      <c r="F1428" s="76"/>
      <c r="G1428" s="76"/>
      <c r="I1428" s="79" t="str">
        <f aca="false">IF($B1428="","",IF(ISNUMBER(MATCH($B1428,日別データ!$B$13:$B$32,0)),"✔ OK","⚠ 未登録"))</f>
        <v/>
      </c>
      <c r="J1428" s="80" t="str">
        <f aca="false">IF($B1428="","",IF($D1428="","－",IF(ISNUMBER($D1428),IF(AND($D1428&gt;=1,MOD($D1428,1)=0),"－",IF(MOD($D1428,1)&lt;$L$6,"朝",IF(MOD($D1428,1)&lt;$L$7,"昼",IF(MOD($D1428,1)&lt;$L$8,"夕方","夜")))),IF(OR($D1428="朝",$D1428="昼",$D1428="夕方",$D1428="夜"),$D1428,"⚠ 不明"))))</f>
        <v/>
      </c>
    </row>
    <row r="1429" customFormat="false" ht="15" hidden="false" customHeight="false" outlineLevel="0" collapsed="false">
      <c r="A1429" s="75"/>
      <c r="B1429" s="76"/>
      <c r="C1429" s="77"/>
      <c r="D1429" s="78"/>
      <c r="E1429" s="77"/>
      <c r="F1429" s="76"/>
      <c r="G1429" s="76"/>
      <c r="I1429" s="79" t="str">
        <f aca="false">IF($B1429="","",IF(ISNUMBER(MATCH($B1429,日別データ!$B$13:$B$32,0)),"✔ OK","⚠ 未登録"))</f>
        <v/>
      </c>
      <c r="J1429" s="80" t="str">
        <f aca="false">IF($B1429="","",IF($D1429="","－",IF(ISNUMBER($D1429),IF(AND($D1429&gt;=1,MOD($D1429,1)=0),"－",IF(MOD($D1429,1)&lt;$L$6,"朝",IF(MOD($D1429,1)&lt;$L$7,"昼",IF(MOD($D1429,1)&lt;$L$8,"夕方","夜")))),IF(OR($D1429="朝",$D1429="昼",$D1429="夕方",$D1429="夜"),$D1429,"⚠ 不明"))))</f>
        <v/>
      </c>
    </row>
    <row r="1430" customFormat="false" ht="15" hidden="false" customHeight="false" outlineLevel="0" collapsed="false">
      <c r="A1430" s="75"/>
      <c r="B1430" s="76"/>
      <c r="C1430" s="77"/>
      <c r="D1430" s="78"/>
      <c r="E1430" s="77"/>
      <c r="F1430" s="76"/>
      <c r="G1430" s="76"/>
      <c r="I1430" s="79" t="str">
        <f aca="false">IF($B1430="","",IF(ISNUMBER(MATCH($B1430,日別データ!$B$13:$B$32,0)),"✔ OK","⚠ 未登録"))</f>
        <v/>
      </c>
      <c r="J1430" s="80" t="str">
        <f aca="false">IF($B1430="","",IF($D1430="","－",IF(ISNUMBER($D1430),IF(AND($D1430&gt;=1,MOD($D1430,1)=0),"－",IF(MOD($D1430,1)&lt;$L$6,"朝",IF(MOD($D1430,1)&lt;$L$7,"昼",IF(MOD($D1430,1)&lt;$L$8,"夕方","夜")))),IF(OR($D1430="朝",$D1430="昼",$D1430="夕方",$D1430="夜"),$D1430,"⚠ 不明"))))</f>
        <v/>
      </c>
    </row>
    <row r="1431" customFormat="false" ht="15" hidden="false" customHeight="false" outlineLevel="0" collapsed="false">
      <c r="A1431" s="75"/>
      <c r="B1431" s="76"/>
      <c r="C1431" s="77"/>
      <c r="D1431" s="78"/>
      <c r="E1431" s="77"/>
      <c r="F1431" s="76"/>
      <c r="G1431" s="76"/>
      <c r="I1431" s="79" t="str">
        <f aca="false">IF($B1431="","",IF(ISNUMBER(MATCH($B1431,日別データ!$B$13:$B$32,0)),"✔ OK","⚠ 未登録"))</f>
        <v/>
      </c>
      <c r="J1431" s="80" t="str">
        <f aca="false">IF($B1431="","",IF($D1431="","－",IF(ISNUMBER($D1431),IF(AND($D1431&gt;=1,MOD($D1431,1)=0),"－",IF(MOD($D1431,1)&lt;$L$6,"朝",IF(MOD($D1431,1)&lt;$L$7,"昼",IF(MOD($D1431,1)&lt;$L$8,"夕方","夜")))),IF(OR($D1431="朝",$D1431="昼",$D1431="夕方",$D1431="夜"),$D1431,"⚠ 不明"))))</f>
        <v/>
      </c>
    </row>
    <row r="1432" customFormat="false" ht="15" hidden="false" customHeight="false" outlineLevel="0" collapsed="false">
      <c r="A1432" s="75"/>
      <c r="B1432" s="76"/>
      <c r="C1432" s="77"/>
      <c r="D1432" s="78"/>
      <c r="E1432" s="77"/>
      <c r="F1432" s="76"/>
      <c r="G1432" s="76"/>
      <c r="I1432" s="79" t="str">
        <f aca="false">IF($B1432="","",IF(ISNUMBER(MATCH($B1432,日別データ!$B$13:$B$32,0)),"✔ OK","⚠ 未登録"))</f>
        <v/>
      </c>
      <c r="J1432" s="80" t="str">
        <f aca="false">IF($B1432="","",IF($D1432="","－",IF(ISNUMBER($D1432),IF(AND($D1432&gt;=1,MOD($D1432,1)=0),"－",IF(MOD($D1432,1)&lt;$L$6,"朝",IF(MOD($D1432,1)&lt;$L$7,"昼",IF(MOD($D1432,1)&lt;$L$8,"夕方","夜")))),IF(OR($D1432="朝",$D1432="昼",$D1432="夕方",$D1432="夜"),$D1432,"⚠ 不明"))))</f>
        <v/>
      </c>
    </row>
    <row r="1433" customFormat="false" ht="15" hidden="false" customHeight="false" outlineLevel="0" collapsed="false">
      <c r="A1433" s="75"/>
      <c r="B1433" s="76"/>
      <c r="C1433" s="77"/>
      <c r="D1433" s="78"/>
      <c r="E1433" s="77"/>
      <c r="F1433" s="76"/>
      <c r="G1433" s="76"/>
      <c r="I1433" s="79" t="str">
        <f aca="false">IF($B1433="","",IF(ISNUMBER(MATCH($B1433,日別データ!$B$13:$B$32,0)),"✔ OK","⚠ 未登録"))</f>
        <v/>
      </c>
      <c r="J1433" s="80" t="str">
        <f aca="false">IF($B1433="","",IF($D1433="","－",IF(ISNUMBER($D1433),IF(AND($D1433&gt;=1,MOD($D1433,1)=0),"－",IF(MOD($D1433,1)&lt;$L$6,"朝",IF(MOD($D1433,1)&lt;$L$7,"昼",IF(MOD($D1433,1)&lt;$L$8,"夕方","夜")))),IF(OR($D1433="朝",$D1433="昼",$D1433="夕方",$D1433="夜"),$D1433,"⚠ 不明"))))</f>
        <v/>
      </c>
    </row>
    <row r="1434" customFormat="false" ht="15" hidden="false" customHeight="false" outlineLevel="0" collapsed="false">
      <c r="A1434" s="75"/>
      <c r="B1434" s="76"/>
      <c r="C1434" s="77"/>
      <c r="D1434" s="78"/>
      <c r="E1434" s="77"/>
      <c r="F1434" s="76"/>
      <c r="G1434" s="76"/>
      <c r="I1434" s="79" t="str">
        <f aca="false">IF($B1434="","",IF(ISNUMBER(MATCH($B1434,日別データ!$B$13:$B$32,0)),"✔ OK","⚠ 未登録"))</f>
        <v/>
      </c>
      <c r="J1434" s="80" t="str">
        <f aca="false">IF($B1434="","",IF($D1434="","－",IF(ISNUMBER($D1434),IF(AND($D1434&gt;=1,MOD($D1434,1)=0),"－",IF(MOD($D1434,1)&lt;$L$6,"朝",IF(MOD($D1434,1)&lt;$L$7,"昼",IF(MOD($D1434,1)&lt;$L$8,"夕方","夜")))),IF(OR($D1434="朝",$D1434="昼",$D1434="夕方",$D1434="夜"),$D1434,"⚠ 不明"))))</f>
        <v/>
      </c>
    </row>
    <row r="1435" customFormat="false" ht="15" hidden="false" customHeight="false" outlineLevel="0" collapsed="false">
      <c r="A1435" s="75"/>
      <c r="B1435" s="76"/>
      <c r="C1435" s="77"/>
      <c r="D1435" s="78"/>
      <c r="E1435" s="77"/>
      <c r="F1435" s="76"/>
      <c r="G1435" s="76"/>
      <c r="I1435" s="79" t="str">
        <f aca="false">IF($B1435="","",IF(ISNUMBER(MATCH($B1435,日別データ!$B$13:$B$32,0)),"✔ OK","⚠ 未登録"))</f>
        <v/>
      </c>
      <c r="J1435" s="80" t="str">
        <f aca="false">IF($B1435="","",IF($D1435="","－",IF(ISNUMBER($D1435),IF(AND($D1435&gt;=1,MOD($D1435,1)=0),"－",IF(MOD($D1435,1)&lt;$L$6,"朝",IF(MOD($D1435,1)&lt;$L$7,"昼",IF(MOD($D1435,1)&lt;$L$8,"夕方","夜")))),IF(OR($D1435="朝",$D1435="昼",$D1435="夕方",$D1435="夜"),$D1435,"⚠ 不明"))))</f>
        <v/>
      </c>
    </row>
    <row r="1436" customFormat="false" ht="15" hidden="false" customHeight="false" outlineLevel="0" collapsed="false">
      <c r="A1436" s="75"/>
      <c r="B1436" s="76"/>
      <c r="C1436" s="77"/>
      <c r="D1436" s="78"/>
      <c r="E1436" s="77"/>
      <c r="F1436" s="76"/>
      <c r="G1436" s="76"/>
      <c r="I1436" s="79" t="str">
        <f aca="false">IF($B1436="","",IF(ISNUMBER(MATCH($B1436,日別データ!$B$13:$B$32,0)),"✔ OK","⚠ 未登録"))</f>
        <v/>
      </c>
      <c r="J1436" s="80" t="str">
        <f aca="false">IF($B1436="","",IF($D1436="","－",IF(ISNUMBER($D1436),IF(AND($D1436&gt;=1,MOD($D1436,1)=0),"－",IF(MOD($D1436,1)&lt;$L$6,"朝",IF(MOD($D1436,1)&lt;$L$7,"昼",IF(MOD($D1436,1)&lt;$L$8,"夕方","夜")))),IF(OR($D1436="朝",$D1436="昼",$D1436="夕方",$D1436="夜"),$D1436,"⚠ 不明"))))</f>
        <v/>
      </c>
    </row>
    <row r="1437" customFormat="false" ht="15" hidden="false" customHeight="false" outlineLevel="0" collapsed="false">
      <c r="A1437" s="75"/>
      <c r="B1437" s="76"/>
      <c r="C1437" s="77"/>
      <c r="D1437" s="78"/>
      <c r="E1437" s="77"/>
      <c r="F1437" s="76"/>
      <c r="G1437" s="76"/>
      <c r="I1437" s="79" t="str">
        <f aca="false">IF($B1437="","",IF(ISNUMBER(MATCH($B1437,日別データ!$B$13:$B$32,0)),"✔ OK","⚠ 未登録"))</f>
        <v/>
      </c>
      <c r="J1437" s="80" t="str">
        <f aca="false">IF($B1437="","",IF($D1437="","－",IF(ISNUMBER($D1437),IF(AND($D1437&gt;=1,MOD($D1437,1)=0),"－",IF(MOD($D1437,1)&lt;$L$6,"朝",IF(MOD($D1437,1)&lt;$L$7,"昼",IF(MOD($D1437,1)&lt;$L$8,"夕方","夜")))),IF(OR($D1437="朝",$D1437="昼",$D1437="夕方",$D1437="夜"),$D1437,"⚠ 不明"))))</f>
        <v/>
      </c>
    </row>
    <row r="1438" customFormat="false" ht="15" hidden="false" customHeight="false" outlineLevel="0" collapsed="false">
      <c r="A1438" s="75"/>
      <c r="B1438" s="76"/>
      <c r="C1438" s="77"/>
      <c r="D1438" s="78"/>
      <c r="E1438" s="77"/>
      <c r="F1438" s="76"/>
      <c r="G1438" s="76"/>
      <c r="I1438" s="79" t="str">
        <f aca="false">IF($B1438="","",IF(ISNUMBER(MATCH($B1438,日別データ!$B$13:$B$32,0)),"✔ OK","⚠ 未登録"))</f>
        <v/>
      </c>
      <c r="J1438" s="80" t="str">
        <f aca="false">IF($B1438="","",IF($D1438="","－",IF(ISNUMBER($D1438),IF(AND($D1438&gt;=1,MOD($D1438,1)=0),"－",IF(MOD($D1438,1)&lt;$L$6,"朝",IF(MOD($D1438,1)&lt;$L$7,"昼",IF(MOD($D1438,1)&lt;$L$8,"夕方","夜")))),IF(OR($D1438="朝",$D1438="昼",$D1438="夕方",$D1438="夜"),$D1438,"⚠ 不明"))))</f>
        <v/>
      </c>
    </row>
    <row r="1439" customFormat="false" ht="15" hidden="false" customHeight="false" outlineLevel="0" collapsed="false">
      <c r="A1439" s="75"/>
      <c r="B1439" s="76"/>
      <c r="C1439" s="77"/>
      <c r="D1439" s="78"/>
      <c r="E1439" s="77"/>
      <c r="F1439" s="76"/>
      <c r="G1439" s="76"/>
      <c r="I1439" s="79" t="str">
        <f aca="false">IF($B1439="","",IF(ISNUMBER(MATCH($B1439,日別データ!$B$13:$B$32,0)),"✔ OK","⚠ 未登録"))</f>
        <v/>
      </c>
      <c r="J1439" s="80" t="str">
        <f aca="false">IF($B1439="","",IF($D1439="","－",IF(ISNUMBER($D1439),IF(AND($D1439&gt;=1,MOD($D1439,1)=0),"－",IF(MOD($D1439,1)&lt;$L$6,"朝",IF(MOD($D1439,1)&lt;$L$7,"昼",IF(MOD($D1439,1)&lt;$L$8,"夕方","夜")))),IF(OR($D1439="朝",$D1439="昼",$D1439="夕方",$D1439="夜"),$D1439,"⚠ 不明"))))</f>
        <v/>
      </c>
    </row>
    <row r="1440" customFormat="false" ht="15" hidden="false" customHeight="false" outlineLevel="0" collapsed="false">
      <c r="A1440" s="75"/>
      <c r="B1440" s="76"/>
      <c r="C1440" s="77"/>
      <c r="D1440" s="78"/>
      <c r="E1440" s="77"/>
      <c r="F1440" s="76"/>
      <c r="G1440" s="76"/>
      <c r="I1440" s="79" t="str">
        <f aca="false">IF($B1440="","",IF(ISNUMBER(MATCH($B1440,日別データ!$B$13:$B$32,0)),"✔ OK","⚠ 未登録"))</f>
        <v/>
      </c>
      <c r="J1440" s="80" t="str">
        <f aca="false">IF($B1440="","",IF($D1440="","－",IF(ISNUMBER($D1440),IF(AND($D1440&gt;=1,MOD($D1440,1)=0),"－",IF(MOD($D1440,1)&lt;$L$6,"朝",IF(MOD($D1440,1)&lt;$L$7,"昼",IF(MOD($D1440,1)&lt;$L$8,"夕方","夜")))),IF(OR($D1440="朝",$D1440="昼",$D1440="夕方",$D1440="夜"),$D1440,"⚠ 不明"))))</f>
        <v/>
      </c>
    </row>
    <row r="1441" customFormat="false" ht="15" hidden="false" customHeight="false" outlineLevel="0" collapsed="false">
      <c r="A1441" s="75"/>
      <c r="B1441" s="76"/>
      <c r="C1441" s="77"/>
      <c r="D1441" s="78"/>
      <c r="E1441" s="77"/>
      <c r="F1441" s="76"/>
      <c r="G1441" s="76"/>
      <c r="I1441" s="79" t="str">
        <f aca="false">IF($B1441="","",IF(ISNUMBER(MATCH($B1441,日別データ!$B$13:$B$32,0)),"✔ OK","⚠ 未登録"))</f>
        <v/>
      </c>
      <c r="J1441" s="80" t="str">
        <f aca="false">IF($B1441="","",IF($D1441="","－",IF(ISNUMBER($D1441),IF(AND($D1441&gt;=1,MOD($D1441,1)=0),"－",IF(MOD($D1441,1)&lt;$L$6,"朝",IF(MOD($D1441,1)&lt;$L$7,"昼",IF(MOD($D1441,1)&lt;$L$8,"夕方","夜")))),IF(OR($D1441="朝",$D1441="昼",$D1441="夕方",$D1441="夜"),$D1441,"⚠ 不明"))))</f>
        <v/>
      </c>
    </row>
    <row r="1442" customFormat="false" ht="15" hidden="false" customHeight="false" outlineLevel="0" collapsed="false">
      <c r="A1442" s="75"/>
      <c r="B1442" s="76"/>
      <c r="C1442" s="77"/>
      <c r="D1442" s="78"/>
      <c r="E1442" s="77"/>
      <c r="F1442" s="76"/>
      <c r="G1442" s="76"/>
      <c r="I1442" s="79" t="str">
        <f aca="false">IF($B1442="","",IF(ISNUMBER(MATCH($B1442,日別データ!$B$13:$B$32,0)),"✔ OK","⚠ 未登録"))</f>
        <v/>
      </c>
      <c r="J1442" s="80" t="str">
        <f aca="false">IF($B1442="","",IF($D1442="","－",IF(ISNUMBER($D1442),IF(AND($D1442&gt;=1,MOD($D1442,1)=0),"－",IF(MOD($D1442,1)&lt;$L$6,"朝",IF(MOD($D1442,1)&lt;$L$7,"昼",IF(MOD($D1442,1)&lt;$L$8,"夕方","夜")))),IF(OR($D1442="朝",$D1442="昼",$D1442="夕方",$D1442="夜"),$D1442,"⚠ 不明"))))</f>
        <v/>
      </c>
    </row>
    <row r="1443" customFormat="false" ht="15" hidden="false" customHeight="false" outlineLevel="0" collapsed="false">
      <c r="A1443" s="75"/>
      <c r="B1443" s="76"/>
      <c r="C1443" s="77"/>
      <c r="D1443" s="78"/>
      <c r="E1443" s="77"/>
      <c r="F1443" s="76"/>
      <c r="G1443" s="76"/>
      <c r="I1443" s="79" t="str">
        <f aca="false">IF($B1443="","",IF(ISNUMBER(MATCH($B1443,日別データ!$B$13:$B$32,0)),"✔ OK","⚠ 未登録"))</f>
        <v/>
      </c>
      <c r="J1443" s="80" t="str">
        <f aca="false">IF($B1443="","",IF($D1443="","－",IF(ISNUMBER($D1443),IF(AND($D1443&gt;=1,MOD($D1443,1)=0),"－",IF(MOD($D1443,1)&lt;$L$6,"朝",IF(MOD($D1443,1)&lt;$L$7,"昼",IF(MOD($D1443,1)&lt;$L$8,"夕方","夜")))),IF(OR($D1443="朝",$D1443="昼",$D1443="夕方",$D1443="夜"),$D1443,"⚠ 不明"))))</f>
        <v/>
      </c>
    </row>
    <row r="1444" customFormat="false" ht="15" hidden="false" customHeight="false" outlineLevel="0" collapsed="false">
      <c r="A1444" s="75"/>
      <c r="B1444" s="76"/>
      <c r="C1444" s="77"/>
      <c r="D1444" s="78"/>
      <c r="E1444" s="77"/>
      <c r="F1444" s="76"/>
      <c r="G1444" s="76"/>
      <c r="I1444" s="79" t="str">
        <f aca="false">IF($B1444="","",IF(ISNUMBER(MATCH($B1444,日別データ!$B$13:$B$32,0)),"✔ OK","⚠ 未登録"))</f>
        <v/>
      </c>
      <c r="J1444" s="80" t="str">
        <f aca="false">IF($B1444="","",IF($D1444="","－",IF(ISNUMBER($D1444),IF(AND($D1444&gt;=1,MOD($D1444,1)=0),"－",IF(MOD($D1444,1)&lt;$L$6,"朝",IF(MOD($D1444,1)&lt;$L$7,"昼",IF(MOD($D1444,1)&lt;$L$8,"夕方","夜")))),IF(OR($D1444="朝",$D1444="昼",$D1444="夕方",$D1444="夜"),$D1444,"⚠ 不明"))))</f>
        <v/>
      </c>
    </row>
    <row r="1445" customFormat="false" ht="15" hidden="false" customHeight="false" outlineLevel="0" collapsed="false">
      <c r="A1445" s="75"/>
      <c r="B1445" s="76"/>
      <c r="C1445" s="77"/>
      <c r="D1445" s="78"/>
      <c r="E1445" s="77"/>
      <c r="F1445" s="76"/>
      <c r="G1445" s="76"/>
      <c r="I1445" s="79" t="str">
        <f aca="false">IF($B1445="","",IF(ISNUMBER(MATCH($B1445,日別データ!$B$13:$B$32,0)),"✔ OK","⚠ 未登録"))</f>
        <v/>
      </c>
      <c r="J1445" s="80" t="str">
        <f aca="false">IF($B1445="","",IF($D1445="","－",IF(ISNUMBER($D1445),IF(AND($D1445&gt;=1,MOD($D1445,1)=0),"－",IF(MOD($D1445,1)&lt;$L$6,"朝",IF(MOD($D1445,1)&lt;$L$7,"昼",IF(MOD($D1445,1)&lt;$L$8,"夕方","夜")))),IF(OR($D1445="朝",$D1445="昼",$D1445="夕方",$D1445="夜"),$D1445,"⚠ 不明"))))</f>
        <v/>
      </c>
    </row>
    <row r="1446" customFormat="false" ht="15" hidden="false" customHeight="false" outlineLevel="0" collapsed="false">
      <c r="A1446" s="75"/>
      <c r="B1446" s="76"/>
      <c r="C1446" s="77"/>
      <c r="D1446" s="78"/>
      <c r="E1446" s="77"/>
      <c r="F1446" s="76"/>
      <c r="G1446" s="76"/>
      <c r="I1446" s="79" t="str">
        <f aca="false">IF($B1446="","",IF(ISNUMBER(MATCH($B1446,日別データ!$B$13:$B$32,0)),"✔ OK","⚠ 未登録"))</f>
        <v/>
      </c>
      <c r="J1446" s="80" t="str">
        <f aca="false">IF($B1446="","",IF($D1446="","－",IF(ISNUMBER($D1446),IF(AND($D1446&gt;=1,MOD($D1446,1)=0),"－",IF(MOD($D1446,1)&lt;$L$6,"朝",IF(MOD($D1446,1)&lt;$L$7,"昼",IF(MOD($D1446,1)&lt;$L$8,"夕方","夜")))),IF(OR($D1446="朝",$D1446="昼",$D1446="夕方",$D1446="夜"),$D1446,"⚠ 不明"))))</f>
        <v/>
      </c>
    </row>
    <row r="1447" customFormat="false" ht="15" hidden="false" customHeight="false" outlineLevel="0" collapsed="false">
      <c r="A1447" s="75"/>
      <c r="B1447" s="76"/>
      <c r="C1447" s="77"/>
      <c r="D1447" s="78"/>
      <c r="E1447" s="77"/>
      <c r="F1447" s="76"/>
      <c r="G1447" s="76"/>
      <c r="I1447" s="79" t="str">
        <f aca="false">IF($B1447="","",IF(ISNUMBER(MATCH($B1447,日別データ!$B$13:$B$32,0)),"✔ OK","⚠ 未登録"))</f>
        <v/>
      </c>
      <c r="J1447" s="80" t="str">
        <f aca="false">IF($B1447="","",IF($D1447="","－",IF(ISNUMBER($D1447),IF(AND($D1447&gt;=1,MOD($D1447,1)=0),"－",IF(MOD($D1447,1)&lt;$L$6,"朝",IF(MOD($D1447,1)&lt;$L$7,"昼",IF(MOD($D1447,1)&lt;$L$8,"夕方","夜")))),IF(OR($D1447="朝",$D1447="昼",$D1447="夕方",$D1447="夜"),$D1447,"⚠ 不明"))))</f>
        <v/>
      </c>
    </row>
    <row r="1448" customFormat="false" ht="15" hidden="false" customHeight="false" outlineLevel="0" collapsed="false">
      <c r="A1448" s="75"/>
      <c r="B1448" s="76"/>
      <c r="C1448" s="77"/>
      <c r="D1448" s="78"/>
      <c r="E1448" s="77"/>
      <c r="F1448" s="76"/>
      <c r="G1448" s="76"/>
      <c r="I1448" s="79" t="str">
        <f aca="false">IF($B1448="","",IF(ISNUMBER(MATCH($B1448,日別データ!$B$13:$B$32,0)),"✔ OK","⚠ 未登録"))</f>
        <v/>
      </c>
      <c r="J1448" s="80" t="str">
        <f aca="false">IF($B1448="","",IF($D1448="","－",IF(ISNUMBER($D1448),IF(AND($D1448&gt;=1,MOD($D1448,1)=0),"－",IF(MOD($D1448,1)&lt;$L$6,"朝",IF(MOD($D1448,1)&lt;$L$7,"昼",IF(MOD($D1448,1)&lt;$L$8,"夕方","夜")))),IF(OR($D1448="朝",$D1448="昼",$D1448="夕方",$D1448="夜"),$D1448,"⚠ 不明"))))</f>
        <v/>
      </c>
    </row>
    <row r="1449" customFormat="false" ht="15" hidden="false" customHeight="false" outlineLevel="0" collapsed="false">
      <c r="A1449" s="75"/>
      <c r="B1449" s="76"/>
      <c r="C1449" s="77"/>
      <c r="D1449" s="78"/>
      <c r="E1449" s="77"/>
      <c r="F1449" s="76"/>
      <c r="G1449" s="76"/>
      <c r="I1449" s="79" t="str">
        <f aca="false">IF($B1449="","",IF(ISNUMBER(MATCH($B1449,日別データ!$B$13:$B$32,0)),"✔ OK","⚠ 未登録"))</f>
        <v/>
      </c>
      <c r="J1449" s="80" t="str">
        <f aca="false">IF($B1449="","",IF($D1449="","－",IF(ISNUMBER($D1449),IF(AND($D1449&gt;=1,MOD($D1449,1)=0),"－",IF(MOD($D1449,1)&lt;$L$6,"朝",IF(MOD($D1449,1)&lt;$L$7,"昼",IF(MOD($D1449,1)&lt;$L$8,"夕方","夜")))),IF(OR($D1449="朝",$D1449="昼",$D1449="夕方",$D1449="夜"),$D1449,"⚠ 不明"))))</f>
        <v/>
      </c>
    </row>
    <row r="1450" customFormat="false" ht="15" hidden="false" customHeight="false" outlineLevel="0" collapsed="false">
      <c r="A1450" s="75"/>
      <c r="B1450" s="76"/>
      <c r="C1450" s="77"/>
      <c r="D1450" s="78"/>
      <c r="E1450" s="77"/>
      <c r="F1450" s="76"/>
      <c r="G1450" s="76"/>
      <c r="I1450" s="79" t="str">
        <f aca="false">IF($B1450="","",IF(ISNUMBER(MATCH($B1450,日別データ!$B$13:$B$32,0)),"✔ OK","⚠ 未登録"))</f>
        <v/>
      </c>
      <c r="J1450" s="80" t="str">
        <f aca="false">IF($B1450="","",IF($D1450="","－",IF(ISNUMBER($D1450),IF(AND($D1450&gt;=1,MOD($D1450,1)=0),"－",IF(MOD($D1450,1)&lt;$L$6,"朝",IF(MOD($D1450,1)&lt;$L$7,"昼",IF(MOD($D1450,1)&lt;$L$8,"夕方","夜")))),IF(OR($D1450="朝",$D1450="昼",$D1450="夕方",$D1450="夜"),$D1450,"⚠ 不明"))))</f>
        <v/>
      </c>
    </row>
    <row r="1451" customFormat="false" ht="15" hidden="false" customHeight="false" outlineLevel="0" collapsed="false">
      <c r="A1451" s="75"/>
      <c r="B1451" s="76"/>
      <c r="C1451" s="77"/>
      <c r="D1451" s="78"/>
      <c r="E1451" s="77"/>
      <c r="F1451" s="76"/>
      <c r="G1451" s="76"/>
      <c r="I1451" s="79" t="str">
        <f aca="false">IF($B1451="","",IF(ISNUMBER(MATCH($B1451,日別データ!$B$13:$B$32,0)),"✔ OK","⚠ 未登録"))</f>
        <v/>
      </c>
      <c r="J1451" s="80" t="str">
        <f aca="false">IF($B1451="","",IF($D1451="","－",IF(ISNUMBER($D1451),IF(AND($D1451&gt;=1,MOD($D1451,1)=0),"－",IF(MOD($D1451,1)&lt;$L$6,"朝",IF(MOD($D1451,1)&lt;$L$7,"昼",IF(MOD($D1451,1)&lt;$L$8,"夕方","夜")))),IF(OR($D1451="朝",$D1451="昼",$D1451="夕方",$D1451="夜"),$D1451,"⚠ 不明"))))</f>
        <v/>
      </c>
    </row>
    <row r="1452" customFormat="false" ht="15" hidden="false" customHeight="false" outlineLevel="0" collapsed="false">
      <c r="A1452" s="75"/>
      <c r="B1452" s="76"/>
      <c r="C1452" s="77"/>
      <c r="D1452" s="78"/>
      <c r="E1452" s="77"/>
      <c r="F1452" s="76"/>
      <c r="G1452" s="76"/>
      <c r="I1452" s="79" t="str">
        <f aca="false">IF($B1452="","",IF(ISNUMBER(MATCH($B1452,日別データ!$B$13:$B$32,0)),"✔ OK","⚠ 未登録"))</f>
        <v/>
      </c>
      <c r="J1452" s="80" t="str">
        <f aca="false">IF($B1452="","",IF($D1452="","－",IF(ISNUMBER($D1452),IF(AND($D1452&gt;=1,MOD($D1452,1)=0),"－",IF(MOD($D1452,1)&lt;$L$6,"朝",IF(MOD($D1452,1)&lt;$L$7,"昼",IF(MOD($D1452,1)&lt;$L$8,"夕方","夜")))),IF(OR($D1452="朝",$D1452="昼",$D1452="夕方",$D1452="夜"),$D1452,"⚠ 不明"))))</f>
        <v/>
      </c>
    </row>
    <row r="1453" customFormat="false" ht="15" hidden="false" customHeight="false" outlineLevel="0" collapsed="false">
      <c r="A1453" s="75"/>
      <c r="B1453" s="76"/>
      <c r="C1453" s="77"/>
      <c r="D1453" s="78"/>
      <c r="E1453" s="77"/>
      <c r="F1453" s="76"/>
      <c r="G1453" s="76"/>
      <c r="I1453" s="79" t="str">
        <f aca="false">IF($B1453="","",IF(ISNUMBER(MATCH($B1453,日別データ!$B$13:$B$32,0)),"✔ OK","⚠ 未登録"))</f>
        <v/>
      </c>
      <c r="J1453" s="80" t="str">
        <f aca="false">IF($B1453="","",IF($D1453="","－",IF(ISNUMBER($D1453),IF(AND($D1453&gt;=1,MOD($D1453,1)=0),"－",IF(MOD($D1453,1)&lt;$L$6,"朝",IF(MOD($D1453,1)&lt;$L$7,"昼",IF(MOD($D1453,1)&lt;$L$8,"夕方","夜")))),IF(OR($D1453="朝",$D1453="昼",$D1453="夕方",$D1453="夜"),$D1453,"⚠ 不明"))))</f>
        <v/>
      </c>
    </row>
    <row r="1454" customFormat="false" ht="15" hidden="false" customHeight="false" outlineLevel="0" collapsed="false">
      <c r="A1454" s="75"/>
      <c r="B1454" s="76"/>
      <c r="C1454" s="77"/>
      <c r="D1454" s="78"/>
      <c r="E1454" s="77"/>
      <c r="F1454" s="76"/>
      <c r="G1454" s="76"/>
      <c r="I1454" s="79" t="str">
        <f aca="false">IF($B1454="","",IF(ISNUMBER(MATCH($B1454,日別データ!$B$13:$B$32,0)),"✔ OK","⚠ 未登録"))</f>
        <v/>
      </c>
      <c r="J1454" s="80" t="str">
        <f aca="false">IF($B1454="","",IF($D1454="","－",IF(ISNUMBER($D1454),IF(AND($D1454&gt;=1,MOD($D1454,1)=0),"－",IF(MOD($D1454,1)&lt;$L$6,"朝",IF(MOD($D1454,1)&lt;$L$7,"昼",IF(MOD($D1454,1)&lt;$L$8,"夕方","夜")))),IF(OR($D1454="朝",$D1454="昼",$D1454="夕方",$D1454="夜"),$D1454,"⚠ 不明"))))</f>
        <v/>
      </c>
    </row>
    <row r="1455" customFormat="false" ht="15" hidden="false" customHeight="false" outlineLevel="0" collapsed="false">
      <c r="A1455" s="75"/>
      <c r="B1455" s="76"/>
      <c r="C1455" s="77"/>
      <c r="D1455" s="78"/>
      <c r="E1455" s="77"/>
      <c r="F1455" s="76"/>
      <c r="G1455" s="76"/>
      <c r="I1455" s="79" t="str">
        <f aca="false">IF($B1455="","",IF(ISNUMBER(MATCH($B1455,日別データ!$B$13:$B$32,0)),"✔ OK","⚠ 未登録"))</f>
        <v/>
      </c>
      <c r="J1455" s="80" t="str">
        <f aca="false">IF($B1455="","",IF($D1455="","－",IF(ISNUMBER($D1455),IF(AND($D1455&gt;=1,MOD($D1455,1)=0),"－",IF(MOD($D1455,1)&lt;$L$6,"朝",IF(MOD($D1455,1)&lt;$L$7,"昼",IF(MOD($D1455,1)&lt;$L$8,"夕方","夜")))),IF(OR($D1455="朝",$D1455="昼",$D1455="夕方",$D1455="夜"),$D1455,"⚠ 不明"))))</f>
        <v/>
      </c>
    </row>
    <row r="1456" customFormat="false" ht="15" hidden="false" customHeight="false" outlineLevel="0" collapsed="false">
      <c r="A1456" s="75"/>
      <c r="B1456" s="76"/>
      <c r="C1456" s="77"/>
      <c r="D1456" s="78"/>
      <c r="E1456" s="77"/>
      <c r="F1456" s="76"/>
      <c r="G1456" s="76"/>
      <c r="I1456" s="79" t="str">
        <f aca="false">IF($B1456="","",IF(ISNUMBER(MATCH($B1456,日別データ!$B$13:$B$32,0)),"✔ OK","⚠ 未登録"))</f>
        <v/>
      </c>
      <c r="J1456" s="80" t="str">
        <f aca="false">IF($B1456="","",IF($D1456="","－",IF(ISNUMBER($D1456),IF(AND($D1456&gt;=1,MOD($D1456,1)=0),"－",IF(MOD($D1456,1)&lt;$L$6,"朝",IF(MOD($D1456,1)&lt;$L$7,"昼",IF(MOD($D1456,1)&lt;$L$8,"夕方","夜")))),IF(OR($D1456="朝",$D1456="昼",$D1456="夕方",$D1456="夜"),$D1456,"⚠ 不明"))))</f>
        <v/>
      </c>
    </row>
    <row r="1457" customFormat="false" ht="15" hidden="false" customHeight="false" outlineLevel="0" collapsed="false">
      <c r="A1457" s="75"/>
      <c r="B1457" s="76"/>
      <c r="C1457" s="77"/>
      <c r="D1457" s="78"/>
      <c r="E1457" s="77"/>
      <c r="F1457" s="76"/>
      <c r="G1457" s="76"/>
      <c r="I1457" s="79" t="str">
        <f aca="false">IF($B1457="","",IF(ISNUMBER(MATCH($B1457,日別データ!$B$13:$B$32,0)),"✔ OK","⚠ 未登録"))</f>
        <v/>
      </c>
      <c r="J1457" s="80" t="str">
        <f aca="false">IF($B1457="","",IF($D1457="","－",IF(ISNUMBER($D1457),IF(AND($D1457&gt;=1,MOD($D1457,1)=0),"－",IF(MOD($D1457,1)&lt;$L$6,"朝",IF(MOD($D1457,1)&lt;$L$7,"昼",IF(MOD($D1457,1)&lt;$L$8,"夕方","夜")))),IF(OR($D1457="朝",$D1457="昼",$D1457="夕方",$D1457="夜"),$D1457,"⚠ 不明"))))</f>
        <v/>
      </c>
    </row>
    <row r="1458" customFormat="false" ht="15" hidden="false" customHeight="false" outlineLevel="0" collapsed="false">
      <c r="A1458" s="75"/>
      <c r="B1458" s="76"/>
      <c r="C1458" s="77"/>
      <c r="D1458" s="78"/>
      <c r="E1458" s="77"/>
      <c r="F1458" s="76"/>
      <c r="G1458" s="76"/>
      <c r="I1458" s="79" t="str">
        <f aca="false">IF($B1458="","",IF(ISNUMBER(MATCH($B1458,日別データ!$B$13:$B$32,0)),"✔ OK","⚠ 未登録"))</f>
        <v/>
      </c>
      <c r="J1458" s="80" t="str">
        <f aca="false">IF($B1458="","",IF($D1458="","－",IF(ISNUMBER($D1458),IF(AND($D1458&gt;=1,MOD($D1458,1)=0),"－",IF(MOD($D1458,1)&lt;$L$6,"朝",IF(MOD($D1458,1)&lt;$L$7,"昼",IF(MOD($D1458,1)&lt;$L$8,"夕方","夜")))),IF(OR($D1458="朝",$D1458="昼",$D1458="夕方",$D1458="夜"),$D1458,"⚠ 不明"))))</f>
        <v/>
      </c>
    </row>
    <row r="1459" customFormat="false" ht="15" hidden="false" customHeight="false" outlineLevel="0" collapsed="false">
      <c r="A1459" s="75"/>
      <c r="B1459" s="76"/>
      <c r="C1459" s="77"/>
      <c r="D1459" s="78"/>
      <c r="E1459" s="77"/>
      <c r="F1459" s="76"/>
      <c r="G1459" s="76"/>
      <c r="I1459" s="79" t="str">
        <f aca="false">IF($B1459="","",IF(ISNUMBER(MATCH($B1459,日別データ!$B$13:$B$32,0)),"✔ OK","⚠ 未登録"))</f>
        <v/>
      </c>
      <c r="J1459" s="80" t="str">
        <f aca="false">IF($B1459="","",IF($D1459="","－",IF(ISNUMBER($D1459),IF(AND($D1459&gt;=1,MOD($D1459,1)=0),"－",IF(MOD($D1459,1)&lt;$L$6,"朝",IF(MOD($D1459,1)&lt;$L$7,"昼",IF(MOD($D1459,1)&lt;$L$8,"夕方","夜")))),IF(OR($D1459="朝",$D1459="昼",$D1459="夕方",$D1459="夜"),$D1459,"⚠ 不明"))))</f>
        <v/>
      </c>
    </row>
    <row r="1460" customFormat="false" ht="15" hidden="false" customHeight="false" outlineLevel="0" collapsed="false">
      <c r="A1460" s="75"/>
      <c r="B1460" s="76"/>
      <c r="C1460" s="77"/>
      <c r="D1460" s="78"/>
      <c r="E1460" s="77"/>
      <c r="F1460" s="76"/>
      <c r="G1460" s="76"/>
      <c r="I1460" s="79" t="str">
        <f aca="false">IF($B1460="","",IF(ISNUMBER(MATCH($B1460,日別データ!$B$13:$B$32,0)),"✔ OK","⚠ 未登録"))</f>
        <v/>
      </c>
      <c r="J1460" s="80" t="str">
        <f aca="false">IF($B1460="","",IF($D1460="","－",IF(ISNUMBER($D1460),IF(AND($D1460&gt;=1,MOD($D1460,1)=0),"－",IF(MOD($D1460,1)&lt;$L$6,"朝",IF(MOD($D1460,1)&lt;$L$7,"昼",IF(MOD($D1460,1)&lt;$L$8,"夕方","夜")))),IF(OR($D1460="朝",$D1460="昼",$D1460="夕方",$D1460="夜"),$D1460,"⚠ 不明"))))</f>
        <v/>
      </c>
    </row>
    <row r="1461" customFormat="false" ht="15" hidden="false" customHeight="false" outlineLevel="0" collapsed="false">
      <c r="A1461" s="75"/>
      <c r="B1461" s="76"/>
      <c r="C1461" s="77"/>
      <c r="D1461" s="78"/>
      <c r="E1461" s="77"/>
      <c r="F1461" s="76"/>
      <c r="G1461" s="76"/>
      <c r="I1461" s="79" t="str">
        <f aca="false">IF($B1461="","",IF(ISNUMBER(MATCH($B1461,日別データ!$B$13:$B$32,0)),"✔ OK","⚠ 未登録"))</f>
        <v/>
      </c>
      <c r="J1461" s="80" t="str">
        <f aca="false">IF($B1461="","",IF($D1461="","－",IF(ISNUMBER($D1461),IF(AND($D1461&gt;=1,MOD($D1461,1)=0),"－",IF(MOD($D1461,1)&lt;$L$6,"朝",IF(MOD($D1461,1)&lt;$L$7,"昼",IF(MOD($D1461,1)&lt;$L$8,"夕方","夜")))),IF(OR($D1461="朝",$D1461="昼",$D1461="夕方",$D1461="夜"),$D1461,"⚠ 不明"))))</f>
        <v/>
      </c>
    </row>
    <row r="1462" customFormat="false" ht="15" hidden="false" customHeight="false" outlineLevel="0" collapsed="false">
      <c r="A1462" s="75"/>
      <c r="B1462" s="76"/>
      <c r="C1462" s="77"/>
      <c r="D1462" s="78"/>
      <c r="E1462" s="77"/>
      <c r="F1462" s="76"/>
      <c r="G1462" s="76"/>
      <c r="I1462" s="79" t="str">
        <f aca="false">IF($B1462="","",IF(ISNUMBER(MATCH($B1462,日別データ!$B$13:$B$32,0)),"✔ OK","⚠ 未登録"))</f>
        <v/>
      </c>
      <c r="J1462" s="80" t="str">
        <f aca="false">IF($B1462="","",IF($D1462="","－",IF(ISNUMBER($D1462),IF(AND($D1462&gt;=1,MOD($D1462,1)=0),"－",IF(MOD($D1462,1)&lt;$L$6,"朝",IF(MOD($D1462,1)&lt;$L$7,"昼",IF(MOD($D1462,1)&lt;$L$8,"夕方","夜")))),IF(OR($D1462="朝",$D1462="昼",$D1462="夕方",$D1462="夜"),$D1462,"⚠ 不明"))))</f>
        <v/>
      </c>
    </row>
    <row r="1463" customFormat="false" ht="15" hidden="false" customHeight="false" outlineLevel="0" collapsed="false">
      <c r="A1463" s="75"/>
      <c r="B1463" s="76"/>
      <c r="C1463" s="77"/>
      <c r="D1463" s="78"/>
      <c r="E1463" s="77"/>
      <c r="F1463" s="76"/>
      <c r="G1463" s="76"/>
      <c r="I1463" s="79" t="str">
        <f aca="false">IF($B1463="","",IF(ISNUMBER(MATCH($B1463,日別データ!$B$13:$B$32,0)),"✔ OK","⚠ 未登録"))</f>
        <v/>
      </c>
      <c r="J1463" s="80" t="str">
        <f aca="false">IF($B1463="","",IF($D1463="","－",IF(ISNUMBER($D1463),IF(AND($D1463&gt;=1,MOD($D1463,1)=0),"－",IF(MOD($D1463,1)&lt;$L$6,"朝",IF(MOD($D1463,1)&lt;$L$7,"昼",IF(MOD($D1463,1)&lt;$L$8,"夕方","夜")))),IF(OR($D1463="朝",$D1463="昼",$D1463="夕方",$D1463="夜"),$D1463,"⚠ 不明"))))</f>
        <v/>
      </c>
    </row>
    <row r="1464" customFormat="false" ht="15" hidden="false" customHeight="false" outlineLevel="0" collapsed="false">
      <c r="A1464" s="75"/>
      <c r="B1464" s="76"/>
      <c r="C1464" s="77"/>
      <c r="D1464" s="78"/>
      <c r="E1464" s="77"/>
      <c r="F1464" s="76"/>
      <c r="G1464" s="76"/>
      <c r="I1464" s="79" t="str">
        <f aca="false">IF($B1464="","",IF(ISNUMBER(MATCH($B1464,日別データ!$B$13:$B$32,0)),"✔ OK","⚠ 未登録"))</f>
        <v/>
      </c>
      <c r="J1464" s="80" t="str">
        <f aca="false">IF($B1464="","",IF($D1464="","－",IF(ISNUMBER($D1464),IF(AND($D1464&gt;=1,MOD($D1464,1)=0),"－",IF(MOD($D1464,1)&lt;$L$6,"朝",IF(MOD($D1464,1)&lt;$L$7,"昼",IF(MOD($D1464,1)&lt;$L$8,"夕方","夜")))),IF(OR($D1464="朝",$D1464="昼",$D1464="夕方",$D1464="夜"),$D1464,"⚠ 不明"))))</f>
        <v/>
      </c>
    </row>
    <row r="1465" customFormat="false" ht="15" hidden="false" customHeight="false" outlineLevel="0" collapsed="false">
      <c r="A1465" s="75"/>
      <c r="B1465" s="76"/>
      <c r="C1465" s="77"/>
      <c r="D1465" s="78"/>
      <c r="E1465" s="77"/>
      <c r="F1465" s="76"/>
      <c r="G1465" s="76"/>
      <c r="I1465" s="79" t="str">
        <f aca="false">IF($B1465="","",IF(ISNUMBER(MATCH($B1465,日別データ!$B$13:$B$32,0)),"✔ OK","⚠ 未登録"))</f>
        <v/>
      </c>
      <c r="J1465" s="80" t="str">
        <f aca="false">IF($B1465="","",IF($D1465="","－",IF(ISNUMBER($D1465),IF(AND($D1465&gt;=1,MOD($D1465,1)=0),"－",IF(MOD($D1465,1)&lt;$L$6,"朝",IF(MOD($D1465,1)&lt;$L$7,"昼",IF(MOD($D1465,1)&lt;$L$8,"夕方","夜")))),IF(OR($D1465="朝",$D1465="昼",$D1465="夕方",$D1465="夜"),$D1465,"⚠ 不明"))))</f>
        <v/>
      </c>
    </row>
    <row r="1466" customFormat="false" ht="15" hidden="false" customHeight="false" outlineLevel="0" collapsed="false">
      <c r="A1466" s="75"/>
      <c r="B1466" s="76"/>
      <c r="C1466" s="77"/>
      <c r="D1466" s="78"/>
      <c r="E1466" s="77"/>
      <c r="F1466" s="76"/>
      <c r="G1466" s="76"/>
      <c r="I1466" s="79" t="str">
        <f aca="false">IF($B1466="","",IF(ISNUMBER(MATCH($B1466,日別データ!$B$13:$B$32,0)),"✔ OK","⚠ 未登録"))</f>
        <v/>
      </c>
      <c r="J1466" s="80" t="str">
        <f aca="false">IF($B1466="","",IF($D1466="","－",IF(ISNUMBER($D1466),IF(AND($D1466&gt;=1,MOD($D1466,1)=0),"－",IF(MOD($D1466,1)&lt;$L$6,"朝",IF(MOD($D1466,1)&lt;$L$7,"昼",IF(MOD($D1466,1)&lt;$L$8,"夕方","夜")))),IF(OR($D1466="朝",$D1466="昼",$D1466="夕方",$D1466="夜"),$D1466,"⚠ 不明"))))</f>
        <v/>
      </c>
    </row>
    <row r="1467" customFormat="false" ht="15" hidden="false" customHeight="false" outlineLevel="0" collapsed="false">
      <c r="A1467" s="75"/>
      <c r="B1467" s="76"/>
      <c r="C1467" s="77"/>
      <c r="D1467" s="78"/>
      <c r="E1467" s="77"/>
      <c r="F1467" s="76"/>
      <c r="G1467" s="76"/>
      <c r="I1467" s="79" t="str">
        <f aca="false">IF($B1467="","",IF(ISNUMBER(MATCH($B1467,日別データ!$B$13:$B$32,0)),"✔ OK","⚠ 未登録"))</f>
        <v/>
      </c>
      <c r="J1467" s="80" t="str">
        <f aca="false">IF($B1467="","",IF($D1467="","－",IF(ISNUMBER($D1467),IF(AND($D1467&gt;=1,MOD($D1467,1)=0),"－",IF(MOD($D1467,1)&lt;$L$6,"朝",IF(MOD($D1467,1)&lt;$L$7,"昼",IF(MOD($D1467,1)&lt;$L$8,"夕方","夜")))),IF(OR($D1467="朝",$D1467="昼",$D1467="夕方",$D1467="夜"),$D1467,"⚠ 不明"))))</f>
        <v/>
      </c>
    </row>
    <row r="1468" customFormat="false" ht="15" hidden="false" customHeight="false" outlineLevel="0" collapsed="false">
      <c r="A1468" s="75"/>
      <c r="B1468" s="76"/>
      <c r="C1468" s="77"/>
      <c r="D1468" s="78"/>
      <c r="E1468" s="77"/>
      <c r="F1468" s="76"/>
      <c r="G1468" s="76"/>
      <c r="I1468" s="79" t="str">
        <f aca="false">IF($B1468="","",IF(ISNUMBER(MATCH($B1468,日別データ!$B$13:$B$32,0)),"✔ OK","⚠ 未登録"))</f>
        <v/>
      </c>
      <c r="J1468" s="80" t="str">
        <f aca="false">IF($B1468="","",IF($D1468="","－",IF(ISNUMBER($D1468),IF(AND($D1468&gt;=1,MOD($D1468,1)=0),"－",IF(MOD($D1468,1)&lt;$L$6,"朝",IF(MOD($D1468,1)&lt;$L$7,"昼",IF(MOD($D1468,1)&lt;$L$8,"夕方","夜")))),IF(OR($D1468="朝",$D1468="昼",$D1468="夕方",$D1468="夜"),$D1468,"⚠ 不明"))))</f>
        <v/>
      </c>
    </row>
    <row r="1469" customFormat="false" ht="15" hidden="false" customHeight="false" outlineLevel="0" collapsed="false">
      <c r="A1469" s="75"/>
      <c r="B1469" s="76"/>
      <c r="C1469" s="77"/>
      <c r="D1469" s="78"/>
      <c r="E1469" s="77"/>
      <c r="F1469" s="76"/>
      <c r="G1469" s="76"/>
      <c r="I1469" s="79" t="str">
        <f aca="false">IF($B1469="","",IF(ISNUMBER(MATCH($B1469,日別データ!$B$13:$B$32,0)),"✔ OK","⚠ 未登録"))</f>
        <v/>
      </c>
      <c r="J1469" s="80" t="str">
        <f aca="false">IF($B1469="","",IF($D1469="","－",IF(ISNUMBER($D1469),IF(AND($D1469&gt;=1,MOD($D1469,1)=0),"－",IF(MOD($D1469,1)&lt;$L$6,"朝",IF(MOD($D1469,1)&lt;$L$7,"昼",IF(MOD($D1469,1)&lt;$L$8,"夕方","夜")))),IF(OR($D1469="朝",$D1469="昼",$D1469="夕方",$D1469="夜"),$D1469,"⚠ 不明"))))</f>
        <v/>
      </c>
    </row>
    <row r="1470" customFormat="false" ht="15" hidden="false" customHeight="false" outlineLevel="0" collapsed="false">
      <c r="A1470" s="75"/>
      <c r="B1470" s="76"/>
      <c r="C1470" s="77"/>
      <c r="D1470" s="78"/>
      <c r="E1470" s="77"/>
      <c r="F1470" s="76"/>
      <c r="G1470" s="76"/>
      <c r="I1470" s="79" t="str">
        <f aca="false">IF($B1470="","",IF(ISNUMBER(MATCH($B1470,日別データ!$B$13:$B$32,0)),"✔ OK","⚠ 未登録"))</f>
        <v/>
      </c>
      <c r="J1470" s="80" t="str">
        <f aca="false">IF($B1470="","",IF($D1470="","－",IF(ISNUMBER($D1470),IF(AND($D1470&gt;=1,MOD($D1470,1)=0),"－",IF(MOD($D1470,1)&lt;$L$6,"朝",IF(MOD($D1470,1)&lt;$L$7,"昼",IF(MOD($D1470,1)&lt;$L$8,"夕方","夜")))),IF(OR($D1470="朝",$D1470="昼",$D1470="夕方",$D1470="夜"),$D1470,"⚠ 不明"))))</f>
        <v/>
      </c>
    </row>
    <row r="1471" customFormat="false" ht="15" hidden="false" customHeight="false" outlineLevel="0" collapsed="false">
      <c r="A1471" s="75"/>
      <c r="B1471" s="76"/>
      <c r="C1471" s="77"/>
      <c r="D1471" s="78"/>
      <c r="E1471" s="77"/>
      <c r="F1471" s="76"/>
      <c r="G1471" s="76"/>
      <c r="I1471" s="79" t="str">
        <f aca="false">IF($B1471="","",IF(ISNUMBER(MATCH($B1471,日別データ!$B$13:$B$32,0)),"✔ OK","⚠ 未登録"))</f>
        <v/>
      </c>
      <c r="J1471" s="80" t="str">
        <f aca="false">IF($B1471="","",IF($D1471="","－",IF(ISNUMBER($D1471),IF(AND($D1471&gt;=1,MOD($D1471,1)=0),"－",IF(MOD($D1471,1)&lt;$L$6,"朝",IF(MOD($D1471,1)&lt;$L$7,"昼",IF(MOD($D1471,1)&lt;$L$8,"夕方","夜")))),IF(OR($D1471="朝",$D1471="昼",$D1471="夕方",$D1471="夜"),$D1471,"⚠ 不明"))))</f>
        <v/>
      </c>
    </row>
    <row r="1472" customFormat="false" ht="15" hidden="false" customHeight="false" outlineLevel="0" collapsed="false">
      <c r="A1472" s="75"/>
      <c r="B1472" s="76"/>
      <c r="C1472" s="77"/>
      <c r="D1472" s="78"/>
      <c r="E1472" s="77"/>
      <c r="F1472" s="76"/>
      <c r="G1472" s="76"/>
      <c r="I1472" s="79" t="str">
        <f aca="false">IF($B1472="","",IF(ISNUMBER(MATCH($B1472,日別データ!$B$13:$B$32,0)),"✔ OK","⚠ 未登録"))</f>
        <v/>
      </c>
      <c r="J1472" s="80" t="str">
        <f aca="false">IF($B1472="","",IF($D1472="","－",IF(ISNUMBER($D1472),IF(AND($D1472&gt;=1,MOD($D1472,1)=0),"－",IF(MOD($D1472,1)&lt;$L$6,"朝",IF(MOD($D1472,1)&lt;$L$7,"昼",IF(MOD($D1472,1)&lt;$L$8,"夕方","夜")))),IF(OR($D1472="朝",$D1472="昼",$D1472="夕方",$D1472="夜"),$D1472,"⚠ 不明"))))</f>
        <v/>
      </c>
    </row>
    <row r="1473" customFormat="false" ht="15" hidden="false" customHeight="false" outlineLevel="0" collapsed="false">
      <c r="A1473" s="75"/>
      <c r="B1473" s="76"/>
      <c r="C1473" s="77"/>
      <c r="D1473" s="78"/>
      <c r="E1473" s="77"/>
      <c r="F1473" s="76"/>
      <c r="G1473" s="76"/>
      <c r="I1473" s="79" t="str">
        <f aca="false">IF($B1473="","",IF(ISNUMBER(MATCH($B1473,日別データ!$B$13:$B$32,0)),"✔ OK","⚠ 未登録"))</f>
        <v/>
      </c>
      <c r="J1473" s="80" t="str">
        <f aca="false">IF($B1473="","",IF($D1473="","－",IF(ISNUMBER($D1473),IF(AND($D1473&gt;=1,MOD($D1473,1)=0),"－",IF(MOD($D1473,1)&lt;$L$6,"朝",IF(MOD($D1473,1)&lt;$L$7,"昼",IF(MOD($D1473,1)&lt;$L$8,"夕方","夜")))),IF(OR($D1473="朝",$D1473="昼",$D1473="夕方",$D1473="夜"),$D1473,"⚠ 不明"))))</f>
        <v/>
      </c>
    </row>
    <row r="1474" customFormat="false" ht="15" hidden="false" customHeight="false" outlineLevel="0" collapsed="false">
      <c r="A1474" s="75"/>
      <c r="B1474" s="76"/>
      <c r="C1474" s="77"/>
      <c r="D1474" s="78"/>
      <c r="E1474" s="77"/>
      <c r="F1474" s="76"/>
      <c r="G1474" s="76"/>
      <c r="I1474" s="79" t="str">
        <f aca="false">IF($B1474="","",IF(ISNUMBER(MATCH($B1474,日別データ!$B$13:$B$32,0)),"✔ OK","⚠ 未登録"))</f>
        <v/>
      </c>
      <c r="J1474" s="80" t="str">
        <f aca="false">IF($B1474="","",IF($D1474="","－",IF(ISNUMBER($D1474),IF(AND($D1474&gt;=1,MOD($D1474,1)=0),"－",IF(MOD($D1474,1)&lt;$L$6,"朝",IF(MOD($D1474,1)&lt;$L$7,"昼",IF(MOD($D1474,1)&lt;$L$8,"夕方","夜")))),IF(OR($D1474="朝",$D1474="昼",$D1474="夕方",$D1474="夜"),$D1474,"⚠ 不明"))))</f>
        <v/>
      </c>
    </row>
    <row r="1475" customFormat="false" ht="15" hidden="false" customHeight="false" outlineLevel="0" collapsed="false">
      <c r="A1475" s="75"/>
      <c r="B1475" s="76"/>
      <c r="C1475" s="77"/>
      <c r="D1475" s="78"/>
      <c r="E1475" s="77"/>
      <c r="F1475" s="76"/>
      <c r="G1475" s="76"/>
      <c r="I1475" s="79" t="str">
        <f aca="false">IF($B1475="","",IF(ISNUMBER(MATCH($B1475,日別データ!$B$13:$B$32,0)),"✔ OK","⚠ 未登録"))</f>
        <v/>
      </c>
      <c r="J1475" s="80" t="str">
        <f aca="false">IF($B1475="","",IF($D1475="","－",IF(ISNUMBER($D1475),IF(AND($D1475&gt;=1,MOD($D1475,1)=0),"－",IF(MOD($D1475,1)&lt;$L$6,"朝",IF(MOD($D1475,1)&lt;$L$7,"昼",IF(MOD($D1475,1)&lt;$L$8,"夕方","夜")))),IF(OR($D1475="朝",$D1475="昼",$D1475="夕方",$D1475="夜"),$D1475,"⚠ 不明"))))</f>
        <v/>
      </c>
    </row>
    <row r="1476" customFormat="false" ht="15" hidden="false" customHeight="false" outlineLevel="0" collapsed="false">
      <c r="A1476" s="75"/>
      <c r="B1476" s="76"/>
      <c r="C1476" s="77"/>
      <c r="D1476" s="78"/>
      <c r="E1476" s="77"/>
      <c r="F1476" s="76"/>
      <c r="G1476" s="76"/>
      <c r="I1476" s="79" t="str">
        <f aca="false">IF($B1476="","",IF(ISNUMBER(MATCH($B1476,日別データ!$B$13:$B$32,0)),"✔ OK","⚠ 未登録"))</f>
        <v/>
      </c>
      <c r="J1476" s="80" t="str">
        <f aca="false">IF($B1476="","",IF($D1476="","－",IF(ISNUMBER($D1476),IF(AND($D1476&gt;=1,MOD($D1476,1)=0),"－",IF(MOD($D1476,1)&lt;$L$6,"朝",IF(MOD($D1476,1)&lt;$L$7,"昼",IF(MOD($D1476,1)&lt;$L$8,"夕方","夜")))),IF(OR($D1476="朝",$D1476="昼",$D1476="夕方",$D1476="夜"),$D1476,"⚠ 不明"))))</f>
        <v/>
      </c>
    </row>
    <row r="1477" customFormat="false" ht="15" hidden="false" customHeight="false" outlineLevel="0" collapsed="false">
      <c r="A1477" s="75"/>
      <c r="B1477" s="76"/>
      <c r="C1477" s="77"/>
      <c r="D1477" s="78"/>
      <c r="E1477" s="77"/>
      <c r="F1477" s="76"/>
      <c r="G1477" s="76"/>
      <c r="I1477" s="79" t="str">
        <f aca="false">IF($B1477="","",IF(ISNUMBER(MATCH($B1477,日別データ!$B$13:$B$32,0)),"✔ OK","⚠ 未登録"))</f>
        <v/>
      </c>
      <c r="J1477" s="80" t="str">
        <f aca="false">IF($B1477="","",IF($D1477="","－",IF(ISNUMBER($D1477),IF(AND($D1477&gt;=1,MOD($D1477,1)=0),"－",IF(MOD($D1477,1)&lt;$L$6,"朝",IF(MOD($D1477,1)&lt;$L$7,"昼",IF(MOD($D1477,1)&lt;$L$8,"夕方","夜")))),IF(OR($D1477="朝",$D1477="昼",$D1477="夕方",$D1477="夜"),$D1477,"⚠ 不明"))))</f>
        <v/>
      </c>
    </row>
    <row r="1478" customFormat="false" ht="15" hidden="false" customHeight="false" outlineLevel="0" collapsed="false">
      <c r="A1478" s="75"/>
      <c r="B1478" s="76"/>
      <c r="C1478" s="77"/>
      <c r="D1478" s="78"/>
      <c r="E1478" s="77"/>
      <c r="F1478" s="76"/>
      <c r="G1478" s="76"/>
      <c r="I1478" s="79" t="str">
        <f aca="false">IF($B1478="","",IF(ISNUMBER(MATCH($B1478,日別データ!$B$13:$B$32,0)),"✔ OK","⚠ 未登録"))</f>
        <v/>
      </c>
      <c r="J1478" s="80" t="str">
        <f aca="false">IF($B1478="","",IF($D1478="","－",IF(ISNUMBER($D1478),IF(AND($D1478&gt;=1,MOD($D1478,1)=0),"－",IF(MOD($D1478,1)&lt;$L$6,"朝",IF(MOD($D1478,1)&lt;$L$7,"昼",IF(MOD($D1478,1)&lt;$L$8,"夕方","夜")))),IF(OR($D1478="朝",$D1478="昼",$D1478="夕方",$D1478="夜"),$D1478,"⚠ 不明"))))</f>
        <v/>
      </c>
    </row>
    <row r="1479" customFormat="false" ht="15" hidden="false" customHeight="false" outlineLevel="0" collapsed="false">
      <c r="A1479" s="75"/>
      <c r="B1479" s="76"/>
      <c r="C1479" s="77"/>
      <c r="D1479" s="78"/>
      <c r="E1479" s="77"/>
      <c r="F1479" s="76"/>
      <c r="G1479" s="76"/>
      <c r="I1479" s="79" t="str">
        <f aca="false">IF($B1479="","",IF(ISNUMBER(MATCH($B1479,日別データ!$B$13:$B$32,0)),"✔ OK","⚠ 未登録"))</f>
        <v/>
      </c>
      <c r="J1479" s="80" t="str">
        <f aca="false">IF($B1479="","",IF($D1479="","－",IF(ISNUMBER($D1479),IF(AND($D1479&gt;=1,MOD($D1479,1)=0),"－",IF(MOD($D1479,1)&lt;$L$6,"朝",IF(MOD($D1479,1)&lt;$L$7,"昼",IF(MOD($D1479,1)&lt;$L$8,"夕方","夜")))),IF(OR($D1479="朝",$D1479="昼",$D1479="夕方",$D1479="夜"),$D1479,"⚠ 不明"))))</f>
        <v/>
      </c>
    </row>
    <row r="1480" customFormat="false" ht="15" hidden="false" customHeight="false" outlineLevel="0" collapsed="false">
      <c r="A1480" s="75"/>
      <c r="B1480" s="76"/>
      <c r="C1480" s="77"/>
      <c r="D1480" s="78"/>
      <c r="E1480" s="77"/>
      <c r="F1480" s="76"/>
      <c r="G1480" s="76"/>
      <c r="I1480" s="79" t="str">
        <f aca="false">IF($B1480="","",IF(ISNUMBER(MATCH($B1480,日別データ!$B$13:$B$32,0)),"✔ OK","⚠ 未登録"))</f>
        <v/>
      </c>
      <c r="J1480" s="80" t="str">
        <f aca="false">IF($B1480="","",IF($D1480="","－",IF(ISNUMBER($D1480),IF(AND($D1480&gt;=1,MOD($D1480,1)=0),"－",IF(MOD($D1480,1)&lt;$L$6,"朝",IF(MOD($D1480,1)&lt;$L$7,"昼",IF(MOD($D1480,1)&lt;$L$8,"夕方","夜")))),IF(OR($D1480="朝",$D1480="昼",$D1480="夕方",$D1480="夜"),$D1480,"⚠ 不明"))))</f>
        <v/>
      </c>
    </row>
    <row r="1481" customFormat="false" ht="15" hidden="false" customHeight="false" outlineLevel="0" collapsed="false">
      <c r="A1481" s="75"/>
      <c r="B1481" s="76"/>
      <c r="C1481" s="77"/>
      <c r="D1481" s="78"/>
      <c r="E1481" s="77"/>
      <c r="F1481" s="76"/>
      <c r="G1481" s="76"/>
      <c r="I1481" s="79" t="str">
        <f aca="false">IF($B1481="","",IF(ISNUMBER(MATCH($B1481,日別データ!$B$13:$B$32,0)),"✔ OK","⚠ 未登録"))</f>
        <v/>
      </c>
      <c r="J1481" s="80" t="str">
        <f aca="false">IF($B1481="","",IF($D1481="","－",IF(ISNUMBER($D1481),IF(AND($D1481&gt;=1,MOD($D1481,1)=0),"－",IF(MOD($D1481,1)&lt;$L$6,"朝",IF(MOD($D1481,1)&lt;$L$7,"昼",IF(MOD($D1481,1)&lt;$L$8,"夕方","夜")))),IF(OR($D1481="朝",$D1481="昼",$D1481="夕方",$D1481="夜"),$D1481,"⚠ 不明"))))</f>
        <v/>
      </c>
    </row>
    <row r="1482" customFormat="false" ht="15" hidden="false" customHeight="false" outlineLevel="0" collapsed="false">
      <c r="A1482" s="75"/>
      <c r="B1482" s="76"/>
      <c r="C1482" s="77"/>
      <c r="D1482" s="78"/>
      <c r="E1482" s="77"/>
      <c r="F1482" s="76"/>
      <c r="G1482" s="76"/>
      <c r="I1482" s="79" t="str">
        <f aca="false">IF($B1482="","",IF(ISNUMBER(MATCH($B1482,日別データ!$B$13:$B$32,0)),"✔ OK","⚠ 未登録"))</f>
        <v/>
      </c>
      <c r="J1482" s="80" t="str">
        <f aca="false">IF($B1482="","",IF($D1482="","－",IF(ISNUMBER($D1482),IF(AND($D1482&gt;=1,MOD($D1482,1)=0),"－",IF(MOD($D1482,1)&lt;$L$6,"朝",IF(MOD($D1482,1)&lt;$L$7,"昼",IF(MOD($D1482,1)&lt;$L$8,"夕方","夜")))),IF(OR($D1482="朝",$D1482="昼",$D1482="夕方",$D1482="夜"),$D1482,"⚠ 不明"))))</f>
        <v/>
      </c>
    </row>
    <row r="1483" customFormat="false" ht="15" hidden="false" customHeight="false" outlineLevel="0" collapsed="false">
      <c r="A1483" s="75"/>
      <c r="B1483" s="76"/>
      <c r="C1483" s="77"/>
      <c r="D1483" s="78"/>
      <c r="E1483" s="77"/>
      <c r="F1483" s="76"/>
      <c r="G1483" s="76"/>
      <c r="I1483" s="79" t="str">
        <f aca="false">IF($B1483="","",IF(ISNUMBER(MATCH($B1483,日別データ!$B$13:$B$32,0)),"✔ OK","⚠ 未登録"))</f>
        <v/>
      </c>
      <c r="J1483" s="80" t="str">
        <f aca="false">IF($B1483="","",IF($D1483="","－",IF(ISNUMBER($D1483),IF(AND($D1483&gt;=1,MOD($D1483,1)=0),"－",IF(MOD($D1483,1)&lt;$L$6,"朝",IF(MOD($D1483,1)&lt;$L$7,"昼",IF(MOD($D1483,1)&lt;$L$8,"夕方","夜")))),IF(OR($D1483="朝",$D1483="昼",$D1483="夕方",$D1483="夜"),$D1483,"⚠ 不明"))))</f>
        <v/>
      </c>
    </row>
    <row r="1484" customFormat="false" ht="15" hidden="false" customHeight="false" outlineLevel="0" collapsed="false">
      <c r="A1484" s="75"/>
      <c r="B1484" s="76"/>
      <c r="C1484" s="77"/>
      <c r="D1484" s="78"/>
      <c r="E1484" s="77"/>
      <c r="F1484" s="76"/>
      <c r="G1484" s="76"/>
      <c r="I1484" s="79" t="str">
        <f aca="false">IF($B1484="","",IF(ISNUMBER(MATCH($B1484,日別データ!$B$13:$B$32,0)),"✔ OK","⚠ 未登録"))</f>
        <v/>
      </c>
      <c r="J1484" s="80" t="str">
        <f aca="false">IF($B1484="","",IF($D1484="","－",IF(ISNUMBER($D1484),IF(AND($D1484&gt;=1,MOD($D1484,1)=0),"－",IF(MOD($D1484,1)&lt;$L$6,"朝",IF(MOD($D1484,1)&lt;$L$7,"昼",IF(MOD($D1484,1)&lt;$L$8,"夕方","夜")))),IF(OR($D1484="朝",$D1484="昼",$D1484="夕方",$D1484="夜"),$D1484,"⚠ 不明"))))</f>
        <v/>
      </c>
    </row>
    <row r="1485" customFormat="false" ht="15" hidden="false" customHeight="false" outlineLevel="0" collapsed="false">
      <c r="A1485" s="75"/>
      <c r="B1485" s="76"/>
      <c r="C1485" s="77"/>
      <c r="D1485" s="78"/>
      <c r="E1485" s="77"/>
      <c r="F1485" s="76"/>
      <c r="G1485" s="76"/>
      <c r="I1485" s="79" t="str">
        <f aca="false">IF($B1485="","",IF(ISNUMBER(MATCH($B1485,日別データ!$B$13:$B$32,0)),"✔ OK","⚠ 未登録"))</f>
        <v/>
      </c>
      <c r="J1485" s="80" t="str">
        <f aca="false">IF($B1485="","",IF($D1485="","－",IF(ISNUMBER($D1485),IF(AND($D1485&gt;=1,MOD($D1485,1)=0),"－",IF(MOD($D1485,1)&lt;$L$6,"朝",IF(MOD($D1485,1)&lt;$L$7,"昼",IF(MOD($D1485,1)&lt;$L$8,"夕方","夜")))),IF(OR($D1485="朝",$D1485="昼",$D1485="夕方",$D1485="夜"),$D1485,"⚠ 不明"))))</f>
        <v/>
      </c>
    </row>
    <row r="1486" customFormat="false" ht="15" hidden="false" customHeight="false" outlineLevel="0" collapsed="false">
      <c r="A1486" s="75"/>
      <c r="B1486" s="76"/>
      <c r="C1486" s="77"/>
      <c r="D1486" s="78"/>
      <c r="E1486" s="77"/>
      <c r="F1486" s="76"/>
      <c r="G1486" s="76"/>
      <c r="I1486" s="79" t="str">
        <f aca="false">IF($B1486="","",IF(ISNUMBER(MATCH($B1486,日別データ!$B$13:$B$32,0)),"✔ OK","⚠ 未登録"))</f>
        <v/>
      </c>
      <c r="J1486" s="80" t="str">
        <f aca="false">IF($B1486="","",IF($D1486="","－",IF(ISNUMBER($D1486),IF(AND($D1486&gt;=1,MOD($D1486,1)=0),"－",IF(MOD($D1486,1)&lt;$L$6,"朝",IF(MOD($D1486,1)&lt;$L$7,"昼",IF(MOD($D1486,1)&lt;$L$8,"夕方","夜")))),IF(OR($D1486="朝",$D1486="昼",$D1486="夕方",$D1486="夜"),$D1486,"⚠ 不明"))))</f>
        <v/>
      </c>
    </row>
    <row r="1487" customFormat="false" ht="15" hidden="false" customHeight="false" outlineLevel="0" collapsed="false">
      <c r="A1487" s="75"/>
      <c r="B1487" s="76"/>
      <c r="C1487" s="77"/>
      <c r="D1487" s="78"/>
      <c r="E1487" s="77"/>
      <c r="F1487" s="76"/>
      <c r="G1487" s="76"/>
      <c r="I1487" s="79" t="str">
        <f aca="false">IF($B1487="","",IF(ISNUMBER(MATCH($B1487,日別データ!$B$13:$B$32,0)),"✔ OK","⚠ 未登録"))</f>
        <v/>
      </c>
      <c r="J1487" s="80" t="str">
        <f aca="false">IF($B1487="","",IF($D1487="","－",IF(ISNUMBER($D1487),IF(AND($D1487&gt;=1,MOD($D1487,1)=0),"－",IF(MOD($D1487,1)&lt;$L$6,"朝",IF(MOD($D1487,1)&lt;$L$7,"昼",IF(MOD($D1487,1)&lt;$L$8,"夕方","夜")))),IF(OR($D1487="朝",$D1487="昼",$D1487="夕方",$D1487="夜"),$D1487,"⚠ 不明"))))</f>
        <v/>
      </c>
    </row>
    <row r="1488" customFormat="false" ht="15" hidden="false" customHeight="false" outlineLevel="0" collapsed="false">
      <c r="A1488" s="75"/>
      <c r="B1488" s="76"/>
      <c r="C1488" s="77"/>
      <c r="D1488" s="78"/>
      <c r="E1488" s="77"/>
      <c r="F1488" s="76"/>
      <c r="G1488" s="76"/>
      <c r="I1488" s="79" t="str">
        <f aca="false">IF($B1488="","",IF(ISNUMBER(MATCH($B1488,日別データ!$B$13:$B$32,0)),"✔ OK","⚠ 未登録"))</f>
        <v/>
      </c>
      <c r="J1488" s="80" t="str">
        <f aca="false">IF($B1488="","",IF($D1488="","－",IF(ISNUMBER($D1488),IF(AND($D1488&gt;=1,MOD($D1488,1)=0),"－",IF(MOD($D1488,1)&lt;$L$6,"朝",IF(MOD($D1488,1)&lt;$L$7,"昼",IF(MOD($D1488,1)&lt;$L$8,"夕方","夜")))),IF(OR($D1488="朝",$D1488="昼",$D1488="夕方",$D1488="夜"),$D1488,"⚠ 不明"))))</f>
        <v/>
      </c>
    </row>
    <row r="1489" customFormat="false" ht="15" hidden="false" customHeight="false" outlineLevel="0" collapsed="false">
      <c r="A1489" s="75"/>
      <c r="B1489" s="76"/>
      <c r="C1489" s="77"/>
      <c r="D1489" s="78"/>
      <c r="E1489" s="77"/>
      <c r="F1489" s="76"/>
      <c r="G1489" s="76"/>
      <c r="I1489" s="79" t="str">
        <f aca="false">IF($B1489="","",IF(ISNUMBER(MATCH($B1489,日別データ!$B$13:$B$32,0)),"✔ OK","⚠ 未登録"))</f>
        <v/>
      </c>
      <c r="J1489" s="80" t="str">
        <f aca="false">IF($B1489="","",IF($D1489="","－",IF(ISNUMBER($D1489),IF(AND($D1489&gt;=1,MOD($D1489,1)=0),"－",IF(MOD($D1489,1)&lt;$L$6,"朝",IF(MOD($D1489,1)&lt;$L$7,"昼",IF(MOD($D1489,1)&lt;$L$8,"夕方","夜")))),IF(OR($D1489="朝",$D1489="昼",$D1489="夕方",$D1489="夜"),$D1489,"⚠ 不明"))))</f>
        <v/>
      </c>
    </row>
    <row r="1490" customFormat="false" ht="15" hidden="false" customHeight="false" outlineLevel="0" collapsed="false">
      <c r="A1490" s="75"/>
      <c r="B1490" s="76"/>
      <c r="C1490" s="77"/>
      <c r="D1490" s="78"/>
      <c r="E1490" s="77"/>
      <c r="F1490" s="76"/>
      <c r="G1490" s="76"/>
      <c r="I1490" s="79" t="str">
        <f aca="false">IF($B1490="","",IF(ISNUMBER(MATCH($B1490,日別データ!$B$13:$B$32,0)),"✔ OK","⚠ 未登録"))</f>
        <v/>
      </c>
      <c r="J1490" s="80" t="str">
        <f aca="false">IF($B1490="","",IF($D1490="","－",IF(ISNUMBER($D1490),IF(AND($D1490&gt;=1,MOD($D1490,1)=0),"－",IF(MOD($D1490,1)&lt;$L$6,"朝",IF(MOD($D1490,1)&lt;$L$7,"昼",IF(MOD($D1490,1)&lt;$L$8,"夕方","夜")))),IF(OR($D1490="朝",$D1490="昼",$D1490="夕方",$D1490="夜"),$D1490,"⚠ 不明"))))</f>
        <v/>
      </c>
    </row>
    <row r="1491" customFormat="false" ht="15" hidden="false" customHeight="false" outlineLevel="0" collapsed="false">
      <c r="A1491" s="75"/>
      <c r="B1491" s="76"/>
      <c r="C1491" s="77"/>
      <c r="D1491" s="78"/>
      <c r="E1491" s="77"/>
      <c r="F1491" s="76"/>
      <c r="G1491" s="76"/>
      <c r="I1491" s="79" t="str">
        <f aca="false">IF($B1491="","",IF(ISNUMBER(MATCH($B1491,日別データ!$B$13:$B$32,0)),"✔ OK","⚠ 未登録"))</f>
        <v/>
      </c>
      <c r="J1491" s="80" t="str">
        <f aca="false">IF($B1491="","",IF($D1491="","－",IF(ISNUMBER($D1491),IF(AND($D1491&gt;=1,MOD($D1491,1)=0),"－",IF(MOD($D1491,1)&lt;$L$6,"朝",IF(MOD($D1491,1)&lt;$L$7,"昼",IF(MOD($D1491,1)&lt;$L$8,"夕方","夜")))),IF(OR($D1491="朝",$D1491="昼",$D1491="夕方",$D1491="夜"),$D1491,"⚠ 不明"))))</f>
        <v/>
      </c>
    </row>
    <row r="1492" customFormat="false" ht="15" hidden="false" customHeight="false" outlineLevel="0" collapsed="false">
      <c r="A1492" s="75"/>
      <c r="B1492" s="76"/>
      <c r="C1492" s="77"/>
      <c r="D1492" s="78"/>
      <c r="E1492" s="77"/>
      <c r="F1492" s="76"/>
      <c r="G1492" s="76"/>
      <c r="I1492" s="79" t="str">
        <f aca="false">IF($B1492="","",IF(ISNUMBER(MATCH($B1492,日別データ!$B$13:$B$32,0)),"✔ OK","⚠ 未登録"))</f>
        <v/>
      </c>
      <c r="J1492" s="80" t="str">
        <f aca="false">IF($B1492="","",IF($D1492="","－",IF(ISNUMBER($D1492),IF(AND($D1492&gt;=1,MOD($D1492,1)=0),"－",IF(MOD($D1492,1)&lt;$L$6,"朝",IF(MOD($D1492,1)&lt;$L$7,"昼",IF(MOD($D1492,1)&lt;$L$8,"夕方","夜")))),IF(OR($D1492="朝",$D1492="昼",$D1492="夕方",$D1492="夜"),$D1492,"⚠ 不明"))))</f>
        <v/>
      </c>
    </row>
    <row r="1493" customFormat="false" ht="15" hidden="false" customHeight="false" outlineLevel="0" collapsed="false">
      <c r="A1493" s="75"/>
      <c r="B1493" s="76"/>
      <c r="C1493" s="77"/>
      <c r="D1493" s="78"/>
      <c r="E1493" s="77"/>
      <c r="F1493" s="76"/>
      <c r="G1493" s="76"/>
      <c r="I1493" s="79" t="str">
        <f aca="false">IF($B1493="","",IF(ISNUMBER(MATCH($B1493,日別データ!$B$13:$B$32,0)),"✔ OK","⚠ 未登録"))</f>
        <v/>
      </c>
      <c r="J1493" s="80" t="str">
        <f aca="false">IF($B1493="","",IF($D1493="","－",IF(ISNUMBER($D1493),IF(AND($D1493&gt;=1,MOD($D1493,1)=0),"－",IF(MOD($D1493,1)&lt;$L$6,"朝",IF(MOD($D1493,1)&lt;$L$7,"昼",IF(MOD($D1493,1)&lt;$L$8,"夕方","夜")))),IF(OR($D1493="朝",$D1493="昼",$D1493="夕方",$D1493="夜"),$D1493,"⚠ 不明"))))</f>
        <v/>
      </c>
    </row>
    <row r="1494" customFormat="false" ht="15" hidden="false" customHeight="false" outlineLevel="0" collapsed="false">
      <c r="A1494" s="75"/>
      <c r="B1494" s="76"/>
      <c r="C1494" s="77"/>
      <c r="D1494" s="78"/>
      <c r="E1494" s="77"/>
      <c r="F1494" s="76"/>
      <c r="G1494" s="76"/>
      <c r="I1494" s="79" t="str">
        <f aca="false">IF($B1494="","",IF(ISNUMBER(MATCH($B1494,日別データ!$B$13:$B$32,0)),"✔ OK","⚠ 未登録"))</f>
        <v/>
      </c>
      <c r="J1494" s="80" t="str">
        <f aca="false">IF($B1494="","",IF($D1494="","－",IF(ISNUMBER($D1494),IF(AND($D1494&gt;=1,MOD($D1494,1)=0),"－",IF(MOD($D1494,1)&lt;$L$6,"朝",IF(MOD($D1494,1)&lt;$L$7,"昼",IF(MOD($D1494,1)&lt;$L$8,"夕方","夜")))),IF(OR($D1494="朝",$D1494="昼",$D1494="夕方",$D1494="夜"),$D1494,"⚠ 不明"))))</f>
        <v/>
      </c>
    </row>
    <row r="1495" customFormat="false" ht="15" hidden="false" customHeight="false" outlineLevel="0" collapsed="false">
      <c r="A1495" s="75"/>
      <c r="B1495" s="76"/>
      <c r="C1495" s="77"/>
      <c r="D1495" s="78"/>
      <c r="E1495" s="77"/>
      <c r="F1495" s="76"/>
      <c r="G1495" s="76"/>
      <c r="I1495" s="79" t="str">
        <f aca="false">IF($B1495="","",IF(ISNUMBER(MATCH($B1495,日別データ!$B$13:$B$32,0)),"✔ OK","⚠ 未登録"))</f>
        <v/>
      </c>
      <c r="J1495" s="80" t="str">
        <f aca="false">IF($B1495="","",IF($D1495="","－",IF(ISNUMBER($D1495),IF(AND($D1495&gt;=1,MOD($D1495,1)=0),"－",IF(MOD($D1495,1)&lt;$L$6,"朝",IF(MOD($D1495,1)&lt;$L$7,"昼",IF(MOD($D1495,1)&lt;$L$8,"夕方","夜")))),IF(OR($D1495="朝",$D1495="昼",$D1495="夕方",$D1495="夜"),$D1495,"⚠ 不明"))))</f>
        <v/>
      </c>
    </row>
    <row r="1496" customFormat="false" ht="15" hidden="false" customHeight="false" outlineLevel="0" collapsed="false">
      <c r="A1496" s="75"/>
      <c r="B1496" s="76"/>
      <c r="C1496" s="77"/>
      <c r="D1496" s="78"/>
      <c r="E1496" s="77"/>
      <c r="F1496" s="76"/>
      <c r="G1496" s="76"/>
      <c r="I1496" s="79" t="str">
        <f aca="false">IF($B1496="","",IF(ISNUMBER(MATCH($B1496,日別データ!$B$13:$B$32,0)),"✔ OK","⚠ 未登録"))</f>
        <v/>
      </c>
      <c r="J1496" s="80" t="str">
        <f aca="false">IF($B1496="","",IF($D1496="","－",IF(ISNUMBER($D1496),IF(AND($D1496&gt;=1,MOD($D1496,1)=0),"－",IF(MOD($D1496,1)&lt;$L$6,"朝",IF(MOD($D1496,1)&lt;$L$7,"昼",IF(MOD($D1496,1)&lt;$L$8,"夕方","夜")))),IF(OR($D1496="朝",$D1496="昼",$D1496="夕方",$D1496="夜"),$D1496,"⚠ 不明"))))</f>
        <v/>
      </c>
    </row>
    <row r="1497" customFormat="false" ht="15" hidden="false" customHeight="false" outlineLevel="0" collapsed="false">
      <c r="A1497" s="75"/>
      <c r="B1497" s="76"/>
      <c r="C1497" s="77"/>
      <c r="D1497" s="78"/>
      <c r="E1497" s="77"/>
      <c r="F1497" s="76"/>
      <c r="G1497" s="76"/>
      <c r="I1497" s="79" t="str">
        <f aca="false">IF($B1497="","",IF(ISNUMBER(MATCH($B1497,日別データ!$B$13:$B$32,0)),"✔ OK","⚠ 未登録"))</f>
        <v/>
      </c>
      <c r="J1497" s="80" t="str">
        <f aca="false">IF($B1497="","",IF($D1497="","－",IF(ISNUMBER($D1497),IF(AND($D1497&gt;=1,MOD($D1497,1)=0),"－",IF(MOD($D1497,1)&lt;$L$6,"朝",IF(MOD($D1497,1)&lt;$L$7,"昼",IF(MOD($D1497,1)&lt;$L$8,"夕方","夜")))),IF(OR($D1497="朝",$D1497="昼",$D1497="夕方",$D1497="夜"),$D1497,"⚠ 不明"))))</f>
        <v/>
      </c>
    </row>
    <row r="1498" customFormat="false" ht="15" hidden="false" customHeight="false" outlineLevel="0" collapsed="false">
      <c r="A1498" s="75"/>
      <c r="B1498" s="76"/>
      <c r="C1498" s="77"/>
      <c r="D1498" s="78"/>
      <c r="E1498" s="77"/>
      <c r="F1498" s="76"/>
      <c r="G1498" s="76"/>
      <c r="I1498" s="79" t="str">
        <f aca="false">IF($B1498="","",IF(ISNUMBER(MATCH($B1498,日別データ!$B$13:$B$32,0)),"✔ OK","⚠ 未登録"))</f>
        <v/>
      </c>
      <c r="J1498" s="80" t="str">
        <f aca="false">IF($B1498="","",IF($D1498="","－",IF(ISNUMBER($D1498),IF(AND($D1498&gt;=1,MOD($D1498,1)=0),"－",IF(MOD($D1498,1)&lt;$L$6,"朝",IF(MOD($D1498,1)&lt;$L$7,"昼",IF(MOD($D1498,1)&lt;$L$8,"夕方","夜")))),IF(OR($D1498="朝",$D1498="昼",$D1498="夕方",$D1498="夜"),$D1498,"⚠ 不明"))))</f>
        <v/>
      </c>
    </row>
    <row r="1499" customFormat="false" ht="15" hidden="false" customHeight="false" outlineLevel="0" collapsed="false">
      <c r="A1499" s="75"/>
      <c r="B1499" s="76"/>
      <c r="C1499" s="77"/>
      <c r="D1499" s="78"/>
      <c r="E1499" s="77"/>
      <c r="F1499" s="76"/>
      <c r="G1499" s="76"/>
      <c r="I1499" s="79" t="str">
        <f aca="false">IF($B1499="","",IF(ISNUMBER(MATCH($B1499,日別データ!$B$13:$B$32,0)),"✔ OK","⚠ 未登録"))</f>
        <v/>
      </c>
      <c r="J1499" s="80" t="str">
        <f aca="false">IF($B1499="","",IF($D1499="","－",IF(ISNUMBER($D1499),IF(AND($D1499&gt;=1,MOD($D1499,1)=0),"－",IF(MOD($D1499,1)&lt;$L$6,"朝",IF(MOD($D1499,1)&lt;$L$7,"昼",IF(MOD($D1499,1)&lt;$L$8,"夕方","夜")))),IF(OR($D1499="朝",$D1499="昼",$D1499="夕方",$D1499="夜"),$D1499,"⚠ 不明"))))</f>
        <v/>
      </c>
    </row>
    <row r="1500" customFormat="false" ht="15" hidden="false" customHeight="false" outlineLevel="0" collapsed="false">
      <c r="A1500" s="75"/>
      <c r="B1500" s="76"/>
      <c r="C1500" s="77"/>
      <c r="D1500" s="78"/>
      <c r="E1500" s="77"/>
      <c r="F1500" s="76"/>
      <c r="G1500" s="76"/>
      <c r="I1500" s="79" t="str">
        <f aca="false">IF($B1500="","",IF(ISNUMBER(MATCH($B1500,日別データ!$B$13:$B$32,0)),"✔ OK","⚠ 未登録"))</f>
        <v/>
      </c>
      <c r="J1500" s="80" t="str">
        <f aca="false">IF($B1500="","",IF($D1500="","－",IF(ISNUMBER($D1500),IF(AND($D1500&gt;=1,MOD($D1500,1)=0),"－",IF(MOD($D1500,1)&lt;$L$6,"朝",IF(MOD($D1500,1)&lt;$L$7,"昼",IF(MOD($D1500,1)&lt;$L$8,"夕方","夜")))),IF(OR($D1500="朝",$D1500="昼",$D1500="夕方",$D1500="夜"),$D1500,"⚠ 不明"))))</f>
        <v/>
      </c>
    </row>
    <row r="1501" customFormat="false" ht="15" hidden="false" customHeight="false" outlineLevel="0" collapsed="false">
      <c r="A1501" s="75"/>
      <c r="B1501" s="76"/>
      <c r="C1501" s="77"/>
      <c r="D1501" s="78"/>
      <c r="E1501" s="77"/>
      <c r="F1501" s="76"/>
      <c r="G1501" s="76"/>
      <c r="I1501" s="79" t="str">
        <f aca="false">IF($B1501="","",IF(ISNUMBER(MATCH($B1501,日別データ!$B$13:$B$32,0)),"✔ OK","⚠ 未登録"))</f>
        <v/>
      </c>
      <c r="J1501" s="80" t="str">
        <f aca="false">IF($B1501="","",IF($D1501="","－",IF(ISNUMBER($D1501),IF(AND($D1501&gt;=1,MOD($D1501,1)=0),"－",IF(MOD($D1501,1)&lt;$L$6,"朝",IF(MOD($D1501,1)&lt;$L$7,"昼",IF(MOD($D1501,1)&lt;$L$8,"夕方","夜")))),IF(OR($D1501="朝",$D1501="昼",$D1501="夕方",$D1501="夜"),$D1501,"⚠ 不明"))))</f>
        <v/>
      </c>
    </row>
    <row r="1502" customFormat="false" ht="15" hidden="false" customHeight="false" outlineLevel="0" collapsed="false">
      <c r="A1502" s="75"/>
      <c r="B1502" s="76"/>
      <c r="C1502" s="77"/>
      <c r="D1502" s="78"/>
      <c r="E1502" s="77"/>
      <c r="F1502" s="76"/>
      <c r="G1502" s="76"/>
      <c r="I1502" s="79" t="str">
        <f aca="false">IF($B1502="","",IF(ISNUMBER(MATCH($B1502,日別データ!$B$13:$B$32,0)),"✔ OK","⚠ 未登録"))</f>
        <v/>
      </c>
      <c r="J1502" s="80" t="str">
        <f aca="false">IF($B1502="","",IF($D1502="","－",IF(ISNUMBER($D1502),IF(AND($D1502&gt;=1,MOD($D1502,1)=0),"－",IF(MOD($D1502,1)&lt;$L$6,"朝",IF(MOD($D1502,1)&lt;$L$7,"昼",IF(MOD($D1502,1)&lt;$L$8,"夕方","夜")))),IF(OR($D1502="朝",$D1502="昼",$D1502="夕方",$D1502="夜"),$D1502,"⚠ 不明"))))</f>
        <v/>
      </c>
    </row>
    <row r="1503" customFormat="false" ht="15" hidden="false" customHeight="false" outlineLevel="0" collapsed="false">
      <c r="A1503" s="75"/>
      <c r="B1503" s="76"/>
      <c r="C1503" s="77"/>
      <c r="D1503" s="78"/>
      <c r="E1503" s="77"/>
      <c r="F1503" s="76"/>
      <c r="G1503" s="76"/>
      <c r="I1503" s="79" t="str">
        <f aca="false">IF($B1503="","",IF(ISNUMBER(MATCH($B1503,日別データ!$B$13:$B$32,0)),"✔ OK","⚠ 未登録"))</f>
        <v/>
      </c>
      <c r="J1503" s="80" t="str">
        <f aca="false">IF($B1503="","",IF($D1503="","－",IF(ISNUMBER($D1503),IF(AND($D1503&gt;=1,MOD($D1503,1)=0),"－",IF(MOD($D1503,1)&lt;$L$6,"朝",IF(MOD($D1503,1)&lt;$L$7,"昼",IF(MOD($D1503,1)&lt;$L$8,"夕方","夜")))),IF(OR($D1503="朝",$D1503="昼",$D1503="夕方",$D1503="夜"),$D1503,"⚠ 不明"))))</f>
        <v/>
      </c>
    </row>
    <row r="1504" customFormat="false" ht="15" hidden="false" customHeight="false" outlineLevel="0" collapsed="false">
      <c r="A1504" s="75"/>
      <c r="B1504" s="76"/>
      <c r="C1504" s="77"/>
      <c r="D1504" s="78"/>
      <c r="E1504" s="77"/>
      <c r="F1504" s="76"/>
      <c r="G1504" s="76"/>
      <c r="I1504" s="79" t="str">
        <f aca="false">IF($B1504="","",IF(ISNUMBER(MATCH($B1504,日別データ!$B$13:$B$32,0)),"✔ OK","⚠ 未登録"))</f>
        <v/>
      </c>
      <c r="J1504" s="80" t="str">
        <f aca="false">IF($B1504="","",IF($D1504="","－",IF(ISNUMBER($D1504),IF(AND($D1504&gt;=1,MOD($D1504,1)=0),"－",IF(MOD($D1504,1)&lt;$L$6,"朝",IF(MOD($D1504,1)&lt;$L$7,"昼",IF(MOD($D1504,1)&lt;$L$8,"夕方","夜")))),IF(OR($D1504="朝",$D1504="昼",$D1504="夕方",$D1504="夜"),$D1504,"⚠ 不明"))))</f>
        <v/>
      </c>
    </row>
    <row r="1505" customFormat="false" ht="15" hidden="false" customHeight="false" outlineLevel="0" collapsed="false">
      <c r="A1505" s="75"/>
      <c r="B1505" s="76"/>
      <c r="C1505" s="77"/>
      <c r="D1505" s="78"/>
      <c r="E1505" s="77"/>
      <c r="F1505" s="76"/>
      <c r="G1505" s="76"/>
      <c r="I1505" s="79" t="str">
        <f aca="false">IF($B1505="","",IF(ISNUMBER(MATCH($B1505,日別データ!$B$13:$B$32,0)),"✔ OK","⚠ 未登録"))</f>
        <v/>
      </c>
      <c r="J1505" s="80" t="str">
        <f aca="false">IF($B1505="","",IF($D1505="","－",IF(ISNUMBER($D1505),IF(AND($D1505&gt;=1,MOD($D1505,1)=0),"－",IF(MOD($D1505,1)&lt;$L$6,"朝",IF(MOD($D1505,1)&lt;$L$7,"昼",IF(MOD($D1505,1)&lt;$L$8,"夕方","夜")))),IF(OR($D1505="朝",$D1505="昼",$D1505="夕方",$D1505="夜"),$D1505,"⚠ 不明"))))</f>
        <v/>
      </c>
    </row>
    <row r="1506" customFormat="false" ht="15" hidden="false" customHeight="false" outlineLevel="0" collapsed="false">
      <c r="A1506" s="75"/>
      <c r="B1506" s="76"/>
      <c r="C1506" s="77"/>
      <c r="D1506" s="78"/>
      <c r="E1506" s="77"/>
      <c r="F1506" s="76"/>
      <c r="G1506" s="76"/>
      <c r="I1506" s="79" t="str">
        <f aca="false">IF($B1506="","",IF(ISNUMBER(MATCH($B1506,日別データ!$B$13:$B$32,0)),"✔ OK","⚠ 未登録"))</f>
        <v/>
      </c>
      <c r="J1506" s="80" t="str">
        <f aca="false">IF($B1506="","",IF($D1506="","－",IF(ISNUMBER($D1506),IF(AND($D1506&gt;=1,MOD($D1506,1)=0),"－",IF(MOD($D1506,1)&lt;$L$6,"朝",IF(MOD($D1506,1)&lt;$L$7,"昼",IF(MOD($D1506,1)&lt;$L$8,"夕方","夜")))),IF(OR($D1506="朝",$D1506="昼",$D1506="夕方",$D1506="夜"),$D1506,"⚠ 不明"))))</f>
        <v/>
      </c>
    </row>
    <row r="1507" customFormat="false" ht="15" hidden="false" customHeight="false" outlineLevel="0" collapsed="false">
      <c r="A1507" s="75"/>
      <c r="B1507" s="76"/>
      <c r="C1507" s="77"/>
      <c r="D1507" s="78"/>
      <c r="E1507" s="77"/>
      <c r="F1507" s="76"/>
      <c r="G1507" s="76"/>
      <c r="I1507" s="79" t="str">
        <f aca="false">IF($B1507="","",IF(ISNUMBER(MATCH($B1507,日別データ!$B$13:$B$32,0)),"✔ OK","⚠ 未登録"))</f>
        <v/>
      </c>
      <c r="J1507" s="80" t="str">
        <f aca="false">IF($B1507="","",IF($D1507="","－",IF(ISNUMBER($D1507),IF(AND($D1507&gt;=1,MOD($D1507,1)=0),"－",IF(MOD($D1507,1)&lt;$L$6,"朝",IF(MOD($D1507,1)&lt;$L$7,"昼",IF(MOD($D1507,1)&lt;$L$8,"夕方","夜")))),IF(OR($D1507="朝",$D1507="昼",$D1507="夕方",$D1507="夜"),$D1507,"⚠ 不明"))))</f>
        <v/>
      </c>
    </row>
    <row r="1508" customFormat="false" ht="15" hidden="false" customHeight="false" outlineLevel="0" collapsed="false">
      <c r="A1508" s="75"/>
      <c r="B1508" s="76"/>
      <c r="C1508" s="77"/>
      <c r="D1508" s="78"/>
      <c r="E1508" s="77"/>
      <c r="F1508" s="76"/>
      <c r="G1508" s="76"/>
      <c r="I1508" s="79" t="str">
        <f aca="false">IF($B1508="","",IF(ISNUMBER(MATCH($B1508,日別データ!$B$13:$B$32,0)),"✔ OK","⚠ 未登録"))</f>
        <v/>
      </c>
      <c r="J1508" s="80" t="str">
        <f aca="false">IF($B1508="","",IF($D1508="","－",IF(ISNUMBER($D1508),IF(AND($D1508&gt;=1,MOD($D1508,1)=0),"－",IF(MOD($D1508,1)&lt;$L$6,"朝",IF(MOD($D1508,1)&lt;$L$7,"昼",IF(MOD($D1508,1)&lt;$L$8,"夕方","夜")))),IF(OR($D1508="朝",$D1508="昼",$D1508="夕方",$D1508="夜"),$D1508,"⚠ 不明"))))</f>
        <v/>
      </c>
    </row>
    <row r="1509" customFormat="false" ht="15" hidden="false" customHeight="false" outlineLevel="0" collapsed="false">
      <c r="A1509" s="75"/>
      <c r="B1509" s="76"/>
      <c r="C1509" s="77"/>
      <c r="D1509" s="78"/>
      <c r="E1509" s="77"/>
      <c r="F1509" s="76"/>
      <c r="G1509" s="76"/>
      <c r="I1509" s="79" t="str">
        <f aca="false">IF($B1509="","",IF(ISNUMBER(MATCH($B1509,日別データ!$B$13:$B$32,0)),"✔ OK","⚠ 未登録"))</f>
        <v/>
      </c>
      <c r="J1509" s="80" t="str">
        <f aca="false">IF($B1509="","",IF($D1509="","－",IF(ISNUMBER($D1509),IF(AND($D1509&gt;=1,MOD($D1509,1)=0),"－",IF(MOD($D1509,1)&lt;$L$6,"朝",IF(MOD($D1509,1)&lt;$L$7,"昼",IF(MOD($D1509,1)&lt;$L$8,"夕方","夜")))),IF(OR($D1509="朝",$D1509="昼",$D1509="夕方",$D1509="夜"),$D1509,"⚠ 不明"))))</f>
        <v/>
      </c>
    </row>
    <row r="1510" customFormat="false" ht="15" hidden="false" customHeight="false" outlineLevel="0" collapsed="false">
      <c r="A1510" s="75"/>
      <c r="B1510" s="76"/>
      <c r="C1510" s="77"/>
      <c r="D1510" s="78"/>
      <c r="E1510" s="77"/>
      <c r="F1510" s="76"/>
      <c r="G1510" s="76"/>
      <c r="I1510" s="79" t="str">
        <f aca="false">IF($B1510="","",IF(ISNUMBER(MATCH($B1510,日別データ!$B$13:$B$32,0)),"✔ OK","⚠ 未登録"))</f>
        <v/>
      </c>
      <c r="J1510" s="80" t="str">
        <f aca="false">IF($B1510="","",IF($D1510="","－",IF(ISNUMBER($D1510),IF(AND($D1510&gt;=1,MOD($D1510,1)=0),"－",IF(MOD($D1510,1)&lt;$L$6,"朝",IF(MOD($D1510,1)&lt;$L$7,"昼",IF(MOD($D1510,1)&lt;$L$8,"夕方","夜")))),IF(OR($D1510="朝",$D1510="昼",$D1510="夕方",$D1510="夜"),$D1510,"⚠ 不明"))))</f>
        <v/>
      </c>
    </row>
    <row r="1511" customFormat="false" ht="15" hidden="false" customHeight="false" outlineLevel="0" collapsed="false">
      <c r="A1511" s="75"/>
      <c r="B1511" s="76"/>
      <c r="C1511" s="77"/>
      <c r="D1511" s="78"/>
      <c r="E1511" s="77"/>
      <c r="F1511" s="76"/>
      <c r="G1511" s="76"/>
      <c r="I1511" s="79" t="str">
        <f aca="false">IF($B1511="","",IF(ISNUMBER(MATCH($B1511,日別データ!$B$13:$B$32,0)),"✔ OK","⚠ 未登録"))</f>
        <v/>
      </c>
      <c r="J1511" s="80" t="str">
        <f aca="false">IF($B1511="","",IF($D1511="","－",IF(ISNUMBER($D1511),IF(AND($D1511&gt;=1,MOD($D1511,1)=0),"－",IF(MOD($D1511,1)&lt;$L$6,"朝",IF(MOD($D1511,1)&lt;$L$7,"昼",IF(MOD($D1511,1)&lt;$L$8,"夕方","夜")))),IF(OR($D1511="朝",$D1511="昼",$D1511="夕方",$D1511="夜"),$D1511,"⚠ 不明"))))</f>
        <v/>
      </c>
    </row>
    <row r="1512" customFormat="false" ht="15" hidden="false" customHeight="false" outlineLevel="0" collapsed="false">
      <c r="A1512" s="75"/>
      <c r="B1512" s="76"/>
      <c r="C1512" s="77"/>
      <c r="D1512" s="78"/>
      <c r="E1512" s="77"/>
      <c r="F1512" s="76"/>
      <c r="G1512" s="76"/>
      <c r="I1512" s="79" t="str">
        <f aca="false">IF($B1512="","",IF(ISNUMBER(MATCH($B1512,日別データ!$B$13:$B$32,0)),"✔ OK","⚠ 未登録"))</f>
        <v/>
      </c>
      <c r="J1512" s="80" t="str">
        <f aca="false">IF($B1512="","",IF($D1512="","－",IF(ISNUMBER($D1512),IF(AND($D1512&gt;=1,MOD($D1512,1)=0),"－",IF(MOD($D1512,1)&lt;$L$6,"朝",IF(MOD($D1512,1)&lt;$L$7,"昼",IF(MOD($D1512,1)&lt;$L$8,"夕方","夜")))),IF(OR($D1512="朝",$D1512="昼",$D1512="夕方",$D1512="夜"),$D1512,"⚠ 不明"))))</f>
        <v/>
      </c>
    </row>
    <row r="1513" customFormat="false" ht="15" hidden="false" customHeight="false" outlineLevel="0" collapsed="false">
      <c r="A1513" s="75"/>
      <c r="B1513" s="76"/>
      <c r="C1513" s="77"/>
      <c r="D1513" s="78"/>
      <c r="E1513" s="77"/>
      <c r="F1513" s="76"/>
      <c r="G1513" s="76"/>
      <c r="I1513" s="79" t="str">
        <f aca="false">IF($B1513="","",IF(ISNUMBER(MATCH($B1513,日別データ!$B$13:$B$32,0)),"✔ OK","⚠ 未登録"))</f>
        <v/>
      </c>
      <c r="J1513" s="80" t="str">
        <f aca="false">IF($B1513="","",IF($D1513="","－",IF(ISNUMBER($D1513),IF(AND($D1513&gt;=1,MOD($D1513,1)=0),"－",IF(MOD($D1513,1)&lt;$L$6,"朝",IF(MOD($D1513,1)&lt;$L$7,"昼",IF(MOD($D1513,1)&lt;$L$8,"夕方","夜")))),IF(OR($D1513="朝",$D1513="昼",$D1513="夕方",$D1513="夜"),$D1513,"⚠ 不明"))))</f>
        <v/>
      </c>
    </row>
    <row r="1514" customFormat="false" ht="15" hidden="false" customHeight="false" outlineLevel="0" collapsed="false">
      <c r="A1514" s="75"/>
      <c r="B1514" s="76"/>
      <c r="C1514" s="77"/>
      <c r="D1514" s="78"/>
      <c r="E1514" s="77"/>
      <c r="F1514" s="76"/>
      <c r="G1514" s="76"/>
      <c r="I1514" s="79" t="str">
        <f aca="false">IF($B1514="","",IF(ISNUMBER(MATCH($B1514,日別データ!$B$13:$B$32,0)),"✔ OK","⚠ 未登録"))</f>
        <v/>
      </c>
      <c r="J1514" s="80" t="str">
        <f aca="false">IF($B1514="","",IF($D1514="","－",IF(ISNUMBER($D1514),IF(AND($D1514&gt;=1,MOD($D1514,1)=0),"－",IF(MOD($D1514,1)&lt;$L$6,"朝",IF(MOD($D1514,1)&lt;$L$7,"昼",IF(MOD($D1514,1)&lt;$L$8,"夕方","夜")))),IF(OR($D1514="朝",$D1514="昼",$D1514="夕方",$D1514="夜"),$D1514,"⚠ 不明"))))</f>
        <v/>
      </c>
    </row>
    <row r="1515" customFormat="false" ht="15" hidden="false" customHeight="false" outlineLevel="0" collapsed="false">
      <c r="A1515" s="75"/>
      <c r="B1515" s="76"/>
      <c r="C1515" s="77"/>
      <c r="D1515" s="78"/>
      <c r="E1515" s="77"/>
      <c r="F1515" s="76"/>
      <c r="G1515" s="76"/>
      <c r="I1515" s="79" t="str">
        <f aca="false">IF($B1515="","",IF(ISNUMBER(MATCH($B1515,日別データ!$B$13:$B$32,0)),"✔ OK","⚠ 未登録"))</f>
        <v/>
      </c>
      <c r="J1515" s="80" t="str">
        <f aca="false">IF($B1515="","",IF($D1515="","－",IF(ISNUMBER($D1515),IF(AND($D1515&gt;=1,MOD($D1515,1)=0),"－",IF(MOD($D1515,1)&lt;$L$6,"朝",IF(MOD($D1515,1)&lt;$L$7,"昼",IF(MOD($D1515,1)&lt;$L$8,"夕方","夜")))),IF(OR($D1515="朝",$D1515="昼",$D1515="夕方",$D1515="夜"),$D1515,"⚠ 不明"))))</f>
        <v/>
      </c>
    </row>
    <row r="1516" customFormat="false" ht="15" hidden="false" customHeight="false" outlineLevel="0" collapsed="false">
      <c r="A1516" s="75"/>
      <c r="B1516" s="76"/>
      <c r="C1516" s="77"/>
      <c r="D1516" s="78"/>
      <c r="E1516" s="77"/>
      <c r="F1516" s="76"/>
      <c r="G1516" s="76"/>
      <c r="I1516" s="79" t="str">
        <f aca="false">IF($B1516="","",IF(ISNUMBER(MATCH($B1516,日別データ!$B$13:$B$32,0)),"✔ OK","⚠ 未登録"))</f>
        <v/>
      </c>
      <c r="J1516" s="80" t="str">
        <f aca="false">IF($B1516="","",IF($D1516="","－",IF(ISNUMBER($D1516),IF(AND($D1516&gt;=1,MOD($D1516,1)=0),"－",IF(MOD($D1516,1)&lt;$L$6,"朝",IF(MOD($D1516,1)&lt;$L$7,"昼",IF(MOD($D1516,1)&lt;$L$8,"夕方","夜")))),IF(OR($D1516="朝",$D1516="昼",$D1516="夕方",$D1516="夜"),$D1516,"⚠ 不明"))))</f>
        <v/>
      </c>
    </row>
    <row r="1517" customFormat="false" ht="15" hidden="false" customHeight="false" outlineLevel="0" collapsed="false">
      <c r="A1517" s="75"/>
      <c r="B1517" s="76"/>
      <c r="C1517" s="77"/>
      <c r="D1517" s="78"/>
      <c r="E1517" s="77"/>
      <c r="F1517" s="76"/>
      <c r="G1517" s="76"/>
      <c r="I1517" s="79" t="str">
        <f aca="false">IF($B1517="","",IF(ISNUMBER(MATCH($B1517,日別データ!$B$13:$B$32,0)),"✔ OK","⚠ 未登録"))</f>
        <v/>
      </c>
      <c r="J1517" s="80" t="str">
        <f aca="false">IF($B1517="","",IF($D1517="","－",IF(ISNUMBER($D1517),IF(AND($D1517&gt;=1,MOD($D1517,1)=0),"－",IF(MOD($D1517,1)&lt;$L$6,"朝",IF(MOD($D1517,1)&lt;$L$7,"昼",IF(MOD($D1517,1)&lt;$L$8,"夕方","夜")))),IF(OR($D1517="朝",$D1517="昼",$D1517="夕方",$D1517="夜"),$D1517,"⚠ 不明"))))</f>
        <v/>
      </c>
    </row>
    <row r="1518" customFormat="false" ht="15" hidden="false" customHeight="false" outlineLevel="0" collapsed="false">
      <c r="A1518" s="75"/>
      <c r="B1518" s="76"/>
      <c r="C1518" s="77"/>
      <c r="D1518" s="78"/>
      <c r="E1518" s="77"/>
      <c r="F1518" s="76"/>
      <c r="G1518" s="76"/>
      <c r="I1518" s="79" t="str">
        <f aca="false">IF($B1518="","",IF(ISNUMBER(MATCH($B1518,日別データ!$B$13:$B$32,0)),"✔ OK","⚠ 未登録"))</f>
        <v/>
      </c>
      <c r="J1518" s="80" t="str">
        <f aca="false">IF($B1518="","",IF($D1518="","－",IF(ISNUMBER($D1518),IF(AND($D1518&gt;=1,MOD($D1518,1)=0),"－",IF(MOD($D1518,1)&lt;$L$6,"朝",IF(MOD($D1518,1)&lt;$L$7,"昼",IF(MOD($D1518,1)&lt;$L$8,"夕方","夜")))),IF(OR($D1518="朝",$D1518="昼",$D1518="夕方",$D1518="夜"),$D1518,"⚠ 不明"))))</f>
        <v/>
      </c>
    </row>
    <row r="1519" customFormat="false" ht="15" hidden="false" customHeight="false" outlineLevel="0" collapsed="false">
      <c r="A1519" s="75"/>
      <c r="B1519" s="76"/>
      <c r="C1519" s="77"/>
      <c r="D1519" s="78"/>
      <c r="E1519" s="77"/>
      <c r="F1519" s="76"/>
      <c r="G1519" s="76"/>
      <c r="I1519" s="79" t="str">
        <f aca="false">IF($B1519="","",IF(ISNUMBER(MATCH($B1519,日別データ!$B$13:$B$32,0)),"✔ OK","⚠ 未登録"))</f>
        <v/>
      </c>
      <c r="J1519" s="80" t="str">
        <f aca="false">IF($B1519="","",IF($D1519="","－",IF(ISNUMBER($D1519),IF(AND($D1519&gt;=1,MOD($D1519,1)=0),"－",IF(MOD($D1519,1)&lt;$L$6,"朝",IF(MOD($D1519,1)&lt;$L$7,"昼",IF(MOD($D1519,1)&lt;$L$8,"夕方","夜")))),IF(OR($D1519="朝",$D1519="昼",$D1519="夕方",$D1519="夜"),$D1519,"⚠ 不明"))))</f>
        <v/>
      </c>
    </row>
    <row r="1520" customFormat="false" ht="15" hidden="false" customHeight="false" outlineLevel="0" collapsed="false">
      <c r="A1520" s="75"/>
      <c r="B1520" s="76"/>
      <c r="C1520" s="77"/>
      <c r="D1520" s="78"/>
      <c r="E1520" s="77"/>
      <c r="F1520" s="76"/>
      <c r="G1520" s="76"/>
      <c r="I1520" s="79" t="str">
        <f aca="false">IF($B1520="","",IF(ISNUMBER(MATCH($B1520,日別データ!$B$13:$B$32,0)),"✔ OK","⚠ 未登録"))</f>
        <v/>
      </c>
      <c r="J1520" s="80" t="str">
        <f aca="false">IF($B1520="","",IF($D1520="","－",IF(ISNUMBER($D1520),IF(AND($D1520&gt;=1,MOD($D1520,1)=0),"－",IF(MOD($D1520,1)&lt;$L$6,"朝",IF(MOD($D1520,1)&lt;$L$7,"昼",IF(MOD($D1520,1)&lt;$L$8,"夕方","夜")))),IF(OR($D1520="朝",$D1520="昼",$D1520="夕方",$D1520="夜"),$D1520,"⚠ 不明"))))</f>
        <v/>
      </c>
    </row>
    <row r="1521" customFormat="false" ht="15" hidden="false" customHeight="false" outlineLevel="0" collapsed="false">
      <c r="A1521" s="75"/>
      <c r="B1521" s="76"/>
      <c r="C1521" s="77"/>
      <c r="D1521" s="78"/>
      <c r="E1521" s="77"/>
      <c r="F1521" s="76"/>
      <c r="G1521" s="76"/>
      <c r="I1521" s="79" t="str">
        <f aca="false">IF($B1521="","",IF(ISNUMBER(MATCH($B1521,日別データ!$B$13:$B$32,0)),"✔ OK","⚠ 未登録"))</f>
        <v/>
      </c>
      <c r="J1521" s="80" t="str">
        <f aca="false">IF($B1521="","",IF($D1521="","－",IF(ISNUMBER($D1521),IF(AND($D1521&gt;=1,MOD($D1521,1)=0),"－",IF(MOD($D1521,1)&lt;$L$6,"朝",IF(MOD($D1521,1)&lt;$L$7,"昼",IF(MOD($D1521,1)&lt;$L$8,"夕方","夜")))),IF(OR($D1521="朝",$D1521="昼",$D1521="夕方",$D1521="夜"),$D1521,"⚠ 不明"))))</f>
        <v/>
      </c>
    </row>
    <row r="1522" customFormat="false" ht="15" hidden="false" customHeight="false" outlineLevel="0" collapsed="false">
      <c r="A1522" s="75"/>
      <c r="B1522" s="76"/>
      <c r="C1522" s="77"/>
      <c r="D1522" s="78"/>
      <c r="E1522" s="77"/>
      <c r="F1522" s="76"/>
      <c r="G1522" s="76"/>
      <c r="I1522" s="79" t="str">
        <f aca="false">IF($B1522="","",IF(ISNUMBER(MATCH($B1522,日別データ!$B$13:$B$32,0)),"✔ OK","⚠ 未登録"))</f>
        <v/>
      </c>
      <c r="J1522" s="80" t="str">
        <f aca="false">IF($B1522="","",IF($D1522="","－",IF(ISNUMBER($D1522),IF(AND($D1522&gt;=1,MOD($D1522,1)=0),"－",IF(MOD($D1522,1)&lt;$L$6,"朝",IF(MOD($D1522,1)&lt;$L$7,"昼",IF(MOD($D1522,1)&lt;$L$8,"夕方","夜")))),IF(OR($D1522="朝",$D1522="昼",$D1522="夕方",$D1522="夜"),$D1522,"⚠ 不明"))))</f>
        <v/>
      </c>
    </row>
    <row r="1523" customFormat="false" ht="15" hidden="false" customHeight="false" outlineLevel="0" collapsed="false">
      <c r="A1523" s="75"/>
      <c r="B1523" s="76"/>
      <c r="C1523" s="77"/>
      <c r="D1523" s="78"/>
      <c r="E1523" s="77"/>
      <c r="F1523" s="76"/>
      <c r="G1523" s="76"/>
      <c r="I1523" s="79" t="str">
        <f aca="false">IF($B1523="","",IF(ISNUMBER(MATCH($B1523,日別データ!$B$13:$B$32,0)),"✔ OK","⚠ 未登録"))</f>
        <v/>
      </c>
      <c r="J1523" s="80" t="str">
        <f aca="false">IF($B1523="","",IF($D1523="","－",IF(ISNUMBER($D1523),IF(AND($D1523&gt;=1,MOD($D1523,1)=0),"－",IF(MOD($D1523,1)&lt;$L$6,"朝",IF(MOD($D1523,1)&lt;$L$7,"昼",IF(MOD($D1523,1)&lt;$L$8,"夕方","夜")))),IF(OR($D1523="朝",$D1523="昼",$D1523="夕方",$D1523="夜"),$D1523,"⚠ 不明"))))</f>
        <v/>
      </c>
    </row>
    <row r="1524" customFormat="false" ht="15" hidden="false" customHeight="false" outlineLevel="0" collapsed="false">
      <c r="A1524" s="75"/>
      <c r="B1524" s="76"/>
      <c r="C1524" s="77"/>
      <c r="D1524" s="78"/>
      <c r="E1524" s="77"/>
      <c r="F1524" s="76"/>
      <c r="G1524" s="76"/>
      <c r="I1524" s="79" t="str">
        <f aca="false">IF($B1524="","",IF(ISNUMBER(MATCH($B1524,日別データ!$B$13:$B$32,0)),"✔ OK","⚠ 未登録"))</f>
        <v/>
      </c>
      <c r="J1524" s="80" t="str">
        <f aca="false">IF($B1524="","",IF($D1524="","－",IF(ISNUMBER($D1524),IF(AND($D1524&gt;=1,MOD($D1524,1)=0),"－",IF(MOD($D1524,1)&lt;$L$6,"朝",IF(MOD($D1524,1)&lt;$L$7,"昼",IF(MOD($D1524,1)&lt;$L$8,"夕方","夜")))),IF(OR($D1524="朝",$D1524="昼",$D1524="夕方",$D1524="夜"),$D1524,"⚠ 不明"))))</f>
        <v/>
      </c>
    </row>
    <row r="1525" customFormat="false" ht="15" hidden="false" customHeight="false" outlineLevel="0" collapsed="false">
      <c r="A1525" s="75"/>
      <c r="B1525" s="76"/>
      <c r="C1525" s="77"/>
      <c r="D1525" s="78"/>
      <c r="E1525" s="77"/>
      <c r="F1525" s="76"/>
      <c r="G1525" s="76"/>
      <c r="I1525" s="79" t="str">
        <f aca="false">IF($B1525="","",IF(ISNUMBER(MATCH($B1525,日別データ!$B$13:$B$32,0)),"✔ OK","⚠ 未登録"))</f>
        <v/>
      </c>
      <c r="J1525" s="80" t="str">
        <f aca="false">IF($B1525="","",IF($D1525="","－",IF(ISNUMBER($D1525),IF(AND($D1525&gt;=1,MOD($D1525,1)=0),"－",IF(MOD($D1525,1)&lt;$L$6,"朝",IF(MOD($D1525,1)&lt;$L$7,"昼",IF(MOD($D1525,1)&lt;$L$8,"夕方","夜")))),IF(OR($D1525="朝",$D1525="昼",$D1525="夕方",$D1525="夜"),$D1525,"⚠ 不明"))))</f>
        <v/>
      </c>
    </row>
    <row r="1526" customFormat="false" ht="15" hidden="false" customHeight="false" outlineLevel="0" collapsed="false">
      <c r="A1526" s="75"/>
      <c r="B1526" s="76"/>
      <c r="C1526" s="77"/>
      <c r="D1526" s="78"/>
      <c r="E1526" s="77"/>
      <c r="F1526" s="76"/>
      <c r="G1526" s="76"/>
      <c r="I1526" s="79" t="str">
        <f aca="false">IF($B1526="","",IF(ISNUMBER(MATCH($B1526,日別データ!$B$13:$B$32,0)),"✔ OK","⚠ 未登録"))</f>
        <v/>
      </c>
      <c r="J1526" s="80" t="str">
        <f aca="false">IF($B1526="","",IF($D1526="","－",IF(ISNUMBER($D1526),IF(AND($D1526&gt;=1,MOD($D1526,1)=0),"－",IF(MOD($D1526,1)&lt;$L$6,"朝",IF(MOD($D1526,1)&lt;$L$7,"昼",IF(MOD($D1526,1)&lt;$L$8,"夕方","夜")))),IF(OR($D1526="朝",$D1526="昼",$D1526="夕方",$D1526="夜"),$D1526,"⚠ 不明"))))</f>
        <v/>
      </c>
    </row>
    <row r="1527" customFormat="false" ht="15" hidden="false" customHeight="false" outlineLevel="0" collapsed="false">
      <c r="A1527" s="75"/>
      <c r="B1527" s="76"/>
      <c r="C1527" s="77"/>
      <c r="D1527" s="78"/>
      <c r="E1527" s="77"/>
      <c r="F1527" s="76"/>
      <c r="G1527" s="76"/>
      <c r="I1527" s="79" t="str">
        <f aca="false">IF($B1527="","",IF(ISNUMBER(MATCH($B1527,日別データ!$B$13:$B$32,0)),"✔ OK","⚠ 未登録"))</f>
        <v/>
      </c>
      <c r="J1527" s="80" t="str">
        <f aca="false">IF($B1527="","",IF($D1527="","－",IF(ISNUMBER($D1527),IF(AND($D1527&gt;=1,MOD($D1527,1)=0),"－",IF(MOD($D1527,1)&lt;$L$6,"朝",IF(MOD($D1527,1)&lt;$L$7,"昼",IF(MOD($D1527,1)&lt;$L$8,"夕方","夜")))),IF(OR($D1527="朝",$D1527="昼",$D1527="夕方",$D1527="夜"),$D1527,"⚠ 不明"))))</f>
        <v/>
      </c>
    </row>
    <row r="1528" customFormat="false" ht="15" hidden="false" customHeight="false" outlineLevel="0" collapsed="false">
      <c r="A1528" s="75"/>
      <c r="B1528" s="76"/>
      <c r="C1528" s="77"/>
      <c r="D1528" s="78"/>
      <c r="E1528" s="77"/>
      <c r="F1528" s="76"/>
      <c r="G1528" s="76"/>
      <c r="I1528" s="79" t="str">
        <f aca="false">IF($B1528="","",IF(ISNUMBER(MATCH($B1528,日別データ!$B$13:$B$32,0)),"✔ OK","⚠ 未登録"))</f>
        <v/>
      </c>
      <c r="J1528" s="80" t="str">
        <f aca="false">IF($B1528="","",IF($D1528="","－",IF(ISNUMBER($D1528),IF(AND($D1528&gt;=1,MOD($D1528,1)=0),"－",IF(MOD($D1528,1)&lt;$L$6,"朝",IF(MOD($D1528,1)&lt;$L$7,"昼",IF(MOD($D1528,1)&lt;$L$8,"夕方","夜")))),IF(OR($D1528="朝",$D1528="昼",$D1528="夕方",$D1528="夜"),$D1528,"⚠ 不明"))))</f>
        <v/>
      </c>
    </row>
    <row r="1529" customFormat="false" ht="15" hidden="false" customHeight="false" outlineLevel="0" collapsed="false">
      <c r="A1529" s="75"/>
      <c r="B1529" s="76"/>
      <c r="C1529" s="77"/>
      <c r="D1529" s="78"/>
      <c r="E1529" s="77"/>
      <c r="F1529" s="76"/>
      <c r="G1529" s="76"/>
      <c r="I1529" s="79" t="str">
        <f aca="false">IF($B1529="","",IF(ISNUMBER(MATCH($B1529,日別データ!$B$13:$B$32,0)),"✔ OK","⚠ 未登録"))</f>
        <v/>
      </c>
      <c r="J1529" s="80" t="str">
        <f aca="false">IF($B1529="","",IF($D1529="","－",IF(ISNUMBER($D1529),IF(AND($D1529&gt;=1,MOD($D1529,1)=0),"－",IF(MOD($D1529,1)&lt;$L$6,"朝",IF(MOD($D1529,1)&lt;$L$7,"昼",IF(MOD($D1529,1)&lt;$L$8,"夕方","夜")))),IF(OR($D1529="朝",$D1529="昼",$D1529="夕方",$D1529="夜"),$D1529,"⚠ 不明"))))</f>
        <v/>
      </c>
    </row>
    <row r="1530" customFormat="false" ht="15" hidden="false" customHeight="false" outlineLevel="0" collapsed="false">
      <c r="A1530" s="75"/>
      <c r="B1530" s="76"/>
      <c r="C1530" s="77"/>
      <c r="D1530" s="78"/>
      <c r="E1530" s="77"/>
      <c r="F1530" s="76"/>
      <c r="G1530" s="76"/>
      <c r="I1530" s="79" t="str">
        <f aca="false">IF($B1530="","",IF(ISNUMBER(MATCH($B1530,日別データ!$B$13:$B$32,0)),"✔ OK","⚠ 未登録"))</f>
        <v/>
      </c>
      <c r="J1530" s="80" t="str">
        <f aca="false">IF($B1530="","",IF($D1530="","－",IF(ISNUMBER($D1530),IF(AND($D1530&gt;=1,MOD($D1530,1)=0),"－",IF(MOD($D1530,1)&lt;$L$6,"朝",IF(MOD($D1530,1)&lt;$L$7,"昼",IF(MOD($D1530,1)&lt;$L$8,"夕方","夜")))),IF(OR($D1530="朝",$D1530="昼",$D1530="夕方",$D1530="夜"),$D1530,"⚠ 不明"))))</f>
        <v/>
      </c>
    </row>
    <row r="1531" customFormat="false" ht="15" hidden="false" customHeight="false" outlineLevel="0" collapsed="false">
      <c r="A1531" s="75"/>
      <c r="B1531" s="76"/>
      <c r="C1531" s="77"/>
      <c r="D1531" s="78"/>
      <c r="E1531" s="77"/>
      <c r="F1531" s="76"/>
      <c r="G1531" s="76"/>
      <c r="I1531" s="79" t="str">
        <f aca="false">IF($B1531="","",IF(ISNUMBER(MATCH($B1531,日別データ!$B$13:$B$32,0)),"✔ OK","⚠ 未登録"))</f>
        <v/>
      </c>
      <c r="J1531" s="80" t="str">
        <f aca="false">IF($B1531="","",IF($D1531="","－",IF(ISNUMBER($D1531),IF(AND($D1531&gt;=1,MOD($D1531,1)=0),"－",IF(MOD($D1531,1)&lt;$L$6,"朝",IF(MOD($D1531,1)&lt;$L$7,"昼",IF(MOD($D1531,1)&lt;$L$8,"夕方","夜")))),IF(OR($D1531="朝",$D1531="昼",$D1531="夕方",$D1531="夜"),$D1531,"⚠ 不明"))))</f>
        <v/>
      </c>
    </row>
    <row r="1532" customFormat="false" ht="15" hidden="false" customHeight="false" outlineLevel="0" collapsed="false">
      <c r="A1532" s="75"/>
      <c r="B1532" s="76"/>
      <c r="C1532" s="77"/>
      <c r="D1532" s="78"/>
      <c r="E1532" s="77"/>
      <c r="F1532" s="76"/>
      <c r="G1532" s="76"/>
      <c r="I1532" s="79" t="str">
        <f aca="false">IF($B1532="","",IF(ISNUMBER(MATCH($B1532,日別データ!$B$13:$B$32,0)),"✔ OK","⚠ 未登録"))</f>
        <v/>
      </c>
      <c r="J1532" s="80" t="str">
        <f aca="false">IF($B1532="","",IF($D1532="","－",IF(ISNUMBER($D1532),IF(AND($D1532&gt;=1,MOD($D1532,1)=0),"－",IF(MOD($D1532,1)&lt;$L$6,"朝",IF(MOD($D1532,1)&lt;$L$7,"昼",IF(MOD($D1532,1)&lt;$L$8,"夕方","夜")))),IF(OR($D1532="朝",$D1532="昼",$D1532="夕方",$D1532="夜"),$D1532,"⚠ 不明"))))</f>
        <v/>
      </c>
    </row>
    <row r="1533" customFormat="false" ht="15" hidden="false" customHeight="false" outlineLevel="0" collapsed="false">
      <c r="A1533" s="75"/>
      <c r="B1533" s="76"/>
      <c r="C1533" s="77"/>
      <c r="D1533" s="78"/>
      <c r="E1533" s="77"/>
      <c r="F1533" s="76"/>
      <c r="G1533" s="76"/>
      <c r="I1533" s="79" t="str">
        <f aca="false">IF($B1533="","",IF(ISNUMBER(MATCH($B1533,日別データ!$B$13:$B$32,0)),"✔ OK","⚠ 未登録"))</f>
        <v/>
      </c>
      <c r="J1533" s="80" t="str">
        <f aca="false">IF($B1533="","",IF($D1533="","－",IF(ISNUMBER($D1533),IF(AND($D1533&gt;=1,MOD($D1533,1)=0),"－",IF(MOD($D1533,1)&lt;$L$6,"朝",IF(MOD($D1533,1)&lt;$L$7,"昼",IF(MOD($D1533,1)&lt;$L$8,"夕方","夜")))),IF(OR($D1533="朝",$D1533="昼",$D1533="夕方",$D1533="夜"),$D1533,"⚠ 不明"))))</f>
        <v/>
      </c>
    </row>
    <row r="1534" customFormat="false" ht="15" hidden="false" customHeight="false" outlineLevel="0" collapsed="false">
      <c r="A1534" s="75"/>
      <c r="B1534" s="76"/>
      <c r="C1534" s="77"/>
      <c r="D1534" s="78"/>
      <c r="E1534" s="77"/>
      <c r="F1534" s="76"/>
      <c r="G1534" s="76"/>
      <c r="I1534" s="79" t="str">
        <f aca="false">IF($B1534="","",IF(ISNUMBER(MATCH($B1534,日別データ!$B$13:$B$32,0)),"✔ OK","⚠ 未登録"))</f>
        <v/>
      </c>
      <c r="J1534" s="80" t="str">
        <f aca="false">IF($B1534="","",IF($D1534="","－",IF(ISNUMBER($D1534),IF(AND($D1534&gt;=1,MOD($D1534,1)=0),"－",IF(MOD($D1534,1)&lt;$L$6,"朝",IF(MOD($D1534,1)&lt;$L$7,"昼",IF(MOD($D1534,1)&lt;$L$8,"夕方","夜")))),IF(OR($D1534="朝",$D1534="昼",$D1534="夕方",$D1534="夜"),$D1534,"⚠ 不明"))))</f>
        <v/>
      </c>
    </row>
    <row r="1535" customFormat="false" ht="15" hidden="false" customHeight="false" outlineLevel="0" collapsed="false">
      <c r="A1535" s="75"/>
      <c r="B1535" s="76"/>
      <c r="C1535" s="77"/>
      <c r="D1535" s="78"/>
      <c r="E1535" s="77"/>
      <c r="F1535" s="76"/>
      <c r="G1535" s="76"/>
      <c r="I1535" s="79" t="str">
        <f aca="false">IF($B1535="","",IF(ISNUMBER(MATCH($B1535,日別データ!$B$13:$B$32,0)),"✔ OK","⚠ 未登録"))</f>
        <v/>
      </c>
      <c r="J1535" s="80" t="str">
        <f aca="false">IF($B1535="","",IF($D1535="","－",IF(ISNUMBER($D1535),IF(AND($D1535&gt;=1,MOD($D1535,1)=0),"－",IF(MOD($D1535,1)&lt;$L$6,"朝",IF(MOD($D1535,1)&lt;$L$7,"昼",IF(MOD($D1535,1)&lt;$L$8,"夕方","夜")))),IF(OR($D1535="朝",$D1535="昼",$D1535="夕方",$D1535="夜"),$D1535,"⚠ 不明"))))</f>
        <v/>
      </c>
    </row>
    <row r="1536" customFormat="false" ht="15" hidden="false" customHeight="false" outlineLevel="0" collapsed="false">
      <c r="A1536" s="75"/>
      <c r="B1536" s="76"/>
      <c r="C1536" s="77"/>
      <c r="D1536" s="78"/>
      <c r="E1536" s="77"/>
      <c r="F1536" s="76"/>
      <c r="G1536" s="76"/>
      <c r="I1536" s="79" t="str">
        <f aca="false">IF($B1536="","",IF(ISNUMBER(MATCH($B1536,日別データ!$B$13:$B$32,0)),"✔ OK","⚠ 未登録"))</f>
        <v/>
      </c>
      <c r="J1536" s="80" t="str">
        <f aca="false">IF($B1536="","",IF($D1536="","－",IF(ISNUMBER($D1536),IF(AND($D1536&gt;=1,MOD($D1536,1)=0),"－",IF(MOD($D1536,1)&lt;$L$6,"朝",IF(MOD($D1536,1)&lt;$L$7,"昼",IF(MOD($D1536,1)&lt;$L$8,"夕方","夜")))),IF(OR($D1536="朝",$D1536="昼",$D1536="夕方",$D1536="夜"),$D1536,"⚠ 不明"))))</f>
        <v/>
      </c>
    </row>
    <row r="1537" customFormat="false" ht="15" hidden="false" customHeight="false" outlineLevel="0" collapsed="false">
      <c r="A1537" s="75"/>
      <c r="B1537" s="76"/>
      <c r="C1537" s="77"/>
      <c r="D1537" s="78"/>
      <c r="E1537" s="77"/>
      <c r="F1537" s="76"/>
      <c r="G1537" s="76"/>
      <c r="I1537" s="79" t="str">
        <f aca="false">IF($B1537="","",IF(ISNUMBER(MATCH($B1537,日別データ!$B$13:$B$32,0)),"✔ OK","⚠ 未登録"))</f>
        <v/>
      </c>
      <c r="J1537" s="80" t="str">
        <f aca="false">IF($B1537="","",IF($D1537="","－",IF(ISNUMBER($D1537),IF(AND($D1537&gt;=1,MOD($D1537,1)=0),"－",IF(MOD($D1537,1)&lt;$L$6,"朝",IF(MOD($D1537,1)&lt;$L$7,"昼",IF(MOD($D1537,1)&lt;$L$8,"夕方","夜")))),IF(OR($D1537="朝",$D1537="昼",$D1537="夕方",$D1537="夜"),$D1537,"⚠ 不明"))))</f>
        <v/>
      </c>
    </row>
    <row r="1538" customFormat="false" ht="15" hidden="false" customHeight="false" outlineLevel="0" collapsed="false">
      <c r="A1538" s="75"/>
      <c r="B1538" s="76"/>
      <c r="C1538" s="77"/>
      <c r="D1538" s="78"/>
      <c r="E1538" s="77"/>
      <c r="F1538" s="76"/>
      <c r="G1538" s="76"/>
      <c r="I1538" s="79" t="str">
        <f aca="false">IF($B1538="","",IF(ISNUMBER(MATCH($B1538,日別データ!$B$13:$B$32,0)),"✔ OK","⚠ 未登録"))</f>
        <v/>
      </c>
      <c r="J1538" s="80" t="str">
        <f aca="false">IF($B1538="","",IF($D1538="","－",IF(ISNUMBER($D1538),IF(AND($D1538&gt;=1,MOD($D1538,1)=0),"－",IF(MOD($D1538,1)&lt;$L$6,"朝",IF(MOD($D1538,1)&lt;$L$7,"昼",IF(MOD($D1538,1)&lt;$L$8,"夕方","夜")))),IF(OR($D1538="朝",$D1538="昼",$D1538="夕方",$D1538="夜"),$D1538,"⚠ 不明"))))</f>
        <v/>
      </c>
    </row>
    <row r="1539" customFormat="false" ht="15" hidden="false" customHeight="false" outlineLevel="0" collapsed="false">
      <c r="A1539" s="75"/>
      <c r="B1539" s="76"/>
      <c r="C1539" s="77"/>
      <c r="D1539" s="78"/>
      <c r="E1539" s="77"/>
      <c r="F1539" s="76"/>
      <c r="G1539" s="76"/>
      <c r="I1539" s="79" t="str">
        <f aca="false">IF($B1539="","",IF(ISNUMBER(MATCH($B1539,日別データ!$B$13:$B$32,0)),"✔ OK","⚠ 未登録"))</f>
        <v/>
      </c>
      <c r="J1539" s="80" t="str">
        <f aca="false">IF($B1539="","",IF($D1539="","－",IF(ISNUMBER($D1539),IF(AND($D1539&gt;=1,MOD($D1539,1)=0),"－",IF(MOD($D1539,1)&lt;$L$6,"朝",IF(MOD($D1539,1)&lt;$L$7,"昼",IF(MOD($D1539,1)&lt;$L$8,"夕方","夜")))),IF(OR($D1539="朝",$D1539="昼",$D1539="夕方",$D1539="夜"),$D1539,"⚠ 不明"))))</f>
        <v/>
      </c>
    </row>
    <row r="1540" customFormat="false" ht="15" hidden="false" customHeight="false" outlineLevel="0" collapsed="false">
      <c r="A1540" s="75"/>
      <c r="B1540" s="76"/>
      <c r="C1540" s="77"/>
      <c r="D1540" s="78"/>
      <c r="E1540" s="77"/>
      <c r="F1540" s="76"/>
      <c r="G1540" s="76"/>
      <c r="I1540" s="79" t="str">
        <f aca="false">IF($B1540="","",IF(ISNUMBER(MATCH($B1540,日別データ!$B$13:$B$32,0)),"✔ OK","⚠ 未登録"))</f>
        <v/>
      </c>
      <c r="J1540" s="80" t="str">
        <f aca="false">IF($B1540="","",IF($D1540="","－",IF(ISNUMBER($D1540),IF(AND($D1540&gt;=1,MOD($D1540,1)=0),"－",IF(MOD($D1540,1)&lt;$L$6,"朝",IF(MOD($D1540,1)&lt;$L$7,"昼",IF(MOD($D1540,1)&lt;$L$8,"夕方","夜")))),IF(OR($D1540="朝",$D1540="昼",$D1540="夕方",$D1540="夜"),$D1540,"⚠ 不明"))))</f>
        <v/>
      </c>
    </row>
    <row r="1541" customFormat="false" ht="15" hidden="false" customHeight="false" outlineLevel="0" collapsed="false">
      <c r="A1541" s="75"/>
      <c r="B1541" s="76"/>
      <c r="C1541" s="77"/>
      <c r="D1541" s="78"/>
      <c r="E1541" s="77"/>
      <c r="F1541" s="76"/>
      <c r="G1541" s="76"/>
      <c r="I1541" s="79" t="str">
        <f aca="false">IF($B1541="","",IF(ISNUMBER(MATCH($B1541,日別データ!$B$13:$B$32,0)),"✔ OK","⚠ 未登録"))</f>
        <v/>
      </c>
      <c r="J1541" s="80" t="str">
        <f aca="false">IF($B1541="","",IF($D1541="","－",IF(ISNUMBER($D1541),IF(AND($D1541&gt;=1,MOD($D1541,1)=0),"－",IF(MOD($D1541,1)&lt;$L$6,"朝",IF(MOD($D1541,1)&lt;$L$7,"昼",IF(MOD($D1541,1)&lt;$L$8,"夕方","夜")))),IF(OR($D1541="朝",$D1541="昼",$D1541="夕方",$D1541="夜"),$D1541,"⚠ 不明"))))</f>
        <v/>
      </c>
    </row>
    <row r="1542" customFormat="false" ht="15" hidden="false" customHeight="false" outlineLevel="0" collapsed="false">
      <c r="A1542" s="75"/>
      <c r="B1542" s="76"/>
      <c r="C1542" s="77"/>
      <c r="D1542" s="78"/>
      <c r="E1542" s="77"/>
      <c r="F1542" s="76"/>
      <c r="G1542" s="76"/>
      <c r="I1542" s="79" t="str">
        <f aca="false">IF($B1542="","",IF(ISNUMBER(MATCH($B1542,日別データ!$B$13:$B$32,0)),"✔ OK","⚠ 未登録"))</f>
        <v/>
      </c>
      <c r="J1542" s="80" t="str">
        <f aca="false">IF($B1542="","",IF($D1542="","－",IF(ISNUMBER($D1542),IF(AND($D1542&gt;=1,MOD($D1542,1)=0),"－",IF(MOD($D1542,1)&lt;$L$6,"朝",IF(MOD($D1542,1)&lt;$L$7,"昼",IF(MOD($D1542,1)&lt;$L$8,"夕方","夜")))),IF(OR($D1542="朝",$D1542="昼",$D1542="夕方",$D1542="夜"),$D1542,"⚠ 不明"))))</f>
        <v/>
      </c>
    </row>
    <row r="1543" customFormat="false" ht="15" hidden="false" customHeight="false" outlineLevel="0" collapsed="false">
      <c r="A1543" s="75"/>
      <c r="B1543" s="76"/>
      <c r="C1543" s="77"/>
      <c r="D1543" s="78"/>
      <c r="E1543" s="77"/>
      <c r="F1543" s="76"/>
      <c r="G1543" s="76"/>
      <c r="I1543" s="79" t="str">
        <f aca="false">IF($B1543="","",IF(ISNUMBER(MATCH($B1543,日別データ!$B$13:$B$32,0)),"✔ OK","⚠ 未登録"))</f>
        <v/>
      </c>
      <c r="J1543" s="80" t="str">
        <f aca="false">IF($B1543="","",IF($D1543="","－",IF(ISNUMBER($D1543),IF(AND($D1543&gt;=1,MOD($D1543,1)=0),"－",IF(MOD($D1543,1)&lt;$L$6,"朝",IF(MOD($D1543,1)&lt;$L$7,"昼",IF(MOD($D1543,1)&lt;$L$8,"夕方","夜")))),IF(OR($D1543="朝",$D1543="昼",$D1543="夕方",$D1543="夜"),$D1543,"⚠ 不明"))))</f>
        <v/>
      </c>
    </row>
    <row r="1544" customFormat="false" ht="15" hidden="false" customHeight="false" outlineLevel="0" collapsed="false">
      <c r="A1544" s="75"/>
      <c r="B1544" s="76"/>
      <c r="C1544" s="77"/>
      <c r="D1544" s="78"/>
      <c r="E1544" s="77"/>
      <c r="F1544" s="76"/>
      <c r="G1544" s="76"/>
      <c r="I1544" s="79" t="str">
        <f aca="false">IF($B1544="","",IF(ISNUMBER(MATCH($B1544,日別データ!$B$13:$B$32,0)),"✔ OK","⚠ 未登録"))</f>
        <v/>
      </c>
      <c r="J1544" s="80" t="str">
        <f aca="false">IF($B1544="","",IF($D1544="","－",IF(ISNUMBER($D1544),IF(AND($D1544&gt;=1,MOD($D1544,1)=0),"－",IF(MOD($D1544,1)&lt;$L$6,"朝",IF(MOD($D1544,1)&lt;$L$7,"昼",IF(MOD($D1544,1)&lt;$L$8,"夕方","夜")))),IF(OR($D1544="朝",$D1544="昼",$D1544="夕方",$D1544="夜"),$D1544,"⚠ 不明"))))</f>
        <v/>
      </c>
    </row>
    <row r="1545" customFormat="false" ht="15" hidden="false" customHeight="false" outlineLevel="0" collapsed="false">
      <c r="A1545" s="75"/>
      <c r="B1545" s="76"/>
      <c r="C1545" s="77"/>
      <c r="D1545" s="78"/>
      <c r="E1545" s="77"/>
      <c r="F1545" s="76"/>
      <c r="G1545" s="76"/>
      <c r="I1545" s="79" t="str">
        <f aca="false">IF($B1545="","",IF(ISNUMBER(MATCH($B1545,日別データ!$B$13:$B$32,0)),"✔ OK","⚠ 未登録"))</f>
        <v/>
      </c>
      <c r="J1545" s="80" t="str">
        <f aca="false">IF($B1545="","",IF($D1545="","－",IF(ISNUMBER($D1545),IF(AND($D1545&gt;=1,MOD($D1545,1)=0),"－",IF(MOD($D1545,1)&lt;$L$6,"朝",IF(MOD($D1545,1)&lt;$L$7,"昼",IF(MOD($D1545,1)&lt;$L$8,"夕方","夜")))),IF(OR($D1545="朝",$D1545="昼",$D1545="夕方",$D1545="夜"),$D1545,"⚠ 不明"))))</f>
        <v/>
      </c>
    </row>
    <row r="1546" customFormat="false" ht="15" hidden="false" customHeight="false" outlineLevel="0" collapsed="false">
      <c r="A1546" s="75"/>
      <c r="B1546" s="76"/>
      <c r="C1546" s="77"/>
      <c r="D1546" s="78"/>
      <c r="E1546" s="77"/>
      <c r="F1546" s="76"/>
      <c r="G1546" s="76"/>
      <c r="I1546" s="79" t="str">
        <f aca="false">IF($B1546="","",IF(ISNUMBER(MATCH($B1546,日別データ!$B$13:$B$32,0)),"✔ OK","⚠ 未登録"))</f>
        <v/>
      </c>
      <c r="J1546" s="80" t="str">
        <f aca="false">IF($B1546="","",IF($D1546="","－",IF(ISNUMBER($D1546),IF(AND($D1546&gt;=1,MOD($D1546,1)=0),"－",IF(MOD($D1546,1)&lt;$L$6,"朝",IF(MOD($D1546,1)&lt;$L$7,"昼",IF(MOD($D1546,1)&lt;$L$8,"夕方","夜")))),IF(OR($D1546="朝",$D1546="昼",$D1546="夕方",$D1546="夜"),$D1546,"⚠ 不明"))))</f>
        <v/>
      </c>
    </row>
    <row r="1547" customFormat="false" ht="15" hidden="false" customHeight="false" outlineLevel="0" collapsed="false">
      <c r="A1547" s="75"/>
      <c r="B1547" s="76"/>
      <c r="C1547" s="77"/>
      <c r="D1547" s="78"/>
      <c r="E1547" s="77"/>
      <c r="F1547" s="76"/>
      <c r="G1547" s="76"/>
      <c r="I1547" s="79" t="str">
        <f aca="false">IF($B1547="","",IF(ISNUMBER(MATCH($B1547,日別データ!$B$13:$B$32,0)),"✔ OK","⚠ 未登録"))</f>
        <v/>
      </c>
      <c r="J1547" s="80" t="str">
        <f aca="false">IF($B1547="","",IF($D1547="","－",IF(ISNUMBER($D1547),IF(AND($D1547&gt;=1,MOD($D1547,1)=0),"－",IF(MOD($D1547,1)&lt;$L$6,"朝",IF(MOD($D1547,1)&lt;$L$7,"昼",IF(MOD($D1547,1)&lt;$L$8,"夕方","夜")))),IF(OR($D1547="朝",$D1547="昼",$D1547="夕方",$D1547="夜"),$D1547,"⚠ 不明"))))</f>
        <v/>
      </c>
    </row>
    <row r="1548" customFormat="false" ht="15" hidden="false" customHeight="false" outlineLevel="0" collapsed="false">
      <c r="A1548" s="75"/>
      <c r="B1548" s="76"/>
      <c r="C1548" s="77"/>
      <c r="D1548" s="78"/>
      <c r="E1548" s="77"/>
      <c r="F1548" s="76"/>
      <c r="G1548" s="76"/>
      <c r="I1548" s="79" t="str">
        <f aca="false">IF($B1548="","",IF(ISNUMBER(MATCH($B1548,日別データ!$B$13:$B$32,0)),"✔ OK","⚠ 未登録"))</f>
        <v/>
      </c>
      <c r="J1548" s="80" t="str">
        <f aca="false">IF($B1548="","",IF($D1548="","－",IF(ISNUMBER($D1548),IF(AND($D1548&gt;=1,MOD($D1548,1)=0),"－",IF(MOD($D1548,1)&lt;$L$6,"朝",IF(MOD($D1548,1)&lt;$L$7,"昼",IF(MOD($D1548,1)&lt;$L$8,"夕方","夜")))),IF(OR($D1548="朝",$D1548="昼",$D1548="夕方",$D1548="夜"),$D1548,"⚠ 不明"))))</f>
        <v/>
      </c>
    </row>
    <row r="1549" customFormat="false" ht="15" hidden="false" customHeight="false" outlineLevel="0" collapsed="false">
      <c r="A1549" s="75"/>
      <c r="B1549" s="76"/>
      <c r="C1549" s="77"/>
      <c r="D1549" s="78"/>
      <c r="E1549" s="77"/>
      <c r="F1549" s="76"/>
      <c r="G1549" s="76"/>
      <c r="I1549" s="79" t="str">
        <f aca="false">IF($B1549="","",IF(ISNUMBER(MATCH($B1549,日別データ!$B$13:$B$32,0)),"✔ OK","⚠ 未登録"))</f>
        <v/>
      </c>
      <c r="J1549" s="80" t="str">
        <f aca="false">IF($B1549="","",IF($D1549="","－",IF(ISNUMBER($D1549),IF(AND($D1549&gt;=1,MOD($D1549,1)=0),"－",IF(MOD($D1549,1)&lt;$L$6,"朝",IF(MOD($D1549,1)&lt;$L$7,"昼",IF(MOD($D1549,1)&lt;$L$8,"夕方","夜")))),IF(OR($D1549="朝",$D1549="昼",$D1549="夕方",$D1549="夜"),$D1549,"⚠ 不明"))))</f>
        <v/>
      </c>
    </row>
    <row r="1550" customFormat="false" ht="15" hidden="false" customHeight="false" outlineLevel="0" collapsed="false">
      <c r="A1550" s="75"/>
      <c r="B1550" s="76"/>
      <c r="C1550" s="77"/>
      <c r="D1550" s="78"/>
      <c r="E1550" s="77"/>
      <c r="F1550" s="76"/>
      <c r="G1550" s="76"/>
      <c r="I1550" s="79" t="str">
        <f aca="false">IF($B1550="","",IF(ISNUMBER(MATCH($B1550,日別データ!$B$13:$B$32,0)),"✔ OK","⚠ 未登録"))</f>
        <v/>
      </c>
      <c r="J1550" s="80" t="str">
        <f aca="false">IF($B1550="","",IF($D1550="","－",IF(ISNUMBER($D1550),IF(AND($D1550&gt;=1,MOD($D1550,1)=0),"－",IF(MOD($D1550,1)&lt;$L$6,"朝",IF(MOD($D1550,1)&lt;$L$7,"昼",IF(MOD($D1550,1)&lt;$L$8,"夕方","夜")))),IF(OR($D1550="朝",$D1550="昼",$D1550="夕方",$D1550="夜"),$D1550,"⚠ 不明"))))</f>
        <v/>
      </c>
    </row>
    <row r="1551" customFormat="false" ht="15" hidden="false" customHeight="false" outlineLevel="0" collapsed="false">
      <c r="A1551" s="75"/>
      <c r="B1551" s="76"/>
      <c r="C1551" s="77"/>
      <c r="D1551" s="78"/>
      <c r="E1551" s="77"/>
      <c r="F1551" s="76"/>
      <c r="G1551" s="76"/>
      <c r="I1551" s="79" t="str">
        <f aca="false">IF($B1551="","",IF(ISNUMBER(MATCH($B1551,日別データ!$B$13:$B$32,0)),"✔ OK","⚠ 未登録"))</f>
        <v/>
      </c>
      <c r="J1551" s="80" t="str">
        <f aca="false">IF($B1551="","",IF($D1551="","－",IF(ISNUMBER($D1551),IF(AND($D1551&gt;=1,MOD($D1551,1)=0),"－",IF(MOD($D1551,1)&lt;$L$6,"朝",IF(MOD($D1551,1)&lt;$L$7,"昼",IF(MOD($D1551,1)&lt;$L$8,"夕方","夜")))),IF(OR($D1551="朝",$D1551="昼",$D1551="夕方",$D1551="夜"),$D1551,"⚠ 不明"))))</f>
        <v/>
      </c>
    </row>
    <row r="1552" customFormat="false" ht="15" hidden="false" customHeight="false" outlineLevel="0" collapsed="false">
      <c r="A1552" s="75"/>
      <c r="B1552" s="76"/>
      <c r="C1552" s="77"/>
      <c r="D1552" s="78"/>
      <c r="E1552" s="77"/>
      <c r="F1552" s="76"/>
      <c r="G1552" s="76"/>
      <c r="I1552" s="79" t="str">
        <f aca="false">IF($B1552="","",IF(ISNUMBER(MATCH($B1552,日別データ!$B$13:$B$32,0)),"✔ OK","⚠ 未登録"))</f>
        <v/>
      </c>
      <c r="J1552" s="80" t="str">
        <f aca="false">IF($B1552="","",IF($D1552="","－",IF(ISNUMBER($D1552),IF(AND($D1552&gt;=1,MOD($D1552,1)=0),"－",IF(MOD($D1552,1)&lt;$L$6,"朝",IF(MOD($D1552,1)&lt;$L$7,"昼",IF(MOD($D1552,1)&lt;$L$8,"夕方","夜")))),IF(OR($D1552="朝",$D1552="昼",$D1552="夕方",$D1552="夜"),$D1552,"⚠ 不明"))))</f>
        <v/>
      </c>
    </row>
    <row r="1553" customFormat="false" ht="15" hidden="false" customHeight="false" outlineLevel="0" collapsed="false">
      <c r="A1553" s="75"/>
      <c r="B1553" s="76"/>
      <c r="C1553" s="77"/>
      <c r="D1553" s="78"/>
      <c r="E1553" s="77"/>
      <c r="F1553" s="76"/>
      <c r="G1553" s="76"/>
      <c r="I1553" s="79" t="str">
        <f aca="false">IF($B1553="","",IF(ISNUMBER(MATCH($B1553,日別データ!$B$13:$B$32,0)),"✔ OK","⚠ 未登録"))</f>
        <v/>
      </c>
      <c r="J1553" s="80" t="str">
        <f aca="false">IF($B1553="","",IF($D1553="","－",IF(ISNUMBER($D1553),IF(AND($D1553&gt;=1,MOD($D1553,1)=0),"－",IF(MOD($D1553,1)&lt;$L$6,"朝",IF(MOD($D1553,1)&lt;$L$7,"昼",IF(MOD($D1553,1)&lt;$L$8,"夕方","夜")))),IF(OR($D1553="朝",$D1553="昼",$D1553="夕方",$D1553="夜"),$D1553,"⚠ 不明"))))</f>
        <v/>
      </c>
    </row>
    <row r="1554" customFormat="false" ht="15" hidden="false" customHeight="false" outlineLevel="0" collapsed="false">
      <c r="A1554" s="75"/>
      <c r="B1554" s="76"/>
      <c r="C1554" s="77"/>
      <c r="D1554" s="78"/>
      <c r="E1554" s="77"/>
      <c r="F1554" s="76"/>
      <c r="G1554" s="76"/>
      <c r="I1554" s="79" t="str">
        <f aca="false">IF($B1554="","",IF(ISNUMBER(MATCH($B1554,日別データ!$B$13:$B$32,0)),"✔ OK","⚠ 未登録"))</f>
        <v/>
      </c>
      <c r="J1554" s="80" t="str">
        <f aca="false">IF($B1554="","",IF($D1554="","－",IF(ISNUMBER($D1554),IF(AND($D1554&gt;=1,MOD($D1554,1)=0),"－",IF(MOD($D1554,1)&lt;$L$6,"朝",IF(MOD($D1554,1)&lt;$L$7,"昼",IF(MOD($D1554,1)&lt;$L$8,"夕方","夜")))),IF(OR($D1554="朝",$D1554="昼",$D1554="夕方",$D1554="夜"),$D1554,"⚠ 不明"))))</f>
        <v/>
      </c>
    </row>
    <row r="1555" customFormat="false" ht="15" hidden="false" customHeight="false" outlineLevel="0" collapsed="false">
      <c r="A1555" s="75"/>
      <c r="B1555" s="76"/>
      <c r="C1555" s="77"/>
      <c r="D1555" s="78"/>
      <c r="E1555" s="77"/>
      <c r="F1555" s="76"/>
      <c r="G1555" s="76"/>
      <c r="I1555" s="79" t="str">
        <f aca="false">IF($B1555="","",IF(ISNUMBER(MATCH($B1555,日別データ!$B$13:$B$32,0)),"✔ OK","⚠ 未登録"))</f>
        <v/>
      </c>
      <c r="J1555" s="80" t="str">
        <f aca="false">IF($B1555="","",IF($D1555="","－",IF(ISNUMBER($D1555),IF(AND($D1555&gt;=1,MOD($D1555,1)=0),"－",IF(MOD($D1555,1)&lt;$L$6,"朝",IF(MOD($D1555,1)&lt;$L$7,"昼",IF(MOD($D1555,1)&lt;$L$8,"夕方","夜")))),IF(OR($D1555="朝",$D1555="昼",$D1555="夕方",$D1555="夜"),$D1555,"⚠ 不明"))))</f>
        <v/>
      </c>
    </row>
    <row r="1556" customFormat="false" ht="15" hidden="false" customHeight="false" outlineLevel="0" collapsed="false">
      <c r="A1556" s="75"/>
      <c r="B1556" s="76"/>
      <c r="C1556" s="77"/>
      <c r="D1556" s="78"/>
      <c r="E1556" s="77"/>
      <c r="F1556" s="76"/>
      <c r="G1556" s="76"/>
      <c r="I1556" s="79" t="str">
        <f aca="false">IF($B1556="","",IF(ISNUMBER(MATCH($B1556,日別データ!$B$13:$B$32,0)),"✔ OK","⚠ 未登録"))</f>
        <v/>
      </c>
      <c r="J1556" s="80" t="str">
        <f aca="false">IF($B1556="","",IF($D1556="","－",IF(ISNUMBER($D1556),IF(AND($D1556&gt;=1,MOD($D1556,1)=0),"－",IF(MOD($D1556,1)&lt;$L$6,"朝",IF(MOD($D1556,1)&lt;$L$7,"昼",IF(MOD($D1556,1)&lt;$L$8,"夕方","夜")))),IF(OR($D1556="朝",$D1556="昼",$D1556="夕方",$D1556="夜"),$D1556,"⚠ 不明"))))</f>
        <v/>
      </c>
    </row>
    <row r="1557" customFormat="false" ht="15" hidden="false" customHeight="false" outlineLevel="0" collapsed="false">
      <c r="A1557" s="75"/>
      <c r="B1557" s="76"/>
      <c r="C1557" s="77"/>
      <c r="D1557" s="78"/>
      <c r="E1557" s="77"/>
      <c r="F1557" s="76"/>
      <c r="G1557" s="76"/>
      <c r="I1557" s="79" t="str">
        <f aca="false">IF($B1557="","",IF(ISNUMBER(MATCH($B1557,日別データ!$B$13:$B$32,0)),"✔ OK","⚠ 未登録"))</f>
        <v/>
      </c>
      <c r="J1557" s="80" t="str">
        <f aca="false">IF($B1557="","",IF($D1557="","－",IF(ISNUMBER($D1557),IF(AND($D1557&gt;=1,MOD($D1557,1)=0),"－",IF(MOD($D1557,1)&lt;$L$6,"朝",IF(MOD($D1557,1)&lt;$L$7,"昼",IF(MOD($D1557,1)&lt;$L$8,"夕方","夜")))),IF(OR($D1557="朝",$D1557="昼",$D1557="夕方",$D1557="夜"),$D1557,"⚠ 不明"))))</f>
        <v/>
      </c>
    </row>
    <row r="1558" customFormat="false" ht="15" hidden="false" customHeight="false" outlineLevel="0" collapsed="false">
      <c r="A1558" s="75"/>
      <c r="B1558" s="76"/>
      <c r="C1558" s="77"/>
      <c r="D1558" s="78"/>
      <c r="E1558" s="77"/>
      <c r="F1558" s="76"/>
      <c r="G1558" s="76"/>
      <c r="I1558" s="79" t="str">
        <f aca="false">IF($B1558="","",IF(ISNUMBER(MATCH($B1558,日別データ!$B$13:$B$32,0)),"✔ OK","⚠ 未登録"))</f>
        <v/>
      </c>
      <c r="J1558" s="80" t="str">
        <f aca="false">IF($B1558="","",IF($D1558="","－",IF(ISNUMBER($D1558),IF(AND($D1558&gt;=1,MOD($D1558,1)=0),"－",IF(MOD($D1558,1)&lt;$L$6,"朝",IF(MOD($D1558,1)&lt;$L$7,"昼",IF(MOD($D1558,1)&lt;$L$8,"夕方","夜")))),IF(OR($D1558="朝",$D1558="昼",$D1558="夕方",$D1558="夜"),$D1558,"⚠ 不明"))))</f>
        <v/>
      </c>
    </row>
    <row r="1559" customFormat="false" ht="15" hidden="false" customHeight="false" outlineLevel="0" collapsed="false">
      <c r="A1559" s="75"/>
      <c r="B1559" s="76"/>
      <c r="C1559" s="77"/>
      <c r="D1559" s="78"/>
      <c r="E1559" s="77"/>
      <c r="F1559" s="76"/>
      <c r="G1559" s="76"/>
      <c r="I1559" s="79" t="str">
        <f aca="false">IF($B1559="","",IF(ISNUMBER(MATCH($B1559,日別データ!$B$13:$B$32,0)),"✔ OK","⚠ 未登録"))</f>
        <v/>
      </c>
      <c r="J1559" s="80" t="str">
        <f aca="false">IF($B1559="","",IF($D1559="","－",IF(ISNUMBER($D1559),IF(AND($D1559&gt;=1,MOD($D1559,1)=0),"－",IF(MOD($D1559,1)&lt;$L$6,"朝",IF(MOD($D1559,1)&lt;$L$7,"昼",IF(MOD($D1559,1)&lt;$L$8,"夕方","夜")))),IF(OR($D1559="朝",$D1559="昼",$D1559="夕方",$D1559="夜"),$D1559,"⚠ 不明"))))</f>
        <v/>
      </c>
    </row>
    <row r="1560" customFormat="false" ht="15" hidden="false" customHeight="false" outlineLevel="0" collapsed="false">
      <c r="A1560" s="75"/>
      <c r="B1560" s="76"/>
      <c r="C1560" s="77"/>
      <c r="D1560" s="78"/>
      <c r="E1560" s="77"/>
      <c r="F1560" s="76"/>
      <c r="G1560" s="76"/>
      <c r="I1560" s="79" t="str">
        <f aca="false">IF($B1560="","",IF(ISNUMBER(MATCH($B1560,日別データ!$B$13:$B$32,0)),"✔ OK","⚠ 未登録"))</f>
        <v/>
      </c>
      <c r="J1560" s="80" t="str">
        <f aca="false">IF($B1560="","",IF($D1560="","－",IF(ISNUMBER($D1560),IF(AND($D1560&gt;=1,MOD($D1560,1)=0),"－",IF(MOD($D1560,1)&lt;$L$6,"朝",IF(MOD($D1560,1)&lt;$L$7,"昼",IF(MOD($D1560,1)&lt;$L$8,"夕方","夜")))),IF(OR($D1560="朝",$D1560="昼",$D1560="夕方",$D1560="夜"),$D1560,"⚠ 不明"))))</f>
        <v/>
      </c>
    </row>
    <row r="1561" customFormat="false" ht="15" hidden="false" customHeight="false" outlineLevel="0" collapsed="false">
      <c r="A1561" s="75"/>
      <c r="B1561" s="76"/>
      <c r="C1561" s="77"/>
      <c r="D1561" s="78"/>
      <c r="E1561" s="77"/>
      <c r="F1561" s="76"/>
      <c r="G1561" s="76"/>
      <c r="I1561" s="79" t="str">
        <f aca="false">IF($B1561="","",IF(ISNUMBER(MATCH($B1561,日別データ!$B$13:$B$32,0)),"✔ OK","⚠ 未登録"))</f>
        <v/>
      </c>
      <c r="J1561" s="80" t="str">
        <f aca="false">IF($B1561="","",IF($D1561="","－",IF(ISNUMBER($D1561),IF(AND($D1561&gt;=1,MOD($D1561,1)=0),"－",IF(MOD($D1561,1)&lt;$L$6,"朝",IF(MOD($D1561,1)&lt;$L$7,"昼",IF(MOD($D1561,1)&lt;$L$8,"夕方","夜")))),IF(OR($D1561="朝",$D1561="昼",$D1561="夕方",$D1561="夜"),$D1561,"⚠ 不明"))))</f>
        <v/>
      </c>
    </row>
    <row r="1562" customFormat="false" ht="15" hidden="false" customHeight="false" outlineLevel="0" collapsed="false">
      <c r="A1562" s="75"/>
      <c r="B1562" s="76"/>
      <c r="C1562" s="77"/>
      <c r="D1562" s="78"/>
      <c r="E1562" s="77"/>
      <c r="F1562" s="76"/>
      <c r="G1562" s="76"/>
      <c r="I1562" s="79" t="str">
        <f aca="false">IF($B1562="","",IF(ISNUMBER(MATCH($B1562,日別データ!$B$13:$B$32,0)),"✔ OK","⚠ 未登録"))</f>
        <v/>
      </c>
      <c r="J1562" s="80" t="str">
        <f aca="false">IF($B1562="","",IF($D1562="","－",IF(ISNUMBER($D1562),IF(AND($D1562&gt;=1,MOD($D1562,1)=0),"－",IF(MOD($D1562,1)&lt;$L$6,"朝",IF(MOD($D1562,1)&lt;$L$7,"昼",IF(MOD($D1562,1)&lt;$L$8,"夕方","夜")))),IF(OR($D1562="朝",$D1562="昼",$D1562="夕方",$D1562="夜"),$D1562,"⚠ 不明"))))</f>
        <v/>
      </c>
    </row>
    <row r="1563" customFormat="false" ht="15" hidden="false" customHeight="false" outlineLevel="0" collapsed="false">
      <c r="A1563" s="75"/>
      <c r="B1563" s="76"/>
      <c r="C1563" s="77"/>
      <c r="D1563" s="78"/>
      <c r="E1563" s="77"/>
      <c r="F1563" s="76"/>
      <c r="G1563" s="76"/>
      <c r="I1563" s="79" t="str">
        <f aca="false">IF($B1563="","",IF(ISNUMBER(MATCH($B1563,日別データ!$B$13:$B$32,0)),"✔ OK","⚠ 未登録"))</f>
        <v/>
      </c>
      <c r="J1563" s="80" t="str">
        <f aca="false">IF($B1563="","",IF($D1563="","－",IF(ISNUMBER($D1563),IF(AND($D1563&gt;=1,MOD($D1563,1)=0),"－",IF(MOD($D1563,1)&lt;$L$6,"朝",IF(MOD($D1563,1)&lt;$L$7,"昼",IF(MOD($D1563,1)&lt;$L$8,"夕方","夜")))),IF(OR($D1563="朝",$D1563="昼",$D1563="夕方",$D1563="夜"),$D1563,"⚠ 不明"))))</f>
        <v/>
      </c>
    </row>
    <row r="1564" customFormat="false" ht="15" hidden="false" customHeight="false" outlineLevel="0" collapsed="false">
      <c r="A1564" s="75"/>
      <c r="B1564" s="76"/>
      <c r="C1564" s="77"/>
      <c r="D1564" s="78"/>
      <c r="E1564" s="77"/>
      <c r="F1564" s="76"/>
      <c r="G1564" s="76"/>
      <c r="I1564" s="79" t="str">
        <f aca="false">IF($B1564="","",IF(ISNUMBER(MATCH($B1564,日別データ!$B$13:$B$32,0)),"✔ OK","⚠ 未登録"))</f>
        <v/>
      </c>
      <c r="J1564" s="80" t="str">
        <f aca="false">IF($B1564="","",IF($D1564="","－",IF(ISNUMBER($D1564),IF(AND($D1564&gt;=1,MOD($D1564,1)=0),"－",IF(MOD($D1564,1)&lt;$L$6,"朝",IF(MOD($D1564,1)&lt;$L$7,"昼",IF(MOD($D1564,1)&lt;$L$8,"夕方","夜")))),IF(OR($D1564="朝",$D1564="昼",$D1564="夕方",$D1564="夜"),$D1564,"⚠ 不明"))))</f>
        <v/>
      </c>
    </row>
    <row r="1565" customFormat="false" ht="15" hidden="false" customHeight="false" outlineLevel="0" collapsed="false">
      <c r="A1565" s="75"/>
      <c r="B1565" s="76"/>
      <c r="C1565" s="77"/>
      <c r="D1565" s="78"/>
      <c r="E1565" s="77"/>
      <c r="F1565" s="76"/>
      <c r="G1565" s="76"/>
      <c r="I1565" s="79" t="str">
        <f aca="false">IF($B1565="","",IF(ISNUMBER(MATCH($B1565,日別データ!$B$13:$B$32,0)),"✔ OK","⚠ 未登録"))</f>
        <v/>
      </c>
      <c r="J1565" s="80" t="str">
        <f aca="false">IF($B1565="","",IF($D1565="","－",IF(ISNUMBER($D1565),IF(AND($D1565&gt;=1,MOD($D1565,1)=0),"－",IF(MOD($D1565,1)&lt;$L$6,"朝",IF(MOD($D1565,1)&lt;$L$7,"昼",IF(MOD($D1565,1)&lt;$L$8,"夕方","夜")))),IF(OR($D1565="朝",$D1565="昼",$D1565="夕方",$D1565="夜"),$D1565,"⚠ 不明"))))</f>
        <v/>
      </c>
    </row>
    <row r="1566" customFormat="false" ht="15" hidden="false" customHeight="false" outlineLevel="0" collapsed="false">
      <c r="A1566" s="75"/>
      <c r="B1566" s="76"/>
      <c r="C1566" s="77"/>
      <c r="D1566" s="78"/>
      <c r="E1566" s="77"/>
      <c r="F1566" s="76"/>
      <c r="G1566" s="76"/>
      <c r="I1566" s="79" t="str">
        <f aca="false">IF($B1566="","",IF(ISNUMBER(MATCH($B1566,日別データ!$B$13:$B$32,0)),"✔ OK","⚠ 未登録"))</f>
        <v/>
      </c>
      <c r="J1566" s="80" t="str">
        <f aca="false">IF($B1566="","",IF($D1566="","－",IF(ISNUMBER($D1566),IF(AND($D1566&gt;=1,MOD($D1566,1)=0),"－",IF(MOD($D1566,1)&lt;$L$6,"朝",IF(MOD($D1566,1)&lt;$L$7,"昼",IF(MOD($D1566,1)&lt;$L$8,"夕方","夜")))),IF(OR($D1566="朝",$D1566="昼",$D1566="夕方",$D1566="夜"),$D1566,"⚠ 不明"))))</f>
        <v/>
      </c>
    </row>
    <row r="1567" customFormat="false" ht="15" hidden="false" customHeight="false" outlineLevel="0" collapsed="false">
      <c r="A1567" s="75"/>
      <c r="B1567" s="76"/>
      <c r="C1567" s="77"/>
      <c r="D1567" s="78"/>
      <c r="E1567" s="77"/>
      <c r="F1567" s="76"/>
      <c r="G1567" s="76"/>
      <c r="I1567" s="79" t="str">
        <f aca="false">IF($B1567="","",IF(ISNUMBER(MATCH($B1567,日別データ!$B$13:$B$32,0)),"✔ OK","⚠ 未登録"))</f>
        <v/>
      </c>
      <c r="J1567" s="80" t="str">
        <f aca="false">IF($B1567="","",IF($D1567="","－",IF(ISNUMBER($D1567),IF(AND($D1567&gt;=1,MOD($D1567,1)=0),"－",IF(MOD($D1567,1)&lt;$L$6,"朝",IF(MOD($D1567,1)&lt;$L$7,"昼",IF(MOD($D1567,1)&lt;$L$8,"夕方","夜")))),IF(OR($D1567="朝",$D1567="昼",$D1567="夕方",$D1567="夜"),$D1567,"⚠ 不明"))))</f>
        <v/>
      </c>
    </row>
    <row r="1568" customFormat="false" ht="15" hidden="false" customHeight="false" outlineLevel="0" collapsed="false">
      <c r="A1568" s="75"/>
      <c r="B1568" s="76"/>
      <c r="C1568" s="77"/>
      <c r="D1568" s="78"/>
      <c r="E1568" s="77"/>
      <c r="F1568" s="76"/>
      <c r="G1568" s="76"/>
      <c r="I1568" s="79" t="str">
        <f aca="false">IF($B1568="","",IF(ISNUMBER(MATCH($B1568,日別データ!$B$13:$B$32,0)),"✔ OK","⚠ 未登録"))</f>
        <v/>
      </c>
      <c r="J1568" s="80" t="str">
        <f aca="false">IF($B1568="","",IF($D1568="","－",IF(ISNUMBER($D1568),IF(AND($D1568&gt;=1,MOD($D1568,1)=0),"－",IF(MOD($D1568,1)&lt;$L$6,"朝",IF(MOD($D1568,1)&lt;$L$7,"昼",IF(MOD($D1568,1)&lt;$L$8,"夕方","夜")))),IF(OR($D1568="朝",$D1568="昼",$D1568="夕方",$D1568="夜"),$D1568,"⚠ 不明"))))</f>
        <v/>
      </c>
    </row>
    <row r="1569" customFormat="false" ht="15" hidden="false" customHeight="false" outlineLevel="0" collapsed="false">
      <c r="A1569" s="75"/>
      <c r="B1569" s="76"/>
      <c r="C1569" s="77"/>
      <c r="D1569" s="78"/>
      <c r="E1569" s="77"/>
      <c r="F1569" s="76"/>
      <c r="G1569" s="76"/>
      <c r="I1569" s="79" t="str">
        <f aca="false">IF($B1569="","",IF(ISNUMBER(MATCH($B1569,日別データ!$B$13:$B$32,0)),"✔ OK","⚠ 未登録"))</f>
        <v/>
      </c>
      <c r="J1569" s="80" t="str">
        <f aca="false">IF($B1569="","",IF($D1569="","－",IF(ISNUMBER($D1569),IF(AND($D1569&gt;=1,MOD($D1569,1)=0),"－",IF(MOD($D1569,1)&lt;$L$6,"朝",IF(MOD($D1569,1)&lt;$L$7,"昼",IF(MOD($D1569,1)&lt;$L$8,"夕方","夜")))),IF(OR($D1569="朝",$D1569="昼",$D1569="夕方",$D1569="夜"),$D1569,"⚠ 不明"))))</f>
        <v/>
      </c>
    </row>
    <row r="1570" customFormat="false" ht="15" hidden="false" customHeight="false" outlineLevel="0" collapsed="false">
      <c r="A1570" s="75"/>
      <c r="B1570" s="76"/>
      <c r="C1570" s="77"/>
      <c r="D1570" s="78"/>
      <c r="E1570" s="77"/>
      <c r="F1570" s="76"/>
      <c r="G1570" s="76"/>
      <c r="I1570" s="79" t="str">
        <f aca="false">IF($B1570="","",IF(ISNUMBER(MATCH($B1570,日別データ!$B$13:$B$32,0)),"✔ OK","⚠ 未登録"))</f>
        <v/>
      </c>
      <c r="J1570" s="80" t="str">
        <f aca="false">IF($B1570="","",IF($D1570="","－",IF(ISNUMBER($D1570),IF(AND($D1570&gt;=1,MOD($D1570,1)=0),"－",IF(MOD($D1570,1)&lt;$L$6,"朝",IF(MOD($D1570,1)&lt;$L$7,"昼",IF(MOD($D1570,1)&lt;$L$8,"夕方","夜")))),IF(OR($D1570="朝",$D1570="昼",$D1570="夕方",$D1570="夜"),$D1570,"⚠ 不明"))))</f>
        <v/>
      </c>
    </row>
    <row r="1571" customFormat="false" ht="15" hidden="false" customHeight="false" outlineLevel="0" collapsed="false">
      <c r="A1571" s="75"/>
      <c r="B1571" s="76"/>
      <c r="C1571" s="77"/>
      <c r="D1571" s="78"/>
      <c r="E1571" s="77"/>
      <c r="F1571" s="76"/>
      <c r="G1571" s="76"/>
      <c r="I1571" s="79" t="str">
        <f aca="false">IF($B1571="","",IF(ISNUMBER(MATCH($B1571,日別データ!$B$13:$B$32,0)),"✔ OK","⚠ 未登録"))</f>
        <v/>
      </c>
      <c r="J1571" s="80" t="str">
        <f aca="false">IF($B1571="","",IF($D1571="","－",IF(ISNUMBER($D1571),IF(AND($D1571&gt;=1,MOD($D1571,1)=0),"－",IF(MOD($D1571,1)&lt;$L$6,"朝",IF(MOD($D1571,1)&lt;$L$7,"昼",IF(MOD($D1571,1)&lt;$L$8,"夕方","夜")))),IF(OR($D1571="朝",$D1571="昼",$D1571="夕方",$D1571="夜"),$D1571,"⚠ 不明"))))</f>
        <v/>
      </c>
    </row>
    <row r="1572" customFormat="false" ht="15" hidden="false" customHeight="false" outlineLevel="0" collapsed="false">
      <c r="A1572" s="75"/>
      <c r="B1572" s="76"/>
      <c r="C1572" s="77"/>
      <c r="D1572" s="78"/>
      <c r="E1572" s="77"/>
      <c r="F1572" s="76"/>
      <c r="G1572" s="76"/>
      <c r="I1572" s="79" t="str">
        <f aca="false">IF($B1572="","",IF(ISNUMBER(MATCH($B1572,日別データ!$B$13:$B$32,0)),"✔ OK","⚠ 未登録"))</f>
        <v/>
      </c>
      <c r="J1572" s="80" t="str">
        <f aca="false">IF($B1572="","",IF($D1572="","－",IF(ISNUMBER($D1572),IF(AND($D1572&gt;=1,MOD($D1572,1)=0),"－",IF(MOD($D1572,1)&lt;$L$6,"朝",IF(MOD($D1572,1)&lt;$L$7,"昼",IF(MOD($D1572,1)&lt;$L$8,"夕方","夜")))),IF(OR($D1572="朝",$D1572="昼",$D1572="夕方",$D1572="夜"),$D1572,"⚠ 不明"))))</f>
        <v/>
      </c>
    </row>
    <row r="1573" customFormat="false" ht="15" hidden="false" customHeight="false" outlineLevel="0" collapsed="false">
      <c r="A1573" s="75"/>
      <c r="B1573" s="76"/>
      <c r="C1573" s="77"/>
      <c r="D1573" s="78"/>
      <c r="E1573" s="77"/>
      <c r="F1573" s="76"/>
      <c r="G1573" s="76"/>
      <c r="I1573" s="79" t="str">
        <f aca="false">IF($B1573="","",IF(ISNUMBER(MATCH($B1573,日別データ!$B$13:$B$32,0)),"✔ OK","⚠ 未登録"))</f>
        <v/>
      </c>
      <c r="J1573" s="80" t="str">
        <f aca="false">IF($B1573="","",IF($D1573="","－",IF(ISNUMBER($D1573),IF(AND($D1573&gt;=1,MOD($D1573,1)=0),"－",IF(MOD($D1573,1)&lt;$L$6,"朝",IF(MOD($D1573,1)&lt;$L$7,"昼",IF(MOD($D1573,1)&lt;$L$8,"夕方","夜")))),IF(OR($D1573="朝",$D1573="昼",$D1573="夕方",$D1573="夜"),$D1573,"⚠ 不明"))))</f>
        <v/>
      </c>
    </row>
    <row r="1574" customFormat="false" ht="15" hidden="false" customHeight="false" outlineLevel="0" collapsed="false">
      <c r="A1574" s="75"/>
      <c r="B1574" s="76"/>
      <c r="C1574" s="77"/>
      <c r="D1574" s="78"/>
      <c r="E1574" s="77"/>
      <c r="F1574" s="76"/>
      <c r="G1574" s="76"/>
      <c r="I1574" s="79" t="str">
        <f aca="false">IF($B1574="","",IF(ISNUMBER(MATCH($B1574,日別データ!$B$13:$B$32,0)),"✔ OK","⚠ 未登録"))</f>
        <v/>
      </c>
      <c r="J1574" s="80" t="str">
        <f aca="false">IF($B1574="","",IF($D1574="","－",IF(ISNUMBER($D1574),IF(AND($D1574&gt;=1,MOD($D1574,1)=0),"－",IF(MOD($D1574,1)&lt;$L$6,"朝",IF(MOD($D1574,1)&lt;$L$7,"昼",IF(MOD($D1574,1)&lt;$L$8,"夕方","夜")))),IF(OR($D1574="朝",$D1574="昼",$D1574="夕方",$D1574="夜"),$D1574,"⚠ 不明"))))</f>
        <v/>
      </c>
    </row>
    <row r="1575" customFormat="false" ht="15" hidden="false" customHeight="false" outlineLevel="0" collapsed="false">
      <c r="A1575" s="75"/>
      <c r="B1575" s="76"/>
      <c r="C1575" s="77"/>
      <c r="D1575" s="78"/>
      <c r="E1575" s="77"/>
      <c r="F1575" s="76"/>
      <c r="G1575" s="76"/>
      <c r="I1575" s="79" t="str">
        <f aca="false">IF($B1575="","",IF(ISNUMBER(MATCH($B1575,日別データ!$B$13:$B$32,0)),"✔ OK","⚠ 未登録"))</f>
        <v/>
      </c>
      <c r="J1575" s="80" t="str">
        <f aca="false">IF($B1575="","",IF($D1575="","－",IF(ISNUMBER($D1575),IF(AND($D1575&gt;=1,MOD($D1575,1)=0),"－",IF(MOD($D1575,1)&lt;$L$6,"朝",IF(MOD($D1575,1)&lt;$L$7,"昼",IF(MOD($D1575,1)&lt;$L$8,"夕方","夜")))),IF(OR($D1575="朝",$D1575="昼",$D1575="夕方",$D1575="夜"),$D1575,"⚠ 不明"))))</f>
        <v/>
      </c>
    </row>
    <row r="1576" customFormat="false" ht="15" hidden="false" customHeight="false" outlineLevel="0" collapsed="false">
      <c r="A1576" s="75"/>
      <c r="B1576" s="76"/>
      <c r="C1576" s="77"/>
      <c r="D1576" s="78"/>
      <c r="E1576" s="77"/>
      <c r="F1576" s="76"/>
      <c r="G1576" s="76"/>
      <c r="I1576" s="79" t="str">
        <f aca="false">IF($B1576="","",IF(ISNUMBER(MATCH($B1576,日別データ!$B$13:$B$32,0)),"✔ OK","⚠ 未登録"))</f>
        <v/>
      </c>
      <c r="J1576" s="80" t="str">
        <f aca="false">IF($B1576="","",IF($D1576="","－",IF(ISNUMBER($D1576),IF(AND($D1576&gt;=1,MOD($D1576,1)=0),"－",IF(MOD($D1576,1)&lt;$L$6,"朝",IF(MOD($D1576,1)&lt;$L$7,"昼",IF(MOD($D1576,1)&lt;$L$8,"夕方","夜")))),IF(OR($D1576="朝",$D1576="昼",$D1576="夕方",$D1576="夜"),$D1576,"⚠ 不明"))))</f>
        <v/>
      </c>
    </row>
    <row r="1577" customFormat="false" ht="15" hidden="false" customHeight="false" outlineLevel="0" collapsed="false">
      <c r="A1577" s="75"/>
      <c r="B1577" s="76"/>
      <c r="C1577" s="77"/>
      <c r="D1577" s="78"/>
      <c r="E1577" s="77"/>
      <c r="F1577" s="76"/>
      <c r="G1577" s="76"/>
      <c r="I1577" s="79" t="str">
        <f aca="false">IF($B1577="","",IF(ISNUMBER(MATCH($B1577,日別データ!$B$13:$B$32,0)),"✔ OK","⚠ 未登録"))</f>
        <v/>
      </c>
      <c r="J1577" s="80" t="str">
        <f aca="false">IF($B1577="","",IF($D1577="","－",IF(ISNUMBER($D1577),IF(AND($D1577&gt;=1,MOD($D1577,1)=0),"－",IF(MOD($D1577,1)&lt;$L$6,"朝",IF(MOD($D1577,1)&lt;$L$7,"昼",IF(MOD($D1577,1)&lt;$L$8,"夕方","夜")))),IF(OR($D1577="朝",$D1577="昼",$D1577="夕方",$D1577="夜"),$D1577,"⚠ 不明"))))</f>
        <v/>
      </c>
    </row>
    <row r="1578" customFormat="false" ht="15" hidden="false" customHeight="false" outlineLevel="0" collapsed="false">
      <c r="A1578" s="75"/>
      <c r="B1578" s="76"/>
      <c r="C1578" s="77"/>
      <c r="D1578" s="78"/>
      <c r="E1578" s="77"/>
      <c r="F1578" s="76"/>
      <c r="G1578" s="76"/>
      <c r="I1578" s="79" t="str">
        <f aca="false">IF($B1578="","",IF(ISNUMBER(MATCH($B1578,日別データ!$B$13:$B$32,0)),"✔ OK","⚠ 未登録"))</f>
        <v/>
      </c>
      <c r="J1578" s="80" t="str">
        <f aca="false">IF($B1578="","",IF($D1578="","－",IF(ISNUMBER($D1578),IF(AND($D1578&gt;=1,MOD($D1578,1)=0),"－",IF(MOD($D1578,1)&lt;$L$6,"朝",IF(MOD($D1578,1)&lt;$L$7,"昼",IF(MOD($D1578,1)&lt;$L$8,"夕方","夜")))),IF(OR($D1578="朝",$D1578="昼",$D1578="夕方",$D1578="夜"),$D1578,"⚠ 不明"))))</f>
        <v/>
      </c>
    </row>
    <row r="1579" customFormat="false" ht="15" hidden="false" customHeight="false" outlineLevel="0" collapsed="false">
      <c r="A1579" s="75"/>
      <c r="B1579" s="76"/>
      <c r="C1579" s="77"/>
      <c r="D1579" s="78"/>
      <c r="E1579" s="77"/>
      <c r="F1579" s="76"/>
      <c r="G1579" s="76"/>
      <c r="I1579" s="79" t="str">
        <f aca="false">IF($B1579="","",IF(ISNUMBER(MATCH($B1579,日別データ!$B$13:$B$32,0)),"✔ OK","⚠ 未登録"))</f>
        <v/>
      </c>
      <c r="J1579" s="80" t="str">
        <f aca="false">IF($B1579="","",IF($D1579="","－",IF(ISNUMBER($D1579),IF(AND($D1579&gt;=1,MOD($D1579,1)=0),"－",IF(MOD($D1579,1)&lt;$L$6,"朝",IF(MOD($D1579,1)&lt;$L$7,"昼",IF(MOD($D1579,1)&lt;$L$8,"夕方","夜")))),IF(OR($D1579="朝",$D1579="昼",$D1579="夕方",$D1579="夜"),$D1579,"⚠ 不明"))))</f>
        <v/>
      </c>
    </row>
    <row r="1580" customFormat="false" ht="15" hidden="false" customHeight="false" outlineLevel="0" collapsed="false">
      <c r="A1580" s="75"/>
      <c r="B1580" s="76"/>
      <c r="C1580" s="77"/>
      <c r="D1580" s="78"/>
      <c r="E1580" s="77"/>
      <c r="F1580" s="76"/>
      <c r="G1580" s="76"/>
      <c r="I1580" s="79" t="str">
        <f aca="false">IF($B1580="","",IF(ISNUMBER(MATCH($B1580,日別データ!$B$13:$B$32,0)),"✔ OK","⚠ 未登録"))</f>
        <v/>
      </c>
      <c r="J1580" s="80" t="str">
        <f aca="false">IF($B1580="","",IF($D1580="","－",IF(ISNUMBER($D1580),IF(AND($D1580&gt;=1,MOD($D1580,1)=0),"－",IF(MOD($D1580,1)&lt;$L$6,"朝",IF(MOD($D1580,1)&lt;$L$7,"昼",IF(MOD($D1580,1)&lt;$L$8,"夕方","夜")))),IF(OR($D1580="朝",$D1580="昼",$D1580="夕方",$D1580="夜"),$D1580,"⚠ 不明"))))</f>
        <v/>
      </c>
    </row>
    <row r="1581" customFormat="false" ht="15" hidden="false" customHeight="false" outlineLevel="0" collapsed="false">
      <c r="A1581" s="75"/>
      <c r="B1581" s="76"/>
      <c r="C1581" s="77"/>
      <c r="D1581" s="78"/>
      <c r="E1581" s="77"/>
      <c r="F1581" s="76"/>
      <c r="G1581" s="76"/>
      <c r="I1581" s="79" t="str">
        <f aca="false">IF($B1581="","",IF(ISNUMBER(MATCH($B1581,日別データ!$B$13:$B$32,0)),"✔ OK","⚠ 未登録"))</f>
        <v/>
      </c>
      <c r="J1581" s="80" t="str">
        <f aca="false">IF($B1581="","",IF($D1581="","－",IF(ISNUMBER($D1581),IF(AND($D1581&gt;=1,MOD($D1581,1)=0),"－",IF(MOD($D1581,1)&lt;$L$6,"朝",IF(MOD($D1581,1)&lt;$L$7,"昼",IF(MOD($D1581,1)&lt;$L$8,"夕方","夜")))),IF(OR($D1581="朝",$D1581="昼",$D1581="夕方",$D1581="夜"),$D1581,"⚠ 不明"))))</f>
        <v/>
      </c>
    </row>
    <row r="1582" customFormat="false" ht="15" hidden="false" customHeight="false" outlineLevel="0" collapsed="false">
      <c r="A1582" s="75"/>
      <c r="B1582" s="76"/>
      <c r="C1582" s="77"/>
      <c r="D1582" s="78"/>
      <c r="E1582" s="77"/>
      <c r="F1582" s="76"/>
      <c r="G1582" s="76"/>
      <c r="I1582" s="79" t="str">
        <f aca="false">IF($B1582="","",IF(ISNUMBER(MATCH($B1582,日別データ!$B$13:$B$32,0)),"✔ OK","⚠ 未登録"))</f>
        <v/>
      </c>
      <c r="J1582" s="80" t="str">
        <f aca="false">IF($B1582="","",IF($D1582="","－",IF(ISNUMBER($D1582),IF(AND($D1582&gt;=1,MOD($D1582,1)=0),"－",IF(MOD($D1582,1)&lt;$L$6,"朝",IF(MOD($D1582,1)&lt;$L$7,"昼",IF(MOD($D1582,1)&lt;$L$8,"夕方","夜")))),IF(OR($D1582="朝",$D1582="昼",$D1582="夕方",$D1582="夜"),$D1582,"⚠ 不明"))))</f>
        <v/>
      </c>
    </row>
    <row r="1583" customFormat="false" ht="15" hidden="false" customHeight="false" outlineLevel="0" collapsed="false">
      <c r="A1583" s="75"/>
      <c r="B1583" s="76"/>
      <c r="C1583" s="77"/>
      <c r="D1583" s="78"/>
      <c r="E1583" s="77"/>
      <c r="F1583" s="76"/>
      <c r="G1583" s="76"/>
      <c r="I1583" s="79" t="str">
        <f aca="false">IF($B1583="","",IF(ISNUMBER(MATCH($B1583,日別データ!$B$13:$B$32,0)),"✔ OK","⚠ 未登録"))</f>
        <v/>
      </c>
      <c r="J1583" s="80" t="str">
        <f aca="false">IF($B1583="","",IF($D1583="","－",IF(ISNUMBER($D1583),IF(AND($D1583&gt;=1,MOD($D1583,1)=0),"－",IF(MOD($D1583,1)&lt;$L$6,"朝",IF(MOD($D1583,1)&lt;$L$7,"昼",IF(MOD($D1583,1)&lt;$L$8,"夕方","夜")))),IF(OR($D1583="朝",$D1583="昼",$D1583="夕方",$D1583="夜"),$D1583,"⚠ 不明"))))</f>
        <v/>
      </c>
    </row>
    <row r="1584" customFormat="false" ht="15" hidden="false" customHeight="false" outlineLevel="0" collapsed="false">
      <c r="A1584" s="75"/>
      <c r="B1584" s="76"/>
      <c r="C1584" s="77"/>
      <c r="D1584" s="78"/>
      <c r="E1584" s="77"/>
      <c r="F1584" s="76"/>
      <c r="G1584" s="76"/>
      <c r="I1584" s="79" t="str">
        <f aca="false">IF($B1584="","",IF(ISNUMBER(MATCH($B1584,日別データ!$B$13:$B$32,0)),"✔ OK","⚠ 未登録"))</f>
        <v/>
      </c>
      <c r="J1584" s="80" t="str">
        <f aca="false">IF($B1584="","",IF($D1584="","－",IF(ISNUMBER($D1584),IF(AND($D1584&gt;=1,MOD($D1584,1)=0),"－",IF(MOD($D1584,1)&lt;$L$6,"朝",IF(MOD($D1584,1)&lt;$L$7,"昼",IF(MOD($D1584,1)&lt;$L$8,"夕方","夜")))),IF(OR($D1584="朝",$D1584="昼",$D1584="夕方",$D1584="夜"),$D1584,"⚠ 不明"))))</f>
        <v/>
      </c>
    </row>
    <row r="1585" customFormat="false" ht="15" hidden="false" customHeight="false" outlineLevel="0" collapsed="false">
      <c r="A1585" s="75"/>
      <c r="B1585" s="76"/>
      <c r="C1585" s="77"/>
      <c r="D1585" s="78"/>
      <c r="E1585" s="77"/>
      <c r="F1585" s="76"/>
      <c r="G1585" s="76"/>
      <c r="I1585" s="79" t="str">
        <f aca="false">IF($B1585="","",IF(ISNUMBER(MATCH($B1585,日別データ!$B$13:$B$32,0)),"✔ OK","⚠ 未登録"))</f>
        <v/>
      </c>
      <c r="J1585" s="80" t="str">
        <f aca="false">IF($B1585="","",IF($D1585="","－",IF(ISNUMBER($D1585),IF(AND($D1585&gt;=1,MOD($D1585,1)=0),"－",IF(MOD($D1585,1)&lt;$L$6,"朝",IF(MOD($D1585,1)&lt;$L$7,"昼",IF(MOD($D1585,1)&lt;$L$8,"夕方","夜")))),IF(OR($D1585="朝",$D1585="昼",$D1585="夕方",$D1585="夜"),$D1585,"⚠ 不明"))))</f>
        <v/>
      </c>
    </row>
    <row r="1586" customFormat="false" ht="15" hidden="false" customHeight="false" outlineLevel="0" collapsed="false">
      <c r="A1586" s="75"/>
      <c r="B1586" s="76"/>
      <c r="C1586" s="77"/>
      <c r="D1586" s="78"/>
      <c r="E1586" s="77"/>
      <c r="F1586" s="76"/>
      <c r="G1586" s="76"/>
      <c r="I1586" s="79" t="str">
        <f aca="false">IF($B1586="","",IF(ISNUMBER(MATCH($B1586,日別データ!$B$13:$B$32,0)),"✔ OK","⚠ 未登録"))</f>
        <v/>
      </c>
      <c r="J1586" s="80" t="str">
        <f aca="false">IF($B1586="","",IF($D1586="","－",IF(ISNUMBER($D1586),IF(AND($D1586&gt;=1,MOD($D1586,1)=0),"－",IF(MOD($D1586,1)&lt;$L$6,"朝",IF(MOD($D1586,1)&lt;$L$7,"昼",IF(MOD($D1586,1)&lt;$L$8,"夕方","夜")))),IF(OR($D1586="朝",$D1586="昼",$D1586="夕方",$D1586="夜"),$D1586,"⚠ 不明"))))</f>
        <v/>
      </c>
    </row>
    <row r="1587" customFormat="false" ht="15" hidden="false" customHeight="false" outlineLevel="0" collapsed="false">
      <c r="A1587" s="75"/>
      <c r="B1587" s="76"/>
      <c r="C1587" s="77"/>
      <c r="D1587" s="78"/>
      <c r="E1587" s="77"/>
      <c r="F1587" s="76"/>
      <c r="G1587" s="76"/>
      <c r="I1587" s="79" t="str">
        <f aca="false">IF($B1587="","",IF(ISNUMBER(MATCH($B1587,日別データ!$B$13:$B$32,0)),"✔ OK","⚠ 未登録"))</f>
        <v/>
      </c>
      <c r="J1587" s="80" t="str">
        <f aca="false">IF($B1587="","",IF($D1587="","－",IF(ISNUMBER($D1587),IF(AND($D1587&gt;=1,MOD($D1587,1)=0),"－",IF(MOD($D1587,1)&lt;$L$6,"朝",IF(MOD($D1587,1)&lt;$L$7,"昼",IF(MOD($D1587,1)&lt;$L$8,"夕方","夜")))),IF(OR($D1587="朝",$D1587="昼",$D1587="夕方",$D1587="夜"),$D1587,"⚠ 不明"))))</f>
        <v/>
      </c>
    </row>
    <row r="1588" customFormat="false" ht="15" hidden="false" customHeight="false" outlineLevel="0" collapsed="false">
      <c r="A1588" s="75"/>
      <c r="B1588" s="76"/>
      <c r="C1588" s="77"/>
      <c r="D1588" s="78"/>
      <c r="E1588" s="77"/>
      <c r="F1588" s="76"/>
      <c r="G1588" s="76"/>
      <c r="I1588" s="79" t="str">
        <f aca="false">IF($B1588="","",IF(ISNUMBER(MATCH($B1588,日別データ!$B$13:$B$32,0)),"✔ OK","⚠ 未登録"))</f>
        <v/>
      </c>
      <c r="J1588" s="80" t="str">
        <f aca="false">IF($B1588="","",IF($D1588="","－",IF(ISNUMBER($D1588),IF(AND($D1588&gt;=1,MOD($D1588,1)=0),"－",IF(MOD($D1588,1)&lt;$L$6,"朝",IF(MOD($D1588,1)&lt;$L$7,"昼",IF(MOD($D1588,1)&lt;$L$8,"夕方","夜")))),IF(OR($D1588="朝",$D1588="昼",$D1588="夕方",$D1588="夜"),$D1588,"⚠ 不明"))))</f>
        <v/>
      </c>
    </row>
    <row r="1589" customFormat="false" ht="15" hidden="false" customHeight="false" outlineLevel="0" collapsed="false">
      <c r="A1589" s="75"/>
      <c r="B1589" s="76"/>
      <c r="C1589" s="77"/>
      <c r="D1589" s="78"/>
      <c r="E1589" s="77"/>
      <c r="F1589" s="76"/>
      <c r="G1589" s="76"/>
      <c r="I1589" s="79" t="str">
        <f aca="false">IF($B1589="","",IF(ISNUMBER(MATCH($B1589,日別データ!$B$13:$B$32,0)),"✔ OK","⚠ 未登録"))</f>
        <v/>
      </c>
      <c r="J1589" s="80" t="str">
        <f aca="false">IF($B1589="","",IF($D1589="","－",IF(ISNUMBER($D1589),IF(AND($D1589&gt;=1,MOD($D1589,1)=0),"－",IF(MOD($D1589,1)&lt;$L$6,"朝",IF(MOD($D1589,1)&lt;$L$7,"昼",IF(MOD($D1589,1)&lt;$L$8,"夕方","夜")))),IF(OR($D1589="朝",$D1589="昼",$D1589="夕方",$D1589="夜"),$D1589,"⚠ 不明"))))</f>
        <v/>
      </c>
    </row>
    <row r="1590" customFormat="false" ht="15" hidden="false" customHeight="false" outlineLevel="0" collapsed="false">
      <c r="A1590" s="75"/>
      <c r="B1590" s="76"/>
      <c r="C1590" s="77"/>
      <c r="D1590" s="78"/>
      <c r="E1590" s="77"/>
      <c r="F1590" s="76"/>
      <c r="G1590" s="76"/>
      <c r="I1590" s="79" t="str">
        <f aca="false">IF($B1590="","",IF(ISNUMBER(MATCH($B1590,日別データ!$B$13:$B$32,0)),"✔ OK","⚠ 未登録"))</f>
        <v/>
      </c>
      <c r="J1590" s="80" t="str">
        <f aca="false">IF($B1590="","",IF($D1590="","－",IF(ISNUMBER($D1590),IF(AND($D1590&gt;=1,MOD($D1590,1)=0),"－",IF(MOD($D1590,1)&lt;$L$6,"朝",IF(MOD($D1590,1)&lt;$L$7,"昼",IF(MOD($D1590,1)&lt;$L$8,"夕方","夜")))),IF(OR($D1590="朝",$D1590="昼",$D1590="夕方",$D1590="夜"),$D1590,"⚠ 不明"))))</f>
        <v/>
      </c>
    </row>
    <row r="1591" customFormat="false" ht="15" hidden="false" customHeight="false" outlineLevel="0" collapsed="false">
      <c r="A1591" s="75"/>
      <c r="B1591" s="76"/>
      <c r="C1591" s="77"/>
      <c r="D1591" s="78"/>
      <c r="E1591" s="77"/>
      <c r="F1591" s="76"/>
      <c r="G1591" s="76"/>
      <c r="I1591" s="79" t="str">
        <f aca="false">IF($B1591="","",IF(ISNUMBER(MATCH($B1591,日別データ!$B$13:$B$32,0)),"✔ OK","⚠ 未登録"))</f>
        <v/>
      </c>
      <c r="J1591" s="80" t="str">
        <f aca="false">IF($B1591="","",IF($D1591="","－",IF(ISNUMBER($D1591),IF(AND($D1591&gt;=1,MOD($D1591,1)=0),"－",IF(MOD($D1591,1)&lt;$L$6,"朝",IF(MOD($D1591,1)&lt;$L$7,"昼",IF(MOD($D1591,1)&lt;$L$8,"夕方","夜")))),IF(OR($D1591="朝",$D1591="昼",$D1591="夕方",$D1591="夜"),$D1591,"⚠ 不明"))))</f>
        <v/>
      </c>
    </row>
    <row r="1592" customFormat="false" ht="15" hidden="false" customHeight="false" outlineLevel="0" collapsed="false">
      <c r="A1592" s="75"/>
      <c r="B1592" s="76"/>
      <c r="C1592" s="77"/>
      <c r="D1592" s="78"/>
      <c r="E1592" s="77"/>
      <c r="F1592" s="76"/>
      <c r="G1592" s="76"/>
      <c r="I1592" s="79" t="str">
        <f aca="false">IF($B1592="","",IF(ISNUMBER(MATCH($B1592,日別データ!$B$13:$B$32,0)),"✔ OK","⚠ 未登録"))</f>
        <v/>
      </c>
      <c r="J1592" s="80" t="str">
        <f aca="false">IF($B1592="","",IF($D1592="","－",IF(ISNUMBER($D1592),IF(AND($D1592&gt;=1,MOD($D1592,1)=0),"－",IF(MOD($D1592,1)&lt;$L$6,"朝",IF(MOD($D1592,1)&lt;$L$7,"昼",IF(MOD($D1592,1)&lt;$L$8,"夕方","夜")))),IF(OR($D1592="朝",$D1592="昼",$D1592="夕方",$D1592="夜"),$D1592,"⚠ 不明"))))</f>
        <v/>
      </c>
    </row>
    <row r="1593" customFormat="false" ht="15" hidden="false" customHeight="false" outlineLevel="0" collapsed="false">
      <c r="A1593" s="75"/>
      <c r="B1593" s="76"/>
      <c r="C1593" s="77"/>
      <c r="D1593" s="78"/>
      <c r="E1593" s="77"/>
      <c r="F1593" s="76"/>
      <c r="G1593" s="76"/>
      <c r="I1593" s="79" t="str">
        <f aca="false">IF($B1593="","",IF(ISNUMBER(MATCH($B1593,日別データ!$B$13:$B$32,0)),"✔ OK","⚠ 未登録"))</f>
        <v/>
      </c>
      <c r="J1593" s="80" t="str">
        <f aca="false">IF($B1593="","",IF($D1593="","－",IF(ISNUMBER($D1593),IF(AND($D1593&gt;=1,MOD($D1593,1)=0),"－",IF(MOD($D1593,1)&lt;$L$6,"朝",IF(MOD($D1593,1)&lt;$L$7,"昼",IF(MOD($D1593,1)&lt;$L$8,"夕方","夜")))),IF(OR($D1593="朝",$D1593="昼",$D1593="夕方",$D1593="夜"),$D1593,"⚠ 不明"))))</f>
        <v/>
      </c>
    </row>
    <row r="1594" customFormat="false" ht="15" hidden="false" customHeight="false" outlineLevel="0" collapsed="false">
      <c r="A1594" s="75"/>
      <c r="B1594" s="76"/>
      <c r="C1594" s="77"/>
      <c r="D1594" s="78"/>
      <c r="E1594" s="77"/>
      <c r="F1594" s="76"/>
      <c r="G1594" s="76"/>
      <c r="I1594" s="79" t="str">
        <f aca="false">IF($B1594="","",IF(ISNUMBER(MATCH($B1594,日別データ!$B$13:$B$32,0)),"✔ OK","⚠ 未登録"))</f>
        <v/>
      </c>
      <c r="J1594" s="80" t="str">
        <f aca="false">IF($B1594="","",IF($D1594="","－",IF(ISNUMBER($D1594),IF(AND($D1594&gt;=1,MOD($D1594,1)=0),"－",IF(MOD($D1594,1)&lt;$L$6,"朝",IF(MOD($D1594,1)&lt;$L$7,"昼",IF(MOD($D1594,1)&lt;$L$8,"夕方","夜")))),IF(OR($D1594="朝",$D1594="昼",$D1594="夕方",$D1594="夜"),$D1594,"⚠ 不明"))))</f>
        <v/>
      </c>
    </row>
    <row r="1595" customFormat="false" ht="15" hidden="false" customHeight="false" outlineLevel="0" collapsed="false">
      <c r="A1595" s="75"/>
      <c r="B1595" s="76"/>
      <c r="C1595" s="77"/>
      <c r="D1595" s="78"/>
      <c r="E1595" s="77"/>
      <c r="F1595" s="76"/>
      <c r="G1595" s="76"/>
      <c r="I1595" s="79" t="str">
        <f aca="false">IF($B1595="","",IF(ISNUMBER(MATCH($B1595,日別データ!$B$13:$B$32,0)),"✔ OK","⚠ 未登録"))</f>
        <v/>
      </c>
      <c r="J1595" s="80" t="str">
        <f aca="false">IF($B1595="","",IF($D1595="","－",IF(ISNUMBER($D1595),IF(AND($D1595&gt;=1,MOD($D1595,1)=0),"－",IF(MOD($D1595,1)&lt;$L$6,"朝",IF(MOD($D1595,1)&lt;$L$7,"昼",IF(MOD($D1595,1)&lt;$L$8,"夕方","夜")))),IF(OR($D1595="朝",$D1595="昼",$D1595="夕方",$D1595="夜"),$D1595,"⚠ 不明"))))</f>
        <v/>
      </c>
    </row>
    <row r="1596" customFormat="false" ht="15" hidden="false" customHeight="false" outlineLevel="0" collapsed="false">
      <c r="A1596" s="75"/>
      <c r="B1596" s="76"/>
      <c r="C1596" s="77"/>
      <c r="D1596" s="78"/>
      <c r="E1596" s="77"/>
      <c r="F1596" s="76"/>
      <c r="G1596" s="76"/>
      <c r="I1596" s="79" t="str">
        <f aca="false">IF($B1596="","",IF(ISNUMBER(MATCH($B1596,日別データ!$B$13:$B$32,0)),"✔ OK","⚠ 未登録"))</f>
        <v/>
      </c>
      <c r="J1596" s="80" t="str">
        <f aca="false">IF($B1596="","",IF($D1596="","－",IF(ISNUMBER($D1596),IF(AND($D1596&gt;=1,MOD($D1596,1)=0),"－",IF(MOD($D1596,1)&lt;$L$6,"朝",IF(MOD($D1596,1)&lt;$L$7,"昼",IF(MOD($D1596,1)&lt;$L$8,"夕方","夜")))),IF(OR($D1596="朝",$D1596="昼",$D1596="夕方",$D1596="夜"),$D1596,"⚠ 不明"))))</f>
        <v/>
      </c>
    </row>
    <row r="1597" customFormat="false" ht="15" hidden="false" customHeight="false" outlineLevel="0" collapsed="false">
      <c r="A1597" s="75"/>
      <c r="B1597" s="76"/>
      <c r="C1597" s="77"/>
      <c r="D1597" s="78"/>
      <c r="E1597" s="77"/>
      <c r="F1597" s="76"/>
      <c r="G1597" s="76"/>
      <c r="I1597" s="79" t="str">
        <f aca="false">IF($B1597="","",IF(ISNUMBER(MATCH($B1597,日別データ!$B$13:$B$32,0)),"✔ OK","⚠ 未登録"))</f>
        <v/>
      </c>
      <c r="J1597" s="80" t="str">
        <f aca="false">IF($B1597="","",IF($D1597="","－",IF(ISNUMBER($D1597),IF(AND($D1597&gt;=1,MOD($D1597,1)=0),"－",IF(MOD($D1597,1)&lt;$L$6,"朝",IF(MOD($D1597,1)&lt;$L$7,"昼",IF(MOD($D1597,1)&lt;$L$8,"夕方","夜")))),IF(OR($D1597="朝",$D1597="昼",$D1597="夕方",$D1597="夜"),$D1597,"⚠ 不明"))))</f>
        <v/>
      </c>
    </row>
    <row r="1598" customFormat="false" ht="15" hidden="false" customHeight="false" outlineLevel="0" collapsed="false">
      <c r="A1598" s="75"/>
      <c r="B1598" s="76"/>
      <c r="C1598" s="77"/>
      <c r="D1598" s="78"/>
      <c r="E1598" s="77"/>
      <c r="F1598" s="76"/>
      <c r="G1598" s="76"/>
      <c r="I1598" s="79" t="str">
        <f aca="false">IF($B1598="","",IF(ISNUMBER(MATCH($B1598,日別データ!$B$13:$B$32,0)),"✔ OK","⚠ 未登録"))</f>
        <v/>
      </c>
      <c r="J1598" s="80" t="str">
        <f aca="false">IF($B1598="","",IF($D1598="","－",IF(ISNUMBER($D1598),IF(AND($D1598&gt;=1,MOD($D1598,1)=0),"－",IF(MOD($D1598,1)&lt;$L$6,"朝",IF(MOD($D1598,1)&lt;$L$7,"昼",IF(MOD($D1598,1)&lt;$L$8,"夕方","夜")))),IF(OR($D1598="朝",$D1598="昼",$D1598="夕方",$D1598="夜"),$D1598,"⚠ 不明"))))</f>
        <v/>
      </c>
    </row>
    <row r="1599" customFormat="false" ht="15" hidden="false" customHeight="false" outlineLevel="0" collapsed="false">
      <c r="A1599" s="75"/>
      <c r="B1599" s="76"/>
      <c r="C1599" s="77"/>
      <c r="D1599" s="78"/>
      <c r="E1599" s="77"/>
      <c r="F1599" s="76"/>
      <c r="G1599" s="76"/>
      <c r="I1599" s="79" t="str">
        <f aca="false">IF($B1599="","",IF(ISNUMBER(MATCH($B1599,日別データ!$B$13:$B$32,0)),"✔ OK","⚠ 未登録"))</f>
        <v/>
      </c>
      <c r="J1599" s="80" t="str">
        <f aca="false">IF($B1599="","",IF($D1599="","－",IF(ISNUMBER($D1599),IF(AND($D1599&gt;=1,MOD($D1599,1)=0),"－",IF(MOD($D1599,1)&lt;$L$6,"朝",IF(MOD($D1599,1)&lt;$L$7,"昼",IF(MOD($D1599,1)&lt;$L$8,"夕方","夜")))),IF(OR($D1599="朝",$D1599="昼",$D1599="夕方",$D1599="夜"),$D1599,"⚠ 不明"))))</f>
        <v/>
      </c>
    </row>
    <row r="1600" customFormat="false" ht="15" hidden="false" customHeight="false" outlineLevel="0" collapsed="false">
      <c r="A1600" s="75"/>
      <c r="B1600" s="76"/>
      <c r="C1600" s="77"/>
      <c r="D1600" s="78"/>
      <c r="E1600" s="77"/>
      <c r="F1600" s="76"/>
      <c r="G1600" s="76"/>
      <c r="I1600" s="79" t="str">
        <f aca="false">IF($B1600="","",IF(ISNUMBER(MATCH($B1600,日別データ!$B$13:$B$32,0)),"✔ OK","⚠ 未登録"))</f>
        <v/>
      </c>
      <c r="J1600" s="80" t="str">
        <f aca="false">IF($B1600="","",IF($D1600="","－",IF(ISNUMBER($D1600),IF(AND($D1600&gt;=1,MOD($D1600,1)=0),"－",IF(MOD($D1600,1)&lt;$L$6,"朝",IF(MOD($D1600,1)&lt;$L$7,"昼",IF(MOD($D1600,1)&lt;$L$8,"夕方","夜")))),IF(OR($D1600="朝",$D1600="昼",$D1600="夕方",$D1600="夜"),$D1600,"⚠ 不明"))))</f>
        <v/>
      </c>
    </row>
    <row r="1601" customFormat="false" ht="15" hidden="false" customHeight="false" outlineLevel="0" collapsed="false">
      <c r="A1601" s="75"/>
      <c r="B1601" s="76"/>
      <c r="C1601" s="77"/>
      <c r="D1601" s="78"/>
      <c r="E1601" s="77"/>
      <c r="F1601" s="76"/>
      <c r="G1601" s="76"/>
      <c r="I1601" s="79" t="str">
        <f aca="false">IF($B1601="","",IF(ISNUMBER(MATCH($B1601,日別データ!$B$13:$B$32,0)),"✔ OK","⚠ 未登録"))</f>
        <v/>
      </c>
      <c r="J1601" s="80" t="str">
        <f aca="false">IF($B1601="","",IF($D1601="","－",IF(ISNUMBER($D1601),IF(AND($D1601&gt;=1,MOD($D1601,1)=0),"－",IF(MOD($D1601,1)&lt;$L$6,"朝",IF(MOD($D1601,1)&lt;$L$7,"昼",IF(MOD($D1601,1)&lt;$L$8,"夕方","夜")))),IF(OR($D1601="朝",$D1601="昼",$D1601="夕方",$D1601="夜"),$D1601,"⚠ 不明"))))</f>
        <v/>
      </c>
    </row>
    <row r="1602" customFormat="false" ht="15" hidden="false" customHeight="false" outlineLevel="0" collapsed="false">
      <c r="A1602" s="75"/>
      <c r="B1602" s="76"/>
      <c r="C1602" s="77"/>
      <c r="D1602" s="78"/>
      <c r="E1602" s="77"/>
      <c r="F1602" s="76"/>
      <c r="G1602" s="76"/>
      <c r="I1602" s="79" t="str">
        <f aca="false">IF($B1602="","",IF(ISNUMBER(MATCH($B1602,日別データ!$B$13:$B$32,0)),"✔ OK","⚠ 未登録"))</f>
        <v/>
      </c>
      <c r="J1602" s="80" t="str">
        <f aca="false">IF($B1602="","",IF($D1602="","－",IF(ISNUMBER($D1602),IF(AND($D1602&gt;=1,MOD($D1602,1)=0),"－",IF(MOD($D1602,1)&lt;$L$6,"朝",IF(MOD($D1602,1)&lt;$L$7,"昼",IF(MOD($D1602,1)&lt;$L$8,"夕方","夜")))),IF(OR($D1602="朝",$D1602="昼",$D1602="夕方",$D1602="夜"),$D1602,"⚠ 不明"))))</f>
        <v/>
      </c>
    </row>
    <row r="1603" customFormat="false" ht="15" hidden="false" customHeight="false" outlineLevel="0" collapsed="false">
      <c r="A1603" s="75"/>
      <c r="B1603" s="76"/>
      <c r="C1603" s="77"/>
      <c r="D1603" s="78"/>
      <c r="E1603" s="77"/>
      <c r="F1603" s="76"/>
      <c r="G1603" s="76"/>
      <c r="I1603" s="79" t="str">
        <f aca="false">IF($B1603="","",IF(ISNUMBER(MATCH($B1603,日別データ!$B$13:$B$32,0)),"✔ OK","⚠ 未登録"))</f>
        <v/>
      </c>
      <c r="J1603" s="80" t="str">
        <f aca="false">IF($B1603="","",IF($D1603="","－",IF(ISNUMBER($D1603),IF(AND($D1603&gt;=1,MOD($D1603,1)=0),"－",IF(MOD($D1603,1)&lt;$L$6,"朝",IF(MOD($D1603,1)&lt;$L$7,"昼",IF(MOD($D1603,1)&lt;$L$8,"夕方","夜")))),IF(OR($D1603="朝",$D1603="昼",$D1603="夕方",$D1603="夜"),$D1603,"⚠ 不明"))))</f>
        <v/>
      </c>
    </row>
    <row r="1604" customFormat="false" ht="15" hidden="false" customHeight="false" outlineLevel="0" collapsed="false">
      <c r="A1604" s="75"/>
      <c r="B1604" s="76"/>
      <c r="C1604" s="77"/>
      <c r="D1604" s="78"/>
      <c r="E1604" s="77"/>
      <c r="F1604" s="76"/>
      <c r="G1604" s="76"/>
      <c r="I1604" s="79" t="str">
        <f aca="false">IF($B1604="","",IF(ISNUMBER(MATCH($B1604,日別データ!$B$13:$B$32,0)),"✔ OK","⚠ 未登録"))</f>
        <v/>
      </c>
      <c r="J1604" s="80" t="str">
        <f aca="false">IF($B1604="","",IF($D1604="","－",IF(ISNUMBER($D1604),IF(AND($D1604&gt;=1,MOD($D1604,1)=0),"－",IF(MOD($D1604,1)&lt;$L$6,"朝",IF(MOD($D1604,1)&lt;$L$7,"昼",IF(MOD($D1604,1)&lt;$L$8,"夕方","夜")))),IF(OR($D1604="朝",$D1604="昼",$D1604="夕方",$D1604="夜"),$D1604,"⚠ 不明"))))</f>
        <v/>
      </c>
    </row>
    <row r="1605" customFormat="false" ht="15" hidden="false" customHeight="false" outlineLevel="0" collapsed="false">
      <c r="A1605" s="75"/>
      <c r="B1605" s="76"/>
      <c r="C1605" s="77"/>
      <c r="D1605" s="78"/>
      <c r="E1605" s="77"/>
      <c r="F1605" s="76"/>
      <c r="G1605" s="76"/>
      <c r="I1605" s="79" t="str">
        <f aca="false">IF($B1605="","",IF(ISNUMBER(MATCH($B1605,日別データ!$B$13:$B$32,0)),"✔ OK","⚠ 未登録"))</f>
        <v/>
      </c>
      <c r="J1605" s="80" t="str">
        <f aca="false">IF($B1605="","",IF($D1605="","－",IF(ISNUMBER($D1605),IF(AND($D1605&gt;=1,MOD($D1605,1)=0),"－",IF(MOD($D1605,1)&lt;$L$6,"朝",IF(MOD($D1605,1)&lt;$L$7,"昼",IF(MOD($D1605,1)&lt;$L$8,"夕方","夜")))),IF(OR($D1605="朝",$D1605="昼",$D1605="夕方",$D1605="夜"),$D1605,"⚠ 不明"))))</f>
        <v/>
      </c>
    </row>
    <row r="1606" customFormat="false" ht="15" hidden="false" customHeight="false" outlineLevel="0" collapsed="false">
      <c r="A1606" s="75"/>
      <c r="B1606" s="76"/>
      <c r="C1606" s="77"/>
      <c r="D1606" s="78"/>
      <c r="E1606" s="77"/>
      <c r="F1606" s="76"/>
      <c r="G1606" s="76"/>
      <c r="I1606" s="79" t="str">
        <f aca="false">IF($B1606="","",IF(ISNUMBER(MATCH($B1606,日別データ!$B$13:$B$32,0)),"✔ OK","⚠ 未登録"))</f>
        <v/>
      </c>
      <c r="J1606" s="80" t="str">
        <f aca="false">IF($B1606="","",IF($D1606="","－",IF(ISNUMBER($D1606),IF(AND($D1606&gt;=1,MOD($D1606,1)=0),"－",IF(MOD($D1606,1)&lt;$L$6,"朝",IF(MOD($D1606,1)&lt;$L$7,"昼",IF(MOD($D1606,1)&lt;$L$8,"夕方","夜")))),IF(OR($D1606="朝",$D1606="昼",$D1606="夕方",$D1606="夜"),$D1606,"⚠ 不明"))))</f>
        <v/>
      </c>
    </row>
    <row r="1607" customFormat="false" ht="15" hidden="false" customHeight="false" outlineLevel="0" collapsed="false">
      <c r="A1607" s="75"/>
      <c r="B1607" s="76"/>
      <c r="C1607" s="77"/>
      <c r="D1607" s="78"/>
      <c r="E1607" s="77"/>
      <c r="F1607" s="76"/>
      <c r="G1607" s="76"/>
      <c r="I1607" s="79" t="str">
        <f aca="false">IF($B1607="","",IF(ISNUMBER(MATCH($B1607,日別データ!$B$13:$B$32,0)),"✔ OK","⚠ 未登録"))</f>
        <v/>
      </c>
      <c r="J1607" s="80" t="str">
        <f aca="false">IF($B1607="","",IF($D1607="","－",IF(ISNUMBER($D1607),IF(AND($D1607&gt;=1,MOD($D1607,1)=0),"－",IF(MOD($D1607,1)&lt;$L$6,"朝",IF(MOD($D1607,1)&lt;$L$7,"昼",IF(MOD($D1607,1)&lt;$L$8,"夕方","夜")))),IF(OR($D1607="朝",$D1607="昼",$D1607="夕方",$D1607="夜"),$D1607,"⚠ 不明"))))</f>
        <v/>
      </c>
    </row>
    <row r="1608" customFormat="false" ht="15" hidden="false" customHeight="false" outlineLevel="0" collapsed="false">
      <c r="A1608" s="75"/>
      <c r="B1608" s="76"/>
      <c r="C1608" s="77"/>
      <c r="D1608" s="78"/>
      <c r="E1608" s="77"/>
      <c r="F1608" s="76"/>
      <c r="G1608" s="76"/>
      <c r="I1608" s="79" t="str">
        <f aca="false">IF($B1608="","",IF(ISNUMBER(MATCH($B1608,日別データ!$B$13:$B$32,0)),"✔ OK","⚠ 未登録"))</f>
        <v/>
      </c>
      <c r="J1608" s="80" t="str">
        <f aca="false">IF($B1608="","",IF($D1608="","－",IF(ISNUMBER($D1608),IF(AND($D1608&gt;=1,MOD($D1608,1)=0),"－",IF(MOD($D1608,1)&lt;$L$6,"朝",IF(MOD($D1608,1)&lt;$L$7,"昼",IF(MOD($D1608,1)&lt;$L$8,"夕方","夜")))),IF(OR($D1608="朝",$D1608="昼",$D1608="夕方",$D1608="夜"),$D1608,"⚠ 不明"))))</f>
        <v/>
      </c>
    </row>
    <row r="1609" customFormat="false" ht="15" hidden="false" customHeight="false" outlineLevel="0" collapsed="false">
      <c r="A1609" s="75"/>
      <c r="B1609" s="76"/>
      <c r="C1609" s="77"/>
      <c r="D1609" s="78"/>
      <c r="E1609" s="77"/>
      <c r="F1609" s="76"/>
      <c r="G1609" s="76"/>
      <c r="I1609" s="79" t="str">
        <f aca="false">IF($B1609="","",IF(ISNUMBER(MATCH($B1609,日別データ!$B$13:$B$32,0)),"✔ OK","⚠ 未登録"))</f>
        <v/>
      </c>
      <c r="J1609" s="80" t="str">
        <f aca="false">IF($B1609="","",IF($D1609="","－",IF(ISNUMBER($D1609),IF(AND($D1609&gt;=1,MOD($D1609,1)=0),"－",IF(MOD($D1609,1)&lt;$L$6,"朝",IF(MOD($D1609,1)&lt;$L$7,"昼",IF(MOD($D1609,1)&lt;$L$8,"夕方","夜")))),IF(OR($D1609="朝",$D1609="昼",$D1609="夕方",$D1609="夜"),$D1609,"⚠ 不明"))))</f>
        <v/>
      </c>
    </row>
    <row r="1610" customFormat="false" ht="15" hidden="false" customHeight="false" outlineLevel="0" collapsed="false">
      <c r="A1610" s="75"/>
      <c r="B1610" s="76"/>
      <c r="C1610" s="77"/>
      <c r="D1610" s="78"/>
      <c r="E1610" s="77"/>
      <c r="F1610" s="76"/>
      <c r="G1610" s="76"/>
      <c r="I1610" s="79" t="str">
        <f aca="false">IF($B1610="","",IF(ISNUMBER(MATCH($B1610,日別データ!$B$13:$B$32,0)),"✔ OK","⚠ 未登録"))</f>
        <v/>
      </c>
      <c r="J1610" s="80" t="str">
        <f aca="false">IF($B1610="","",IF($D1610="","－",IF(ISNUMBER($D1610),IF(AND($D1610&gt;=1,MOD($D1610,1)=0),"－",IF(MOD($D1610,1)&lt;$L$6,"朝",IF(MOD($D1610,1)&lt;$L$7,"昼",IF(MOD($D1610,1)&lt;$L$8,"夕方","夜")))),IF(OR($D1610="朝",$D1610="昼",$D1610="夕方",$D1610="夜"),$D1610,"⚠ 不明"))))</f>
        <v/>
      </c>
    </row>
    <row r="1611" customFormat="false" ht="15" hidden="false" customHeight="false" outlineLevel="0" collapsed="false">
      <c r="A1611" s="75"/>
      <c r="B1611" s="76"/>
      <c r="C1611" s="77"/>
      <c r="D1611" s="78"/>
      <c r="E1611" s="77"/>
      <c r="F1611" s="76"/>
      <c r="G1611" s="76"/>
      <c r="I1611" s="79" t="str">
        <f aca="false">IF($B1611="","",IF(ISNUMBER(MATCH($B1611,日別データ!$B$13:$B$32,0)),"✔ OK","⚠ 未登録"))</f>
        <v/>
      </c>
      <c r="J1611" s="80" t="str">
        <f aca="false">IF($B1611="","",IF($D1611="","－",IF(ISNUMBER($D1611),IF(AND($D1611&gt;=1,MOD($D1611,1)=0),"－",IF(MOD($D1611,1)&lt;$L$6,"朝",IF(MOD($D1611,1)&lt;$L$7,"昼",IF(MOD($D1611,1)&lt;$L$8,"夕方","夜")))),IF(OR($D1611="朝",$D1611="昼",$D1611="夕方",$D1611="夜"),$D1611,"⚠ 不明"))))</f>
        <v/>
      </c>
    </row>
    <row r="1612" customFormat="false" ht="15" hidden="false" customHeight="false" outlineLevel="0" collapsed="false">
      <c r="A1612" s="75"/>
      <c r="B1612" s="76"/>
      <c r="C1612" s="77"/>
      <c r="D1612" s="78"/>
      <c r="E1612" s="77"/>
      <c r="F1612" s="76"/>
      <c r="G1612" s="76"/>
      <c r="I1612" s="79" t="str">
        <f aca="false">IF($B1612="","",IF(ISNUMBER(MATCH($B1612,日別データ!$B$13:$B$32,0)),"✔ OK","⚠ 未登録"))</f>
        <v/>
      </c>
      <c r="J1612" s="80" t="str">
        <f aca="false">IF($B1612="","",IF($D1612="","－",IF(ISNUMBER($D1612),IF(AND($D1612&gt;=1,MOD($D1612,1)=0),"－",IF(MOD($D1612,1)&lt;$L$6,"朝",IF(MOD($D1612,1)&lt;$L$7,"昼",IF(MOD($D1612,1)&lt;$L$8,"夕方","夜")))),IF(OR($D1612="朝",$D1612="昼",$D1612="夕方",$D1612="夜"),$D1612,"⚠ 不明"))))</f>
        <v/>
      </c>
    </row>
    <row r="1613" customFormat="false" ht="15" hidden="false" customHeight="false" outlineLevel="0" collapsed="false">
      <c r="A1613" s="75"/>
      <c r="B1613" s="76"/>
      <c r="C1613" s="77"/>
      <c r="D1613" s="78"/>
      <c r="E1613" s="77"/>
      <c r="F1613" s="76"/>
      <c r="G1613" s="76"/>
      <c r="I1613" s="79" t="str">
        <f aca="false">IF($B1613="","",IF(ISNUMBER(MATCH($B1613,日別データ!$B$13:$B$32,0)),"✔ OK","⚠ 未登録"))</f>
        <v/>
      </c>
      <c r="J1613" s="80" t="str">
        <f aca="false">IF($B1613="","",IF($D1613="","－",IF(ISNUMBER($D1613),IF(AND($D1613&gt;=1,MOD($D1613,1)=0),"－",IF(MOD($D1613,1)&lt;$L$6,"朝",IF(MOD($D1613,1)&lt;$L$7,"昼",IF(MOD($D1613,1)&lt;$L$8,"夕方","夜")))),IF(OR($D1613="朝",$D1613="昼",$D1613="夕方",$D1613="夜"),$D1613,"⚠ 不明"))))</f>
        <v/>
      </c>
    </row>
    <row r="1614" customFormat="false" ht="15" hidden="false" customHeight="false" outlineLevel="0" collapsed="false">
      <c r="A1614" s="75"/>
      <c r="B1614" s="76"/>
      <c r="C1614" s="77"/>
      <c r="D1614" s="78"/>
      <c r="E1614" s="77"/>
      <c r="F1614" s="76"/>
      <c r="G1614" s="76"/>
      <c r="I1614" s="79" t="str">
        <f aca="false">IF($B1614="","",IF(ISNUMBER(MATCH($B1614,日別データ!$B$13:$B$32,0)),"✔ OK","⚠ 未登録"))</f>
        <v/>
      </c>
      <c r="J1614" s="80" t="str">
        <f aca="false">IF($B1614="","",IF($D1614="","－",IF(ISNUMBER($D1614),IF(AND($D1614&gt;=1,MOD($D1614,1)=0),"－",IF(MOD($D1614,1)&lt;$L$6,"朝",IF(MOD($D1614,1)&lt;$L$7,"昼",IF(MOD($D1614,1)&lt;$L$8,"夕方","夜")))),IF(OR($D1614="朝",$D1614="昼",$D1614="夕方",$D1614="夜"),$D1614,"⚠ 不明"))))</f>
        <v/>
      </c>
    </row>
    <row r="1615" customFormat="false" ht="15" hidden="false" customHeight="false" outlineLevel="0" collapsed="false">
      <c r="A1615" s="75"/>
      <c r="B1615" s="76"/>
      <c r="C1615" s="77"/>
      <c r="D1615" s="78"/>
      <c r="E1615" s="77"/>
      <c r="F1615" s="76"/>
      <c r="G1615" s="76"/>
      <c r="I1615" s="79" t="str">
        <f aca="false">IF($B1615="","",IF(ISNUMBER(MATCH($B1615,日別データ!$B$13:$B$32,0)),"✔ OK","⚠ 未登録"))</f>
        <v/>
      </c>
      <c r="J1615" s="80" t="str">
        <f aca="false">IF($B1615="","",IF($D1615="","－",IF(ISNUMBER($D1615),IF(AND($D1615&gt;=1,MOD($D1615,1)=0),"－",IF(MOD($D1615,1)&lt;$L$6,"朝",IF(MOD($D1615,1)&lt;$L$7,"昼",IF(MOD($D1615,1)&lt;$L$8,"夕方","夜")))),IF(OR($D1615="朝",$D1615="昼",$D1615="夕方",$D1615="夜"),$D1615,"⚠ 不明"))))</f>
        <v/>
      </c>
    </row>
    <row r="1616" customFormat="false" ht="15" hidden="false" customHeight="false" outlineLevel="0" collapsed="false">
      <c r="A1616" s="75"/>
      <c r="B1616" s="76"/>
      <c r="C1616" s="77"/>
      <c r="D1616" s="78"/>
      <c r="E1616" s="77"/>
      <c r="F1616" s="76"/>
      <c r="G1616" s="76"/>
      <c r="I1616" s="79" t="str">
        <f aca="false">IF($B1616="","",IF(ISNUMBER(MATCH($B1616,日別データ!$B$13:$B$32,0)),"✔ OK","⚠ 未登録"))</f>
        <v/>
      </c>
      <c r="J1616" s="80" t="str">
        <f aca="false">IF($B1616="","",IF($D1616="","－",IF(ISNUMBER($D1616),IF(AND($D1616&gt;=1,MOD($D1616,1)=0),"－",IF(MOD($D1616,1)&lt;$L$6,"朝",IF(MOD($D1616,1)&lt;$L$7,"昼",IF(MOD($D1616,1)&lt;$L$8,"夕方","夜")))),IF(OR($D1616="朝",$D1616="昼",$D1616="夕方",$D1616="夜"),$D1616,"⚠ 不明"))))</f>
        <v/>
      </c>
    </row>
    <row r="1617" customFormat="false" ht="15" hidden="false" customHeight="false" outlineLevel="0" collapsed="false">
      <c r="A1617" s="75"/>
      <c r="B1617" s="76"/>
      <c r="C1617" s="77"/>
      <c r="D1617" s="78"/>
      <c r="E1617" s="77"/>
      <c r="F1617" s="76"/>
      <c r="G1617" s="76"/>
      <c r="I1617" s="79" t="str">
        <f aca="false">IF($B1617="","",IF(ISNUMBER(MATCH($B1617,日別データ!$B$13:$B$32,0)),"✔ OK","⚠ 未登録"))</f>
        <v/>
      </c>
      <c r="J1617" s="80" t="str">
        <f aca="false">IF($B1617="","",IF($D1617="","－",IF(ISNUMBER($D1617),IF(AND($D1617&gt;=1,MOD($D1617,1)=0),"－",IF(MOD($D1617,1)&lt;$L$6,"朝",IF(MOD($D1617,1)&lt;$L$7,"昼",IF(MOD($D1617,1)&lt;$L$8,"夕方","夜")))),IF(OR($D1617="朝",$D1617="昼",$D1617="夕方",$D1617="夜"),$D1617,"⚠ 不明"))))</f>
        <v/>
      </c>
    </row>
    <row r="1618" customFormat="false" ht="15" hidden="false" customHeight="false" outlineLevel="0" collapsed="false">
      <c r="A1618" s="75"/>
      <c r="B1618" s="76"/>
      <c r="C1618" s="77"/>
      <c r="D1618" s="78"/>
      <c r="E1618" s="77"/>
      <c r="F1618" s="76"/>
      <c r="G1618" s="76"/>
      <c r="I1618" s="79" t="str">
        <f aca="false">IF($B1618="","",IF(ISNUMBER(MATCH($B1618,日別データ!$B$13:$B$32,0)),"✔ OK","⚠ 未登録"))</f>
        <v/>
      </c>
      <c r="J1618" s="80" t="str">
        <f aca="false">IF($B1618="","",IF($D1618="","－",IF(ISNUMBER($D1618),IF(AND($D1618&gt;=1,MOD($D1618,1)=0),"－",IF(MOD($D1618,1)&lt;$L$6,"朝",IF(MOD($D1618,1)&lt;$L$7,"昼",IF(MOD($D1618,1)&lt;$L$8,"夕方","夜")))),IF(OR($D1618="朝",$D1618="昼",$D1618="夕方",$D1618="夜"),$D1618,"⚠ 不明"))))</f>
        <v/>
      </c>
    </row>
    <row r="1619" customFormat="false" ht="15" hidden="false" customHeight="false" outlineLevel="0" collapsed="false">
      <c r="A1619" s="75"/>
      <c r="B1619" s="76"/>
      <c r="C1619" s="77"/>
      <c r="D1619" s="78"/>
      <c r="E1619" s="77"/>
      <c r="F1619" s="76"/>
      <c r="G1619" s="76"/>
      <c r="I1619" s="79" t="str">
        <f aca="false">IF($B1619="","",IF(ISNUMBER(MATCH($B1619,日別データ!$B$13:$B$32,0)),"✔ OK","⚠ 未登録"))</f>
        <v/>
      </c>
      <c r="J1619" s="80" t="str">
        <f aca="false">IF($B1619="","",IF($D1619="","－",IF(ISNUMBER($D1619),IF(AND($D1619&gt;=1,MOD($D1619,1)=0),"－",IF(MOD($D1619,1)&lt;$L$6,"朝",IF(MOD($D1619,1)&lt;$L$7,"昼",IF(MOD($D1619,1)&lt;$L$8,"夕方","夜")))),IF(OR($D1619="朝",$D1619="昼",$D1619="夕方",$D1619="夜"),$D1619,"⚠ 不明"))))</f>
        <v/>
      </c>
    </row>
    <row r="1620" customFormat="false" ht="15" hidden="false" customHeight="false" outlineLevel="0" collapsed="false">
      <c r="A1620" s="75"/>
      <c r="B1620" s="76"/>
      <c r="C1620" s="77"/>
      <c r="D1620" s="78"/>
      <c r="E1620" s="77"/>
      <c r="F1620" s="76"/>
      <c r="G1620" s="76"/>
      <c r="I1620" s="79" t="str">
        <f aca="false">IF($B1620="","",IF(ISNUMBER(MATCH($B1620,日別データ!$B$13:$B$32,0)),"✔ OK","⚠ 未登録"))</f>
        <v/>
      </c>
      <c r="J1620" s="80" t="str">
        <f aca="false">IF($B1620="","",IF($D1620="","－",IF(ISNUMBER($D1620),IF(AND($D1620&gt;=1,MOD($D1620,1)=0),"－",IF(MOD($D1620,1)&lt;$L$6,"朝",IF(MOD($D1620,1)&lt;$L$7,"昼",IF(MOD($D1620,1)&lt;$L$8,"夕方","夜")))),IF(OR($D1620="朝",$D1620="昼",$D1620="夕方",$D1620="夜"),$D1620,"⚠ 不明"))))</f>
        <v/>
      </c>
    </row>
    <row r="1621" customFormat="false" ht="15" hidden="false" customHeight="false" outlineLevel="0" collapsed="false">
      <c r="A1621" s="75"/>
      <c r="B1621" s="76"/>
      <c r="C1621" s="77"/>
      <c r="D1621" s="78"/>
      <c r="E1621" s="77"/>
      <c r="F1621" s="76"/>
      <c r="G1621" s="76"/>
      <c r="I1621" s="79" t="str">
        <f aca="false">IF($B1621="","",IF(ISNUMBER(MATCH($B1621,日別データ!$B$13:$B$32,0)),"✔ OK","⚠ 未登録"))</f>
        <v/>
      </c>
      <c r="J1621" s="80" t="str">
        <f aca="false">IF($B1621="","",IF($D1621="","－",IF(ISNUMBER($D1621),IF(AND($D1621&gt;=1,MOD($D1621,1)=0),"－",IF(MOD($D1621,1)&lt;$L$6,"朝",IF(MOD($D1621,1)&lt;$L$7,"昼",IF(MOD($D1621,1)&lt;$L$8,"夕方","夜")))),IF(OR($D1621="朝",$D1621="昼",$D1621="夕方",$D1621="夜"),$D1621,"⚠ 不明"))))</f>
        <v/>
      </c>
    </row>
    <row r="1622" customFormat="false" ht="15" hidden="false" customHeight="false" outlineLevel="0" collapsed="false">
      <c r="A1622" s="75"/>
      <c r="B1622" s="76"/>
      <c r="C1622" s="77"/>
      <c r="D1622" s="78"/>
      <c r="E1622" s="77"/>
      <c r="F1622" s="76"/>
      <c r="G1622" s="76"/>
      <c r="I1622" s="79" t="str">
        <f aca="false">IF($B1622="","",IF(ISNUMBER(MATCH($B1622,日別データ!$B$13:$B$32,0)),"✔ OK","⚠ 未登録"))</f>
        <v/>
      </c>
      <c r="J1622" s="80" t="str">
        <f aca="false">IF($B1622="","",IF($D1622="","－",IF(ISNUMBER($D1622),IF(AND($D1622&gt;=1,MOD($D1622,1)=0),"－",IF(MOD($D1622,1)&lt;$L$6,"朝",IF(MOD($D1622,1)&lt;$L$7,"昼",IF(MOD($D1622,1)&lt;$L$8,"夕方","夜")))),IF(OR($D1622="朝",$D1622="昼",$D1622="夕方",$D1622="夜"),$D1622,"⚠ 不明"))))</f>
        <v/>
      </c>
    </row>
    <row r="1623" customFormat="false" ht="15" hidden="false" customHeight="false" outlineLevel="0" collapsed="false">
      <c r="A1623" s="75"/>
      <c r="B1623" s="76"/>
      <c r="C1623" s="77"/>
      <c r="D1623" s="78"/>
      <c r="E1623" s="77"/>
      <c r="F1623" s="76"/>
      <c r="G1623" s="76"/>
      <c r="I1623" s="79" t="str">
        <f aca="false">IF($B1623="","",IF(ISNUMBER(MATCH($B1623,日別データ!$B$13:$B$32,0)),"✔ OK","⚠ 未登録"))</f>
        <v/>
      </c>
      <c r="J1623" s="80" t="str">
        <f aca="false">IF($B1623="","",IF($D1623="","－",IF(ISNUMBER($D1623),IF(AND($D1623&gt;=1,MOD($D1623,1)=0),"－",IF(MOD($D1623,1)&lt;$L$6,"朝",IF(MOD($D1623,1)&lt;$L$7,"昼",IF(MOD($D1623,1)&lt;$L$8,"夕方","夜")))),IF(OR($D1623="朝",$D1623="昼",$D1623="夕方",$D1623="夜"),$D1623,"⚠ 不明"))))</f>
        <v/>
      </c>
    </row>
    <row r="1624" customFormat="false" ht="15" hidden="false" customHeight="false" outlineLevel="0" collapsed="false">
      <c r="A1624" s="75"/>
      <c r="B1624" s="76"/>
      <c r="C1624" s="77"/>
      <c r="D1624" s="78"/>
      <c r="E1624" s="77"/>
      <c r="F1624" s="76"/>
      <c r="G1624" s="76"/>
      <c r="I1624" s="79" t="str">
        <f aca="false">IF($B1624="","",IF(ISNUMBER(MATCH($B1624,日別データ!$B$13:$B$32,0)),"✔ OK","⚠ 未登録"))</f>
        <v/>
      </c>
      <c r="J1624" s="80" t="str">
        <f aca="false">IF($B1624="","",IF($D1624="","－",IF(ISNUMBER($D1624),IF(AND($D1624&gt;=1,MOD($D1624,1)=0),"－",IF(MOD($D1624,1)&lt;$L$6,"朝",IF(MOD($D1624,1)&lt;$L$7,"昼",IF(MOD($D1624,1)&lt;$L$8,"夕方","夜")))),IF(OR($D1624="朝",$D1624="昼",$D1624="夕方",$D1624="夜"),$D1624,"⚠ 不明"))))</f>
        <v/>
      </c>
    </row>
    <row r="1625" customFormat="false" ht="15" hidden="false" customHeight="false" outlineLevel="0" collapsed="false">
      <c r="A1625" s="75"/>
      <c r="B1625" s="76"/>
      <c r="C1625" s="77"/>
      <c r="D1625" s="78"/>
      <c r="E1625" s="77"/>
      <c r="F1625" s="76"/>
      <c r="G1625" s="76"/>
      <c r="I1625" s="79" t="str">
        <f aca="false">IF($B1625="","",IF(ISNUMBER(MATCH($B1625,日別データ!$B$13:$B$32,0)),"✔ OK","⚠ 未登録"))</f>
        <v/>
      </c>
      <c r="J1625" s="80" t="str">
        <f aca="false">IF($B1625="","",IF($D1625="","－",IF(ISNUMBER($D1625),IF(AND($D1625&gt;=1,MOD($D1625,1)=0),"－",IF(MOD($D1625,1)&lt;$L$6,"朝",IF(MOD($D1625,1)&lt;$L$7,"昼",IF(MOD($D1625,1)&lt;$L$8,"夕方","夜")))),IF(OR($D1625="朝",$D1625="昼",$D1625="夕方",$D1625="夜"),$D1625,"⚠ 不明"))))</f>
        <v/>
      </c>
    </row>
    <row r="1626" customFormat="false" ht="15" hidden="false" customHeight="false" outlineLevel="0" collapsed="false">
      <c r="A1626" s="75"/>
      <c r="B1626" s="76"/>
      <c r="C1626" s="77"/>
      <c r="D1626" s="78"/>
      <c r="E1626" s="77"/>
      <c r="F1626" s="76"/>
      <c r="G1626" s="76"/>
      <c r="I1626" s="79" t="str">
        <f aca="false">IF($B1626="","",IF(ISNUMBER(MATCH($B1626,日別データ!$B$13:$B$32,0)),"✔ OK","⚠ 未登録"))</f>
        <v/>
      </c>
      <c r="J1626" s="80" t="str">
        <f aca="false">IF($B1626="","",IF($D1626="","－",IF(ISNUMBER($D1626),IF(AND($D1626&gt;=1,MOD($D1626,1)=0),"－",IF(MOD($D1626,1)&lt;$L$6,"朝",IF(MOD($D1626,1)&lt;$L$7,"昼",IF(MOD($D1626,1)&lt;$L$8,"夕方","夜")))),IF(OR($D1626="朝",$D1626="昼",$D1626="夕方",$D1626="夜"),$D1626,"⚠ 不明"))))</f>
        <v/>
      </c>
    </row>
    <row r="1627" customFormat="false" ht="15" hidden="false" customHeight="false" outlineLevel="0" collapsed="false">
      <c r="A1627" s="75"/>
      <c r="B1627" s="76"/>
      <c r="C1627" s="77"/>
      <c r="D1627" s="78"/>
      <c r="E1627" s="77"/>
      <c r="F1627" s="76"/>
      <c r="G1627" s="76"/>
      <c r="I1627" s="79" t="str">
        <f aca="false">IF($B1627="","",IF(ISNUMBER(MATCH($B1627,日別データ!$B$13:$B$32,0)),"✔ OK","⚠ 未登録"))</f>
        <v/>
      </c>
      <c r="J1627" s="80" t="str">
        <f aca="false">IF($B1627="","",IF($D1627="","－",IF(ISNUMBER($D1627),IF(AND($D1627&gt;=1,MOD($D1627,1)=0),"－",IF(MOD($D1627,1)&lt;$L$6,"朝",IF(MOD($D1627,1)&lt;$L$7,"昼",IF(MOD($D1627,1)&lt;$L$8,"夕方","夜")))),IF(OR($D1627="朝",$D1627="昼",$D1627="夕方",$D1627="夜"),$D1627,"⚠ 不明"))))</f>
        <v/>
      </c>
    </row>
    <row r="1628" customFormat="false" ht="15" hidden="false" customHeight="false" outlineLevel="0" collapsed="false">
      <c r="A1628" s="75"/>
      <c r="B1628" s="76"/>
      <c r="C1628" s="77"/>
      <c r="D1628" s="78"/>
      <c r="E1628" s="77"/>
      <c r="F1628" s="76"/>
      <c r="G1628" s="76"/>
      <c r="I1628" s="79" t="str">
        <f aca="false">IF($B1628="","",IF(ISNUMBER(MATCH($B1628,日別データ!$B$13:$B$32,0)),"✔ OK","⚠ 未登録"))</f>
        <v/>
      </c>
      <c r="J1628" s="80" t="str">
        <f aca="false">IF($B1628="","",IF($D1628="","－",IF(ISNUMBER($D1628),IF(AND($D1628&gt;=1,MOD($D1628,1)=0),"－",IF(MOD($D1628,1)&lt;$L$6,"朝",IF(MOD($D1628,1)&lt;$L$7,"昼",IF(MOD($D1628,1)&lt;$L$8,"夕方","夜")))),IF(OR($D1628="朝",$D1628="昼",$D1628="夕方",$D1628="夜"),$D1628,"⚠ 不明"))))</f>
        <v/>
      </c>
    </row>
    <row r="1629" customFormat="false" ht="15" hidden="false" customHeight="false" outlineLevel="0" collapsed="false">
      <c r="A1629" s="75"/>
      <c r="B1629" s="76"/>
      <c r="C1629" s="77"/>
      <c r="D1629" s="78"/>
      <c r="E1629" s="77"/>
      <c r="F1629" s="76"/>
      <c r="G1629" s="76"/>
      <c r="I1629" s="79" t="str">
        <f aca="false">IF($B1629="","",IF(ISNUMBER(MATCH($B1629,日別データ!$B$13:$B$32,0)),"✔ OK","⚠ 未登録"))</f>
        <v/>
      </c>
      <c r="J1629" s="80" t="str">
        <f aca="false">IF($B1629="","",IF($D1629="","－",IF(ISNUMBER($D1629),IF(AND($D1629&gt;=1,MOD($D1629,1)=0),"－",IF(MOD($D1629,1)&lt;$L$6,"朝",IF(MOD($D1629,1)&lt;$L$7,"昼",IF(MOD($D1629,1)&lt;$L$8,"夕方","夜")))),IF(OR($D1629="朝",$D1629="昼",$D1629="夕方",$D1629="夜"),$D1629,"⚠ 不明"))))</f>
        <v/>
      </c>
    </row>
    <row r="1630" customFormat="false" ht="15" hidden="false" customHeight="false" outlineLevel="0" collapsed="false">
      <c r="A1630" s="75"/>
      <c r="B1630" s="76"/>
      <c r="C1630" s="77"/>
      <c r="D1630" s="78"/>
      <c r="E1630" s="77"/>
      <c r="F1630" s="76"/>
      <c r="G1630" s="76"/>
      <c r="I1630" s="79" t="str">
        <f aca="false">IF($B1630="","",IF(ISNUMBER(MATCH($B1630,日別データ!$B$13:$B$32,0)),"✔ OK","⚠ 未登録"))</f>
        <v/>
      </c>
      <c r="J1630" s="80" t="str">
        <f aca="false">IF($B1630="","",IF($D1630="","－",IF(ISNUMBER($D1630),IF(AND($D1630&gt;=1,MOD($D1630,1)=0),"－",IF(MOD($D1630,1)&lt;$L$6,"朝",IF(MOD($D1630,1)&lt;$L$7,"昼",IF(MOD($D1630,1)&lt;$L$8,"夕方","夜")))),IF(OR($D1630="朝",$D1630="昼",$D1630="夕方",$D1630="夜"),$D1630,"⚠ 不明"))))</f>
        <v/>
      </c>
    </row>
    <row r="1631" customFormat="false" ht="15" hidden="false" customHeight="false" outlineLevel="0" collapsed="false">
      <c r="A1631" s="75"/>
      <c r="B1631" s="76"/>
      <c r="C1631" s="77"/>
      <c r="D1631" s="78"/>
      <c r="E1631" s="77"/>
      <c r="F1631" s="76"/>
      <c r="G1631" s="76"/>
      <c r="I1631" s="79" t="str">
        <f aca="false">IF($B1631="","",IF(ISNUMBER(MATCH($B1631,日別データ!$B$13:$B$32,0)),"✔ OK","⚠ 未登録"))</f>
        <v/>
      </c>
      <c r="J1631" s="80" t="str">
        <f aca="false">IF($B1631="","",IF($D1631="","－",IF(ISNUMBER($D1631),IF(AND($D1631&gt;=1,MOD($D1631,1)=0),"－",IF(MOD($D1631,1)&lt;$L$6,"朝",IF(MOD($D1631,1)&lt;$L$7,"昼",IF(MOD($D1631,1)&lt;$L$8,"夕方","夜")))),IF(OR($D1631="朝",$D1631="昼",$D1631="夕方",$D1631="夜"),$D1631,"⚠ 不明"))))</f>
        <v/>
      </c>
    </row>
    <row r="1632" customFormat="false" ht="15" hidden="false" customHeight="false" outlineLevel="0" collapsed="false">
      <c r="A1632" s="75"/>
      <c r="B1632" s="76"/>
      <c r="C1632" s="77"/>
      <c r="D1632" s="78"/>
      <c r="E1632" s="77"/>
      <c r="F1632" s="76"/>
      <c r="G1632" s="76"/>
      <c r="I1632" s="79" t="str">
        <f aca="false">IF($B1632="","",IF(ISNUMBER(MATCH($B1632,日別データ!$B$13:$B$32,0)),"✔ OK","⚠ 未登録"))</f>
        <v/>
      </c>
      <c r="J1632" s="80" t="str">
        <f aca="false">IF($B1632="","",IF($D1632="","－",IF(ISNUMBER($D1632),IF(AND($D1632&gt;=1,MOD($D1632,1)=0),"－",IF(MOD($D1632,1)&lt;$L$6,"朝",IF(MOD($D1632,1)&lt;$L$7,"昼",IF(MOD($D1632,1)&lt;$L$8,"夕方","夜")))),IF(OR($D1632="朝",$D1632="昼",$D1632="夕方",$D1632="夜"),$D1632,"⚠ 不明"))))</f>
        <v/>
      </c>
    </row>
    <row r="1633" customFormat="false" ht="15" hidden="false" customHeight="false" outlineLevel="0" collapsed="false">
      <c r="A1633" s="75"/>
      <c r="B1633" s="76"/>
      <c r="C1633" s="77"/>
      <c r="D1633" s="78"/>
      <c r="E1633" s="77"/>
      <c r="F1633" s="76"/>
      <c r="G1633" s="76"/>
      <c r="I1633" s="79" t="str">
        <f aca="false">IF($B1633="","",IF(ISNUMBER(MATCH($B1633,日別データ!$B$13:$B$32,0)),"✔ OK","⚠ 未登録"))</f>
        <v/>
      </c>
      <c r="J1633" s="80" t="str">
        <f aca="false">IF($B1633="","",IF($D1633="","－",IF(ISNUMBER($D1633),IF(AND($D1633&gt;=1,MOD($D1633,1)=0),"－",IF(MOD($D1633,1)&lt;$L$6,"朝",IF(MOD($D1633,1)&lt;$L$7,"昼",IF(MOD($D1633,1)&lt;$L$8,"夕方","夜")))),IF(OR($D1633="朝",$D1633="昼",$D1633="夕方",$D1633="夜"),$D1633,"⚠ 不明"))))</f>
        <v/>
      </c>
    </row>
    <row r="1634" customFormat="false" ht="15" hidden="false" customHeight="false" outlineLevel="0" collapsed="false">
      <c r="A1634" s="75"/>
      <c r="B1634" s="76"/>
      <c r="C1634" s="77"/>
      <c r="D1634" s="78"/>
      <c r="E1634" s="77"/>
      <c r="F1634" s="76"/>
      <c r="G1634" s="76"/>
      <c r="I1634" s="79" t="str">
        <f aca="false">IF($B1634="","",IF(ISNUMBER(MATCH($B1634,日別データ!$B$13:$B$32,0)),"✔ OK","⚠ 未登録"))</f>
        <v/>
      </c>
      <c r="J1634" s="80" t="str">
        <f aca="false">IF($B1634="","",IF($D1634="","－",IF(ISNUMBER($D1634),IF(AND($D1634&gt;=1,MOD($D1634,1)=0),"－",IF(MOD($D1634,1)&lt;$L$6,"朝",IF(MOD($D1634,1)&lt;$L$7,"昼",IF(MOD($D1634,1)&lt;$L$8,"夕方","夜")))),IF(OR($D1634="朝",$D1634="昼",$D1634="夕方",$D1634="夜"),$D1634,"⚠ 不明"))))</f>
        <v/>
      </c>
    </row>
    <row r="1635" customFormat="false" ht="15" hidden="false" customHeight="false" outlineLevel="0" collapsed="false">
      <c r="A1635" s="75"/>
      <c r="B1635" s="76"/>
      <c r="C1635" s="77"/>
      <c r="D1635" s="78"/>
      <c r="E1635" s="77"/>
      <c r="F1635" s="76"/>
      <c r="G1635" s="76"/>
      <c r="I1635" s="79" t="str">
        <f aca="false">IF($B1635="","",IF(ISNUMBER(MATCH($B1635,日別データ!$B$13:$B$32,0)),"✔ OK","⚠ 未登録"))</f>
        <v/>
      </c>
      <c r="J1635" s="80" t="str">
        <f aca="false">IF($B1635="","",IF($D1635="","－",IF(ISNUMBER($D1635),IF(AND($D1635&gt;=1,MOD($D1635,1)=0),"－",IF(MOD($D1635,1)&lt;$L$6,"朝",IF(MOD($D1635,1)&lt;$L$7,"昼",IF(MOD($D1635,1)&lt;$L$8,"夕方","夜")))),IF(OR($D1635="朝",$D1635="昼",$D1635="夕方",$D1635="夜"),$D1635,"⚠ 不明"))))</f>
        <v/>
      </c>
    </row>
    <row r="1636" customFormat="false" ht="15" hidden="false" customHeight="false" outlineLevel="0" collapsed="false">
      <c r="A1636" s="75"/>
      <c r="B1636" s="76"/>
      <c r="C1636" s="77"/>
      <c r="D1636" s="78"/>
      <c r="E1636" s="77"/>
      <c r="F1636" s="76"/>
      <c r="G1636" s="76"/>
      <c r="I1636" s="79" t="str">
        <f aca="false">IF($B1636="","",IF(ISNUMBER(MATCH($B1636,日別データ!$B$13:$B$32,0)),"✔ OK","⚠ 未登録"))</f>
        <v/>
      </c>
      <c r="J1636" s="80" t="str">
        <f aca="false">IF($B1636="","",IF($D1636="","－",IF(ISNUMBER($D1636),IF(AND($D1636&gt;=1,MOD($D1636,1)=0),"－",IF(MOD($D1636,1)&lt;$L$6,"朝",IF(MOD($D1636,1)&lt;$L$7,"昼",IF(MOD($D1636,1)&lt;$L$8,"夕方","夜")))),IF(OR($D1636="朝",$D1636="昼",$D1636="夕方",$D1636="夜"),$D1636,"⚠ 不明"))))</f>
        <v/>
      </c>
    </row>
    <row r="1637" customFormat="false" ht="15" hidden="false" customHeight="false" outlineLevel="0" collapsed="false">
      <c r="A1637" s="75"/>
      <c r="B1637" s="76"/>
      <c r="C1637" s="77"/>
      <c r="D1637" s="78"/>
      <c r="E1637" s="77"/>
      <c r="F1637" s="76"/>
      <c r="G1637" s="76"/>
      <c r="I1637" s="79" t="str">
        <f aca="false">IF($B1637="","",IF(ISNUMBER(MATCH($B1637,日別データ!$B$13:$B$32,0)),"✔ OK","⚠ 未登録"))</f>
        <v/>
      </c>
      <c r="J1637" s="80" t="str">
        <f aca="false">IF($B1637="","",IF($D1637="","－",IF(ISNUMBER($D1637),IF(AND($D1637&gt;=1,MOD($D1637,1)=0),"－",IF(MOD($D1637,1)&lt;$L$6,"朝",IF(MOD($D1637,1)&lt;$L$7,"昼",IF(MOD($D1637,1)&lt;$L$8,"夕方","夜")))),IF(OR($D1637="朝",$D1637="昼",$D1637="夕方",$D1637="夜"),$D1637,"⚠ 不明"))))</f>
        <v/>
      </c>
    </row>
    <row r="1638" customFormat="false" ht="15" hidden="false" customHeight="false" outlineLevel="0" collapsed="false">
      <c r="A1638" s="75"/>
      <c r="B1638" s="76"/>
      <c r="C1638" s="77"/>
      <c r="D1638" s="78"/>
      <c r="E1638" s="77"/>
      <c r="F1638" s="76"/>
      <c r="G1638" s="76"/>
      <c r="I1638" s="79" t="str">
        <f aca="false">IF($B1638="","",IF(ISNUMBER(MATCH($B1638,日別データ!$B$13:$B$32,0)),"✔ OK","⚠ 未登録"))</f>
        <v/>
      </c>
      <c r="J1638" s="80" t="str">
        <f aca="false">IF($B1638="","",IF($D1638="","－",IF(ISNUMBER($D1638),IF(AND($D1638&gt;=1,MOD($D1638,1)=0),"－",IF(MOD($D1638,1)&lt;$L$6,"朝",IF(MOD($D1638,1)&lt;$L$7,"昼",IF(MOD($D1638,1)&lt;$L$8,"夕方","夜")))),IF(OR($D1638="朝",$D1638="昼",$D1638="夕方",$D1638="夜"),$D1638,"⚠ 不明"))))</f>
        <v/>
      </c>
    </row>
    <row r="1639" customFormat="false" ht="15" hidden="false" customHeight="false" outlineLevel="0" collapsed="false">
      <c r="A1639" s="75"/>
      <c r="B1639" s="76"/>
      <c r="C1639" s="77"/>
      <c r="D1639" s="78"/>
      <c r="E1639" s="77"/>
      <c r="F1639" s="76"/>
      <c r="G1639" s="76"/>
      <c r="I1639" s="79" t="str">
        <f aca="false">IF($B1639="","",IF(ISNUMBER(MATCH($B1639,日別データ!$B$13:$B$32,0)),"✔ OK","⚠ 未登録"))</f>
        <v/>
      </c>
      <c r="J1639" s="80" t="str">
        <f aca="false">IF($B1639="","",IF($D1639="","－",IF(ISNUMBER($D1639),IF(AND($D1639&gt;=1,MOD($D1639,1)=0),"－",IF(MOD($D1639,1)&lt;$L$6,"朝",IF(MOD($D1639,1)&lt;$L$7,"昼",IF(MOD($D1639,1)&lt;$L$8,"夕方","夜")))),IF(OR($D1639="朝",$D1639="昼",$D1639="夕方",$D1639="夜"),$D1639,"⚠ 不明"))))</f>
        <v/>
      </c>
    </row>
    <row r="1640" customFormat="false" ht="15" hidden="false" customHeight="false" outlineLevel="0" collapsed="false">
      <c r="A1640" s="75"/>
      <c r="B1640" s="76"/>
      <c r="C1640" s="77"/>
      <c r="D1640" s="78"/>
      <c r="E1640" s="77"/>
      <c r="F1640" s="76"/>
      <c r="G1640" s="76"/>
      <c r="I1640" s="79" t="str">
        <f aca="false">IF($B1640="","",IF(ISNUMBER(MATCH($B1640,日別データ!$B$13:$B$32,0)),"✔ OK","⚠ 未登録"))</f>
        <v/>
      </c>
      <c r="J1640" s="80" t="str">
        <f aca="false">IF($B1640="","",IF($D1640="","－",IF(ISNUMBER($D1640),IF(AND($D1640&gt;=1,MOD($D1640,1)=0),"－",IF(MOD($D1640,1)&lt;$L$6,"朝",IF(MOD($D1640,1)&lt;$L$7,"昼",IF(MOD($D1640,1)&lt;$L$8,"夕方","夜")))),IF(OR($D1640="朝",$D1640="昼",$D1640="夕方",$D1640="夜"),$D1640,"⚠ 不明"))))</f>
        <v/>
      </c>
    </row>
    <row r="1641" customFormat="false" ht="15" hidden="false" customHeight="false" outlineLevel="0" collapsed="false">
      <c r="A1641" s="75"/>
      <c r="B1641" s="76"/>
      <c r="C1641" s="77"/>
      <c r="D1641" s="78"/>
      <c r="E1641" s="77"/>
      <c r="F1641" s="76"/>
      <c r="G1641" s="76"/>
      <c r="I1641" s="79" t="str">
        <f aca="false">IF($B1641="","",IF(ISNUMBER(MATCH($B1641,日別データ!$B$13:$B$32,0)),"✔ OK","⚠ 未登録"))</f>
        <v/>
      </c>
      <c r="J1641" s="80" t="str">
        <f aca="false">IF($B1641="","",IF($D1641="","－",IF(ISNUMBER($D1641),IF(AND($D1641&gt;=1,MOD($D1641,1)=0),"－",IF(MOD($D1641,1)&lt;$L$6,"朝",IF(MOD($D1641,1)&lt;$L$7,"昼",IF(MOD($D1641,1)&lt;$L$8,"夕方","夜")))),IF(OR($D1641="朝",$D1641="昼",$D1641="夕方",$D1641="夜"),$D1641,"⚠ 不明"))))</f>
        <v/>
      </c>
    </row>
    <row r="1642" customFormat="false" ht="15" hidden="false" customHeight="false" outlineLevel="0" collapsed="false">
      <c r="A1642" s="75"/>
      <c r="B1642" s="76"/>
      <c r="C1642" s="77"/>
      <c r="D1642" s="78"/>
      <c r="E1642" s="77"/>
      <c r="F1642" s="76"/>
      <c r="G1642" s="76"/>
      <c r="I1642" s="79" t="str">
        <f aca="false">IF($B1642="","",IF(ISNUMBER(MATCH($B1642,日別データ!$B$13:$B$32,0)),"✔ OK","⚠ 未登録"))</f>
        <v/>
      </c>
      <c r="J1642" s="80" t="str">
        <f aca="false">IF($B1642="","",IF($D1642="","－",IF(ISNUMBER($D1642),IF(AND($D1642&gt;=1,MOD($D1642,1)=0),"－",IF(MOD($D1642,1)&lt;$L$6,"朝",IF(MOD($D1642,1)&lt;$L$7,"昼",IF(MOD($D1642,1)&lt;$L$8,"夕方","夜")))),IF(OR($D1642="朝",$D1642="昼",$D1642="夕方",$D1642="夜"),$D1642,"⚠ 不明"))))</f>
        <v/>
      </c>
    </row>
    <row r="1643" customFormat="false" ht="15" hidden="false" customHeight="false" outlineLevel="0" collapsed="false">
      <c r="A1643" s="75"/>
      <c r="B1643" s="76"/>
      <c r="C1643" s="77"/>
      <c r="D1643" s="78"/>
      <c r="E1643" s="77"/>
      <c r="F1643" s="76"/>
      <c r="G1643" s="76"/>
      <c r="I1643" s="79" t="str">
        <f aca="false">IF($B1643="","",IF(ISNUMBER(MATCH($B1643,日別データ!$B$13:$B$32,0)),"✔ OK","⚠ 未登録"))</f>
        <v/>
      </c>
      <c r="J1643" s="80" t="str">
        <f aca="false">IF($B1643="","",IF($D1643="","－",IF(ISNUMBER($D1643),IF(AND($D1643&gt;=1,MOD($D1643,1)=0),"－",IF(MOD($D1643,1)&lt;$L$6,"朝",IF(MOD($D1643,1)&lt;$L$7,"昼",IF(MOD($D1643,1)&lt;$L$8,"夕方","夜")))),IF(OR($D1643="朝",$D1643="昼",$D1643="夕方",$D1643="夜"),$D1643,"⚠ 不明"))))</f>
        <v/>
      </c>
    </row>
    <row r="1644" customFormat="false" ht="15" hidden="false" customHeight="false" outlineLevel="0" collapsed="false">
      <c r="A1644" s="75"/>
      <c r="B1644" s="76"/>
      <c r="C1644" s="77"/>
      <c r="D1644" s="78"/>
      <c r="E1644" s="77"/>
      <c r="F1644" s="76"/>
      <c r="G1644" s="76"/>
      <c r="I1644" s="79" t="str">
        <f aca="false">IF($B1644="","",IF(ISNUMBER(MATCH($B1644,日別データ!$B$13:$B$32,0)),"✔ OK","⚠ 未登録"))</f>
        <v/>
      </c>
      <c r="J1644" s="80" t="str">
        <f aca="false">IF($B1644="","",IF($D1644="","－",IF(ISNUMBER($D1644),IF(AND($D1644&gt;=1,MOD($D1644,1)=0),"－",IF(MOD($D1644,1)&lt;$L$6,"朝",IF(MOD($D1644,1)&lt;$L$7,"昼",IF(MOD($D1644,1)&lt;$L$8,"夕方","夜")))),IF(OR($D1644="朝",$D1644="昼",$D1644="夕方",$D1644="夜"),$D1644,"⚠ 不明"))))</f>
        <v/>
      </c>
    </row>
    <row r="1645" customFormat="false" ht="15" hidden="false" customHeight="false" outlineLevel="0" collapsed="false">
      <c r="A1645" s="75"/>
      <c r="B1645" s="76"/>
      <c r="C1645" s="77"/>
      <c r="D1645" s="78"/>
      <c r="E1645" s="77"/>
      <c r="F1645" s="76"/>
      <c r="G1645" s="76"/>
      <c r="I1645" s="79" t="str">
        <f aca="false">IF($B1645="","",IF(ISNUMBER(MATCH($B1645,日別データ!$B$13:$B$32,0)),"✔ OK","⚠ 未登録"))</f>
        <v/>
      </c>
      <c r="J1645" s="80" t="str">
        <f aca="false">IF($B1645="","",IF($D1645="","－",IF(ISNUMBER($D1645),IF(AND($D1645&gt;=1,MOD($D1645,1)=0),"－",IF(MOD($D1645,1)&lt;$L$6,"朝",IF(MOD($D1645,1)&lt;$L$7,"昼",IF(MOD($D1645,1)&lt;$L$8,"夕方","夜")))),IF(OR($D1645="朝",$D1645="昼",$D1645="夕方",$D1645="夜"),$D1645,"⚠ 不明"))))</f>
        <v/>
      </c>
    </row>
    <row r="1646" customFormat="false" ht="15" hidden="false" customHeight="false" outlineLevel="0" collapsed="false">
      <c r="A1646" s="75"/>
      <c r="B1646" s="76"/>
      <c r="C1646" s="77"/>
      <c r="D1646" s="78"/>
      <c r="E1646" s="77"/>
      <c r="F1646" s="76"/>
      <c r="G1646" s="76"/>
      <c r="I1646" s="79" t="str">
        <f aca="false">IF($B1646="","",IF(ISNUMBER(MATCH($B1646,日別データ!$B$13:$B$32,0)),"✔ OK","⚠ 未登録"))</f>
        <v/>
      </c>
      <c r="J1646" s="80" t="str">
        <f aca="false">IF($B1646="","",IF($D1646="","－",IF(ISNUMBER($D1646),IF(AND($D1646&gt;=1,MOD($D1646,1)=0),"－",IF(MOD($D1646,1)&lt;$L$6,"朝",IF(MOD($D1646,1)&lt;$L$7,"昼",IF(MOD($D1646,1)&lt;$L$8,"夕方","夜")))),IF(OR($D1646="朝",$D1646="昼",$D1646="夕方",$D1646="夜"),$D1646,"⚠ 不明"))))</f>
        <v/>
      </c>
    </row>
    <row r="1647" customFormat="false" ht="15" hidden="false" customHeight="false" outlineLevel="0" collapsed="false">
      <c r="A1647" s="75"/>
      <c r="B1647" s="76"/>
      <c r="C1647" s="77"/>
      <c r="D1647" s="78"/>
      <c r="E1647" s="77"/>
      <c r="F1647" s="76"/>
      <c r="G1647" s="76"/>
      <c r="I1647" s="79" t="str">
        <f aca="false">IF($B1647="","",IF(ISNUMBER(MATCH($B1647,日別データ!$B$13:$B$32,0)),"✔ OK","⚠ 未登録"))</f>
        <v/>
      </c>
      <c r="J1647" s="80" t="str">
        <f aca="false">IF($B1647="","",IF($D1647="","－",IF(ISNUMBER($D1647),IF(AND($D1647&gt;=1,MOD($D1647,1)=0),"－",IF(MOD($D1647,1)&lt;$L$6,"朝",IF(MOD($D1647,1)&lt;$L$7,"昼",IF(MOD($D1647,1)&lt;$L$8,"夕方","夜")))),IF(OR($D1647="朝",$D1647="昼",$D1647="夕方",$D1647="夜"),$D1647,"⚠ 不明"))))</f>
        <v/>
      </c>
    </row>
    <row r="1648" customFormat="false" ht="15" hidden="false" customHeight="false" outlineLevel="0" collapsed="false">
      <c r="A1648" s="75"/>
      <c r="B1648" s="76"/>
      <c r="C1648" s="77"/>
      <c r="D1648" s="78"/>
      <c r="E1648" s="77"/>
      <c r="F1648" s="76"/>
      <c r="G1648" s="76"/>
      <c r="I1648" s="79" t="str">
        <f aca="false">IF($B1648="","",IF(ISNUMBER(MATCH($B1648,日別データ!$B$13:$B$32,0)),"✔ OK","⚠ 未登録"))</f>
        <v/>
      </c>
      <c r="J1648" s="80" t="str">
        <f aca="false">IF($B1648="","",IF($D1648="","－",IF(ISNUMBER($D1648),IF(AND($D1648&gt;=1,MOD($D1648,1)=0),"－",IF(MOD($D1648,1)&lt;$L$6,"朝",IF(MOD($D1648,1)&lt;$L$7,"昼",IF(MOD($D1648,1)&lt;$L$8,"夕方","夜")))),IF(OR($D1648="朝",$D1648="昼",$D1648="夕方",$D1648="夜"),$D1648,"⚠ 不明"))))</f>
        <v/>
      </c>
    </row>
    <row r="1649" customFormat="false" ht="15" hidden="false" customHeight="false" outlineLevel="0" collapsed="false">
      <c r="A1649" s="75"/>
      <c r="B1649" s="76"/>
      <c r="C1649" s="77"/>
      <c r="D1649" s="78"/>
      <c r="E1649" s="77"/>
      <c r="F1649" s="76"/>
      <c r="G1649" s="76"/>
      <c r="I1649" s="79" t="str">
        <f aca="false">IF($B1649="","",IF(ISNUMBER(MATCH($B1649,日別データ!$B$13:$B$32,0)),"✔ OK","⚠ 未登録"))</f>
        <v/>
      </c>
      <c r="J1649" s="80" t="str">
        <f aca="false">IF($B1649="","",IF($D1649="","－",IF(ISNUMBER($D1649),IF(AND($D1649&gt;=1,MOD($D1649,1)=0),"－",IF(MOD($D1649,1)&lt;$L$6,"朝",IF(MOD($D1649,1)&lt;$L$7,"昼",IF(MOD($D1649,1)&lt;$L$8,"夕方","夜")))),IF(OR($D1649="朝",$D1649="昼",$D1649="夕方",$D1649="夜"),$D1649,"⚠ 不明"))))</f>
        <v/>
      </c>
    </row>
    <row r="1650" customFormat="false" ht="15" hidden="false" customHeight="false" outlineLevel="0" collapsed="false">
      <c r="A1650" s="75"/>
      <c r="B1650" s="76"/>
      <c r="C1650" s="77"/>
      <c r="D1650" s="78"/>
      <c r="E1650" s="77"/>
      <c r="F1650" s="76"/>
      <c r="G1650" s="76"/>
      <c r="I1650" s="79" t="str">
        <f aca="false">IF($B1650="","",IF(ISNUMBER(MATCH($B1650,日別データ!$B$13:$B$32,0)),"✔ OK","⚠ 未登録"))</f>
        <v/>
      </c>
      <c r="J1650" s="80" t="str">
        <f aca="false">IF($B1650="","",IF($D1650="","－",IF(ISNUMBER($D1650),IF(AND($D1650&gt;=1,MOD($D1650,1)=0),"－",IF(MOD($D1650,1)&lt;$L$6,"朝",IF(MOD($D1650,1)&lt;$L$7,"昼",IF(MOD($D1650,1)&lt;$L$8,"夕方","夜")))),IF(OR($D1650="朝",$D1650="昼",$D1650="夕方",$D1650="夜"),$D1650,"⚠ 不明"))))</f>
        <v/>
      </c>
    </row>
    <row r="1651" customFormat="false" ht="15" hidden="false" customHeight="false" outlineLevel="0" collapsed="false">
      <c r="A1651" s="75"/>
      <c r="B1651" s="76"/>
      <c r="C1651" s="77"/>
      <c r="D1651" s="78"/>
      <c r="E1651" s="77"/>
      <c r="F1651" s="76"/>
      <c r="G1651" s="76"/>
      <c r="I1651" s="79" t="str">
        <f aca="false">IF($B1651="","",IF(ISNUMBER(MATCH($B1651,日別データ!$B$13:$B$32,0)),"✔ OK","⚠ 未登録"))</f>
        <v/>
      </c>
      <c r="J1651" s="80" t="str">
        <f aca="false">IF($B1651="","",IF($D1651="","－",IF(ISNUMBER($D1651),IF(AND($D1651&gt;=1,MOD($D1651,1)=0),"－",IF(MOD($D1651,1)&lt;$L$6,"朝",IF(MOD($D1651,1)&lt;$L$7,"昼",IF(MOD($D1651,1)&lt;$L$8,"夕方","夜")))),IF(OR($D1651="朝",$D1651="昼",$D1651="夕方",$D1651="夜"),$D1651,"⚠ 不明"))))</f>
        <v/>
      </c>
    </row>
    <row r="1652" customFormat="false" ht="15" hidden="false" customHeight="false" outlineLevel="0" collapsed="false">
      <c r="A1652" s="75"/>
      <c r="B1652" s="76"/>
      <c r="C1652" s="77"/>
      <c r="D1652" s="78"/>
      <c r="E1652" s="77"/>
      <c r="F1652" s="76"/>
      <c r="G1652" s="76"/>
      <c r="I1652" s="79" t="str">
        <f aca="false">IF($B1652="","",IF(ISNUMBER(MATCH($B1652,日別データ!$B$13:$B$32,0)),"✔ OK","⚠ 未登録"))</f>
        <v/>
      </c>
      <c r="J1652" s="80" t="str">
        <f aca="false">IF($B1652="","",IF($D1652="","－",IF(ISNUMBER($D1652),IF(AND($D1652&gt;=1,MOD($D1652,1)=0),"－",IF(MOD($D1652,1)&lt;$L$6,"朝",IF(MOD($D1652,1)&lt;$L$7,"昼",IF(MOD($D1652,1)&lt;$L$8,"夕方","夜")))),IF(OR($D1652="朝",$D1652="昼",$D1652="夕方",$D1652="夜"),$D1652,"⚠ 不明"))))</f>
        <v/>
      </c>
    </row>
    <row r="1653" customFormat="false" ht="15" hidden="false" customHeight="false" outlineLevel="0" collapsed="false">
      <c r="A1653" s="75"/>
      <c r="B1653" s="76"/>
      <c r="C1653" s="77"/>
      <c r="D1653" s="78"/>
      <c r="E1653" s="77"/>
      <c r="F1653" s="76"/>
      <c r="G1653" s="76"/>
      <c r="I1653" s="79" t="str">
        <f aca="false">IF($B1653="","",IF(ISNUMBER(MATCH($B1653,日別データ!$B$13:$B$32,0)),"✔ OK","⚠ 未登録"))</f>
        <v/>
      </c>
      <c r="J1653" s="80" t="str">
        <f aca="false">IF($B1653="","",IF($D1653="","－",IF(ISNUMBER($D1653),IF(AND($D1653&gt;=1,MOD($D1653,1)=0),"－",IF(MOD($D1653,1)&lt;$L$6,"朝",IF(MOD($D1653,1)&lt;$L$7,"昼",IF(MOD($D1653,1)&lt;$L$8,"夕方","夜")))),IF(OR($D1653="朝",$D1653="昼",$D1653="夕方",$D1653="夜"),$D1653,"⚠ 不明"))))</f>
        <v/>
      </c>
    </row>
    <row r="1654" customFormat="false" ht="15" hidden="false" customHeight="false" outlineLevel="0" collapsed="false">
      <c r="A1654" s="75"/>
      <c r="B1654" s="76"/>
      <c r="C1654" s="77"/>
      <c r="D1654" s="78"/>
      <c r="E1654" s="77"/>
      <c r="F1654" s="76"/>
      <c r="G1654" s="76"/>
      <c r="I1654" s="79" t="str">
        <f aca="false">IF($B1654="","",IF(ISNUMBER(MATCH($B1654,日別データ!$B$13:$B$32,0)),"✔ OK","⚠ 未登録"))</f>
        <v/>
      </c>
      <c r="J1654" s="80" t="str">
        <f aca="false">IF($B1654="","",IF($D1654="","－",IF(ISNUMBER($D1654),IF(AND($D1654&gt;=1,MOD($D1654,1)=0),"－",IF(MOD($D1654,1)&lt;$L$6,"朝",IF(MOD($D1654,1)&lt;$L$7,"昼",IF(MOD($D1654,1)&lt;$L$8,"夕方","夜")))),IF(OR($D1654="朝",$D1654="昼",$D1654="夕方",$D1654="夜"),$D1654,"⚠ 不明"))))</f>
        <v/>
      </c>
    </row>
    <row r="1655" customFormat="false" ht="15" hidden="false" customHeight="false" outlineLevel="0" collapsed="false">
      <c r="A1655" s="75"/>
      <c r="B1655" s="76"/>
      <c r="C1655" s="77"/>
      <c r="D1655" s="78"/>
      <c r="E1655" s="77"/>
      <c r="F1655" s="76"/>
      <c r="G1655" s="76"/>
      <c r="I1655" s="79" t="str">
        <f aca="false">IF($B1655="","",IF(ISNUMBER(MATCH($B1655,日別データ!$B$13:$B$32,0)),"✔ OK","⚠ 未登録"))</f>
        <v/>
      </c>
      <c r="J1655" s="80" t="str">
        <f aca="false">IF($B1655="","",IF($D1655="","－",IF(ISNUMBER($D1655),IF(AND($D1655&gt;=1,MOD($D1655,1)=0),"－",IF(MOD($D1655,1)&lt;$L$6,"朝",IF(MOD($D1655,1)&lt;$L$7,"昼",IF(MOD($D1655,1)&lt;$L$8,"夕方","夜")))),IF(OR($D1655="朝",$D1655="昼",$D1655="夕方",$D1655="夜"),$D1655,"⚠ 不明"))))</f>
        <v/>
      </c>
    </row>
    <row r="1656" customFormat="false" ht="15" hidden="false" customHeight="false" outlineLevel="0" collapsed="false">
      <c r="A1656" s="75"/>
      <c r="B1656" s="76"/>
      <c r="C1656" s="77"/>
      <c r="D1656" s="78"/>
      <c r="E1656" s="77"/>
      <c r="F1656" s="76"/>
      <c r="G1656" s="76"/>
      <c r="I1656" s="79" t="str">
        <f aca="false">IF($B1656="","",IF(ISNUMBER(MATCH($B1656,日別データ!$B$13:$B$32,0)),"✔ OK","⚠ 未登録"))</f>
        <v/>
      </c>
      <c r="J1656" s="80" t="str">
        <f aca="false">IF($B1656="","",IF($D1656="","－",IF(ISNUMBER($D1656),IF(AND($D1656&gt;=1,MOD($D1656,1)=0),"－",IF(MOD($D1656,1)&lt;$L$6,"朝",IF(MOD($D1656,1)&lt;$L$7,"昼",IF(MOD($D1656,1)&lt;$L$8,"夕方","夜")))),IF(OR($D1656="朝",$D1656="昼",$D1656="夕方",$D1656="夜"),$D1656,"⚠ 不明"))))</f>
        <v/>
      </c>
    </row>
    <row r="1657" customFormat="false" ht="15" hidden="false" customHeight="false" outlineLevel="0" collapsed="false">
      <c r="A1657" s="75"/>
      <c r="B1657" s="76"/>
      <c r="C1657" s="77"/>
      <c r="D1657" s="78"/>
      <c r="E1657" s="77"/>
      <c r="F1657" s="76"/>
      <c r="G1657" s="76"/>
      <c r="I1657" s="79" t="str">
        <f aca="false">IF($B1657="","",IF(ISNUMBER(MATCH($B1657,日別データ!$B$13:$B$32,0)),"✔ OK","⚠ 未登録"))</f>
        <v/>
      </c>
      <c r="J1657" s="80" t="str">
        <f aca="false">IF($B1657="","",IF($D1657="","－",IF(ISNUMBER($D1657),IF(AND($D1657&gt;=1,MOD($D1657,1)=0),"－",IF(MOD($D1657,1)&lt;$L$6,"朝",IF(MOD($D1657,1)&lt;$L$7,"昼",IF(MOD($D1657,1)&lt;$L$8,"夕方","夜")))),IF(OR($D1657="朝",$D1657="昼",$D1657="夕方",$D1657="夜"),$D1657,"⚠ 不明"))))</f>
        <v/>
      </c>
    </row>
    <row r="1658" customFormat="false" ht="15" hidden="false" customHeight="false" outlineLevel="0" collapsed="false">
      <c r="A1658" s="75"/>
      <c r="B1658" s="76"/>
      <c r="C1658" s="77"/>
      <c r="D1658" s="78"/>
      <c r="E1658" s="77"/>
      <c r="F1658" s="76"/>
      <c r="G1658" s="76"/>
      <c r="I1658" s="79" t="str">
        <f aca="false">IF($B1658="","",IF(ISNUMBER(MATCH($B1658,日別データ!$B$13:$B$32,0)),"✔ OK","⚠ 未登録"))</f>
        <v/>
      </c>
      <c r="J1658" s="80" t="str">
        <f aca="false">IF($B1658="","",IF($D1658="","－",IF(ISNUMBER($D1658),IF(AND($D1658&gt;=1,MOD($D1658,1)=0),"－",IF(MOD($D1658,1)&lt;$L$6,"朝",IF(MOD($D1658,1)&lt;$L$7,"昼",IF(MOD($D1658,1)&lt;$L$8,"夕方","夜")))),IF(OR($D1658="朝",$D1658="昼",$D1658="夕方",$D1658="夜"),$D1658,"⚠ 不明"))))</f>
        <v/>
      </c>
    </row>
    <row r="1659" customFormat="false" ht="15" hidden="false" customHeight="false" outlineLevel="0" collapsed="false">
      <c r="A1659" s="75"/>
      <c r="B1659" s="76"/>
      <c r="C1659" s="77"/>
      <c r="D1659" s="78"/>
      <c r="E1659" s="77"/>
      <c r="F1659" s="76"/>
      <c r="G1659" s="76"/>
      <c r="I1659" s="79" t="str">
        <f aca="false">IF($B1659="","",IF(ISNUMBER(MATCH($B1659,日別データ!$B$13:$B$32,0)),"✔ OK","⚠ 未登録"))</f>
        <v/>
      </c>
      <c r="J1659" s="80" t="str">
        <f aca="false">IF($B1659="","",IF($D1659="","－",IF(ISNUMBER($D1659),IF(AND($D1659&gt;=1,MOD($D1659,1)=0),"－",IF(MOD($D1659,1)&lt;$L$6,"朝",IF(MOD($D1659,1)&lt;$L$7,"昼",IF(MOD($D1659,1)&lt;$L$8,"夕方","夜")))),IF(OR($D1659="朝",$D1659="昼",$D1659="夕方",$D1659="夜"),$D1659,"⚠ 不明"))))</f>
        <v/>
      </c>
    </row>
    <row r="1660" customFormat="false" ht="15" hidden="false" customHeight="false" outlineLevel="0" collapsed="false">
      <c r="A1660" s="75"/>
      <c r="B1660" s="76"/>
      <c r="C1660" s="77"/>
      <c r="D1660" s="78"/>
      <c r="E1660" s="77"/>
      <c r="F1660" s="76"/>
      <c r="G1660" s="76"/>
      <c r="I1660" s="79" t="str">
        <f aca="false">IF($B1660="","",IF(ISNUMBER(MATCH($B1660,日別データ!$B$13:$B$32,0)),"✔ OK","⚠ 未登録"))</f>
        <v/>
      </c>
      <c r="J1660" s="80" t="str">
        <f aca="false">IF($B1660="","",IF($D1660="","－",IF(ISNUMBER($D1660),IF(AND($D1660&gt;=1,MOD($D1660,1)=0),"－",IF(MOD($D1660,1)&lt;$L$6,"朝",IF(MOD($D1660,1)&lt;$L$7,"昼",IF(MOD($D1660,1)&lt;$L$8,"夕方","夜")))),IF(OR($D1660="朝",$D1660="昼",$D1660="夕方",$D1660="夜"),$D1660,"⚠ 不明"))))</f>
        <v/>
      </c>
    </row>
    <row r="1661" customFormat="false" ht="15" hidden="false" customHeight="false" outlineLevel="0" collapsed="false">
      <c r="A1661" s="75"/>
      <c r="B1661" s="76"/>
      <c r="C1661" s="77"/>
      <c r="D1661" s="78"/>
      <c r="E1661" s="77"/>
      <c r="F1661" s="76"/>
      <c r="G1661" s="76"/>
      <c r="I1661" s="79" t="str">
        <f aca="false">IF($B1661="","",IF(ISNUMBER(MATCH($B1661,日別データ!$B$13:$B$32,0)),"✔ OK","⚠ 未登録"))</f>
        <v/>
      </c>
      <c r="J1661" s="80" t="str">
        <f aca="false">IF($B1661="","",IF($D1661="","－",IF(ISNUMBER($D1661),IF(AND($D1661&gt;=1,MOD($D1661,1)=0),"－",IF(MOD($D1661,1)&lt;$L$6,"朝",IF(MOD($D1661,1)&lt;$L$7,"昼",IF(MOD($D1661,1)&lt;$L$8,"夕方","夜")))),IF(OR($D1661="朝",$D1661="昼",$D1661="夕方",$D1661="夜"),$D1661,"⚠ 不明"))))</f>
        <v/>
      </c>
    </row>
    <row r="1662" customFormat="false" ht="15" hidden="false" customHeight="false" outlineLevel="0" collapsed="false">
      <c r="A1662" s="75"/>
      <c r="B1662" s="76"/>
      <c r="C1662" s="77"/>
      <c r="D1662" s="78"/>
      <c r="E1662" s="77"/>
      <c r="F1662" s="76"/>
      <c r="G1662" s="76"/>
      <c r="I1662" s="79" t="str">
        <f aca="false">IF($B1662="","",IF(ISNUMBER(MATCH($B1662,日別データ!$B$13:$B$32,0)),"✔ OK","⚠ 未登録"))</f>
        <v/>
      </c>
      <c r="J1662" s="80" t="str">
        <f aca="false">IF($B1662="","",IF($D1662="","－",IF(ISNUMBER($D1662),IF(AND($D1662&gt;=1,MOD($D1662,1)=0),"－",IF(MOD($D1662,1)&lt;$L$6,"朝",IF(MOD($D1662,1)&lt;$L$7,"昼",IF(MOD($D1662,1)&lt;$L$8,"夕方","夜")))),IF(OR($D1662="朝",$D1662="昼",$D1662="夕方",$D1662="夜"),$D1662,"⚠ 不明"))))</f>
        <v/>
      </c>
    </row>
    <row r="1663" customFormat="false" ht="15" hidden="false" customHeight="false" outlineLevel="0" collapsed="false">
      <c r="A1663" s="75"/>
      <c r="B1663" s="76"/>
      <c r="C1663" s="77"/>
      <c r="D1663" s="78"/>
      <c r="E1663" s="77"/>
      <c r="F1663" s="76"/>
      <c r="G1663" s="76"/>
      <c r="I1663" s="79" t="str">
        <f aca="false">IF($B1663="","",IF(ISNUMBER(MATCH($B1663,日別データ!$B$13:$B$32,0)),"✔ OK","⚠ 未登録"))</f>
        <v/>
      </c>
      <c r="J1663" s="80" t="str">
        <f aca="false">IF($B1663="","",IF($D1663="","－",IF(ISNUMBER($D1663),IF(AND($D1663&gt;=1,MOD($D1663,1)=0),"－",IF(MOD($D1663,1)&lt;$L$6,"朝",IF(MOD($D1663,1)&lt;$L$7,"昼",IF(MOD($D1663,1)&lt;$L$8,"夕方","夜")))),IF(OR($D1663="朝",$D1663="昼",$D1663="夕方",$D1663="夜"),$D1663,"⚠ 不明"))))</f>
        <v/>
      </c>
    </row>
    <row r="1664" customFormat="false" ht="15" hidden="false" customHeight="false" outlineLevel="0" collapsed="false">
      <c r="A1664" s="75"/>
      <c r="B1664" s="76"/>
      <c r="C1664" s="77"/>
      <c r="D1664" s="78"/>
      <c r="E1664" s="77"/>
      <c r="F1664" s="76"/>
      <c r="G1664" s="76"/>
      <c r="I1664" s="79" t="str">
        <f aca="false">IF($B1664="","",IF(ISNUMBER(MATCH($B1664,日別データ!$B$13:$B$32,0)),"✔ OK","⚠ 未登録"))</f>
        <v/>
      </c>
      <c r="J1664" s="80" t="str">
        <f aca="false">IF($B1664="","",IF($D1664="","－",IF(ISNUMBER($D1664),IF(AND($D1664&gt;=1,MOD($D1664,1)=0),"－",IF(MOD($D1664,1)&lt;$L$6,"朝",IF(MOD($D1664,1)&lt;$L$7,"昼",IF(MOD($D1664,1)&lt;$L$8,"夕方","夜")))),IF(OR($D1664="朝",$D1664="昼",$D1664="夕方",$D1664="夜"),$D1664,"⚠ 不明"))))</f>
        <v/>
      </c>
    </row>
    <row r="1665" customFormat="false" ht="15" hidden="false" customHeight="false" outlineLevel="0" collapsed="false">
      <c r="A1665" s="75"/>
      <c r="B1665" s="76"/>
      <c r="C1665" s="77"/>
      <c r="D1665" s="78"/>
      <c r="E1665" s="77"/>
      <c r="F1665" s="76"/>
      <c r="G1665" s="76"/>
      <c r="I1665" s="79" t="str">
        <f aca="false">IF($B1665="","",IF(ISNUMBER(MATCH($B1665,日別データ!$B$13:$B$32,0)),"✔ OK","⚠ 未登録"))</f>
        <v/>
      </c>
      <c r="J1665" s="80" t="str">
        <f aca="false">IF($B1665="","",IF($D1665="","－",IF(ISNUMBER($D1665),IF(AND($D1665&gt;=1,MOD($D1665,1)=0),"－",IF(MOD($D1665,1)&lt;$L$6,"朝",IF(MOD($D1665,1)&lt;$L$7,"昼",IF(MOD($D1665,1)&lt;$L$8,"夕方","夜")))),IF(OR($D1665="朝",$D1665="昼",$D1665="夕方",$D1665="夜"),$D1665,"⚠ 不明"))))</f>
        <v/>
      </c>
    </row>
    <row r="1666" customFormat="false" ht="15" hidden="false" customHeight="false" outlineLevel="0" collapsed="false">
      <c r="A1666" s="75"/>
      <c r="B1666" s="76"/>
      <c r="C1666" s="77"/>
      <c r="D1666" s="78"/>
      <c r="E1666" s="77"/>
      <c r="F1666" s="76"/>
      <c r="G1666" s="76"/>
      <c r="I1666" s="79" t="str">
        <f aca="false">IF($B1666="","",IF(ISNUMBER(MATCH($B1666,日別データ!$B$13:$B$32,0)),"✔ OK","⚠ 未登録"))</f>
        <v/>
      </c>
      <c r="J1666" s="80" t="str">
        <f aca="false">IF($B1666="","",IF($D1666="","－",IF(ISNUMBER($D1666),IF(AND($D1666&gt;=1,MOD($D1666,1)=0),"－",IF(MOD($D1666,1)&lt;$L$6,"朝",IF(MOD($D1666,1)&lt;$L$7,"昼",IF(MOD($D1666,1)&lt;$L$8,"夕方","夜")))),IF(OR($D1666="朝",$D1666="昼",$D1666="夕方",$D1666="夜"),$D1666,"⚠ 不明"))))</f>
        <v/>
      </c>
    </row>
    <row r="1667" customFormat="false" ht="15" hidden="false" customHeight="false" outlineLevel="0" collapsed="false">
      <c r="A1667" s="75"/>
      <c r="B1667" s="76"/>
      <c r="C1667" s="77"/>
      <c r="D1667" s="78"/>
      <c r="E1667" s="77"/>
      <c r="F1667" s="76"/>
      <c r="G1667" s="76"/>
      <c r="I1667" s="79" t="str">
        <f aca="false">IF($B1667="","",IF(ISNUMBER(MATCH($B1667,日別データ!$B$13:$B$32,0)),"✔ OK","⚠ 未登録"))</f>
        <v/>
      </c>
      <c r="J1667" s="80" t="str">
        <f aca="false">IF($B1667="","",IF($D1667="","－",IF(ISNUMBER($D1667),IF(AND($D1667&gt;=1,MOD($D1667,1)=0),"－",IF(MOD($D1667,1)&lt;$L$6,"朝",IF(MOD($D1667,1)&lt;$L$7,"昼",IF(MOD($D1667,1)&lt;$L$8,"夕方","夜")))),IF(OR($D1667="朝",$D1667="昼",$D1667="夕方",$D1667="夜"),$D1667,"⚠ 不明"))))</f>
        <v/>
      </c>
    </row>
    <row r="1668" customFormat="false" ht="15" hidden="false" customHeight="false" outlineLevel="0" collapsed="false">
      <c r="A1668" s="75"/>
      <c r="B1668" s="76"/>
      <c r="C1668" s="77"/>
      <c r="D1668" s="78"/>
      <c r="E1668" s="77"/>
      <c r="F1668" s="76"/>
      <c r="G1668" s="76"/>
      <c r="I1668" s="79" t="str">
        <f aca="false">IF($B1668="","",IF(ISNUMBER(MATCH($B1668,日別データ!$B$13:$B$32,0)),"✔ OK","⚠ 未登録"))</f>
        <v/>
      </c>
      <c r="J1668" s="80" t="str">
        <f aca="false">IF($B1668="","",IF($D1668="","－",IF(ISNUMBER($D1668),IF(AND($D1668&gt;=1,MOD($D1668,1)=0),"－",IF(MOD($D1668,1)&lt;$L$6,"朝",IF(MOD($D1668,1)&lt;$L$7,"昼",IF(MOD($D1668,1)&lt;$L$8,"夕方","夜")))),IF(OR($D1668="朝",$D1668="昼",$D1668="夕方",$D1668="夜"),$D1668,"⚠ 不明"))))</f>
        <v/>
      </c>
    </row>
    <row r="1669" customFormat="false" ht="15" hidden="false" customHeight="false" outlineLevel="0" collapsed="false">
      <c r="A1669" s="75"/>
      <c r="B1669" s="76"/>
      <c r="C1669" s="77"/>
      <c r="D1669" s="78"/>
      <c r="E1669" s="77"/>
      <c r="F1669" s="76"/>
      <c r="G1669" s="76"/>
      <c r="I1669" s="79" t="str">
        <f aca="false">IF($B1669="","",IF(ISNUMBER(MATCH($B1669,日別データ!$B$13:$B$32,0)),"✔ OK","⚠ 未登録"))</f>
        <v/>
      </c>
      <c r="J1669" s="80" t="str">
        <f aca="false">IF($B1669="","",IF($D1669="","－",IF(ISNUMBER($D1669),IF(AND($D1669&gt;=1,MOD($D1669,1)=0),"－",IF(MOD($D1669,1)&lt;$L$6,"朝",IF(MOD($D1669,1)&lt;$L$7,"昼",IF(MOD($D1669,1)&lt;$L$8,"夕方","夜")))),IF(OR($D1669="朝",$D1669="昼",$D1669="夕方",$D1669="夜"),$D1669,"⚠ 不明"))))</f>
        <v/>
      </c>
    </row>
    <row r="1670" customFormat="false" ht="15" hidden="false" customHeight="false" outlineLevel="0" collapsed="false">
      <c r="A1670" s="75"/>
      <c r="B1670" s="76"/>
      <c r="C1670" s="77"/>
      <c r="D1670" s="78"/>
      <c r="E1670" s="77"/>
      <c r="F1670" s="76"/>
      <c r="G1670" s="76"/>
      <c r="I1670" s="79" t="str">
        <f aca="false">IF($B1670="","",IF(ISNUMBER(MATCH($B1670,日別データ!$B$13:$B$32,0)),"✔ OK","⚠ 未登録"))</f>
        <v/>
      </c>
      <c r="J1670" s="80" t="str">
        <f aca="false">IF($B1670="","",IF($D1670="","－",IF(ISNUMBER($D1670),IF(AND($D1670&gt;=1,MOD($D1670,1)=0),"－",IF(MOD($D1670,1)&lt;$L$6,"朝",IF(MOD($D1670,1)&lt;$L$7,"昼",IF(MOD($D1670,1)&lt;$L$8,"夕方","夜")))),IF(OR($D1670="朝",$D1670="昼",$D1670="夕方",$D1670="夜"),$D1670,"⚠ 不明"))))</f>
        <v/>
      </c>
    </row>
    <row r="1671" customFormat="false" ht="15" hidden="false" customHeight="false" outlineLevel="0" collapsed="false">
      <c r="A1671" s="75"/>
      <c r="B1671" s="76"/>
      <c r="C1671" s="77"/>
      <c r="D1671" s="78"/>
      <c r="E1671" s="77"/>
      <c r="F1671" s="76"/>
      <c r="G1671" s="76"/>
      <c r="I1671" s="79" t="str">
        <f aca="false">IF($B1671="","",IF(ISNUMBER(MATCH($B1671,日別データ!$B$13:$B$32,0)),"✔ OK","⚠ 未登録"))</f>
        <v/>
      </c>
      <c r="J1671" s="80" t="str">
        <f aca="false">IF($B1671="","",IF($D1671="","－",IF(ISNUMBER($D1671),IF(AND($D1671&gt;=1,MOD($D1671,1)=0),"－",IF(MOD($D1671,1)&lt;$L$6,"朝",IF(MOD($D1671,1)&lt;$L$7,"昼",IF(MOD($D1671,1)&lt;$L$8,"夕方","夜")))),IF(OR($D1671="朝",$D1671="昼",$D1671="夕方",$D1671="夜"),$D1671,"⚠ 不明"))))</f>
        <v/>
      </c>
    </row>
    <row r="1672" customFormat="false" ht="15" hidden="false" customHeight="false" outlineLevel="0" collapsed="false">
      <c r="A1672" s="75"/>
      <c r="B1672" s="76"/>
      <c r="C1672" s="77"/>
      <c r="D1672" s="78"/>
      <c r="E1672" s="77"/>
      <c r="F1672" s="76"/>
      <c r="G1672" s="76"/>
      <c r="I1672" s="79" t="str">
        <f aca="false">IF($B1672="","",IF(ISNUMBER(MATCH($B1672,日別データ!$B$13:$B$32,0)),"✔ OK","⚠ 未登録"))</f>
        <v/>
      </c>
      <c r="J1672" s="80" t="str">
        <f aca="false">IF($B1672="","",IF($D1672="","－",IF(ISNUMBER($D1672),IF(AND($D1672&gt;=1,MOD($D1672,1)=0),"－",IF(MOD($D1672,1)&lt;$L$6,"朝",IF(MOD($D1672,1)&lt;$L$7,"昼",IF(MOD($D1672,1)&lt;$L$8,"夕方","夜")))),IF(OR($D1672="朝",$D1672="昼",$D1672="夕方",$D1672="夜"),$D1672,"⚠ 不明"))))</f>
        <v/>
      </c>
    </row>
    <row r="1673" customFormat="false" ht="15" hidden="false" customHeight="false" outlineLevel="0" collapsed="false">
      <c r="A1673" s="75"/>
      <c r="B1673" s="76"/>
      <c r="C1673" s="77"/>
      <c r="D1673" s="78"/>
      <c r="E1673" s="77"/>
      <c r="F1673" s="76"/>
      <c r="G1673" s="76"/>
      <c r="I1673" s="79" t="str">
        <f aca="false">IF($B1673="","",IF(ISNUMBER(MATCH($B1673,日別データ!$B$13:$B$32,0)),"✔ OK","⚠ 未登録"))</f>
        <v/>
      </c>
      <c r="J1673" s="80" t="str">
        <f aca="false">IF($B1673="","",IF($D1673="","－",IF(ISNUMBER($D1673),IF(AND($D1673&gt;=1,MOD($D1673,1)=0),"－",IF(MOD($D1673,1)&lt;$L$6,"朝",IF(MOD($D1673,1)&lt;$L$7,"昼",IF(MOD($D1673,1)&lt;$L$8,"夕方","夜")))),IF(OR($D1673="朝",$D1673="昼",$D1673="夕方",$D1673="夜"),$D1673,"⚠ 不明"))))</f>
        <v/>
      </c>
    </row>
    <row r="1674" customFormat="false" ht="15" hidden="false" customHeight="false" outlineLevel="0" collapsed="false">
      <c r="A1674" s="75"/>
      <c r="B1674" s="76"/>
      <c r="C1674" s="77"/>
      <c r="D1674" s="78"/>
      <c r="E1674" s="77"/>
      <c r="F1674" s="76"/>
      <c r="G1674" s="76"/>
      <c r="I1674" s="79" t="str">
        <f aca="false">IF($B1674="","",IF(ISNUMBER(MATCH($B1674,日別データ!$B$13:$B$32,0)),"✔ OK","⚠ 未登録"))</f>
        <v/>
      </c>
      <c r="J1674" s="80" t="str">
        <f aca="false">IF($B1674="","",IF($D1674="","－",IF(ISNUMBER($D1674),IF(AND($D1674&gt;=1,MOD($D1674,1)=0),"－",IF(MOD($D1674,1)&lt;$L$6,"朝",IF(MOD($D1674,1)&lt;$L$7,"昼",IF(MOD($D1674,1)&lt;$L$8,"夕方","夜")))),IF(OR($D1674="朝",$D1674="昼",$D1674="夕方",$D1674="夜"),$D1674,"⚠ 不明"))))</f>
        <v/>
      </c>
    </row>
    <row r="1675" customFormat="false" ht="15" hidden="false" customHeight="false" outlineLevel="0" collapsed="false">
      <c r="A1675" s="75"/>
      <c r="B1675" s="76"/>
      <c r="C1675" s="77"/>
      <c r="D1675" s="78"/>
      <c r="E1675" s="77"/>
      <c r="F1675" s="76"/>
      <c r="G1675" s="76"/>
      <c r="I1675" s="79" t="str">
        <f aca="false">IF($B1675="","",IF(ISNUMBER(MATCH($B1675,日別データ!$B$13:$B$32,0)),"✔ OK","⚠ 未登録"))</f>
        <v/>
      </c>
      <c r="J1675" s="80" t="str">
        <f aca="false">IF($B1675="","",IF($D1675="","－",IF(ISNUMBER($D1675),IF(AND($D1675&gt;=1,MOD($D1675,1)=0),"－",IF(MOD($D1675,1)&lt;$L$6,"朝",IF(MOD($D1675,1)&lt;$L$7,"昼",IF(MOD($D1675,1)&lt;$L$8,"夕方","夜")))),IF(OR($D1675="朝",$D1675="昼",$D1675="夕方",$D1675="夜"),$D1675,"⚠ 不明"))))</f>
        <v/>
      </c>
    </row>
    <row r="1676" customFormat="false" ht="15" hidden="false" customHeight="false" outlineLevel="0" collapsed="false">
      <c r="A1676" s="75"/>
      <c r="B1676" s="76"/>
      <c r="C1676" s="77"/>
      <c r="D1676" s="78"/>
      <c r="E1676" s="77"/>
      <c r="F1676" s="76"/>
      <c r="G1676" s="76"/>
      <c r="I1676" s="79" t="str">
        <f aca="false">IF($B1676="","",IF(ISNUMBER(MATCH($B1676,日別データ!$B$13:$B$32,0)),"✔ OK","⚠ 未登録"))</f>
        <v/>
      </c>
      <c r="J1676" s="80" t="str">
        <f aca="false">IF($B1676="","",IF($D1676="","－",IF(ISNUMBER($D1676),IF(AND($D1676&gt;=1,MOD($D1676,1)=0),"－",IF(MOD($D1676,1)&lt;$L$6,"朝",IF(MOD($D1676,1)&lt;$L$7,"昼",IF(MOD($D1676,1)&lt;$L$8,"夕方","夜")))),IF(OR($D1676="朝",$D1676="昼",$D1676="夕方",$D1676="夜"),$D1676,"⚠ 不明"))))</f>
        <v/>
      </c>
    </row>
    <row r="1677" customFormat="false" ht="15" hidden="false" customHeight="false" outlineLevel="0" collapsed="false">
      <c r="A1677" s="75"/>
      <c r="B1677" s="76"/>
      <c r="C1677" s="77"/>
      <c r="D1677" s="78"/>
      <c r="E1677" s="77"/>
      <c r="F1677" s="76"/>
      <c r="G1677" s="76"/>
      <c r="I1677" s="79" t="str">
        <f aca="false">IF($B1677="","",IF(ISNUMBER(MATCH($B1677,日別データ!$B$13:$B$32,0)),"✔ OK","⚠ 未登録"))</f>
        <v/>
      </c>
      <c r="J1677" s="80" t="str">
        <f aca="false">IF($B1677="","",IF($D1677="","－",IF(ISNUMBER($D1677),IF(AND($D1677&gt;=1,MOD($D1677,1)=0),"－",IF(MOD($D1677,1)&lt;$L$6,"朝",IF(MOD($D1677,1)&lt;$L$7,"昼",IF(MOD($D1677,1)&lt;$L$8,"夕方","夜")))),IF(OR($D1677="朝",$D1677="昼",$D1677="夕方",$D1677="夜"),$D1677,"⚠ 不明"))))</f>
        <v/>
      </c>
    </row>
    <row r="1678" customFormat="false" ht="15" hidden="false" customHeight="false" outlineLevel="0" collapsed="false">
      <c r="A1678" s="75"/>
      <c r="B1678" s="76"/>
      <c r="C1678" s="77"/>
      <c r="D1678" s="78"/>
      <c r="E1678" s="77"/>
      <c r="F1678" s="76"/>
      <c r="G1678" s="76"/>
      <c r="I1678" s="79" t="str">
        <f aca="false">IF($B1678="","",IF(ISNUMBER(MATCH($B1678,日別データ!$B$13:$B$32,0)),"✔ OK","⚠ 未登録"))</f>
        <v/>
      </c>
      <c r="J1678" s="80" t="str">
        <f aca="false">IF($B1678="","",IF($D1678="","－",IF(ISNUMBER($D1678),IF(AND($D1678&gt;=1,MOD($D1678,1)=0),"－",IF(MOD($D1678,1)&lt;$L$6,"朝",IF(MOD($D1678,1)&lt;$L$7,"昼",IF(MOD($D1678,1)&lt;$L$8,"夕方","夜")))),IF(OR($D1678="朝",$D1678="昼",$D1678="夕方",$D1678="夜"),$D1678,"⚠ 不明"))))</f>
        <v/>
      </c>
    </row>
    <row r="1679" customFormat="false" ht="15" hidden="false" customHeight="false" outlineLevel="0" collapsed="false">
      <c r="A1679" s="75"/>
      <c r="B1679" s="76"/>
      <c r="C1679" s="77"/>
      <c r="D1679" s="78"/>
      <c r="E1679" s="77"/>
      <c r="F1679" s="76"/>
      <c r="G1679" s="76"/>
      <c r="I1679" s="79" t="str">
        <f aca="false">IF($B1679="","",IF(ISNUMBER(MATCH($B1679,日別データ!$B$13:$B$32,0)),"✔ OK","⚠ 未登録"))</f>
        <v/>
      </c>
      <c r="J1679" s="80" t="str">
        <f aca="false">IF($B1679="","",IF($D1679="","－",IF(ISNUMBER($D1679),IF(AND($D1679&gt;=1,MOD($D1679,1)=0),"－",IF(MOD($D1679,1)&lt;$L$6,"朝",IF(MOD($D1679,1)&lt;$L$7,"昼",IF(MOD($D1679,1)&lt;$L$8,"夕方","夜")))),IF(OR($D1679="朝",$D1679="昼",$D1679="夕方",$D1679="夜"),$D1679,"⚠ 不明"))))</f>
        <v/>
      </c>
    </row>
    <row r="1680" customFormat="false" ht="15" hidden="false" customHeight="false" outlineLevel="0" collapsed="false">
      <c r="A1680" s="75"/>
      <c r="B1680" s="76"/>
      <c r="C1680" s="77"/>
      <c r="D1680" s="78"/>
      <c r="E1680" s="77"/>
      <c r="F1680" s="76"/>
      <c r="G1680" s="76"/>
      <c r="I1680" s="79" t="str">
        <f aca="false">IF($B1680="","",IF(ISNUMBER(MATCH($B1680,日別データ!$B$13:$B$32,0)),"✔ OK","⚠ 未登録"))</f>
        <v/>
      </c>
      <c r="J1680" s="80" t="str">
        <f aca="false">IF($B1680="","",IF($D1680="","－",IF(ISNUMBER($D1680),IF(AND($D1680&gt;=1,MOD($D1680,1)=0),"－",IF(MOD($D1680,1)&lt;$L$6,"朝",IF(MOD($D1680,1)&lt;$L$7,"昼",IF(MOD($D1680,1)&lt;$L$8,"夕方","夜")))),IF(OR($D1680="朝",$D1680="昼",$D1680="夕方",$D1680="夜"),$D1680,"⚠ 不明"))))</f>
        <v/>
      </c>
    </row>
    <row r="1681" customFormat="false" ht="15" hidden="false" customHeight="false" outlineLevel="0" collapsed="false">
      <c r="A1681" s="75"/>
      <c r="B1681" s="76"/>
      <c r="C1681" s="77"/>
      <c r="D1681" s="78"/>
      <c r="E1681" s="77"/>
      <c r="F1681" s="76"/>
      <c r="G1681" s="76"/>
      <c r="I1681" s="79" t="str">
        <f aca="false">IF($B1681="","",IF(ISNUMBER(MATCH($B1681,日別データ!$B$13:$B$32,0)),"✔ OK","⚠ 未登録"))</f>
        <v/>
      </c>
      <c r="J1681" s="80" t="str">
        <f aca="false">IF($B1681="","",IF($D1681="","－",IF(ISNUMBER($D1681),IF(AND($D1681&gt;=1,MOD($D1681,1)=0),"－",IF(MOD($D1681,1)&lt;$L$6,"朝",IF(MOD($D1681,1)&lt;$L$7,"昼",IF(MOD($D1681,1)&lt;$L$8,"夕方","夜")))),IF(OR($D1681="朝",$D1681="昼",$D1681="夕方",$D1681="夜"),$D1681,"⚠ 不明"))))</f>
        <v/>
      </c>
    </row>
    <row r="1682" customFormat="false" ht="15" hidden="false" customHeight="false" outlineLevel="0" collapsed="false">
      <c r="A1682" s="75"/>
      <c r="B1682" s="76"/>
      <c r="C1682" s="77"/>
      <c r="D1682" s="78"/>
      <c r="E1682" s="77"/>
      <c r="F1682" s="76"/>
      <c r="G1682" s="76"/>
      <c r="I1682" s="79" t="str">
        <f aca="false">IF($B1682="","",IF(ISNUMBER(MATCH($B1682,日別データ!$B$13:$B$32,0)),"✔ OK","⚠ 未登録"))</f>
        <v/>
      </c>
      <c r="J1682" s="80" t="str">
        <f aca="false">IF($B1682="","",IF($D1682="","－",IF(ISNUMBER($D1682),IF(AND($D1682&gt;=1,MOD($D1682,1)=0),"－",IF(MOD($D1682,1)&lt;$L$6,"朝",IF(MOD($D1682,1)&lt;$L$7,"昼",IF(MOD($D1682,1)&lt;$L$8,"夕方","夜")))),IF(OR($D1682="朝",$D1682="昼",$D1682="夕方",$D1682="夜"),$D1682,"⚠ 不明"))))</f>
        <v/>
      </c>
    </row>
    <row r="1683" customFormat="false" ht="15" hidden="false" customHeight="false" outlineLevel="0" collapsed="false">
      <c r="A1683" s="75"/>
      <c r="B1683" s="76"/>
      <c r="C1683" s="77"/>
      <c r="D1683" s="78"/>
      <c r="E1683" s="77"/>
      <c r="F1683" s="76"/>
      <c r="G1683" s="76"/>
      <c r="I1683" s="79" t="str">
        <f aca="false">IF($B1683="","",IF(ISNUMBER(MATCH($B1683,日別データ!$B$13:$B$32,0)),"✔ OK","⚠ 未登録"))</f>
        <v/>
      </c>
      <c r="J1683" s="80" t="str">
        <f aca="false">IF($B1683="","",IF($D1683="","－",IF(ISNUMBER($D1683),IF(AND($D1683&gt;=1,MOD($D1683,1)=0),"－",IF(MOD($D1683,1)&lt;$L$6,"朝",IF(MOD($D1683,1)&lt;$L$7,"昼",IF(MOD($D1683,1)&lt;$L$8,"夕方","夜")))),IF(OR($D1683="朝",$D1683="昼",$D1683="夕方",$D1683="夜"),$D1683,"⚠ 不明"))))</f>
        <v/>
      </c>
    </row>
    <row r="1684" customFormat="false" ht="15" hidden="false" customHeight="false" outlineLevel="0" collapsed="false">
      <c r="A1684" s="75"/>
      <c r="B1684" s="76"/>
      <c r="C1684" s="77"/>
      <c r="D1684" s="78"/>
      <c r="E1684" s="77"/>
      <c r="F1684" s="76"/>
      <c r="G1684" s="76"/>
      <c r="I1684" s="79" t="str">
        <f aca="false">IF($B1684="","",IF(ISNUMBER(MATCH($B1684,日別データ!$B$13:$B$32,0)),"✔ OK","⚠ 未登録"))</f>
        <v/>
      </c>
      <c r="J1684" s="80" t="str">
        <f aca="false">IF($B1684="","",IF($D1684="","－",IF(ISNUMBER($D1684),IF(AND($D1684&gt;=1,MOD($D1684,1)=0),"－",IF(MOD($D1684,1)&lt;$L$6,"朝",IF(MOD($D1684,1)&lt;$L$7,"昼",IF(MOD($D1684,1)&lt;$L$8,"夕方","夜")))),IF(OR($D1684="朝",$D1684="昼",$D1684="夕方",$D1684="夜"),$D1684,"⚠ 不明"))))</f>
        <v/>
      </c>
    </row>
    <row r="1685" customFormat="false" ht="15" hidden="false" customHeight="false" outlineLevel="0" collapsed="false">
      <c r="A1685" s="75"/>
      <c r="B1685" s="76"/>
      <c r="C1685" s="77"/>
      <c r="D1685" s="78"/>
      <c r="E1685" s="77"/>
      <c r="F1685" s="76"/>
      <c r="G1685" s="76"/>
      <c r="I1685" s="79" t="str">
        <f aca="false">IF($B1685="","",IF(ISNUMBER(MATCH($B1685,日別データ!$B$13:$B$32,0)),"✔ OK","⚠ 未登録"))</f>
        <v/>
      </c>
      <c r="J1685" s="80" t="str">
        <f aca="false">IF($B1685="","",IF($D1685="","－",IF(ISNUMBER($D1685),IF(AND($D1685&gt;=1,MOD($D1685,1)=0),"－",IF(MOD($D1685,1)&lt;$L$6,"朝",IF(MOD($D1685,1)&lt;$L$7,"昼",IF(MOD($D1685,1)&lt;$L$8,"夕方","夜")))),IF(OR($D1685="朝",$D1685="昼",$D1685="夕方",$D1685="夜"),$D1685,"⚠ 不明"))))</f>
        <v/>
      </c>
    </row>
    <row r="1686" customFormat="false" ht="15" hidden="false" customHeight="false" outlineLevel="0" collapsed="false">
      <c r="A1686" s="75"/>
      <c r="B1686" s="76"/>
      <c r="C1686" s="77"/>
      <c r="D1686" s="78"/>
      <c r="E1686" s="77"/>
      <c r="F1686" s="76"/>
      <c r="G1686" s="76"/>
      <c r="I1686" s="79" t="str">
        <f aca="false">IF($B1686="","",IF(ISNUMBER(MATCH($B1686,日別データ!$B$13:$B$32,0)),"✔ OK","⚠ 未登録"))</f>
        <v/>
      </c>
      <c r="J1686" s="80" t="str">
        <f aca="false">IF($B1686="","",IF($D1686="","－",IF(ISNUMBER($D1686),IF(AND($D1686&gt;=1,MOD($D1686,1)=0),"－",IF(MOD($D1686,1)&lt;$L$6,"朝",IF(MOD($D1686,1)&lt;$L$7,"昼",IF(MOD($D1686,1)&lt;$L$8,"夕方","夜")))),IF(OR($D1686="朝",$D1686="昼",$D1686="夕方",$D1686="夜"),$D1686,"⚠ 不明"))))</f>
        <v/>
      </c>
    </row>
    <row r="1687" customFormat="false" ht="15" hidden="false" customHeight="false" outlineLevel="0" collapsed="false">
      <c r="A1687" s="75"/>
      <c r="B1687" s="76"/>
      <c r="C1687" s="77"/>
      <c r="D1687" s="78"/>
      <c r="E1687" s="77"/>
      <c r="F1687" s="76"/>
      <c r="G1687" s="76"/>
      <c r="I1687" s="79" t="str">
        <f aca="false">IF($B1687="","",IF(ISNUMBER(MATCH($B1687,日別データ!$B$13:$B$32,0)),"✔ OK","⚠ 未登録"))</f>
        <v/>
      </c>
      <c r="J1687" s="80" t="str">
        <f aca="false">IF($B1687="","",IF($D1687="","－",IF(ISNUMBER($D1687),IF(AND($D1687&gt;=1,MOD($D1687,1)=0),"－",IF(MOD($D1687,1)&lt;$L$6,"朝",IF(MOD($D1687,1)&lt;$L$7,"昼",IF(MOD($D1687,1)&lt;$L$8,"夕方","夜")))),IF(OR($D1687="朝",$D1687="昼",$D1687="夕方",$D1687="夜"),$D1687,"⚠ 不明"))))</f>
        <v/>
      </c>
    </row>
    <row r="1688" customFormat="false" ht="15" hidden="false" customHeight="false" outlineLevel="0" collapsed="false">
      <c r="A1688" s="75"/>
      <c r="B1688" s="76"/>
      <c r="C1688" s="77"/>
      <c r="D1688" s="78"/>
      <c r="E1688" s="77"/>
      <c r="F1688" s="76"/>
      <c r="G1688" s="76"/>
      <c r="I1688" s="79" t="str">
        <f aca="false">IF($B1688="","",IF(ISNUMBER(MATCH($B1688,日別データ!$B$13:$B$32,0)),"✔ OK","⚠ 未登録"))</f>
        <v/>
      </c>
      <c r="J1688" s="80" t="str">
        <f aca="false">IF($B1688="","",IF($D1688="","－",IF(ISNUMBER($D1688),IF(AND($D1688&gt;=1,MOD($D1688,1)=0),"－",IF(MOD($D1688,1)&lt;$L$6,"朝",IF(MOD($D1688,1)&lt;$L$7,"昼",IF(MOD($D1688,1)&lt;$L$8,"夕方","夜")))),IF(OR($D1688="朝",$D1688="昼",$D1688="夕方",$D1688="夜"),$D1688,"⚠ 不明"))))</f>
        <v/>
      </c>
    </row>
    <row r="1689" customFormat="false" ht="15" hidden="false" customHeight="false" outlineLevel="0" collapsed="false">
      <c r="A1689" s="75"/>
      <c r="B1689" s="76"/>
      <c r="C1689" s="77"/>
      <c r="D1689" s="78"/>
      <c r="E1689" s="77"/>
      <c r="F1689" s="76"/>
      <c r="G1689" s="76"/>
      <c r="I1689" s="79" t="str">
        <f aca="false">IF($B1689="","",IF(ISNUMBER(MATCH($B1689,日別データ!$B$13:$B$32,0)),"✔ OK","⚠ 未登録"))</f>
        <v/>
      </c>
      <c r="J1689" s="80" t="str">
        <f aca="false">IF($B1689="","",IF($D1689="","－",IF(ISNUMBER($D1689),IF(AND($D1689&gt;=1,MOD($D1689,1)=0),"－",IF(MOD($D1689,1)&lt;$L$6,"朝",IF(MOD($D1689,1)&lt;$L$7,"昼",IF(MOD($D1689,1)&lt;$L$8,"夕方","夜")))),IF(OR($D1689="朝",$D1689="昼",$D1689="夕方",$D1689="夜"),$D1689,"⚠ 不明"))))</f>
        <v/>
      </c>
    </row>
    <row r="1690" customFormat="false" ht="15" hidden="false" customHeight="false" outlineLevel="0" collapsed="false">
      <c r="A1690" s="75"/>
      <c r="B1690" s="76"/>
      <c r="C1690" s="77"/>
      <c r="D1690" s="78"/>
      <c r="E1690" s="77"/>
      <c r="F1690" s="76"/>
      <c r="G1690" s="76"/>
      <c r="I1690" s="79" t="str">
        <f aca="false">IF($B1690="","",IF(ISNUMBER(MATCH($B1690,日別データ!$B$13:$B$32,0)),"✔ OK","⚠ 未登録"))</f>
        <v/>
      </c>
      <c r="J1690" s="80" t="str">
        <f aca="false">IF($B1690="","",IF($D1690="","－",IF(ISNUMBER($D1690),IF(AND($D1690&gt;=1,MOD($D1690,1)=0),"－",IF(MOD($D1690,1)&lt;$L$6,"朝",IF(MOD($D1690,1)&lt;$L$7,"昼",IF(MOD($D1690,1)&lt;$L$8,"夕方","夜")))),IF(OR($D1690="朝",$D1690="昼",$D1690="夕方",$D1690="夜"),$D1690,"⚠ 不明"))))</f>
        <v/>
      </c>
    </row>
    <row r="1691" customFormat="false" ht="15" hidden="false" customHeight="false" outlineLevel="0" collapsed="false">
      <c r="A1691" s="75"/>
      <c r="B1691" s="76"/>
      <c r="C1691" s="77"/>
      <c r="D1691" s="78"/>
      <c r="E1691" s="77"/>
      <c r="F1691" s="76"/>
      <c r="G1691" s="76"/>
      <c r="I1691" s="79" t="str">
        <f aca="false">IF($B1691="","",IF(ISNUMBER(MATCH($B1691,日別データ!$B$13:$B$32,0)),"✔ OK","⚠ 未登録"))</f>
        <v/>
      </c>
      <c r="J1691" s="80" t="str">
        <f aca="false">IF($B1691="","",IF($D1691="","－",IF(ISNUMBER($D1691),IF(AND($D1691&gt;=1,MOD($D1691,1)=0),"－",IF(MOD($D1691,1)&lt;$L$6,"朝",IF(MOD($D1691,1)&lt;$L$7,"昼",IF(MOD($D1691,1)&lt;$L$8,"夕方","夜")))),IF(OR($D1691="朝",$D1691="昼",$D1691="夕方",$D1691="夜"),$D1691,"⚠ 不明"))))</f>
        <v/>
      </c>
    </row>
    <row r="1692" customFormat="false" ht="15" hidden="false" customHeight="false" outlineLevel="0" collapsed="false">
      <c r="A1692" s="75"/>
      <c r="B1692" s="76"/>
      <c r="C1692" s="77"/>
      <c r="D1692" s="78"/>
      <c r="E1692" s="77"/>
      <c r="F1692" s="76"/>
      <c r="G1692" s="76"/>
      <c r="I1692" s="79" t="str">
        <f aca="false">IF($B1692="","",IF(ISNUMBER(MATCH($B1692,日別データ!$B$13:$B$32,0)),"✔ OK","⚠ 未登録"))</f>
        <v/>
      </c>
      <c r="J1692" s="80" t="str">
        <f aca="false">IF($B1692="","",IF($D1692="","－",IF(ISNUMBER($D1692),IF(AND($D1692&gt;=1,MOD($D1692,1)=0),"－",IF(MOD($D1692,1)&lt;$L$6,"朝",IF(MOD($D1692,1)&lt;$L$7,"昼",IF(MOD($D1692,1)&lt;$L$8,"夕方","夜")))),IF(OR($D1692="朝",$D1692="昼",$D1692="夕方",$D1692="夜"),$D1692,"⚠ 不明"))))</f>
        <v/>
      </c>
    </row>
    <row r="1693" customFormat="false" ht="15" hidden="false" customHeight="false" outlineLevel="0" collapsed="false">
      <c r="A1693" s="75"/>
      <c r="B1693" s="76"/>
      <c r="C1693" s="77"/>
      <c r="D1693" s="78"/>
      <c r="E1693" s="77"/>
      <c r="F1693" s="76"/>
      <c r="G1693" s="76"/>
      <c r="I1693" s="79" t="str">
        <f aca="false">IF($B1693="","",IF(ISNUMBER(MATCH($B1693,日別データ!$B$13:$B$32,0)),"✔ OK","⚠ 未登録"))</f>
        <v/>
      </c>
      <c r="J1693" s="80" t="str">
        <f aca="false">IF($B1693="","",IF($D1693="","－",IF(ISNUMBER($D1693),IF(AND($D1693&gt;=1,MOD($D1693,1)=0),"－",IF(MOD($D1693,1)&lt;$L$6,"朝",IF(MOD($D1693,1)&lt;$L$7,"昼",IF(MOD($D1693,1)&lt;$L$8,"夕方","夜")))),IF(OR($D1693="朝",$D1693="昼",$D1693="夕方",$D1693="夜"),$D1693,"⚠ 不明"))))</f>
        <v/>
      </c>
    </row>
    <row r="1694" customFormat="false" ht="15" hidden="false" customHeight="false" outlineLevel="0" collapsed="false">
      <c r="A1694" s="75"/>
      <c r="B1694" s="76"/>
      <c r="C1694" s="77"/>
      <c r="D1694" s="78"/>
      <c r="E1694" s="77"/>
      <c r="F1694" s="76"/>
      <c r="G1694" s="76"/>
      <c r="I1694" s="79" t="str">
        <f aca="false">IF($B1694="","",IF(ISNUMBER(MATCH($B1694,日別データ!$B$13:$B$32,0)),"✔ OK","⚠ 未登録"))</f>
        <v/>
      </c>
      <c r="J1694" s="80" t="str">
        <f aca="false">IF($B1694="","",IF($D1694="","－",IF(ISNUMBER($D1694),IF(AND($D1694&gt;=1,MOD($D1694,1)=0),"－",IF(MOD($D1694,1)&lt;$L$6,"朝",IF(MOD($D1694,1)&lt;$L$7,"昼",IF(MOD($D1694,1)&lt;$L$8,"夕方","夜")))),IF(OR($D1694="朝",$D1694="昼",$D1694="夕方",$D1694="夜"),$D1694,"⚠ 不明"))))</f>
        <v/>
      </c>
    </row>
    <row r="1695" customFormat="false" ht="15" hidden="false" customHeight="false" outlineLevel="0" collapsed="false">
      <c r="A1695" s="75"/>
      <c r="B1695" s="76"/>
      <c r="C1695" s="77"/>
      <c r="D1695" s="78"/>
      <c r="E1695" s="77"/>
      <c r="F1695" s="76"/>
      <c r="G1695" s="76"/>
      <c r="I1695" s="79" t="str">
        <f aca="false">IF($B1695="","",IF(ISNUMBER(MATCH($B1695,日別データ!$B$13:$B$32,0)),"✔ OK","⚠ 未登録"))</f>
        <v/>
      </c>
      <c r="J1695" s="80" t="str">
        <f aca="false">IF($B1695="","",IF($D1695="","－",IF(ISNUMBER($D1695),IF(AND($D1695&gt;=1,MOD($D1695,1)=0),"－",IF(MOD($D1695,1)&lt;$L$6,"朝",IF(MOD($D1695,1)&lt;$L$7,"昼",IF(MOD($D1695,1)&lt;$L$8,"夕方","夜")))),IF(OR($D1695="朝",$D1695="昼",$D1695="夕方",$D1695="夜"),$D1695,"⚠ 不明"))))</f>
        <v/>
      </c>
    </row>
    <row r="1696" customFormat="false" ht="15" hidden="false" customHeight="false" outlineLevel="0" collapsed="false">
      <c r="A1696" s="75"/>
      <c r="B1696" s="76"/>
      <c r="C1696" s="77"/>
      <c r="D1696" s="78"/>
      <c r="E1696" s="77"/>
      <c r="F1696" s="76"/>
      <c r="G1696" s="76"/>
      <c r="I1696" s="79" t="str">
        <f aca="false">IF($B1696="","",IF(ISNUMBER(MATCH($B1696,日別データ!$B$13:$B$32,0)),"✔ OK","⚠ 未登録"))</f>
        <v/>
      </c>
      <c r="J1696" s="80" t="str">
        <f aca="false">IF($B1696="","",IF($D1696="","－",IF(ISNUMBER($D1696),IF(AND($D1696&gt;=1,MOD($D1696,1)=0),"－",IF(MOD($D1696,1)&lt;$L$6,"朝",IF(MOD($D1696,1)&lt;$L$7,"昼",IF(MOD($D1696,1)&lt;$L$8,"夕方","夜")))),IF(OR($D1696="朝",$D1696="昼",$D1696="夕方",$D1696="夜"),$D1696,"⚠ 不明"))))</f>
        <v/>
      </c>
    </row>
    <row r="1697" customFormat="false" ht="15" hidden="false" customHeight="false" outlineLevel="0" collapsed="false">
      <c r="A1697" s="75"/>
      <c r="B1697" s="76"/>
      <c r="C1697" s="77"/>
      <c r="D1697" s="78"/>
      <c r="E1697" s="77"/>
      <c r="F1697" s="76"/>
      <c r="G1697" s="76"/>
      <c r="I1697" s="79" t="str">
        <f aca="false">IF($B1697="","",IF(ISNUMBER(MATCH($B1697,日別データ!$B$13:$B$32,0)),"✔ OK","⚠ 未登録"))</f>
        <v/>
      </c>
      <c r="J1697" s="80" t="str">
        <f aca="false">IF($B1697="","",IF($D1697="","－",IF(ISNUMBER($D1697),IF(AND($D1697&gt;=1,MOD($D1697,1)=0),"－",IF(MOD($D1697,1)&lt;$L$6,"朝",IF(MOD($D1697,1)&lt;$L$7,"昼",IF(MOD($D1697,1)&lt;$L$8,"夕方","夜")))),IF(OR($D1697="朝",$D1697="昼",$D1697="夕方",$D1697="夜"),$D1697,"⚠ 不明"))))</f>
        <v/>
      </c>
    </row>
    <row r="1698" customFormat="false" ht="15" hidden="false" customHeight="false" outlineLevel="0" collapsed="false">
      <c r="A1698" s="75"/>
      <c r="B1698" s="76"/>
      <c r="C1698" s="77"/>
      <c r="D1698" s="78"/>
      <c r="E1698" s="77"/>
      <c r="F1698" s="76"/>
      <c r="G1698" s="76"/>
      <c r="I1698" s="79" t="str">
        <f aca="false">IF($B1698="","",IF(ISNUMBER(MATCH($B1698,日別データ!$B$13:$B$32,0)),"✔ OK","⚠ 未登録"))</f>
        <v/>
      </c>
      <c r="J1698" s="80" t="str">
        <f aca="false">IF($B1698="","",IF($D1698="","－",IF(ISNUMBER($D1698),IF(AND($D1698&gt;=1,MOD($D1698,1)=0),"－",IF(MOD($D1698,1)&lt;$L$6,"朝",IF(MOD($D1698,1)&lt;$L$7,"昼",IF(MOD($D1698,1)&lt;$L$8,"夕方","夜")))),IF(OR($D1698="朝",$D1698="昼",$D1698="夕方",$D1698="夜"),$D1698,"⚠ 不明"))))</f>
        <v/>
      </c>
    </row>
    <row r="1699" customFormat="false" ht="15" hidden="false" customHeight="false" outlineLevel="0" collapsed="false">
      <c r="A1699" s="75"/>
      <c r="B1699" s="76"/>
      <c r="C1699" s="77"/>
      <c r="D1699" s="78"/>
      <c r="E1699" s="77"/>
      <c r="F1699" s="76"/>
      <c r="G1699" s="76"/>
      <c r="I1699" s="79" t="str">
        <f aca="false">IF($B1699="","",IF(ISNUMBER(MATCH($B1699,日別データ!$B$13:$B$32,0)),"✔ OK","⚠ 未登録"))</f>
        <v/>
      </c>
      <c r="J1699" s="80" t="str">
        <f aca="false">IF($B1699="","",IF($D1699="","－",IF(ISNUMBER($D1699),IF(AND($D1699&gt;=1,MOD($D1699,1)=0),"－",IF(MOD($D1699,1)&lt;$L$6,"朝",IF(MOD($D1699,1)&lt;$L$7,"昼",IF(MOD($D1699,1)&lt;$L$8,"夕方","夜")))),IF(OR($D1699="朝",$D1699="昼",$D1699="夕方",$D1699="夜"),$D1699,"⚠ 不明"))))</f>
        <v/>
      </c>
    </row>
    <row r="1700" customFormat="false" ht="15" hidden="false" customHeight="false" outlineLevel="0" collapsed="false">
      <c r="A1700" s="75"/>
      <c r="B1700" s="76"/>
      <c r="C1700" s="77"/>
      <c r="D1700" s="78"/>
      <c r="E1700" s="77"/>
      <c r="F1700" s="76"/>
      <c r="G1700" s="76"/>
      <c r="I1700" s="79" t="str">
        <f aca="false">IF($B1700="","",IF(ISNUMBER(MATCH($B1700,日別データ!$B$13:$B$32,0)),"✔ OK","⚠ 未登録"))</f>
        <v/>
      </c>
      <c r="J1700" s="80" t="str">
        <f aca="false">IF($B1700="","",IF($D1700="","－",IF(ISNUMBER($D1700),IF(AND($D1700&gt;=1,MOD($D1700,1)=0),"－",IF(MOD($D1700,1)&lt;$L$6,"朝",IF(MOD($D1700,1)&lt;$L$7,"昼",IF(MOD($D1700,1)&lt;$L$8,"夕方","夜")))),IF(OR($D1700="朝",$D1700="昼",$D1700="夕方",$D1700="夜"),$D1700,"⚠ 不明"))))</f>
        <v/>
      </c>
    </row>
    <row r="1701" customFormat="false" ht="15" hidden="false" customHeight="false" outlineLevel="0" collapsed="false">
      <c r="A1701" s="75"/>
      <c r="B1701" s="76"/>
      <c r="C1701" s="77"/>
      <c r="D1701" s="78"/>
      <c r="E1701" s="77"/>
      <c r="F1701" s="76"/>
      <c r="G1701" s="76"/>
      <c r="I1701" s="79" t="str">
        <f aca="false">IF($B1701="","",IF(ISNUMBER(MATCH($B1701,日別データ!$B$13:$B$32,0)),"✔ OK","⚠ 未登録"))</f>
        <v/>
      </c>
      <c r="J1701" s="80" t="str">
        <f aca="false">IF($B1701="","",IF($D1701="","－",IF(ISNUMBER($D1701),IF(AND($D1701&gt;=1,MOD($D1701,1)=0),"－",IF(MOD($D1701,1)&lt;$L$6,"朝",IF(MOD($D1701,1)&lt;$L$7,"昼",IF(MOD($D1701,1)&lt;$L$8,"夕方","夜")))),IF(OR($D1701="朝",$D1701="昼",$D1701="夕方",$D1701="夜"),$D1701,"⚠ 不明"))))</f>
        <v/>
      </c>
    </row>
    <row r="1702" customFormat="false" ht="15" hidden="false" customHeight="false" outlineLevel="0" collapsed="false">
      <c r="A1702" s="75"/>
      <c r="B1702" s="76"/>
      <c r="C1702" s="77"/>
      <c r="D1702" s="78"/>
      <c r="E1702" s="77"/>
      <c r="F1702" s="76"/>
      <c r="G1702" s="76"/>
      <c r="I1702" s="79" t="str">
        <f aca="false">IF($B1702="","",IF(ISNUMBER(MATCH($B1702,日別データ!$B$13:$B$32,0)),"✔ OK","⚠ 未登録"))</f>
        <v/>
      </c>
      <c r="J1702" s="80" t="str">
        <f aca="false">IF($B1702="","",IF($D1702="","－",IF(ISNUMBER($D1702),IF(AND($D1702&gt;=1,MOD($D1702,1)=0),"－",IF(MOD($D1702,1)&lt;$L$6,"朝",IF(MOD($D1702,1)&lt;$L$7,"昼",IF(MOD($D1702,1)&lt;$L$8,"夕方","夜")))),IF(OR($D1702="朝",$D1702="昼",$D1702="夕方",$D1702="夜"),$D1702,"⚠ 不明"))))</f>
        <v/>
      </c>
    </row>
    <row r="1703" customFormat="false" ht="15" hidden="false" customHeight="false" outlineLevel="0" collapsed="false">
      <c r="A1703" s="75"/>
      <c r="B1703" s="76"/>
      <c r="C1703" s="77"/>
      <c r="D1703" s="78"/>
      <c r="E1703" s="77"/>
      <c r="F1703" s="76"/>
      <c r="G1703" s="76"/>
      <c r="I1703" s="79" t="str">
        <f aca="false">IF($B1703="","",IF(ISNUMBER(MATCH($B1703,日別データ!$B$13:$B$32,0)),"✔ OK","⚠ 未登録"))</f>
        <v/>
      </c>
      <c r="J1703" s="80" t="str">
        <f aca="false">IF($B1703="","",IF($D1703="","－",IF(ISNUMBER($D1703),IF(AND($D1703&gt;=1,MOD($D1703,1)=0),"－",IF(MOD($D1703,1)&lt;$L$6,"朝",IF(MOD($D1703,1)&lt;$L$7,"昼",IF(MOD($D1703,1)&lt;$L$8,"夕方","夜")))),IF(OR($D1703="朝",$D1703="昼",$D1703="夕方",$D1703="夜"),$D1703,"⚠ 不明"))))</f>
        <v/>
      </c>
    </row>
    <row r="1704" customFormat="false" ht="15" hidden="false" customHeight="false" outlineLevel="0" collapsed="false">
      <c r="A1704" s="75"/>
      <c r="B1704" s="76"/>
      <c r="C1704" s="77"/>
      <c r="D1704" s="78"/>
      <c r="E1704" s="77"/>
      <c r="F1704" s="76"/>
      <c r="G1704" s="76"/>
      <c r="I1704" s="79" t="str">
        <f aca="false">IF($B1704="","",IF(ISNUMBER(MATCH($B1704,日別データ!$B$13:$B$32,0)),"✔ OK","⚠ 未登録"))</f>
        <v/>
      </c>
      <c r="J1704" s="80" t="str">
        <f aca="false">IF($B1704="","",IF($D1704="","－",IF(ISNUMBER($D1704),IF(AND($D1704&gt;=1,MOD($D1704,1)=0),"－",IF(MOD($D1704,1)&lt;$L$6,"朝",IF(MOD($D1704,1)&lt;$L$7,"昼",IF(MOD($D1704,1)&lt;$L$8,"夕方","夜")))),IF(OR($D1704="朝",$D1704="昼",$D1704="夕方",$D1704="夜"),$D1704,"⚠ 不明"))))</f>
        <v/>
      </c>
    </row>
    <row r="1705" customFormat="false" ht="15" hidden="false" customHeight="false" outlineLevel="0" collapsed="false">
      <c r="A1705" s="75"/>
      <c r="B1705" s="76"/>
      <c r="C1705" s="77"/>
      <c r="D1705" s="78"/>
      <c r="E1705" s="77"/>
      <c r="F1705" s="76"/>
      <c r="G1705" s="76"/>
      <c r="I1705" s="79" t="str">
        <f aca="false">IF($B1705="","",IF(ISNUMBER(MATCH($B1705,日別データ!$B$13:$B$32,0)),"✔ OK","⚠ 未登録"))</f>
        <v/>
      </c>
      <c r="J1705" s="80" t="str">
        <f aca="false">IF($B1705="","",IF($D1705="","－",IF(ISNUMBER($D1705),IF(AND($D1705&gt;=1,MOD($D1705,1)=0),"－",IF(MOD($D1705,1)&lt;$L$6,"朝",IF(MOD($D1705,1)&lt;$L$7,"昼",IF(MOD($D1705,1)&lt;$L$8,"夕方","夜")))),IF(OR($D1705="朝",$D1705="昼",$D1705="夕方",$D1705="夜"),$D1705,"⚠ 不明"))))</f>
        <v/>
      </c>
    </row>
    <row r="1706" customFormat="false" ht="15" hidden="false" customHeight="false" outlineLevel="0" collapsed="false">
      <c r="A1706" s="75"/>
      <c r="B1706" s="76"/>
      <c r="C1706" s="77"/>
      <c r="D1706" s="78"/>
      <c r="E1706" s="77"/>
      <c r="F1706" s="76"/>
      <c r="G1706" s="76"/>
      <c r="I1706" s="79" t="str">
        <f aca="false">IF($B1706="","",IF(ISNUMBER(MATCH($B1706,日別データ!$B$13:$B$32,0)),"✔ OK","⚠ 未登録"))</f>
        <v/>
      </c>
      <c r="J1706" s="80" t="str">
        <f aca="false">IF($B1706="","",IF($D1706="","－",IF(ISNUMBER($D1706),IF(AND($D1706&gt;=1,MOD($D1706,1)=0),"－",IF(MOD($D1706,1)&lt;$L$6,"朝",IF(MOD($D1706,1)&lt;$L$7,"昼",IF(MOD($D1706,1)&lt;$L$8,"夕方","夜")))),IF(OR($D1706="朝",$D1706="昼",$D1706="夕方",$D1706="夜"),$D1706,"⚠ 不明"))))</f>
        <v/>
      </c>
    </row>
    <row r="1707" customFormat="false" ht="15" hidden="false" customHeight="false" outlineLevel="0" collapsed="false">
      <c r="A1707" s="75"/>
      <c r="B1707" s="76"/>
      <c r="C1707" s="77"/>
      <c r="D1707" s="78"/>
      <c r="E1707" s="77"/>
      <c r="F1707" s="76"/>
      <c r="G1707" s="76"/>
      <c r="I1707" s="79" t="str">
        <f aca="false">IF($B1707="","",IF(ISNUMBER(MATCH($B1707,日別データ!$B$13:$B$32,0)),"✔ OK","⚠ 未登録"))</f>
        <v/>
      </c>
      <c r="J1707" s="80" t="str">
        <f aca="false">IF($B1707="","",IF($D1707="","－",IF(ISNUMBER($D1707),IF(AND($D1707&gt;=1,MOD($D1707,1)=0),"－",IF(MOD($D1707,1)&lt;$L$6,"朝",IF(MOD($D1707,1)&lt;$L$7,"昼",IF(MOD($D1707,1)&lt;$L$8,"夕方","夜")))),IF(OR($D1707="朝",$D1707="昼",$D1707="夕方",$D1707="夜"),$D1707,"⚠ 不明"))))</f>
        <v/>
      </c>
    </row>
    <row r="1708" customFormat="false" ht="15" hidden="false" customHeight="false" outlineLevel="0" collapsed="false">
      <c r="A1708" s="75"/>
      <c r="B1708" s="76"/>
      <c r="C1708" s="77"/>
      <c r="D1708" s="78"/>
      <c r="E1708" s="77"/>
      <c r="F1708" s="76"/>
      <c r="G1708" s="76"/>
      <c r="I1708" s="79" t="str">
        <f aca="false">IF($B1708="","",IF(ISNUMBER(MATCH($B1708,日別データ!$B$13:$B$32,0)),"✔ OK","⚠ 未登録"))</f>
        <v/>
      </c>
      <c r="J1708" s="80" t="str">
        <f aca="false">IF($B1708="","",IF($D1708="","－",IF(ISNUMBER($D1708),IF(AND($D1708&gt;=1,MOD($D1708,1)=0),"－",IF(MOD($D1708,1)&lt;$L$6,"朝",IF(MOD($D1708,1)&lt;$L$7,"昼",IF(MOD($D1708,1)&lt;$L$8,"夕方","夜")))),IF(OR($D1708="朝",$D1708="昼",$D1708="夕方",$D1708="夜"),$D1708,"⚠ 不明"))))</f>
        <v/>
      </c>
    </row>
    <row r="1709" customFormat="false" ht="15" hidden="false" customHeight="false" outlineLevel="0" collapsed="false">
      <c r="A1709" s="75"/>
      <c r="B1709" s="76"/>
      <c r="C1709" s="77"/>
      <c r="D1709" s="78"/>
      <c r="E1709" s="77"/>
      <c r="F1709" s="76"/>
      <c r="G1709" s="76"/>
      <c r="I1709" s="79" t="str">
        <f aca="false">IF($B1709="","",IF(ISNUMBER(MATCH($B1709,日別データ!$B$13:$B$32,0)),"✔ OK","⚠ 未登録"))</f>
        <v/>
      </c>
      <c r="J1709" s="80" t="str">
        <f aca="false">IF($B1709="","",IF($D1709="","－",IF(ISNUMBER($D1709),IF(AND($D1709&gt;=1,MOD($D1709,1)=0),"－",IF(MOD($D1709,1)&lt;$L$6,"朝",IF(MOD($D1709,1)&lt;$L$7,"昼",IF(MOD($D1709,1)&lt;$L$8,"夕方","夜")))),IF(OR($D1709="朝",$D1709="昼",$D1709="夕方",$D1709="夜"),$D1709,"⚠ 不明"))))</f>
        <v/>
      </c>
    </row>
    <row r="1710" customFormat="false" ht="15" hidden="false" customHeight="false" outlineLevel="0" collapsed="false">
      <c r="A1710" s="75"/>
      <c r="B1710" s="76"/>
      <c r="C1710" s="77"/>
      <c r="D1710" s="78"/>
      <c r="E1710" s="77"/>
      <c r="F1710" s="76"/>
      <c r="G1710" s="76"/>
      <c r="I1710" s="79" t="str">
        <f aca="false">IF($B1710="","",IF(ISNUMBER(MATCH($B1710,日別データ!$B$13:$B$32,0)),"✔ OK","⚠ 未登録"))</f>
        <v/>
      </c>
      <c r="J1710" s="80" t="str">
        <f aca="false">IF($B1710="","",IF($D1710="","－",IF(ISNUMBER($D1710),IF(AND($D1710&gt;=1,MOD($D1710,1)=0),"－",IF(MOD($D1710,1)&lt;$L$6,"朝",IF(MOD($D1710,1)&lt;$L$7,"昼",IF(MOD($D1710,1)&lt;$L$8,"夕方","夜")))),IF(OR($D1710="朝",$D1710="昼",$D1710="夕方",$D1710="夜"),$D1710,"⚠ 不明"))))</f>
        <v/>
      </c>
    </row>
    <row r="1711" customFormat="false" ht="15" hidden="false" customHeight="false" outlineLevel="0" collapsed="false">
      <c r="A1711" s="75"/>
      <c r="B1711" s="76"/>
      <c r="C1711" s="77"/>
      <c r="D1711" s="78"/>
      <c r="E1711" s="77"/>
      <c r="F1711" s="76"/>
      <c r="G1711" s="76"/>
      <c r="I1711" s="79" t="str">
        <f aca="false">IF($B1711="","",IF(ISNUMBER(MATCH($B1711,日別データ!$B$13:$B$32,0)),"✔ OK","⚠ 未登録"))</f>
        <v/>
      </c>
      <c r="J1711" s="80" t="str">
        <f aca="false">IF($B1711="","",IF($D1711="","－",IF(ISNUMBER($D1711),IF(AND($D1711&gt;=1,MOD($D1711,1)=0),"－",IF(MOD($D1711,1)&lt;$L$6,"朝",IF(MOD($D1711,1)&lt;$L$7,"昼",IF(MOD($D1711,1)&lt;$L$8,"夕方","夜")))),IF(OR($D1711="朝",$D1711="昼",$D1711="夕方",$D1711="夜"),$D1711,"⚠ 不明"))))</f>
        <v/>
      </c>
    </row>
    <row r="1712" customFormat="false" ht="15" hidden="false" customHeight="false" outlineLevel="0" collapsed="false">
      <c r="A1712" s="75"/>
      <c r="B1712" s="76"/>
      <c r="C1712" s="77"/>
      <c r="D1712" s="78"/>
      <c r="E1712" s="77"/>
      <c r="F1712" s="76"/>
      <c r="G1712" s="76"/>
      <c r="I1712" s="79" t="str">
        <f aca="false">IF($B1712="","",IF(ISNUMBER(MATCH($B1712,日別データ!$B$13:$B$32,0)),"✔ OK","⚠ 未登録"))</f>
        <v/>
      </c>
      <c r="J1712" s="80" t="str">
        <f aca="false">IF($B1712="","",IF($D1712="","－",IF(ISNUMBER($D1712),IF(AND($D1712&gt;=1,MOD($D1712,1)=0),"－",IF(MOD($D1712,1)&lt;$L$6,"朝",IF(MOD($D1712,1)&lt;$L$7,"昼",IF(MOD($D1712,1)&lt;$L$8,"夕方","夜")))),IF(OR($D1712="朝",$D1712="昼",$D1712="夕方",$D1712="夜"),$D1712,"⚠ 不明"))))</f>
        <v/>
      </c>
    </row>
    <row r="1713" customFormat="false" ht="15" hidden="false" customHeight="false" outlineLevel="0" collapsed="false">
      <c r="A1713" s="75"/>
      <c r="B1713" s="76"/>
      <c r="C1713" s="77"/>
      <c r="D1713" s="78"/>
      <c r="E1713" s="77"/>
      <c r="F1713" s="76"/>
      <c r="G1713" s="76"/>
      <c r="I1713" s="79" t="str">
        <f aca="false">IF($B1713="","",IF(ISNUMBER(MATCH($B1713,日別データ!$B$13:$B$32,0)),"✔ OK","⚠ 未登録"))</f>
        <v/>
      </c>
      <c r="J1713" s="80" t="str">
        <f aca="false">IF($B1713="","",IF($D1713="","－",IF(ISNUMBER($D1713),IF(AND($D1713&gt;=1,MOD($D1713,1)=0),"－",IF(MOD($D1713,1)&lt;$L$6,"朝",IF(MOD($D1713,1)&lt;$L$7,"昼",IF(MOD($D1713,1)&lt;$L$8,"夕方","夜")))),IF(OR($D1713="朝",$D1713="昼",$D1713="夕方",$D1713="夜"),$D1713,"⚠ 不明"))))</f>
        <v/>
      </c>
    </row>
    <row r="1714" customFormat="false" ht="15" hidden="false" customHeight="false" outlineLevel="0" collapsed="false">
      <c r="A1714" s="75"/>
      <c r="B1714" s="76"/>
      <c r="C1714" s="77"/>
      <c r="D1714" s="78"/>
      <c r="E1714" s="77"/>
      <c r="F1714" s="76"/>
      <c r="G1714" s="76"/>
      <c r="I1714" s="79" t="str">
        <f aca="false">IF($B1714="","",IF(ISNUMBER(MATCH($B1714,日別データ!$B$13:$B$32,0)),"✔ OK","⚠ 未登録"))</f>
        <v/>
      </c>
      <c r="J1714" s="80" t="str">
        <f aca="false">IF($B1714="","",IF($D1714="","－",IF(ISNUMBER($D1714),IF(AND($D1714&gt;=1,MOD($D1714,1)=0),"－",IF(MOD($D1714,1)&lt;$L$6,"朝",IF(MOD($D1714,1)&lt;$L$7,"昼",IF(MOD($D1714,1)&lt;$L$8,"夕方","夜")))),IF(OR($D1714="朝",$D1714="昼",$D1714="夕方",$D1714="夜"),$D1714,"⚠ 不明"))))</f>
        <v/>
      </c>
    </row>
    <row r="1715" customFormat="false" ht="15" hidden="false" customHeight="false" outlineLevel="0" collapsed="false">
      <c r="A1715" s="75"/>
      <c r="B1715" s="76"/>
      <c r="C1715" s="77"/>
      <c r="D1715" s="78"/>
      <c r="E1715" s="77"/>
      <c r="F1715" s="76"/>
      <c r="G1715" s="76"/>
      <c r="I1715" s="79" t="str">
        <f aca="false">IF($B1715="","",IF(ISNUMBER(MATCH($B1715,日別データ!$B$13:$B$32,0)),"✔ OK","⚠ 未登録"))</f>
        <v/>
      </c>
      <c r="J1715" s="80" t="str">
        <f aca="false">IF($B1715="","",IF($D1715="","－",IF(ISNUMBER($D1715),IF(AND($D1715&gt;=1,MOD($D1715,1)=0),"－",IF(MOD($D1715,1)&lt;$L$6,"朝",IF(MOD($D1715,1)&lt;$L$7,"昼",IF(MOD($D1715,1)&lt;$L$8,"夕方","夜")))),IF(OR($D1715="朝",$D1715="昼",$D1715="夕方",$D1715="夜"),$D1715,"⚠ 不明"))))</f>
        <v/>
      </c>
    </row>
    <row r="1716" customFormat="false" ht="15" hidden="false" customHeight="false" outlineLevel="0" collapsed="false">
      <c r="A1716" s="75"/>
      <c r="B1716" s="76"/>
      <c r="C1716" s="77"/>
      <c r="D1716" s="78"/>
      <c r="E1716" s="77"/>
      <c r="F1716" s="76"/>
      <c r="G1716" s="76"/>
      <c r="I1716" s="79" t="str">
        <f aca="false">IF($B1716="","",IF(ISNUMBER(MATCH($B1716,日別データ!$B$13:$B$32,0)),"✔ OK","⚠ 未登録"))</f>
        <v/>
      </c>
      <c r="J1716" s="80" t="str">
        <f aca="false">IF($B1716="","",IF($D1716="","－",IF(ISNUMBER($D1716),IF(AND($D1716&gt;=1,MOD($D1716,1)=0),"－",IF(MOD($D1716,1)&lt;$L$6,"朝",IF(MOD($D1716,1)&lt;$L$7,"昼",IF(MOD($D1716,1)&lt;$L$8,"夕方","夜")))),IF(OR($D1716="朝",$D1716="昼",$D1716="夕方",$D1716="夜"),$D1716,"⚠ 不明"))))</f>
        <v/>
      </c>
    </row>
    <row r="1717" customFormat="false" ht="15" hidden="false" customHeight="false" outlineLevel="0" collapsed="false">
      <c r="A1717" s="75"/>
      <c r="B1717" s="76"/>
      <c r="C1717" s="77"/>
      <c r="D1717" s="78"/>
      <c r="E1717" s="77"/>
      <c r="F1717" s="76"/>
      <c r="G1717" s="76"/>
      <c r="I1717" s="79" t="str">
        <f aca="false">IF($B1717="","",IF(ISNUMBER(MATCH($B1717,日別データ!$B$13:$B$32,0)),"✔ OK","⚠ 未登録"))</f>
        <v/>
      </c>
      <c r="J1717" s="80" t="str">
        <f aca="false">IF($B1717="","",IF($D1717="","－",IF(ISNUMBER($D1717),IF(AND($D1717&gt;=1,MOD($D1717,1)=0),"－",IF(MOD($D1717,1)&lt;$L$6,"朝",IF(MOD($D1717,1)&lt;$L$7,"昼",IF(MOD($D1717,1)&lt;$L$8,"夕方","夜")))),IF(OR($D1717="朝",$D1717="昼",$D1717="夕方",$D1717="夜"),$D1717,"⚠ 不明"))))</f>
        <v/>
      </c>
    </row>
    <row r="1718" customFormat="false" ht="15" hidden="false" customHeight="false" outlineLevel="0" collapsed="false">
      <c r="A1718" s="75"/>
      <c r="B1718" s="76"/>
      <c r="C1718" s="77"/>
      <c r="D1718" s="78"/>
      <c r="E1718" s="77"/>
      <c r="F1718" s="76"/>
      <c r="G1718" s="76"/>
      <c r="I1718" s="79" t="str">
        <f aca="false">IF($B1718="","",IF(ISNUMBER(MATCH($B1718,日別データ!$B$13:$B$32,0)),"✔ OK","⚠ 未登録"))</f>
        <v/>
      </c>
      <c r="J1718" s="80" t="str">
        <f aca="false">IF($B1718="","",IF($D1718="","－",IF(ISNUMBER($D1718),IF(AND($D1718&gt;=1,MOD($D1718,1)=0),"－",IF(MOD($D1718,1)&lt;$L$6,"朝",IF(MOD($D1718,1)&lt;$L$7,"昼",IF(MOD($D1718,1)&lt;$L$8,"夕方","夜")))),IF(OR($D1718="朝",$D1718="昼",$D1718="夕方",$D1718="夜"),$D1718,"⚠ 不明"))))</f>
        <v/>
      </c>
    </row>
    <row r="1719" customFormat="false" ht="15" hidden="false" customHeight="false" outlineLevel="0" collapsed="false">
      <c r="A1719" s="75"/>
      <c r="B1719" s="76"/>
      <c r="C1719" s="77"/>
      <c r="D1719" s="78"/>
      <c r="E1719" s="77"/>
      <c r="F1719" s="76"/>
      <c r="G1719" s="76"/>
      <c r="I1719" s="79" t="str">
        <f aca="false">IF($B1719="","",IF(ISNUMBER(MATCH($B1719,日別データ!$B$13:$B$32,0)),"✔ OK","⚠ 未登録"))</f>
        <v/>
      </c>
      <c r="J1719" s="80" t="str">
        <f aca="false">IF($B1719="","",IF($D1719="","－",IF(ISNUMBER($D1719),IF(AND($D1719&gt;=1,MOD($D1719,1)=0),"－",IF(MOD($D1719,1)&lt;$L$6,"朝",IF(MOD($D1719,1)&lt;$L$7,"昼",IF(MOD($D1719,1)&lt;$L$8,"夕方","夜")))),IF(OR($D1719="朝",$D1719="昼",$D1719="夕方",$D1719="夜"),$D1719,"⚠ 不明"))))</f>
        <v/>
      </c>
    </row>
    <row r="1720" customFormat="false" ht="15" hidden="false" customHeight="false" outlineLevel="0" collapsed="false">
      <c r="A1720" s="75"/>
      <c r="B1720" s="76"/>
      <c r="C1720" s="77"/>
      <c r="D1720" s="78"/>
      <c r="E1720" s="77"/>
      <c r="F1720" s="76"/>
      <c r="G1720" s="76"/>
      <c r="I1720" s="79" t="str">
        <f aca="false">IF($B1720="","",IF(ISNUMBER(MATCH($B1720,日別データ!$B$13:$B$32,0)),"✔ OK","⚠ 未登録"))</f>
        <v/>
      </c>
      <c r="J1720" s="80" t="str">
        <f aca="false">IF($B1720="","",IF($D1720="","－",IF(ISNUMBER($D1720),IF(AND($D1720&gt;=1,MOD($D1720,1)=0),"－",IF(MOD($D1720,1)&lt;$L$6,"朝",IF(MOD($D1720,1)&lt;$L$7,"昼",IF(MOD($D1720,1)&lt;$L$8,"夕方","夜")))),IF(OR($D1720="朝",$D1720="昼",$D1720="夕方",$D1720="夜"),$D1720,"⚠ 不明"))))</f>
        <v/>
      </c>
    </row>
    <row r="1721" customFormat="false" ht="15" hidden="false" customHeight="false" outlineLevel="0" collapsed="false">
      <c r="A1721" s="75"/>
      <c r="B1721" s="76"/>
      <c r="C1721" s="77"/>
      <c r="D1721" s="78"/>
      <c r="E1721" s="77"/>
      <c r="F1721" s="76"/>
      <c r="G1721" s="76"/>
      <c r="I1721" s="79" t="str">
        <f aca="false">IF($B1721="","",IF(ISNUMBER(MATCH($B1721,日別データ!$B$13:$B$32,0)),"✔ OK","⚠ 未登録"))</f>
        <v/>
      </c>
      <c r="J1721" s="80" t="str">
        <f aca="false">IF($B1721="","",IF($D1721="","－",IF(ISNUMBER($D1721),IF(AND($D1721&gt;=1,MOD($D1721,1)=0),"－",IF(MOD($D1721,1)&lt;$L$6,"朝",IF(MOD($D1721,1)&lt;$L$7,"昼",IF(MOD($D1721,1)&lt;$L$8,"夕方","夜")))),IF(OR($D1721="朝",$D1721="昼",$D1721="夕方",$D1721="夜"),$D1721,"⚠ 不明"))))</f>
        <v/>
      </c>
    </row>
    <row r="1722" customFormat="false" ht="15" hidden="false" customHeight="false" outlineLevel="0" collapsed="false">
      <c r="A1722" s="75"/>
      <c r="B1722" s="76"/>
      <c r="C1722" s="77"/>
      <c r="D1722" s="78"/>
      <c r="E1722" s="77"/>
      <c r="F1722" s="76"/>
      <c r="G1722" s="76"/>
      <c r="I1722" s="79" t="str">
        <f aca="false">IF($B1722="","",IF(ISNUMBER(MATCH($B1722,日別データ!$B$13:$B$32,0)),"✔ OK","⚠ 未登録"))</f>
        <v/>
      </c>
      <c r="J1722" s="80" t="str">
        <f aca="false">IF($B1722="","",IF($D1722="","－",IF(ISNUMBER($D1722),IF(AND($D1722&gt;=1,MOD($D1722,1)=0),"－",IF(MOD($D1722,1)&lt;$L$6,"朝",IF(MOD($D1722,1)&lt;$L$7,"昼",IF(MOD($D1722,1)&lt;$L$8,"夕方","夜")))),IF(OR($D1722="朝",$D1722="昼",$D1722="夕方",$D1722="夜"),$D1722,"⚠ 不明"))))</f>
        <v/>
      </c>
    </row>
    <row r="1723" customFormat="false" ht="15" hidden="false" customHeight="false" outlineLevel="0" collapsed="false">
      <c r="A1723" s="75"/>
      <c r="B1723" s="76"/>
      <c r="C1723" s="77"/>
      <c r="D1723" s="78"/>
      <c r="E1723" s="77"/>
      <c r="F1723" s="76"/>
      <c r="G1723" s="76"/>
      <c r="I1723" s="79" t="str">
        <f aca="false">IF($B1723="","",IF(ISNUMBER(MATCH($B1723,日別データ!$B$13:$B$32,0)),"✔ OK","⚠ 未登録"))</f>
        <v/>
      </c>
      <c r="J1723" s="80" t="str">
        <f aca="false">IF($B1723="","",IF($D1723="","－",IF(ISNUMBER($D1723),IF(AND($D1723&gt;=1,MOD($D1723,1)=0),"－",IF(MOD($D1723,1)&lt;$L$6,"朝",IF(MOD($D1723,1)&lt;$L$7,"昼",IF(MOD($D1723,1)&lt;$L$8,"夕方","夜")))),IF(OR($D1723="朝",$D1723="昼",$D1723="夕方",$D1723="夜"),$D1723,"⚠ 不明"))))</f>
        <v/>
      </c>
    </row>
    <row r="1724" customFormat="false" ht="15" hidden="false" customHeight="false" outlineLevel="0" collapsed="false">
      <c r="A1724" s="75"/>
      <c r="B1724" s="76"/>
      <c r="C1724" s="77"/>
      <c r="D1724" s="78"/>
      <c r="E1724" s="77"/>
      <c r="F1724" s="76"/>
      <c r="G1724" s="76"/>
      <c r="I1724" s="79" t="str">
        <f aca="false">IF($B1724="","",IF(ISNUMBER(MATCH($B1724,日別データ!$B$13:$B$32,0)),"✔ OK","⚠ 未登録"))</f>
        <v/>
      </c>
      <c r="J1724" s="80" t="str">
        <f aca="false">IF($B1724="","",IF($D1724="","－",IF(ISNUMBER($D1724),IF(AND($D1724&gt;=1,MOD($D1724,1)=0),"－",IF(MOD($D1724,1)&lt;$L$6,"朝",IF(MOD($D1724,1)&lt;$L$7,"昼",IF(MOD($D1724,1)&lt;$L$8,"夕方","夜")))),IF(OR($D1724="朝",$D1724="昼",$D1724="夕方",$D1724="夜"),$D1724,"⚠ 不明"))))</f>
        <v/>
      </c>
    </row>
    <row r="1725" customFormat="false" ht="15" hidden="false" customHeight="false" outlineLevel="0" collapsed="false">
      <c r="A1725" s="75"/>
      <c r="B1725" s="76"/>
      <c r="C1725" s="77"/>
      <c r="D1725" s="78"/>
      <c r="E1725" s="77"/>
      <c r="F1725" s="76"/>
      <c r="G1725" s="76"/>
      <c r="I1725" s="79" t="str">
        <f aca="false">IF($B1725="","",IF(ISNUMBER(MATCH($B1725,日別データ!$B$13:$B$32,0)),"✔ OK","⚠ 未登録"))</f>
        <v/>
      </c>
      <c r="J1725" s="80" t="str">
        <f aca="false">IF($B1725="","",IF($D1725="","－",IF(ISNUMBER($D1725),IF(AND($D1725&gt;=1,MOD($D1725,1)=0),"－",IF(MOD($D1725,1)&lt;$L$6,"朝",IF(MOD($D1725,1)&lt;$L$7,"昼",IF(MOD($D1725,1)&lt;$L$8,"夕方","夜")))),IF(OR($D1725="朝",$D1725="昼",$D1725="夕方",$D1725="夜"),$D1725,"⚠ 不明"))))</f>
        <v/>
      </c>
    </row>
    <row r="1726" customFormat="false" ht="15" hidden="false" customHeight="false" outlineLevel="0" collapsed="false">
      <c r="A1726" s="75"/>
      <c r="B1726" s="76"/>
      <c r="C1726" s="77"/>
      <c r="D1726" s="78"/>
      <c r="E1726" s="77"/>
      <c r="F1726" s="76"/>
      <c r="G1726" s="76"/>
      <c r="I1726" s="79" t="str">
        <f aca="false">IF($B1726="","",IF(ISNUMBER(MATCH($B1726,日別データ!$B$13:$B$32,0)),"✔ OK","⚠ 未登録"))</f>
        <v/>
      </c>
      <c r="J1726" s="80" t="str">
        <f aca="false">IF($B1726="","",IF($D1726="","－",IF(ISNUMBER($D1726),IF(AND($D1726&gt;=1,MOD($D1726,1)=0),"－",IF(MOD($D1726,1)&lt;$L$6,"朝",IF(MOD($D1726,1)&lt;$L$7,"昼",IF(MOD($D1726,1)&lt;$L$8,"夕方","夜")))),IF(OR($D1726="朝",$D1726="昼",$D1726="夕方",$D1726="夜"),$D1726,"⚠ 不明"))))</f>
        <v/>
      </c>
    </row>
    <row r="1727" customFormat="false" ht="15" hidden="false" customHeight="false" outlineLevel="0" collapsed="false">
      <c r="A1727" s="75"/>
      <c r="B1727" s="76"/>
      <c r="C1727" s="77"/>
      <c r="D1727" s="78"/>
      <c r="E1727" s="77"/>
      <c r="F1727" s="76"/>
      <c r="G1727" s="76"/>
      <c r="I1727" s="79" t="str">
        <f aca="false">IF($B1727="","",IF(ISNUMBER(MATCH($B1727,日別データ!$B$13:$B$32,0)),"✔ OK","⚠ 未登録"))</f>
        <v/>
      </c>
      <c r="J1727" s="80" t="str">
        <f aca="false">IF($B1727="","",IF($D1727="","－",IF(ISNUMBER($D1727),IF(AND($D1727&gt;=1,MOD($D1727,1)=0),"－",IF(MOD($D1727,1)&lt;$L$6,"朝",IF(MOD($D1727,1)&lt;$L$7,"昼",IF(MOD($D1727,1)&lt;$L$8,"夕方","夜")))),IF(OR($D1727="朝",$D1727="昼",$D1727="夕方",$D1727="夜"),$D1727,"⚠ 不明"))))</f>
        <v/>
      </c>
    </row>
    <row r="1728" customFormat="false" ht="15" hidden="false" customHeight="false" outlineLevel="0" collapsed="false">
      <c r="A1728" s="75"/>
      <c r="B1728" s="76"/>
      <c r="C1728" s="77"/>
      <c r="D1728" s="78"/>
      <c r="E1728" s="77"/>
      <c r="F1728" s="76"/>
      <c r="G1728" s="76"/>
      <c r="I1728" s="79" t="str">
        <f aca="false">IF($B1728="","",IF(ISNUMBER(MATCH($B1728,日別データ!$B$13:$B$32,0)),"✔ OK","⚠ 未登録"))</f>
        <v/>
      </c>
      <c r="J1728" s="80" t="str">
        <f aca="false">IF($B1728="","",IF($D1728="","－",IF(ISNUMBER($D1728),IF(AND($D1728&gt;=1,MOD($D1728,1)=0),"－",IF(MOD($D1728,1)&lt;$L$6,"朝",IF(MOD($D1728,1)&lt;$L$7,"昼",IF(MOD($D1728,1)&lt;$L$8,"夕方","夜")))),IF(OR($D1728="朝",$D1728="昼",$D1728="夕方",$D1728="夜"),$D1728,"⚠ 不明"))))</f>
        <v/>
      </c>
    </row>
    <row r="1729" customFormat="false" ht="15" hidden="false" customHeight="false" outlineLevel="0" collapsed="false">
      <c r="A1729" s="75"/>
      <c r="B1729" s="76"/>
      <c r="C1729" s="77"/>
      <c r="D1729" s="78"/>
      <c r="E1729" s="77"/>
      <c r="F1729" s="76"/>
      <c r="G1729" s="76"/>
      <c r="I1729" s="79" t="str">
        <f aca="false">IF($B1729="","",IF(ISNUMBER(MATCH($B1729,日別データ!$B$13:$B$32,0)),"✔ OK","⚠ 未登録"))</f>
        <v/>
      </c>
      <c r="J1729" s="80" t="str">
        <f aca="false">IF($B1729="","",IF($D1729="","－",IF(ISNUMBER($D1729),IF(AND($D1729&gt;=1,MOD($D1729,1)=0),"－",IF(MOD($D1729,1)&lt;$L$6,"朝",IF(MOD($D1729,1)&lt;$L$7,"昼",IF(MOD($D1729,1)&lt;$L$8,"夕方","夜")))),IF(OR($D1729="朝",$D1729="昼",$D1729="夕方",$D1729="夜"),$D1729,"⚠ 不明"))))</f>
        <v/>
      </c>
    </row>
    <row r="1730" customFormat="false" ht="15" hidden="false" customHeight="false" outlineLevel="0" collapsed="false">
      <c r="A1730" s="75"/>
      <c r="B1730" s="76"/>
      <c r="C1730" s="77"/>
      <c r="D1730" s="78"/>
      <c r="E1730" s="77"/>
      <c r="F1730" s="76"/>
      <c r="G1730" s="76"/>
      <c r="I1730" s="79" t="str">
        <f aca="false">IF($B1730="","",IF(ISNUMBER(MATCH($B1730,日別データ!$B$13:$B$32,0)),"✔ OK","⚠ 未登録"))</f>
        <v/>
      </c>
      <c r="J1730" s="80" t="str">
        <f aca="false">IF($B1730="","",IF($D1730="","－",IF(ISNUMBER($D1730),IF(AND($D1730&gt;=1,MOD($D1730,1)=0),"－",IF(MOD($D1730,1)&lt;$L$6,"朝",IF(MOD($D1730,1)&lt;$L$7,"昼",IF(MOD($D1730,1)&lt;$L$8,"夕方","夜")))),IF(OR($D1730="朝",$D1730="昼",$D1730="夕方",$D1730="夜"),$D1730,"⚠ 不明"))))</f>
        <v/>
      </c>
    </row>
    <row r="1731" customFormat="false" ht="15" hidden="false" customHeight="false" outlineLevel="0" collapsed="false">
      <c r="A1731" s="75"/>
      <c r="B1731" s="76"/>
      <c r="C1731" s="77"/>
      <c r="D1731" s="78"/>
      <c r="E1731" s="77"/>
      <c r="F1731" s="76"/>
      <c r="G1731" s="76"/>
      <c r="I1731" s="79" t="str">
        <f aca="false">IF($B1731="","",IF(ISNUMBER(MATCH($B1731,日別データ!$B$13:$B$32,0)),"✔ OK","⚠ 未登録"))</f>
        <v/>
      </c>
      <c r="J1731" s="80" t="str">
        <f aca="false">IF($B1731="","",IF($D1731="","－",IF(ISNUMBER($D1731),IF(AND($D1731&gt;=1,MOD($D1731,1)=0),"－",IF(MOD($D1731,1)&lt;$L$6,"朝",IF(MOD($D1731,1)&lt;$L$7,"昼",IF(MOD($D1731,1)&lt;$L$8,"夕方","夜")))),IF(OR($D1731="朝",$D1731="昼",$D1731="夕方",$D1731="夜"),$D1731,"⚠ 不明"))))</f>
        <v/>
      </c>
    </row>
    <row r="1732" customFormat="false" ht="15" hidden="false" customHeight="false" outlineLevel="0" collapsed="false">
      <c r="A1732" s="75"/>
      <c r="B1732" s="76"/>
      <c r="C1732" s="77"/>
      <c r="D1732" s="78"/>
      <c r="E1732" s="77"/>
      <c r="F1732" s="76"/>
      <c r="G1732" s="76"/>
      <c r="I1732" s="79" t="str">
        <f aca="false">IF($B1732="","",IF(ISNUMBER(MATCH($B1732,日別データ!$B$13:$B$32,0)),"✔ OK","⚠ 未登録"))</f>
        <v/>
      </c>
      <c r="J1732" s="80" t="str">
        <f aca="false">IF($B1732="","",IF($D1732="","－",IF(ISNUMBER($D1732),IF(AND($D1732&gt;=1,MOD($D1732,1)=0),"－",IF(MOD($D1732,1)&lt;$L$6,"朝",IF(MOD($D1732,1)&lt;$L$7,"昼",IF(MOD($D1732,1)&lt;$L$8,"夕方","夜")))),IF(OR($D1732="朝",$D1732="昼",$D1732="夕方",$D1732="夜"),$D1732,"⚠ 不明"))))</f>
        <v/>
      </c>
    </row>
    <row r="1733" customFormat="false" ht="15" hidden="false" customHeight="false" outlineLevel="0" collapsed="false">
      <c r="A1733" s="75"/>
      <c r="B1733" s="76"/>
      <c r="C1733" s="77"/>
      <c r="D1733" s="78"/>
      <c r="E1733" s="77"/>
      <c r="F1733" s="76"/>
      <c r="G1733" s="76"/>
      <c r="I1733" s="79" t="str">
        <f aca="false">IF($B1733="","",IF(ISNUMBER(MATCH($B1733,日別データ!$B$13:$B$32,0)),"✔ OK","⚠ 未登録"))</f>
        <v/>
      </c>
      <c r="J1733" s="80" t="str">
        <f aca="false">IF($B1733="","",IF($D1733="","－",IF(ISNUMBER($D1733),IF(AND($D1733&gt;=1,MOD($D1733,1)=0),"－",IF(MOD($D1733,1)&lt;$L$6,"朝",IF(MOD($D1733,1)&lt;$L$7,"昼",IF(MOD($D1733,1)&lt;$L$8,"夕方","夜")))),IF(OR($D1733="朝",$D1733="昼",$D1733="夕方",$D1733="夜"),$D1733,"⚠ 不明"))))</f>
        <v/>
      </c>
    </row>
    <row r="1734" customFormat="false" ht="15" hidden="false" customHeight="false" outlineLevel="0" collapsed="false">
      <c r="A1734" s="75"/>
      <c r="B1734" s="76"/>
      <c r="C1734" s="77"/>
      <c r="D1734" s="78"/>
      <c r="E1734" s="77"/>
      <c r="F1734" s="76"/>
      <c r="G1734" s="76"/>
      <c r="I1734" s="79" t="str">
        <f aca="false">IF($B1734="","",IF(ISNUMBER(MATCH($B1734,日別データ!$B$13:$B$32,0)),"✔ OK","⚠ 未登録"))</f>
        <v/>
      </c>
      <c r="J1734" s="80" t="str">
        <f aca="false">IF($B1734="","",IF($D1734="","－",IF(ISNUMBER($D1734),IF(AND($D1734&gt;=1,MOD($D1734,1)=0),"－",IF(MOD($D1734,1)&lt;$L$6,"朝",IF(MOD($D1734,1)&lt;$L$7,"昼",IF(MOD($D1734,1)&lt;$L$8,"夕方","夜")))),IF(OR($D1734="朝",$D1734="昼",$D1734="夕方",$D1734="夜"),$D1734,"⚠ 不明"))))</f>
        <v/>
      </c>
    </row>
    <row r="1735" customFormat="false" ht="15" hidden="false" customHeight="false" outlineLevel="0" collapsed="false">
      <c r="A1735" s="75"/>
      <c r="B1735" s="76"/>
      <c r="C1735" s="77"/>
      <c r="D1735" s="78"/>
      <c r="E1735" s="77"/>
      <c r="F1735" s="76"/>
      <c r="G1735" s="76"/>
      <c r="I1735" s="79" t="str">
        <f aca="false">IF($B1735="","",IF(ISNUMBER(MATCH($B1735,日別データ!$B$13:$B$32,0)),"✔ OK","⚠ 未登録"))</f>
        <v/>
      </c>
      <c r="J1735" s="80" t="str">
        <f aca="false">IF($B1735="","",IF($D1735="","－",IF(ISNUMBER($D1735),IF(AND($D1735&gt;=1,MOD($D1735,1)=0),"－",IF(MOD($D1735,1)&lt;$L$6,"朝",IF(MOD($D1735,1)&lt;$L$7,"昼",IF(MOD($D1735,1)&lt;$L$8,"夕方","夜")))),IF(OR($D1735="朝",$D1735="昼",$D1735="夕方",$D1735="夜"),$D1735,"⚠ 不明"))))</f>
        <v/>
      </c>
    </row>
    <row r="1736" customFormat="false" ht="15" hidden="false" customHeight="false" outlineLevel="0" collapsed="false">
      <c r="A1736" s="75"/>
      <c r="B1736" s="76"/>
      <c r="C1736" s="77"/>
      <c r="D1736" s="78"/>
      <c r="E1736" s="77"/>
      <c r="F1736" s="76"/>
      <c r="G1736" s="76"/>
      <c r="I1736" s="79" t="str">
        <f aca="false">IF($B1736="","",IF(ISNUMBER(MATCH($B1736,日別データ!$B$13:$B$32,0)),"✔ OK","⚠ 未登録"))</f>
        <v/>
      </c>
      <c r="J1736" s="80" t="str">
        <f aca="false">IF($B1736="","",IF($D1736="","－",IF(ISNUMBER($D1736),IF(AND($D1736&gt;=1,MOD($D1736,1)=0),"－",IF(MOD($D1736,1)&lt;$L$6,"朝",IF(MOD($D1736,1)&lt;$L$7,"昼",IF(MOD($D1736,1)&lt;$L$8,"夕方","夜")))),IF(OR($D1736="朝",$D1736="昼",$D1736="夕方",$D1736="夜"),$D1736,"⚠ 不明"))))</f>
        <v/>
      </c>
    </row>
    <row r="1737" customFormat="false" ht="15" hidden="false" customHeight="false" outlineLevel="0" collapsed="false">
      <c r="A1737" s="75"/>
      <c r="B1737" s="76"/>
      <c r="C1737" s="77"/>
      <c r="D1737" s="78"/>
      <c r="E1737" s="77"/>
      <c r="F1737" s="76"/>
      <c r="G1737" s="76"/>
      <c r="I1737" s="79" t="str">
        <f aca="false">IF($B1737="","",IF(ISNUMBER(MATCH($B1737,日別データ!$B$13:$B$32,0)),"✔ OK","⚠ 未登録"))</f>
        <v/>
      </c>
      <c r="J1737" s="80" t="str">
        <f aca="false">IF($B1737="","",IF($D1737="","－",IF(ISNUMBER($D1737),IF(AND($D1737&gt;=1,MOD($D1737,1)=0),"－",IF(MOD($D1737,1)&lt;$L$6,"朝",IF(MOD($D1737,1)&lt;$L$7,"昼",IF(MOD($D1737,1)&lt;$L$8,"夕方","夜")))),IF(OR($D1737="朝",$D1737="昼",$D1737="夕方",$D1737="夜"),$D1737,"⚠ 不明"))))</f>
        <v/>
      </c>
    </row>
    <row r="1738" customFormat="false" ht="15" hidden="false" customHeight="false" outlineLevel="0" collapsed="false">
      <c r="A1738" s="75"/>
      <c r="B1738" s="76"/>
      <c r="C1738" s="77"/>
      <c r="D1738" s="78"/>
      <c r="E1738" s="77"/>
      <c r="F1738" s="76"/>
      <c r="G1738" s="76"/>
      <c r="I1738" s="79" t="str">
        <f aca="false">IF($B1738="","",IF(ISNUMBER(MATCH($B1738,日別データ!$B$13:$B$32,0)),"✔ OK","⚠ 未登録"))</f>
        <v/>
      </c>
      <c r="J1738" s="80" t="str">
        <f aca="false">IF($B1738="","",IF($D1738="","－",IF(ISNUMBER($D1738),IF(AND($D1738&gt;=1,MOD($D1738,1)=0),"－",IF(MOD($D1738,1)&lt;$L$6,"朝",IF(MOD($D1738,1)&lt;$L$7,"昼",IF(MOD($D1738,1)&lt;$L$8,"夕方","夜")))),IF(OR($D1738="朝",$D1738="昼",$D1738="夕方",$D1738="夜"),$D1738,"⚠ 不明"))))</f>
        <v/>
      </c>
    </row>
    <row r="1739" customFormat="false" ht="15" hidden="false" customHeight="false" outlineLevel="0" collapsed="false">
      <c r="A1739" s="75"/>
      <c r="B1739" s="76"/>
      <c r="C1739" s="77"/>
      <c r="D1739" s="78"/>
      <c r="E1739" s="77"/>
      <c r="F1739" s="76"/>
      <c r="G1739" s="76"/>
      <c r="I1739" s="79" t="str">
        <f aca="false">IF($B1739="","",IF(ISNUMBER(MATCH($B1739,日別データ!$B$13:$B$32,0)),"✔ OK","⚠ 未登録"))</f>
        <v/>
      </c>
      <c r="J1739" s="80" t="str">
        <f aca="false">IF($B1739="","",IF($D1739="","－",IF(ISNUMBER($D1739),IF(AND($D1739&gt;=1,MOD($D1739,1)=0),"－",IF(MOD($D1739,1)&lt;$L$6,"朝",IF(MOD($D1739,1)&lt;$L$7,"昼",IF(MOD($D1739,1)&lt;$L$8,"夕方","夜")))),IF(OR($D1739="朝",$D1739="昼",$D1739="夕方",$D1739="夜"),$D1739,"⚠ 不明"))))</f>
        <v/>
      </c>
    </row>
    <row r="1740" customFormat="false" ht="15" hidden="false" customHeight="false" outlineLevel="0" collapsed="false">
      <c r="A1740" s="75"/>
      <c r="B1740" s="76"/>
      <c r="C1740" s="77"/>
      <c r="D1740" s="78"/>
      <c r="E1740" s="77"/>
      <c r="F1740" s="76"/>
      <c r="G1740" s="76"/>
      <c r="I1740" s="79" t="str">
        <f aca="false">IF($B1740="","",IF(ISNUMBER(MATCH($B1740,日別データ!$B$13:$B$32,0)),"✔ OK","⚠ 未登録"))</f>
        <v/>
      </c>
      <c r="J1740" s="80" t="str">
        <f aca="false">IF($B1740="","",IF($D1740="","－",IF(ISNUMBER($D1740),IF(AND($D1740&gt;=1,MOD($D1740,1)=0),"－",IF(MOD($D1740,1)&lt;$L$6,"朝",IF(MOD($D1740,1)&lt;$L$7,"昼",IF(MOD($D1740,1)&lt;$L$8,"夕方","夜")))),IF(OR($D1740="朝",$D1740="昼",$D1740="夕方",$D1740="夜"),$D1740,"⚠ 不明"))))</f>
        <v/>
      </c>
    </row>
    <row r="1741" customFormat="false" ht="15" hidden="false" customHeight="false" outlineLevel="0" collapsed="false">
      <c r="A1741" s="75"/>
      <c r="B1741" s="76"/>
      <c r="C1741" s="77"/>
      <c r="D1741" s="78"/>
      <c r="E1741" s="77"/>
      <c r="F1741" s="76"/>
      <c r="G1741" s="76"/>
      <c r="I1741" s="79" t="str">
        <f aca="false">IF($B1741="","",IF(ISNUMBER(MATCH($B1741,日別データ!$B$13:$B$32,0)),"✔ OK","⚠ 未登録"))</f>
        <v/>
      </c>
      <c r="J1741" s="80" t="str">
        <f aca="false">IF($B1741="","",IF($D1741="","－",IF(ISNUMBER($D1741),IF(AND($D1741&gt;=1,MOD($D1741,1)=0),"－",IF(MOD($D1741,1)&lt;$L$6,"朝",IF(MOD($D1741,1)&lt;$L$7,"昼",IF(MOD($D1741,1)&lt;$L$8,"夕方","夜")))),IF(OR($D1741="朝",$D1741="昼",$D1741="夕方",$D1741="夜"),$D1741,"⚠ 不明"))))</f>
        <v/>
      </c>
    </row>
    <row r="1742" customFormat="false" ht="15" hidden="false" customHeight="false" outlineLevel="0" collapsed="false">
      <c r="A1742" s="75"/>
      <c r="B1742" s="76"/>
      <c r="C1742" s="77"/>
      <c r="D1742" s="78"/>
      <c r="E1742" s="77"/>
      <c r="F1742" s="76"/>
      <c r="G1742" s="76"/>
      <c r="I1742" s="79" t="str">
        <f aca="false">IF($B1742="","",IF(ISNUMBER(MATCH($B1742,日別データ!$B$13:$B$32,0)),"✔ OK","⚠ 未登録"))</f>
        <v/>
      </c>
      <c r="J1742" s="80" t="str">
        <f aca="false">IF($B1742="","",IF($D1742="","－",IF(ISNUMBER($D1742),IF(AND($D1742&gt;=1,MOD($D1742,1)=0),"－",IF(MOD($D1742,1)&lt;$L$6,"朝",IF(MOD($D1742,1)&lt;$L$7,"昼",IF(MOD($D1742,1)&lt;$L$8,"夕方","夜")))),IF(OR($D1742="朝",$D1742="昼",$D1742="夕方",$D1742="夜"),$D1742,"⚠ 不明"))))</f>
        <v/>
      </c>
    </row>
    <row r="1743" customFormat="false" ht="15" hidden="false" customHeight="false" outlineLevel="0" collapsed="false">
      <c r="A1743" s="75"/>
      <c r="B1743" s="76"/>
      <c r="C1743" s="77"/>
      <c r="D1743" s="78"/>
      <c r="E1743" s="77"/>
      <c r="F1743" s="76"/>
      <c r="G1743" s="76"/>
      <c r="I1743" s="79" t="str">
        <f aca="false">IF($B1743="","",IF(ISNUMBER(MATCH($B1743,日別データ!$B$13:$B$32,0)),"✔ OK","⚠ 未登録"))</f>
        <v/>
      </c>
      <c r="J1743" s="80" t="str">
        <f aca="false">IF($B1743="","",IF($D1743="","－",IF(ISNUMBER($D1743),IF(AND($D1743&gt;=1,MOD($D1743,1)=0),"－",IF(MOD($D1743,1)&lt;$L$6,"朝",IF(MOD($D1743,1)&lt;$L$7,"昼",IF(MOD($D1743,1)&lt;$L$8,"夕方","夜")))),IF(OR($D1743="朝",$D1743="昼",$D1743="夕方",$D1743="夜"),$D1743,"⚠ 不明"))))</f>
        <v/>
      </c>
    </row>
    <row r="1744" customFormat="false" ht="15" hidden="false" customHeight="false" outlineLevel="0" collapsed="false">
      <c r="A1744" s="75"/>
      <c r="B1744" s="76"/>
      <c r="C1744" s="77"/>
      <c r="D1744" s="78"/>
      <c r="E1744" s="77"/>
      <c r="F1744" s="76"/>
      <c r="G1744" s="76"/>
      <c r="I1744" s="79" t="str">
        <f aca="false">IF($B1744="","",IF(ISNUMBER(MATCH($B1744,日別データ!$B$13:$B$32,0)),"✔ OK","⚠ 未登録"))</f>
        <v/>
      </c>
      <c r="J1744" s="80" t="str">
        <f aca="false">IF($B1744="","",IF($D1744="","－",IF(ISNUMBER($D1744),IF(AND($D1744&gt;=1,MOD($D1744,1)=0),"－",IF(MOD($D1744,1)&lt;$L$6,"朝",IF(MOD($D1744,1)&lt;$L$7,"昼",IF(MOD($D1744,1)&lt;$L$8,"夕方","夜")))),IF(OR($D1744="朝",$D1744="昼",$D1744="夕方",$D1744="夜"),$D1744,"⚠ 不明"))))</f>
        <v/>
      </c>
    </row>
    <row r="1745" customFormat="false" ht="15" hidden="false" customHeight="false" outlineLevel="0" collapsed="false">
      <c r="A1745" s="75"/>
      <c r="B1745" s="76"/>
      <c r="C1745" s="77"/>
      <c r="D1745" s="78"/>
      <c r="E1745" s="77"/>
      <c r="F1745" s="76"/>
      <c r="G1745" s="76"/>
      <c r="I1745" s="79" t="str">
        <f aca="false">IF($B1745="","",IF(ISNUMBER(MATCH($B1745,日別データ!$B$13:$B$32,0)),"✔ OK","⚠ 未登録"))</f>
        <v/>
      </c>
      <c r="J1745" s="80" t="str">
        <f aca="false">IF($B1745="","",IF($D1745="","－",IF(ISNUMBER($D1745),IF(AND($D1745&gt;=1,MOD($D1745,1)=0),"－",IF(MOD($D1745,1)&lt;$L$6,"朝",IF(MOD($D1745,1)&lt;$L$7,"昼",IF(MOD($D1745,1)&lt;$L$8,"夕方","夜")))),IF(OR($D1745="朝",$D1745="昼",$D1745="夕方",$D1745="夜"),$D1745,"⚠ 不明"))))</f>
        <v/>
      </c>
    </row>
    <row r="1746" customFormat="false" ht="15" hidden="false" customHeight="false" outlineLevel="0" collapsed="false">
      <c r="A1746" s="75"/>
      <c r="B1746" s="76"/>
      <c r="C1746" s="77"/>
      <c r="D1746" s="78"/>
      <c r="E1746" s="77"/>
      <c r="F1746" s="76"/>
      <c r="G1746" s="76"/>
      <c r="I1746" s="79" t="str">
        <f aca="false">IF($B1746="","",IF(ISNUMBER(MATCH($B1746,日別データ!$B$13:$B$32,0)),"✔ OK","⚠ 未登録"))</f>
        <v/>
      </c>
      <c r="J1746" s="80" t="str">
        <f aca="false">IF($B1746="","",IF($D1746="","－",IF(ISNUMBER($D1746),IF(AND($D1746&gt;=1,MOD($D1746,1)=0),"－",IF(MOD($D1746,1)&lt;$L$6,"朝",IF(MOD($D1746,1)&lt;$L$7,"昼",IF(MOD($D1746,1)&lt;$L$8,"夕方","夜")))),IF(OR($D1746="朝",$D1746="昼",$D1746="夕方",$D1746="夜"),$D1746,"⚠ 不明"))))</f>
        <v/>
      </c>
    </row>
    <row r="1747" customFormat="false" ht="15" hidden="false" customHeight="false" outlineLevel="0" collapsed="false">
      <c r="A1747" s="75"/>
      <c r="B1747" s="76"/>
      <c r="C1747" s="77"/>
      <c r="D1747" s="78"/>
      <c r="E1747" s="77"/>
      <c r="F1747" s="76"/>
      <c r="G1747" s="76"/>
      <c r="I1747" s="79" t="str">
        <f aca="false">IF($B1747="","",IF(ISNUMBER(MATCH($B1747,日別データ!$B$13:$B$32,0)),"✔ OK","⚠ 未登録"))</f>
        <v/>
      </c>
      <c r="J1747" s="80" t="str">
        <f aca="false">IF($B1747="","",IF($D1747="","－",IF(ISNUMBER($D1747),IF(AND($D1747&gt;=1,MOD($D1747,1)=0),"－",IF(MOD($D1747,1)&lt;$L$6,"朝",IF(MOD($D1747,1)&lt;$L$7,"昼",IF(MOD($D1747,1)&lt;$L$8,"夕方","夜")))),IF(OR($D1747="朝",$D1747="昼",$D1747="夕方",$D1747="夜"),$D1747,"⚠ 不明"))))</f>
        <v/>
      </c>
    </row>
    <row r="1748" customFormat="false" ht="15" hidden="false" customHeight="false" outlineLevel="0" collapsed="false">
      <c r="A1748" s="75"/>
      <c r="B1748" s="76"/>
      <c r="C1748" s="77"/>
      <c r="D1748" s="78"/>
      <c r="E1748" s="77"/>
      <c r="F1748" s="76"/>
      <c r="G1748" s="76"/>
      <c r="I1748" s="79" t="str">
        <f aca="false">IF($B1748="","",IF(ISNUMBER(MATCH($B1748,日別データ!$B$13:$B$32,0)),"✔ OK","⚠ 未登録"))</f>
        <v/>
      </c>
      <c r="J1748" s="80" t="str">
        <f aca="false">IF($B1748="","",IF($D1748="","－",IF(ISNUMBER($D1748),IF(AND($D1748&gt;=1,MOD($D1748,1)=0),"－",IF(MOD($D1748,1)&lt;$L$6,"朝",IF(MOD($D1748,1)&lt;$L$7,"昼",IF(MOD($D1748,1)&lt;$L$8,"夕方","夜")))),IF(OR($D1748="朝",$D1748="昼",$D1748="夕方",$D1748="夜"),$D1748,"⚠ 不明"))))</f>
        <v/>
      </c>
    </row>
    <row r="1749" customFormat="false" ht="15" hidden="false" customHeight="false" outlineLevel="0" collapsed="false">
      <c r="A1749" s="75"/>
      <c r="B1749" s="76"/>
      <c r="C1749" s="77"/>
      <c r="D1749" s="78"/>
      <c r="E1749" s="77"/>
      <c r="F1749" s="76"/>
      <c r="G1749" s="76"/>
      <c r="I1749" s="79" t="str">
        <f aca="false">IF($B1749="","",IF(ISNUMBER(MATCH($B1749,日別データ!$B$13:$B$32,0)),"✔ OK","⚠ 未登録"))</f>
        <v/>
      </c>
      <c r="J1749" s="80" t="str">
        <f aca="false">IF($B1749="","",IF($D1749="","－",IF(ISNUMBER($D1749),IF(AND($D1749&gt;=1,MOD($D1749,1)=0),"－",IF(MOD($D1749,1)&lt;$L$6,"朝",IF(MOD($D1749,1)&lt;$L$7,"昼",IF(MOD($D1749,1)&lt;$L$8,"夕方","夜")))),IF(OR($D1749="朝",$D1749="昼",$D1749="夕方",$D1749="夜"),$D1749,"⚠ 不明"))))</f>
        <v/>
      </c>
    </row>
    <row r="1750" customFormat="false" ht="15" hidden="false" customHeight="false" outlineLevel="0" collapsed="false">
      <c r="A1750" s="75"/>
      <c r="B1750" s="76"/>
      <c r="C1750" s="77"/>
      <c r="D1750" s="78"/>
      <c r="E1750" s="77"/>
      <c r="F1750" s="76"/>
      <c r="G1750" s="76"/>
      <c r="I1750" s="79" t="str">
        <f aca="false">IF($B1750="","",IF(ISNUMBER(MATCH($B1750,日別データ!$B$13:$B$32,0)),"✔ OK","⚠ 未登録"))</f>
        <v/>
      </c>
      <c r="J1750" s="80" t="str">
        <f aca="false">IF($B1750="","",IF($D1750="","－",IF(ISNUMBER($D1750),IF(AND($D1750&gt;=1,MOD($D1750,1)=0),"－",IF(MOD($D1750,1)&lt;$L$6,"朝",IF(MOD($D1750,1)&lt;$L$7,"昼",IF(MOD($D1750,1)&lt;$L$8,"夕方","夜")))),IF(OR($D1750="朝",$D1750="昼",$D1750="夕方",$D1750="夜"),$D1750,"⚠ 不明"))))</f>
        <v/>
      </c>
    </row>
    <row r="1751" customFormat="false" ht="15" hidden="false" customHeight="false" outlineLevel="0" collapsed="false">
      <c r="A1751" s="75"/>
      <c r="B1751" s="76"/>
      <c r="C1751" s="77"/>
      <c r="D1751" s="78"/>
      <c r="E1751" s="77"/>
      <c r="F1751" s="76"/>
      <c r="G1751" s="76"/>
      <c r="I1751" s="79" t="str">
        <f aca="false">IF($B1751="","",IF(ISNUMBER(MATCH($B1751,日別データ!$B$13:$B$32,0)),"✔ OK","⚠ 未登録"))</f>
        <v/>
      </c>
      <c r="J1751" s="80" t="str">
        <f aca="false">IF($B1751="","",IF($D1751="","－",IF(ISNUMBER($D1751),IF(AND($D1751&gt;=1,MOD($D1751,1)=0),"－",IF(MOD($D1751,1)&lt;$L$6,"朝",IF(MOD($D1751,1)&lt;$L$7,"昼",IF(MOD($D1751,1)&lt;$L$8,"夕方","夜")))),IF(OR($D1751="朝",$D1751="昼",$D1751="夕方",$D1751="夜"),$D1751,"⚠ 不明"))))</f>
        <v/>
      </c>
    </row>
    <row r="1752" customFormat="false" ht="15" hidden="false" customHeight="false" outlineLevel="0" collapsed="false">
      <c r="A1752" s="75"/>
      <c r="B1752" s="76"/>
      <c r="C1752" s="77"/>
      <c r="D1752" s="78"/>
      <c r="E1752" s="77"/>
      <c r="F1752" s="76"/>
      <c r="G1752" s="76"/>
      <c r="I1752" s="79" t="str">
        <f aca="false">IF($B1752="","",IF(ISNUMBER(MATCH($B1752,日別データ!$B$13:$B$32,0)),"✔ OK","⚠ 未登録"))</f>
        <v/>
      </c>
      <c r="J1752" s="80" t="str">
        <f aca="false">IF($B1752="","",IF($D1752="","－",IF(ISNUMBER($D1752),IF(AND($D1752&gt;=1,MOD($D1752,1)=0),"－",IF(MOD($D1752,1)&lt;$L$6,"朝",IF(MOD($D1752,1)&lt;$L$7,"昼",IF(MOD($D1752,1)&lt;$L$8,"夕方","夜")))),IF(OR($D1752="朝",$D1752="昼",$D1752="夕方",$D1752="夜"),$D1752,"⚠ 不明"))))</f>
        <v/>
      </c>
    </row>
    <row r="1753" customFormat="false" ht="15" hidden="false" customHeight="false" outlineLevel="0" collapsed="false">
      <c r="A1753" s="75"/>
      <c r="B1753" s="76"/>
      <c r="C1753" s="77"/>
      <c r="D1753" s="78"/>
      <c r="E1753" s="77"/>
      <c r="F1753" s="76"/>
      <c r="G1753" s="76"/>
      <c r="I1753" s="79" t="str">
        <f aca="false">IF($B1753="","",IF(ISNUMBER(MATCH($B1753,日別データ!$B$13:$B$32,0)),"✔ OK","⚠ 未登録"))</f>
        <v/>
      </c>
      <c r="J1753" s="80" t="str">
        <f aca="false">IF($B1753="","",IF($D1753="","－",IF(ISNUMBER($D1753),IF(AND($D1753&gt;=1,MOD($D1753,1)=0),"－",IF(MOD($D1753,1)&lt;$L$6,"朝",IF(MOD($D1753,1)&lt;$L$7,"昼",IF(MOD($D1753,1)&lt;$L$8,"夕方","夜")))),IF(OR($D1753="朝",$D1753="昼",$D1753="夕方",$D1753="夜"),$D1753,"⚠ 不明"))))</f>
        <v/>
      </c>
    </row>
    <row r="1754" customFormat="false" ht="15" hidden="false" customHeight="false" outlineLevel="0" collapsed="false">
      <c r="A1754" s="75"/>
      <c r="B1754" s="76"/>
      <c r="C1754" s="77"/>
      <c r="D1754" s="78"/>
      <c r="E1754" s="77"/>
      <c r="F1754" s="76"/>
      <c r="G1754" s="76"/>
      <c r="I1754" s="79" t="str">
        <f aca="false">IF($B1754="","",IF(ISNUMBER(MATCH($B1754,日別データ!$B$13:$B$32,0)),"✔ OK","⚠ 未登録"))</f>
        <v/>
      </c>
      <c r="J1754" s="80" t="str">
        <f aca="false">IF($B1754="","",IF($D1754="","－",IF(ISNUMBER($D1754),IF(AND($D1754&gt;=1,MOD($D1754,1)=0),"－",IF(MOD($D1754,1)&lt;$L$6,"朝",IF(MOD($D1754,1)&lt;$L$7,"昼",IF(MOD($D1754,1)&lt;$L$8,"夕方","夜")))),IF(OR($D1754="朝",$D1754="昼",$D1754="夕方",$D1754="夜"),$D1754,"⚠ 不明"))))</f>
        <v/>
      </c>
    </row>
    <row r="1755" customFormat="false" ht="15" hidden="false" customHeight="false" outlineLevel="0" collapsed="false">
      <c r="A1755" s="75"/>
      <c r="B1755" s="76"/>
      <c r="C1755" s="77"/>
      <c r="D1755" s="78"/>
      <c r="E1755" s="77"/>
      <c r="F1755" s="76"/>
      <c r="G1755" s="76"/>
      <c r="I1755" s="79" t="str">
        <f aca="false">IF($B1755="","",IF(ISNUMBER(MATCH($B1755,日別データ!$B$13:$B$32,0)),"✔ OK","⚠ 未登録"))</f>
        <v/>
      </c>
      <c r="J1755" s="80" t="str">
        <f aca="false">IF($B1755="","",IF($D1755="","－",IF(ISNUMBER($D1755),IF(AND($D1755&gt;=1,MOD($D1755,1)=0),"－",IF(MOD($D1755,1)&lt;$L$6,"朝",IF(MOD($D1755,1)&lt;$L$7,"昼",IF(MOD($D1755,1)&lt;$L$8,"夕方","夜")))),IF(OR($D1755="朝",$D1755="昼",$D1755="夕方",$D1755="夜"),$D1755,"⚠ 不明"))))</f>
        <v/>
      </c>
    </row>
    <row r="1756" customFormat="false" ht="15" hidden="false" customHeight="false" outlineLevel="0" collapsed="false">
      <c r="A1756" s="75"/>
      <c r="B1756" s="76"/>
      <c r="C1756" s="77"/>
      <c r="D1756" s="78"/>
      <c r="E1756" s="77"/>
      <c r="F1756" s="76"/>
      <c r="G1756" s="76"/>
      <c r="I1756" s="79" t="str">
        <f aca="false">IF($B1756="","",IF(ISNUMBER(MATCH($B1756,日別データ!$B$13:$B$32,0)),"✔ OK","⚠ 未登録"))</f>
        <v/>
      </c>
      <c r="J1756" s="80" t="str">
        <f aca="false">IF($B1756="","",IF($D1756="","－",IF(ISNUMBER($D1756),IF(AND($D1756&gt;=1,MOD($D1756,1)=0),"－",IF(MOD($D1756,1)&lt;$L$6,"朝",IF(MOD($D1756,1)&lt;$L$7,"昼",IF(MOD($D1756,1)&lt;$L$8,"夕方","夜")))),IF(OR($D1756="朝",$D1756="昼",$D1756="夕方",$D1756="夜"),$D1756,"⚠ 不明"))))</f>
        <v/>
      </c>
    </row>
    <row r="1757" customFormat="false" ht="15" hidden="false" customHeight="false" outlineLevel="0" collapsed="false">
      <c r="A1757" s="75"/>
      <c r="B1757" s="76"/>
      <c r="C1757" s="77"/>
      <c r="D1757" s="78"/>
      <c r="E1757" s="77"/>
      <c r="F1757" s="76"/>
      <c r="G1757" s="76"/>
      <c r="I1757" s="79" t="str">
        <f aca="false">IF($B1757="","",IF(ISNUMBER(MATCH($B1757,日別データ!$B$13:$B$32,0)),"✔ OK","⚠ 未登録"))</f>
        <v/>
      </c>
      <c r="J1757" s="80" t="str">
        <f aca="false">IF($B1757="","",IF($D1757="","－",IF(ISNUMBER($D1757),IF(AND($D1757&gt;=1,MOD($D1757,1)=0),"－",IF(MOD($D1757,1)&lt;$L$6,"朝",IF(MOD($D1757,1)&lt;$L$7,"昼",IF(MOD($D1757,1)&lt;$L$8,"夕方","夜")))),IF(OR($D1757="朝",$D1757="昼",$D1757="夕方",$D1757="夜"),$D1757,"⚠ 不明"))))</f>
        <v/>
      </c>
    </row>
    <row r="1758" customFormat="false" ht="15" hidden="false" customHeight="false" outlineLevel="0" collapsed="false">
      <c r="A1758" s="75"/>
      <c r="B1758" s="76"/>
      <c r="C1758" s="77"/>
      <c r="D1758" s="78"/>
      <c r="E1758" s="77"/>
      <c r="F1758" s="76"/>
      <c r="G1758" s="76"/>
      <c r="I1758" s="79" t="str">
        <f aca="false">IF($B1758="","",IF(ISNUMBER(MATCH($B1758,日別データ!$B$13:$B$32,0)),"✔ OK","⚠ 未登録"))</f>
        <v/>
      </c>
      <c r="J1758" s="80" t="str">
        <f aca="false">IF($B1758="","",IF($D1758="","－",IF(ISNUMBER($D1758),IF(AND($D1758&gt;=1,MOD($D1758,1)=0),"－",IF(MOD($D1758,1)&lt;$L$6,"朝",IF(MOD($D1758,1)&lt;$L$7,"昼",IF(MOD($D1758,1)&lt;$L$8,"夕方","夜")))),IF(OR($D1758="朝",$D1758="昼",$D1758="夕方",$D1758="夜"),$D1758,"⚠ 不明"))))</f>
        <v/>
      </c>
    </row>
    <row r="1759" customFormat="false" ht="15" hidden="false" customHeight="false" outlineLevel="0" collapsed="false">
      <c r="A1759" s="75"/>
      <c r="B1759" s="76"/>
      <c r="C1759" s="77"/>
      <c r="D1759" s="78"/>
      <c r="E1759" s="77"/>
      <c r="F1759" s="76"/>
      <c r="G1759" s="76"/>
      <c r="I1759" s="79" t="str">
        <f aca="false">IF($B1759="","",IF(ISNUMBER(MATCH($B1759,日別データ!$B$13:$B$32,0)),"✔ OK","⚠ 未登録"))</f>
        <v/>
      </c>
      <c r="J1759" s="80" t="str">
        <f aca="false">IF($B1759="","",IF($D1759="","－",IF(ISNUMBER($D1759),IF(AND($D1759&gt;=1,MOD($D1759,1)=0),"－",IF(MOD($D1759,1)&lt;$L$6,"朝",IF(MOD($D1759,1)&lt;$L$7,"昼",IF(MOD($D1759,1)&lt;$L$8,"夕方","夜")))),IF(OR($D1759="朝",$D1759="昼",$D1759="夕方",$D1759="夜"),$D1759,"⚠ 不明"))))</f>
        <v/>
      </c>
    </row>
    <row r="1760" customFormat="false" ht="15" hidden="false" customHeight="false" outlineLevel="0" collapsed="false">
      <c r="A1760" s="75"/>
      <c r="B1760" s="76"/>
      <c r="C1760" s="77"/>
      <c r="D1760" s="78"/>
      <c r="E1760" s="77"/>
      <c r="F1760" s="76"/>
      <c r="G1760" s="76"/>
      <c r="I1760" s="79" t="str">
        <f aca="false">IF($B1760="","",IF(ISNUMBER(MATCH($B1760,日別データ!$B$13:$B$32,0)),"✔ OK","⚠ 未登録"))</f>
        <v/>
      </c>
      <c r="J1760" s="80" t="str">
        <f aca="false">IF($B1760="","",IF($D1760="","－",IF(ISNUMBER($D1760),IF(AND($D1760&gt;=1,MOD($D1760,1)=0),"－",IF(MOD($D1760,1)&lt;$L$6,"朝",IF(MOD($D1760,1)&lt;$L$7,"昼",IF(MOD($D1760,1)&lt;$L$8,"夕方","夜")))),IF(OR($D1760="朝",$D1760="昼",$D1760="夕方",$D1760="夜"),$D1760,"⚠ 不明"))))</f>
        <v/>
      </c>
    </row>
    <row r="1761" customFormat="false" ht="15" hidden="false" customHeight="false" outlineLevel="0" collapsed="false">
      <c r="A1761" s="75"/>
      <c r="B1761" s="76"/>
      <c r="C1761" s="77"/>
      <c r="D1761" s="78"/>
      <c r="E1761" s="77"/>
      <c r="F1761" s="76"/>
      <c r="G1761" s="76"/>
      <c r="I1761" s="79" t="str">
        <f aca="false">IF($B1761="","",IF(ISNUMBER(MATCH($B1761,日別データ!$B$13:$B$32,0)),"✔ OK","⚠ 未登録"))</f>
        <v/>
      </c>
      <c r="J1761" s="80" t="str">
        <f aca="false">IF($B1761="","",IF($D1761="","－",IF(ISNUMBER($D1761),IF(AND($D1761&gt;=1,MOD($D1761,1)=0),"－",IF(MOD($D1761,1)&lt;$L$6,"朝",IF(MOD($D1761,1)&lt;$L$7,"昼",IF(MOD($D1761,1)&lt;$L$8,"夕方","夜")))),IF(OR($D1761="朝",$D1761="昼",$D1761="夕方",$D1761="夜"),$D1761,"⚠ 不明"))))</f>
        <v/>
      </c>
    </row>
    <row r="1762" customFormat="false" ht="15" hidden="false" customHeight="false" outlineLevel="0" collapsed="false">
      <c r="A1762" s="75"/>
      <c r="B1762" s="76"/>
      <c r="C1762" s="77"/>
      <c r="D1762" s="78"/>
      <c r="E1762" s="77"/>
      <c r="F1762" s="76"/>
      <c r="G1762" s="76"/>
      <c r="I1762" s="79" t="str">
        <f aca="false">IF($B1762="","",IF(ISNUMBER(MATCH($B1762,日別データ!$B$13:$B$32,0)),"✔ OK","⚠ 未登録"))</f>
        <v/>
      </c>
      <c r="J1762" s="80" t="str">
        <f aca="false">IF($B1762="","",IF($D1762="","－",IF(ISNUMBER($D1762),IF(AND($D1762&gt;=1,MOD($D1762,1)=0),"－",IF(MOD($D1762,1)&lt;$L$6,"朝",IF(MOD($D1762,1)&lt;$L$7,"昼",IF(MOD($D1762,1)&lt;$L$8,"夕方","夜")))),IF(OR($D1762="朝",$D1762="昼",$D1762="夕方",$D1762="夜"),$D1762,"⚠ 不明"))))</f>
        <v/>
      </c>
    </row>
    <row r="1763" customFormat="false" ht="15" hidden="false" customHeight="false" outlineLevel="0" collapsed="false">
      <c r="A1763" s="75"/>
      <c r="B1763" s="76"/>
      <c r="C1763" s="77"/>
      <c r="D1763" s="78"/>
      <c r="E1763" s="77"/>
      <c r="F1763" s="76"/>
      <c r="G1763" s="76"/>
      <c r="I1763" s="79" t="str">
        <f aca="false">IF($B1763="","",IF(ISNUMBER(MATCH($B1763,日別データ!$B$13:$B$32,0)),"✔ OK","⚠ 未登録"))</f>
        <v/>
      </c>
      <c r="J1763" s="80" t="str">
        <f aca="false">IF($B1763="","",IF($D1763="","－",IF(ISNUMBER($D1763),IF(AND($D1763&gt;=1,MOD($D1763,1)=0),"－",IF(MOD($D1763,1)&lt;$L$6,"朝",IF(MOD($D1763,1)&lt;$L$7,"昼",IF(MOD($D1763,1)&lt;$L$8,"夕方","夜")))),IF(OR($D1763="朝",$D1763="昼",$D1763="夕方",$D1763="夜"),$D1763,"⚠ 不明"))))</f>
        <v/>
      </c>
    </row>
    <row r="1764" customFormat="false" ht="15" hidden="false" customHeight="false" outlineLevel="0" collapsed="false">
      <c r="A1764" s="75"/>
      <c r="B1764" s="76"/>
      <c r="C1764" s="77"/>
      <c r="D1764" s="78"/>
      <c r="E1764" s="77"/>
      <c r="F1764" s="76"/>
      <c r="G1764" s="76"/>
      <c r="I1764" s="79" t="str">
        <f aca="false">IF($B1764="","",IF(ISNUMBER(MATCH($B1764,日別データ!$B$13:$B$32,0)),"✔ OK","⚠ 未登録"))</f>
        <v/>
      </c>
      <c r="J1764" s="80" t="str">
        <f aca="false">IF($B1764="","",IF($D1764="","－",IF(ISNUMBER($D1764),IF(AND($D1764&gt;=1,MOD($D1764,1)=0),"－",IF(MOD($D1764,1)&lt;$L$6,"朝",IF(MOD($D1764,1)&lt;$L$7,"昼",IF(MOD($D1764,1)&lt;$L$8,"夕方","夜")))),IF(OR($D1764="朝",$D1764="昼",$D1764="夕方",$D1764="夜"),$D1764,"⚠ 不明"))))</f>
        <v/>
      </c>
    </row>
    <row r="1765" customFormat="false" ht="15" hidden="false" customHeight="false" outlineLevel="0" collapsed="false">
      <c r="A1765" s="75"/>
      <c r="B1765" s="76"/>
      <c r="C1765" s="77"/>
      <c r="D1765" s="78"/>
      <c r="E1765" s="77"/>
      <c r="F1765" s="76"/>
      <c r="G1765" s="76"/>
      <c r="I1765" s="79" t="str">
        <f aca="false">IF($B1765="","",IF(ISNUMBER(MATCH($B1765,日別データ!$B$13:$B$32,0)),"✔ OK","⚠ 未登録"))</f>
        <v/>
      </c>
      <c r="J1765" s="80" t="str">
        <f aca="false">IF($B1765="","",IF($D1765="","－",IF(ISNUMBER($D1765),IF(AND($D1765&gt;=1,MOD($D1765,1)=0),"－",IF(MOD($D1765,1)&lt;$L$6,"朝",IF(MOD($D1765,1)&lt;$L$7,"昼",IF(MOD($D1765,1)&lt;$L$8,"夕方","夜")))),IF(OR($D1765="朝",$D1765="昼",$D1765="夕方",$D1765="夜"),$D1765,"⚠ 不明"))))</f>
        <v/>
      </c>
    </row>
    <row r="1766" customFormat="false" ht="15" hidden="false" customHeight="false" outlineLevel="0" collapsed="false">
      <c r="A1766" s="75"/>
      <c r="B1766" s="76"/>
      <c r="C1766" s="77"/>
      <c r="D1766" s="78"/>
      <c r="E1766" s="77"/>
      <c r="F1766" s="76"/>
      <c r="G1766" s="76"/>
      <c r="I1766" s="79" t="str">
        <f aca="false">IF($B1766="","",IF(ISNUMBER(MATCH($B1766,日別データ!$B$13:$B$32,0)),"✔ OK","⚠ 未登録"))</f>
        <v/>
      </c>
      <c r="J1766" s="80" t="str">
        <f aca="false">IF($B1766="","",IF($D1766="","－",IF(ISNUMBER($D1766),IF(AND($D1766&gt;=1,MOD($D1766,1)=0),"－",IF(MOD($D1766,1)&lt;$L$6,"朝",IF(MOD($D1766,1)&lt;$L$7,"昼",IF(MOD($D1766,1)&lt;$L$8,"夕方","夜")))),IF(OR($D1766="朝",$D1766="昼",$D1766="夕方",$D1766="夜"),$D1766,"⚠ 不明"))))</f>
        <v/>
      </c>
    </row>
    <row r="1767" customFormat="false" ht="15" hidden="false" customHeight="false" outlineLevel="0" collapsed="false">
      <c r="A1767" s="75"/>
      <c r="B1767" s="76"/>
      <c r="C1767" s="77"/>
      <c r="D1767" s="78"/>
      <c r="E1767" s="77"/>
      <c r="F1767" s="76"/>
      <c r="G1767" s="76"/>
      <c r="I1767" s="79" t="str">
        <f aca="false">IF($B1767="","",IF(ISNUMBER(MATCH($B1767,日別データ!$B$13:$B$32,0)),"✔ OK","⚠ 未登録"))</f>
        <v/>
      </c>
      <c r="J1767" s="80" t="str">
        <f aca="false">IF($B1767="","",IF($D1767="","－",IF(ISNUMBER($D1767),IF(AND($D1767&gt;=1,MOD($D1767,1)=0),"－",IF(MOD($D1767,1)&lt;$L$6,"朝",IF(MOD($D1767,1)&lt;$L$7,"昼",IF(MOD($D1767,1)&lt;$L$8,"夕方","夜")))),IF(OR($D1767="朝",$D1767="昼",$D1767="夕方",$D1767="夜"),$D1767,"⚠ 不明"))))</f>
        <v/>
      </c>
    </row>
    <row r="1768" customFormat="false" ht="15" hidden="false" customHeight="false" outlineLevel="0" collapsed="false">
      <c r="A1768" s="75"/>
      <c r="B1768" s="76"/>
      <c r="C1768" s="77"/>
      <c r="D1768" s="78"/>
      <c r="E1768" s="77"/>
      <c r="F1768" s="76"/>
      <c r="G1768" s="76"/>
      <c r="I1768" s="79" t="str">
        <f aca="false">IF($B1768="","",IF(ISNUMBER(MATCH($B1768,日別データ!$B$13:$B$32,0)),"✔ OK","⚠ 未登録"))</f>
        <v/>
      </c>
      <c r="J1768" s="80" t="str">
        <f aca="false">IF($B1768="","",IF($D1768="","－",IF(ISNUMBER($D1768),IF(AND($D1768&gt;=1,MOD($D1768,1)=0),"－",IF(MOD($D1768,1)&lt;$L$6,"朝",IF(MOD($D1768,1)&lt;$L$7,"昼",IF(MOD($D1768,1)&lt;$L$8,"夕方","夜")))),IF(OR($D1768="朝",$D1768="昼",$D1768="夕方",$D1768="夜"),$D1768,"⚠ 不明"))))</f>
        <v/>
      </c>
    </row>
    <row r="1769" customFormat="false" ht="15" hidden="false" customHeight="false" outlineLevel="0" collapsed="false">
      <c r="A1769" s="75"/>
      <c r="B1769" s="76"/>
      <c r="C1769" s="77"/>
      <c r="D1769" s="78"/>
      <c r="E1769" s="77"/>
      <c r="F1769" s="76"/>
      <c r="G1769" s="76"/>
      <c r="I1769" s="79" t="str">
        <f aca="false">IF($B1769="","",IF(ISNUMBER(MATCH($B1769,日別データ!$B$13:$B$32,0)),"✔ OK","⚠ 未登録"))</f>
        <v/>
      </c>
      <c r="J1769" s="80" t="str">
        <f aca="false">IF($B1769="","",IF($D1769="","－",IF(ISNUMBER($D1769),IF(AND($D1769&gt;=1,MOD($D1769,1)=0),"－",IF(MOD($D1769,1)&lt;$L$6,"朝",IF(MOD($D1769,1)&lt;$L$7,"昼",IF(MOD($D1769,1)&lt;$L$8,"夕方","夜")))),IF(OR($D1769="朝",$D1769="昼",$D1769="夕方",$D1769="夜"),$D1769,"⚠ 不明"))))</f>
        <v/>
      </c>
    </row>
    <row r="1770" customFormat="false" ht="15" hidden="false" customHeight="false" outlineLevel="0" collapsed="false">
      <c r="A1770" s="75"/>
      <c r="B1770" s="76"/>
      <c r="C1770" s="77"/>
      <c r="D1770" s="78"/>
      <c r="E1770" s="77"/>
      <c r="F1770" s="76"/>
      <c r="G1770" s="76"/>
      <c r="I1770" s="79" t="str">
        <f aca="false">IF($B1770="","",IF(ISNUMBER(MATCH($B1770,日別データ!$B$13:$B$32,0)),"✔ OK","⚠ 未登録"))</f>
        <v/>
      </c>
      <c r="J1770" s="80" t="str">
        <f aca="false">IF($B1770="","",IF($D1770="","－",IF(ISNUMBER($D1770),IF(AND($D1770&gt;=1,MOD($D1770,1)=0),"－",IF(MOD($D1770,1)&lt;$L$6,"朝",IF(MOD($D1770,1)&lt;$L$7,"昼",IF(MOD($D1770,1)&lt;$L$8,"夕方","夜")))),IF(OR($D1770="朝",$D1770="昼",$D1770="夕方",$D1770="夜"),$D1770,"⚠ 不明"))))</f>
        <v/>
      </c>
    </row>
    <row r="1771" customFormat="false" ht="15" hidden="false" customHeight="false" outlineLevel="0" collapsed="false">
      <c r="A1771" s="75"/>
      <c r="B1771" s="76"/>
      <c r="C1771" s="77"/>
      <c r="D1771" s="78"/>
      <c r="E1771" s="77"/>
      <c r="F1771" s="76"/>
      <c r="G1771" s="76"/>
      <c r="I1771" s="79" t="str">
        <f aca="false">IF($B1771="","",IF(ISNUMBER(MATCH($B1771,日別データ!$B$13:$B$32,0)),"✔ OK","⚠ 未登録"))</f>
        <v/>
      </c>
      <c r="J1771" s="80" t="str">
        <f aca="false">IF($B1771="","",IF($D1771="","－",IF(ISNUMBER($D1771),IF(AND($D1771&gt;=1,MOD($D1771,1)=0),"－",IF(MOD($D1771,1)&lt;$L$6,"朝",IF(MOD($D1771,1)&lt;$L$7,"昼",IF(MOD($D1771,1)&lt;$L$8,"夕方","夜")))),IF(OR($D1771="朝",$D1771="昼",$D1771="夕方",$D1771="夜"),$D1771,"⚠ 不明"))))</f>
        <v/>
      </c>
    </row>
    <row r="1772" customFormat="false" ht="15" hidden="false" customHeight="false" outlineLevel="0" collapsed="false">
      <c r="A1772" s="75"/>
      <c r="B1772" s="76"/>
      <c r="C1772" s="77"/>
      <c r="D1772" s="78"/>
      <c r="E1772" s="77"/>
      <c r="F1772" s="76"/>
      <c r="G1772" s="76"/>
      <c r="I1772" s="79" t="str">
        <f aca="false">IF($B1772="","",IF(ISNUMBER(MATCH($B1772,日別データ!$B$13:$B$32,0)),"✔ OK","⚠ 未登録"))</f>
        <v/>
      </c>
      <c r="J1772" s="80" t="str">
        <f aca="false">IF($B1772="","",IF($D1772="","－",IF(ISNUMBER($D1772),IF(AND($D1772&gt;=1,MOD($D1772,1)=0),"－",IF(MOD($D1772,1)&lt;$L$6,"朝",IF(MOD($D1772,1)&lt;$L$7,"昼",IF(MOD($D1772,1)&lt;$L$8,"夕方","夜")))),IF(OR($D1772="朝",$D1772="昼",$D1772="夕方",$D1772="夜"),$D1772,"⚠ 不明"))))</f>
        <v/>
      </c>
    </row>
    <row r="1773" customFormat="false" ht="15" hidden="false" customHeight="false" outlineLevel="0" collapsed="false">
      <c r="A1773" s="75"/>
      <c r="B1773" s="76"/>
      <c r="C1773" s="77"/>
      <c r="D1773" s="78"/>
      <c r="E1773" s="77"/>
      <c r="F1773" s="76"/>
      <c r="G1773" s="76"/>
      <c r="I1773" s="79" t="str">
        <f aca="false">IF($B1773="","",IF(ISNUMBER(MATCH($B1773,日別データ!$B$13:$B$32,0)),"✔ OK","⚠ 未登録"))</f>
        <v/>
      </c>
      <c r="J1773" s="80" t="str">
        <f aca="false">IF($B1773="","",IF($D1773="","－",IF(ISNUMBER($D1773),IF(AND($D1773&gt;=1,MOD($D1773,1)=0),"－",IF(MOD($D1773,1)&lt;$L$6,"朝",IF(MOD($D1773,1)&lt;$L$7,"昼",IF(MOD($D1773,1)&lt;$L$8,"夕方","夜")))),IF(OR($D1773="朝",$D1773="昼",$D1773="夕方",$D1773="夜"),$D1773,"⚠ 不明"))))</f>
        <v/>
      </c>
    </row>
    <row r="1774" customFormat="false" ht="15" hidden="false" customHeight="false" outlineLevel="0" collapsed="false">
      <c r="A1774" s="75"/>
      <c r="B1774" s="76"/>
      <c r="C1774" s="77"/>
      <c r="D1774" s="78"/>
      <c r="E1774" s="77"/>
      <c r="F1774" s="76"/>
      <c r="G1774" s="76"/>
      <c r="I1774" s="79" t="str">
        <f aca="false">IF($B1774="","",IF(ISNUMBER(MATCH($B1774,日別データ!$B$13:$B$32,0)),"✔ OK","⚠ 未登録"))</f>
        <v/>
      </c>
      <c r="J1774" s="80" t="str">
        <f aca="false">IF($B1774="","",IF($D1774="","－",IF(ISNUMBER($D1774),IF(AND($D1774&gt;=1,MOD($D1774,1)=0),"－",IF(MOD($D1774,1)&lt;$L$6,"朝",IF(MOD($D1774,1)&lt;$L$7,"昼",IF(MOD($D1774,1)&lt;$L$8,"夕方","夜")))),IF(OR($D1774="朝",$D1774="昼",$D1774="夕方",$D1774="夜"),$D1774,"⚠ 不明"))))</f>
        <v/>
      </c>
    </row>
    <row r="1775" customFormat="false" ht="15" hidden="false" customHeight="false" outlineLevel="0" collapsed="false">
      <c r="A1775" s="75"/>
      <c r="B1775" s="76"/>
      <c r="C1775" s="77"/>
      <c r="D1775" s="78"/>
      <c r="E1775" s="77"/>
      <c r="F1775" s="76"/>
      <c r="G1775" s="76"/>
      <c r="I1775" s="79" t="str">
        <f aca="false">IF($B1775="","",IF(ISNUMBER(MATCH($B1775,日別データ!$B$13:$B$32,0)),"✔ OK","⚠ 未登録"))</f>
        <v/>
      </c>
      <c r="J1775" s="80" t="str">
        <f aca="false">IF($B1775="","",IF($D1775="","－",IF(ISNUMBER($D1775),IF(AND($D1775&gt;=1,MOD($D1775,1)=0),"－",IF(MOD($D1775,1)&lt;$L$6,"朝",IF(MOD($D1775,1)&lt;$L$7,"昼",IF(MOD($D1775,1)&lt;$L$8,"夕方","夜")))),IF(OR($D1775="朝",$D1775="昼",$D1775="夕方",$D1775="夜"),$D1775,"⚠ 不明"))))</f>
        <v/>
      </c>
    </row>
    <row r="1776" customFormat="false" ht="15" hidden="false" customHeight="false" outlineLevel="0" collapsed="false">
      <c r="A1776" s="75"/>
      <c r="B1776" s="76"/>
      <c r="C1776" s="77"/>
      <c r="D1776" s="78"/>
      <c r="E1776" s="77"/>
      <c r="F1776" s="76"/>
      <c r="G1776" s="76"/>
      <c r="I1776" s="79" t="str">
        <f aca="false">IF($B1776="","",IF(ISNUMBER(MATCH($B1776,日別データ!$B$13:$B$32,0)),"✔ OK","⚠ 未登録"))</f>
        <v/>
      </c>
      <c r="J1776" s="80" t="str">
        <f aca="false">IF($B1776="","",IF($D1776="","－",IF(ISNUMBER($D1776),IF(AND($D1776&gt;=1,MOD($D1776,1)=0),"－",IF(MOD($D1776,1)&lt;$L$6,"朝",IF(MOD($D1776,1)&lt;$L$7,"昼",IF(MOD($D1776,1)&lt;$L$8,"夕方","夜")))),IF(OR($D1776="朝",$D1776="昼",$D1776="夕方",$D1776="夜"),$D1776,"⚠ 不明"))))</f>
        <v/>
      </c>
    </row>
    <row r="1777" customFormat="false" ht="15" hidden="false" customHeight="false" outlineLevel="0" collapsed="false">
      <c r="A1777" s="75"/>
      <c r="B1777" s="76"/>
      <c r="C1777" s="77"/>
      <c r="D1777" s="78"/>
      <c r="E1777" s="77"/>
      <c r="F1777" s="76"/>
      <c r="G1777" s="76"/>
      <c r="I1777" s="79" t="str">
        <f aca="false">IF($B1777="","",IF(ISNUMBER(MATCH($B1777,日別データ!$B$13:$B$32,0)),"✔ OK","⚠ 未登録"))</f>
        <v/>
      </c>
      <c r="J1777" s="80" t="str">
        <f aca="false">IF($B1777="","",IF($D1777="","－",IF(ISNUMBER($D1777),IF(AND($D1777&gt;=1,MOD($D1777,1)=0),"－",IF(MOD($D1777,1)&lt;$L$6,"朝",IF(MOD($D1777,1)&lt;$L$7,"昼",IF(MOD($D1777,1)&lt;$L$8,"夕方","夜")))),IF(OR($D1777="朝",$D1777="昼",$D1777="夕方",$D1777="夜"),$D1777,"⚠ 不明"))))</f>
        <v/>
      </c>
    </row>
    <row r="1778" customFormat="false" ht="15" hidden="false" customHeight="false" outlineLevel="0" collapsed="false">
      <c r="A1778" s="75"/>
      <c r="B1778" s="76"/>
      <c r="C1778" s="77"/>
      <c r="D1778" s="78"/>
      <c r="E1778" s="77"/>
      <c r="F1778" s="76"/>
      <c r="G1778" s="76"/>
      <c r="I1778" s="79" t="str">
        <f aca="false">IF($B1778="","",IF(ISNUMBER(MATCH($B1778,日別データ!$B$13:$B$32,0)),"✔ OK","⚠ 未登録"))</f>
        <v/>
      </c>
      <c r="J1778" s="80" t="str">
        <f aca="false">IF($B1778="","",IF($D1778="","－",IF(ISNUMBER($D1778),IF(AND($D1778&gt;=1,MOD($D1778,1)=0),"－",IF(MOD($D1778,1)&lt;$L$6,"朝",IF(MOD($D1778,1)&lt;$L$7,"昼",IF(MOD($D1778,1)&lt;$L$8,"夕方","夜")))),IF(OR($D1778="朝",$D1778="昼",$D1778="夕方",$D1778="夜"),$D1778,"⚠ 不明"))))</f>
        <v/>
      </c>
    </row>
    <row r="1779" customFormat="false" ht="15" hidden="false" customHeight="false" outlineLevel="0" collapsed="false">
      <c r="A1779" s="75"/>
      <c r="B1779" s="76"/>
      <c r="C1779" s="77"/>
      <c r="D1779" s="78"/>
      <c r="E1779" s="77"/>
      <c r="F1779" s="76"/>
      <c r="G1779" s="76"/>
      <c r="I1779" s="79" t="str">
        <f aca="false">IF($B1779="","",IF(ISNUMBER(MATCH($B1779,日別データ!$B$13:$B$32,0)),"✔ OK","⚠ 未登録"))</f>
        <v/>
      </c>
      <c r="J1779" s="80" t="str">
        <f aca="false">IF($B1779="","",IF($D1779="","－",IF(ISNUMBER($D1779),IF(AND($D1779&gt;=1,MOD($D1779,1)=0),"－",IF(MOD($D1779,1)&lt;$L$6,"朝",IF(MOD($D1779,1)&lt;$L$7,"昼",IF(MOD($D1779,1)&lt;$L$8,"夕方","夜")))),IF(OR($D1779="朝",$D1779="昼",$D1779="夕方",$D1779="夜"),$D1779,"⚠ 不明"))))</f>
        <v/>
      </c>
    </row>
    <row r="1780" customFormat="false" ht="15" hidden="false" customHeight="false" outlineLevel="0" collapsed="false">
      <c r="A1780" s="75"/>
      <c r="B1780" s="76"/>
      <c r="C1780" s="77"/>
      <c r="D1780" s="78"/>
      <c r="E1780" s="77"/>
      <c r="F1780" s="76"/>
      <c r="G1780" s="76"/>
      <c r="I1780" s="79" t="str">
        <f aca="false">IF($B1780="","",IF(ISNUMBER(MATCH($B1780,日別データ!$B$13:$B$32,0)),"✔ OK","⚠ 未登録"))</f>
        <v/>
      </c>
      <c r="J1780" s="80" t="str">
        <f aca="false">IF($B1780="","",IF($D1780="","－",IF(ISNUMBER($D1780),IF(AND($D1780&gt;=1,MOD($D1780,1)=0),"－",IF(MOD($D1780,1)&lt;$L$6,"朝",IF(MOD($D1780,1)&lt;$L$7,"昼",IF(MOD($D1780,1)&lt;$L$8,"夕方","夜")))),IF(OR($D1780="朝",$D1780="昼",$D1780="夕方",$D1780="夜"),$D1780,"⚠ 不明"))))</f>
        <v/>
      </c>
    </row>
    <row r="1781" customFormat="false" ht="15" hidden="false" customHeight="false" outlineLevel="0" collapsed="false">
      <c r="A1781" s="75"/>
      <c r="B1781" s="76"/>
      <c r="C1781" s="77"/>
      <c r="D1781" s="78"/>
      <c r="E1781" s="77"/>
      <c r="F1781" s="76"/>
      <c r="G1781" s="76"/>
      <c r="I1781" s="79" t="str">
        <f aca="false">IF($B1781="","",IF(ISNUMBER(MATCH($B1781,日別データ!$B$13:$B$32,0)),"✔ OK","⚠ 未登録"))</f>
        <v/>
      </c>
      <c r="J1781" s="80" t="str">
        <f aca="false">IF($B1781="","",IF($D1781="","－",IF(ISNUMBER($D1781),IF(AND($D1781&gt;=1,MOD($D1781,1)=0),"－",IF(MOD($D1781,1)&lt;$L$6,"朝",IF(MOD($D1781,1)&lt;$L$7,"昼",IF(MOD($D1781,1)&lt;$L$8,"夕方","夜")))),IF(OR($D1781="朝",$D1781="昼",$D1781="夕方",$D1781="夜"),$D1781,"⚠ 不明"))))</f>
        <v/>
      </c>
    </row>
    <row r="1782" customFormat="false" ht="15" hidden="false" customHeight="false" outlineLevel="0" collapsed="false">
      <c r="A1782" s="75"/>
      <c r="B1782" s="76"/>
      <c r="C1782" s="77"/>
      <c r="D1782" s="78"/>
      <c r="E1782" s="77"/>
      <c r="F1782" s="76"/>
      <c r="G1782" s="76"/>
      <c r="I1782" s="79" t="str">
        <f aca="false">IF($B1782="","",IF(ISNUMBER(MATCH($B1782,日別データ!$B$13:$B$32,0)),"✔ OK","⚠ 未登録"))</f>
        <v/>
      </c>
      <c r="J1782" s="80" t="str">
        <f aca="false">IF($B1782="","",IF($D1782="","－",IF(ISNUMBER($D1782),IF(AND($D1782&gt;=1,MOD($D1782,1)=0),"－",IF(MOD($D1782,1)&lt;$L$6,"朝",IF(MOD($D1782,1)&lt;$L$7,"昼",IF(MOD($D1782,1)&lt;$L$8,"夕方","夜")))),IF(OR($D1782="朝",$D1782="昼",$D1782="夕方",$D1782="夜"),$D1782,"⚠ 不明"))))</f>
        <v/>
      </c>
    </row>
    <row r="1783" customFormat="false" ht="15" hidden="false" customHeight="false" outlineLevel="0" collapsed="false">
      <c r="A1783" s="75"/>
      <c r="B1783" s="76"/>
      <c r="C1783" s="77"/>
      <c r="D1783" s="78"/>
      <c r="E1783" s="77"/>
      <c r="F1783" s="76"/>
      <c r="G1783" s="76"/>
      <c r="I1783" s="79" t="str">
        <f aca="false">IF($B1783="","",IF(ISNUMBER(MATCH($B1783,日別データ!$B$13:$B$32,0)),"✔ OK","⚠ 未登録"))</f>
        <v/>
      </c>
      <c r="J1783" s="80" t="str">
        <f aca="false">IF($B1783="","",IF($D1783="","－",IF(ISNUMBER($D1783),IF(AND($D1783&gt;=1,MOD($D1783,1)=0),"－",IF(MOD($D1783,1)&lt;$L$6,"朝",IF(MOD($D1783,1)&lt;$L$7,"昼",IF(MOD($D1783,1)&lt;$L$8,"夕方","夜")))),IF(OR($D1783="朝",$D1783="昼",$D1783="夕方",$D1783="夜"),$D1783,"⚠ 不明"))))</f>
        <v/>
      </c>
    </row>
    <row r="1784" customFormat="false" ht="15" hidden="false" customHeight="false" outlineLevel="0" collapsed="false">
      <c r="A1784" s="75"/>
      <c r="B1784" s="76"/>
      <c r="C1784" s="77"/>
      <c r="D1784" s="78"/>
      <c r="E1784" s="77"/>
      <c r="F1784" s="76"/>
      <c r="G1784" s="76"/>
      <c r="I1784" s="79" t="str">
        <f aca="false">IF($B1784="","",IF(ISNUMBER(MATCH($B1784,日別データ!$B$13:$B$32,0)),"✔ OK","⚠ 未登録"))</f>
        <v/>
      </c>
      <c r="J1784" s="80" t="str">
        <f aca="false">IF($B1784="","",IF($D1784="","－",IF(ISNUMBER($D1784),IF(AND($D1784&gt;=1,MOD($D1784,1)=0),"－",IF(MOD($D1784,1)&lt;$L$6,"朝",IF(MOD($D1784,1)&lt;$L$7,"昼",IF(MOD($D1784,1)&lt;$L$8,"夕方","夜")))),IF(OR($D1784="朝",$D1784="昼",$D1784="夕方",$D1784="夜"),$D1784,"⚠ 不明"))))</f>
        <v/>
      </c>
    </row>
    <row r="1785" customFormat="false" ht="15" hidden="false" customHeight="false" outlineLevel="0" collapsed="false">
      <c r="A1785" s="75"/>
      <c r="B1785" s="76"/>
      <c r="C1785" s="77"/>
      <c r="D1785" s="78"/>
      <c r="E1785" s="77"/>
      <c r="F1785" s="76"/>
      <c r="G1785" s="76"/>
      <c r="I1785" s="79" t="str">
        <f aca="false">IF($B1785="","",IF(ISNUMBER(MATCH($B1785,日別データ!$B$13:$B$32,0)),"✔ OK","⚠ 未登録"))</f>
        <v/>
      </c>
      <c r="J1785" s="80" t="str">
        <f aca="false">IF($B1785="","",IF($D1785="","－",IF(ISNUMBER($D1785),IF(AND($D1785&gt;=1,MOD($D1785,1)=0),"－",IF(MOD($D1785,1)&lt;$L$6,"朝",IF(MOD($D1785,1)&lt;$L$7,"昼",IF(MOD($D1785,1)&lt;$L$8,"夕方","夜")))),IF(OR($D1785="朝",$D1785="昼",$D1785="夕方",$D1785="夜"),$D1785,"⚠ 不明"))))</f>
        <v/>
      </c>
    </row>
    <row r="1786" customFormat="false" ht="15" hidden="false" customHeight="false" outlineLevel="0" collapsed="false">
      <c r="A1786" s="75"/>
      <c r="B1786" s="76"/>
      <c r="C1786" s="77"/>
      <c r="D1786" s="78"/>
      <c r="E1786" s="77"/>
      <c r="F1786" s="76"/>
      <c r="G1786" s="76"/>
      <c r="I1786" s="79" t="str">
        <f aca="false">IF($B1786="","",IF(ISNUMBER(MATCH($B1786,日別データ!$B$13:$B$32,0)),"✔ OK","⚠ 未登録"))</f>
        <v/>
      </c>
      <c r="J1786" s="80" t="str">
        <f aca="false">IF($B1786="","",IF($D1786="","－",IF(ISNUMBER($D1786),IF(AND($D1786&gt;=1,MOD($D1786,1)=0),"－",IF(MOD($D1786,1)&lt;$L$6,"朝",IF(MOD($D1786,1)&lt;$L$7,"昼",IF(MOD($D1786,1)&lt;$L$8,"夕方","夜")))),IF(OR($D1786="朝",$D1786="昼",$D1786="夕方",$D1786="夜"),$D1786,"⚠ 不明"))))</f>
        <v/>
      </c>
    </row>
    <row r="1787" customFormat="false" ht="15" hidden="false" customHeight="false" outlineLevel="0" collapsed="false">
      <c r="A1787" s="75"/>
      <c r="B1787" s="76"/>
      <c r="C1787" s="77"/>
      <c r="D1787" s="78"/>
      <c r="E1787" s="77"/>
      <c r="F1787" s="76"/>
      <c r="G1787" s="76"/>
      <c r="I1787" s="79" t="str">
        <f aca="false">IF($B1787="","",IF(ISNUMBER(MATCH($B1787,日別データ!$B$13:$B$32,0)),"✔ OK","⚠ 未登録"))</f>
        <v/>
      </c>
      <c r="J1787" s="80" t="str">
        <f aca="false">IF($B1787="","",IF($D1787="","－",IF(ISNUMBER($D1787),IF(AND($D1787&gt;=1,MOD($D1787,1)=0),"－",IF(MOD($D1787,1)&lt;$L$6,"朝",IF(MOD($D1787,1)&lt;$L$7,"昼",IF(MOD($D1787,1)&lt;$L$8,"夕方","夜")))),IF(OR($D1787="朝",$D1787="昼",$D1787="夕方",$D1787="夜"),$D1787,"⚠ 不明"))))</f>
        <v/>
      </c>
    </row>
    <row r="1788" customFormat="false" ht="15" hidden="false" customHeight="false" outlineLevel="0" collapsed="false">
      <c r="A1788" s="75"/>
      <c r="B1788" s="76"/>
      <c r="C1788" s="77"/>
      <c r="D1788" s="78"/>
      <c r="E1788" s="77"/>
      <c r="F1788" s="76"/>
      <c r="G1788" s="76"/>
      <c r="I1788" s="79" t="str">
        <f aca="false">IF($B1788="","",IF(ISNUMBER(MATCH($B1788,日別データ!$B$13:$B$32,0)),"✔ OK","⚠ 未登録"))</f>
        <v/>
      </c>
      <c r="J1788" s="80" t="str">
        <f aca="false">IF($B1788="","",IF($D1788="","－",IF(ISNUMBER($D1788),IF(AND($D1788&gt;=1,MOD($D1788,1)=0),"－",IF(MOD($D1788,1)&lt;$L$6,"朝",IF(MOD($D1788,1)&lt;$L$7,"昼",IF(MOD($D1788,1)&lt;$L$8,"夕方","夜")))),IF(OR($D1788="朝",$D1788="昼",$D1788="夕方",$D1788="夜"),$D1788,"⚠ 不明"))))</f>
        <v/>
      </c>
    </row>
    <row r="1789" customFormat="false" ht="15" hidden="false" customHeight="false" outlineLevel="0" collapsed="false">
      <c r="A1789" s="75"/>
      <c r="B1789" s="76"/>
      <c r="C1789" s="77"/>
      <c r="D1789" s="78"/>
      <c r="E1789" s="77"/>
      <c r="F1789" s="76"/>
      <c r="G1789" s="76"/>
      <c r="I1789" s="79" t="str">
        <f aca="false">IF($B1789="","",IF(ISNUMBER(MATCH($B1789,日別データ!$B$13:$B$32,0)),"✔ OK","⚠ 未登録"))</f>
        <v/>
      </c>
      <c r="J1789" s="80" t="str">
        <f aca="false">IF($B1789="","",IF($D1789="","－",IF(ISNUMBER($D1789),IF(AND($D1789&gt;=1,MOD($D1789,1)=0),"－",IF(MOD($D1789,1)&lt;$L$6,"朝",IF(MOD($D1789,1)&lt;$L$7,"昼",IF(MOD($D1789,1)&lt;$L$8,"夕方","夜")))),IF(OR($D1789="朝",$D1789="昼",$D1789="夕方",$D1789="夜"),$D1789,"⚠ 不明"))))</f>
        <v/>
      </c>
    </row>
    <row r="1790" customFormat="false" ht="15" hidden="false" customHeight="false" outlineLevel="0" collapsed="false">
      <c r="A1790" s="75"/>
      <c r="B1790" s="76"/>
      <c r="C1790" s="77"/>
      <c r="D1790" s="78"/>
      <c r="E1790" s="77"/>
      <c r="F1790" s="76"/>
      <c r="G1790" s="76"/>
      <c r="I1790" s="79" t="str">
        <f aca="false">IF($B1790="","",IF(ISNUMBER(MATCH($B1790,日別データ!$B$13:$B$32,0)),"✔ OK","⚠ 未登録"))</f>
        <v/>
      </c>
      <c r="J1790" s="80" t="str">
        <f aca="false">IF($B1790="","",IF($D1790="","－",IF(ISNUMBER($D1790),IF(AND($D1790&gt;=1,MOD($D1790,1)=0),"－",IF(MOD($D1790,1)&lt;$L$6,"朝",IF(MOD($D1790,1)&lt;$L$7,"昼",IF(MOD($D1790,1)&lt;$L$8,"夕方","夜")))),IF(OR($D1790="朝",$D1790="昼",$D1790="夕方",$D1790="夜"),$D1790,"⚠ 不明"))))</f>
        <v/>
      </c>
    </row>
    <row r="1791" customFormat="false" ht="15" hidden="false" customHeight="false" outlineLevel="0" collapsed="false">
      <c r="A1791" s="75"/>
      <c r="B1791" s="76"/>
      <c r="C1791" s="77"/>
      <c r="D1791" s="78"/>
      <c r="E1791" s="77"/>
      <c r="F1791" s="76"/>
      <c r="G1791" s="76"/>
      <c r="I1791" s="79" t="str">
        <f aca="false">IF($B1791="","",IF(ISNUMBER(MATCH($B1791,日別データ!$B$13:$B$32,0)),"✔ OK","⚠ 未登録"))</f>
        <v/>
      </c>
      <c r="J1791" s="80" t="str">
        <f aca="false">IF($B1791="","",IF($D1791="","－",IF(ISNUMBER($D1791),IF(AND($D1791&gt;=1,MOD($D1791,1)=0),"－",IF(MOD($D1791,1)&lt;$L$6,"朝",IF(MOD($D1791,1)&lt;$L$7,"昼",IF(MOD($D1791,1)&lt;$L$8,"夕方","夜")))),IF(OR($D1791="朝",$D1791="昼",$D1791="夕方",$D1791="夜"),$D1791,"⚠ 不明"))))</f>
        <v/>
      </c>
    </row>
    <row r="1792" customFormat="false" ht="15" hidden="false" customHeight="false" outlineLevel="0" collapsed="false">
      <c r="A1792" s="75"/>
      <c r="B1792" s="76"/>
      <c r="C1792" s="77"/>
      <c r="D1792" s="78"/>
      <c r="E1792" s="77"/>
      <c r="F1792" s="76"/>
      <c r="G1792" s="76"/>
      <c r="I1792" s="79" t="str">
        <f aca="false">IF($B1792="","",IF(ISNUMBER(MATCH($B1792,日別データ!$B$13:$B$32,0)),"✔ OK","⚠ 未登録"))</f>
        <v/>
      </c>
      <c r="J1792" s="80" t="str">
        <f aca="false">IF($B1792="","",IF($D1792="","－",IF(ISNUMBER($D1792),IF(AND($D1792&gt;=1,MOD($D1792,1)=0),"－",IF(MOD($D1792,1)&lt;$L$6,"朝",IF(MOD($D1792,1)&lt;$L$7,"昼",IF(MOD($D1792,1)&lt;$L$8,"夕方","夜")))),IF(OR($D1792="朝",$D1792="昼",$D1792="夕方",$D1792="夜"),$D1792,"⚠ 不明"))))</f>
        <v/>
      </c>
    </row>
    <row r="1793" customFormat="false" ht="15" hidden="false" customHeight="false" outlineLevel="0" collapsed="false">
      <c r="A1793" s="75"/>
      <c r="B1793" s="76"/>
      <c r="C1793" s="77"/>
      <c r="D1793" s="78"/>
      <c r="E1793" s="77"/>
      <c r="F1793" s="76"/>
      <c r="G1793" s="76"/>
      <c r="I1793" s="79" t="str">
        <f aca="false">IF($B1793="","",IF(ISNUMBER(MATCH($B1793,日別データ!$B$13:$B$32,0)),"✔ OK","⚠ 未登録"))</f>
        <v/>
      </c>
      <c r="J1793" s="80" t="str">
        <f aca="false">IF($B1793="","",IF($D1793="","－",IF(ISNUMBER($D1793),IF(AND($D1793&gt;=1,MOD($D1793,1)=0),"－",IF(MOD($D1793,1)&lt;$L$6,"朝",IF(MOD($D1793,1)&lt;$L$7,"昼",IF(MOD($D1793,1)&lt;$L$8,"夕方","夜")))),IF(OR($D1793="朝",$D1793="昼",$D1793="夕方",$D1793="夜"),$D1793,"⚠ 不明"))))</f>
        <v/>
      </c>
    </row>
    <row r="1794" customFormat="false" ht="15" hidden="false" customHeight="false" outlineLevel="0" collapsed="false">
      <c r="A1794" s="75"/>
      <c r="B1794" s="76"/>
      <c r="C1794" s="77"/>
      <c r="D1794" s="78"/>
      <c r="E1794" s="77"/>
      <c r="F1794" s="76"/>
      <c r="G1794" s="76"/>
      <c r="I1794" s="79" t="str">
        <f aca="false">IF($B1794="","",IF(ISNUMBER(MATCH($B1794,日別データ!$B$13:$B$32,0)),"✔ OK","⚠ 未登録"))</f>
        <v/>
      </c>
      <c r="J1794" s="80" t="str">
        <f aca="false">IF($B1794="","",IF($D1794="","－",IF(ISNUMBER($D1794),IF(AND($D1794&gt;=1,MOD($D1794,1)=0),"－",IF(MOD($D1794,1)&lt;$L$6,"朝",IF(MOD($D1794,1)&lt;$L$7,"昼",IF(MOD($D1794,1)&lt;$L$8,"夕方","夜")))),IF(OR($D1794="朝",$D1794="昼",$D1794="夕方",$D1794="夜"),$D1794,"⚠ 不明"))))</f>
        <v/>
      </c>
    </row>
    <row r="1795" customFormat="false" ht="15" hidden="false" customHeight="false" outlineLevel="0" collapsed="false">
      <c r="A1795" s="75"/>
      <c r="B1795" s="76"/>
      <c r="C1795" s="77"/>
      <c r="D1795" s="78"/>
      <c r="E1795" s="77"/>
      <c r="F1795" s="76"/>
      <c r="G1795" s="76"/>
      <c r="I1795" s="79" t="str">
        <f aca="false">IF($B1795="","",IF(ISNUMBER(MATCH($B1795,日別データ!$B$13:$B$32,0)),"✔ OK","⚠ 未登録"))</f>
        <v/>
      </c>
      <c r="J1795" s="80" t="str">
        <f aca="false">IF($B1795="","",IF($D1795="","－",IF(ISNUMBER($D1795),IF(AND($D1795&gt;=1,MOD($D1795,1)=0),"－",IF(MOD($D1795,1)&lt;$L$6,"朝",IF(MOD($D1795,1)&lt;$L$7,"昼",IF(MOD($D1795,1)&lt;$L$8,"夕方","夜")))),IF(OR($D1795="朝",$D1795="昼",$D1795="夕方",$D1795="夜"),$D1795,"⚠ 不明"))))</f>
        <v/>
      </c>
    </row>
    <row r="1796" customFormat="false" ht="15" hidden="false" customHeight="false" outlineLevel="0" collapsed="false">
      <c r="A1796" s="75"/>
      <c r="B1796" s="76"/>
      <c r="C1796" s="77"/>
      <c r="D1796" s="78"/>
      <c r="E1796" s="77"/>
      <c r="F1796" s="76"/>
      <c r="G1796" s="76"/>
      <c r="I1796" s="79" t="str">
        <f aca="false">IF($B1796="","",IF(ISNUMBER(MATCH($B1796,日別データ!$B$13:$B$32,0)),"✔ OK","⚠ 未登録"))</f>
        <v/>
      </c>
      <c r="J1796" s="80" t="str">
        <f aca="false">IF($B1796="","",IF($D1796="","－",IF(ISNUMBER($D1796),IF(AND($D1796&gt;=1,MOD($D1796,1)=0),"－",IF(MOD($D1796,1)&lt;$L$6,"朝",IF(MOD($D1796,1)&lt;$L$7,"昼",IF(MOD($D1796,1)&lt;$L$8,"夕方","夜")))),IF(OR($D1796="朝",$D1796="昼",$D1796="夕方",$D1796="夜"),$D1796,"⚠ 不明"))))</f>
        <v/>
      </c>
    </row>
    <row r="1797" customFormat="false" ht="15" hidden="false" customHeight="false" outlineLevel="0" collapsed="false">
      <c r="A1797" s="75"/>
      <c r="B1797" s="76"/>
      <c r="C1797" s="77"/>
      <c r="D1797" s="78"/>
      <c r="E1797" s="77"/>
      <c r="F1797" s="76"/>
      <c r="G1797" s="76"/>
      <c r="I1797" s="79" t="str">
        <f aca="false">IF($B1797="","",IF(ISNUMBER(MATCH($B1797,日別データ!$B$13:$B$32,0)),"✔ OK","⚠ 未登録"))</f>
        <v/>
      </c>
      <c r="J1797" s="80" t="str">
        <f aca="false">IF($B1797="","",IF($D1797="","－",IF(ISNUMBER($D1797),IF(AND($D1797&gt;=1,MOD($D1797,1)=0),"－",IF(MOD($D1797,1)&lt;$L$6,"朝",IF(MOD($D1797,1)&lt;$L$7,"昼",IF(MOD($D1797,1)&lt;$L$8,"夕方","夜")))),IF(OR($D1797="朝",$D1797="昼",$D1797="夕方",$D1797="夜"),$D1797,"⚠ 不明"))))</f>
        <v/>
      </c>
    </row>
    <row r="1798" customFormat="false" ht="15" hidden="false" customHeight="false" outlineLevel="0" collapsed="false">
      <c r="A1798" s="75"/>
      <c r="B1798" s="76"/>
      <c r="C1798" s="77"/>
      <c r="D1798" s="78"/>
      <c r="E1798" s="77"/>
      <c r="F1798" s="76"/>
      <c r="G1798" s="76"/>
      <c r="I1798" s="79" t="str">
        <f aca="false">IF($B1798="","",IF(ISNUMBER(MATCH($B1798,日別データ!$B$13:$B$32,0)),"✔ OK","⚠ 未登録"))</f>
        <v/>
      </c>
      <c r="J1798" s="80" t="str">
        <f aca="false">IF($B1798="","",IF($D1798="","－",IF(ISNUMBER($D1798),IF(AND($D1798&gt;=1,MOD($D1798,1)=0),"－",IF(MOD($D1798,1)&lt;$L$6,"朝",IF(MOD($D1798,1)&lt;$L$7,"昼",IF(MOD($D1798,1)&lt;$L$8,"夕方","夜")))),IF(OR($D1798="朝",$D1798="昼",$D1798="夕方",$D1798="夜"),$D1798,"⚠ 不明"))))</f>
        <v/>
      </c>
    </row>
    <row r="1799" customFormat="false" ht="15" hidden="false" customHeight="false" outlineLevel="0" collapsed="false">
      <c r="A1799" s="75"/>
      <c r="B1799" s="76"/>
      <c r="C1799" s="77"/>
      <c r="D1799" s="78"/>
      <c r="E1799" s="77"/>
      <c r="F1799" s="76"/>
      <c r="G1799" s="76"/>
      <c r="I1799" s="79" t="str">
        <f aca="false">IF($B1799="","",IF(ISNUMBER(MATCH($B1799,日別データ!$B$13:$B$32,0)),"✔ OK","⚠ 未登録"))</f>
        <v/>
      </c>
      <c r="J1799" s="80" t="str">
        <f aca="false">IF($B1799="","",IF($D1799="","－",IF(ISNUMBER($D1799),IF(AND($D1799&gt;=1,MOD($D1799,1)=0),"－",IF(MOD($D1799,1)&lt;$L$6,"朝",IF(MOD($D1799,1)&lt;$L$7,"昼",IF(MOD($D1799,1)&lt;$L$8,"夕方","夜")))),IF(OR($D1799="朝",$D1799="昼",$D1799="夕方",$D1799="夜"),$D1799,"⚠ 不明"))))</f>
        <v/>
      </c>
    </row>
    <row r="1800" customFormat="false" ht="15" hidden="false" customHeight="false" outlineLevel="0" collapsed="false">
      <c r="A1800" s="75"/>
      <c r="B1800" s="76"/>
      <c r="C1800" s="77"/>
      <c r="D1800" s="78"/>
      <c r="E1800" s="77"/>
      <c r="F1800" s="76"/>
      <c r="G1800" s="76"/>
      <c r="I1800" s="79" t="str">
        <f aca="false">IF($B1800="","",IF(ISNUMBER(MATCH($B1800,日別データ!$B$13:$B$32,0)),"✔ OK","⚠ 未登録"))</f>
        <v/>
      </c>
      <c r="J1800" s="80" t="str">
        <f aca="false">IF($B1800="","",IF($D1800="","－",IF(ISNUMBER($D1800),IF(AND($D1800&gt;=1,MOD($D1800,1)=0),"－",IF(MOD($D1800,1)&lt;$L$6,"朝",IF(MOD($D1800,1)&lt;$L$7,"昼",IF(MOD($D1800,1)&lt;$L$8,"夕方","夜")))),IF(OR($D1800="朝",$D1800="昼",$D1800="夕方",$D1800="夜"),$D1800,"⚠ 不明"))))</f>
        <v/>
      </c>
    </row>
    <row r="1801" customFormat="false" ht="15" hidden="false" customHeight="false" outlineLevel="0" collapsed="false">
      <c r="A1801" s="75"/>
      <c r="B1801" s="76"/>
      <c r="C1801" s="77"/>
      <c r="D1801" s="78"/>
      <c r="E1801" s="77"/>
      <c r="F1801" s="76"/>
      <c r="G1801" s="76"/>
      <c r="I1801" s="79" t="str">
        <f aca="false">IF($B1801="","",IF(ISNUMBER(MATCH($B1801,日別データ!$B$13:$B$32,0)),"✔ OK","⚠ 未登録"))</f>
        <v/>
      </c>
      <c r="J1801" s="80" t="str">
        <f aca="false">IF($B1801="","",IF($D1801="","－",IF(ISNUMBER($D1801),IF(AND($D1801&gt;=1,MOD($D1801,1)=0),"－",IF(MOD($D1801,1)&lt;$L$6,"朝",IF(MOD($D1801,1)&lt;$L$7,"昼",IF(MOD($D1801,1)&lt;$L$8,"夕方","夜")))),IF(OR($D1801="朝",$D1801="昼",$D1801="夕方",$D1801="夜"),$D1801,"⚠ 不明"))))</f>
        <v/>
      </c>
    </row>
    <row r="1802" customFormat="false" ht="15" hidden="false" customHeight="false" outlineLevel="0" collapsed="false">
      <c r="A1802" s="75"/>
      <c r="B1802" s="76"/>
      <c r="C1802" s="77"/>
      <c r="D1802" s="78"/>
      <c r="E1802" s="77"/>
      <c r="F1802" s="76"/>
      <c r="G1802" s="76"/>
      <c r="I1802" s="79" t="str">
        <f aca="false">IF($B1802="","",IF(ISNUMBER(MATCH($B1802,日別データ!$B$13:$B$32,0)),"✔ OK","⚠ 未登録"))</f>
        <v/>
      </c>
      <c r="J1802" s="80" t="str">
        <f aca="false">IF($B1802="","",IF($D1802="","－",IF(ISNUMBER($D1802),IF(AND($D1802&gt;=1,MOD($D1802,1)=0),"－",IF(MOD($D1802,1)&lt;$L$6,"朝",IF(MOD($D1802,1)&lt;$L$7,"昼",IF(MOD($D1802,1)&lt;$L$8,"夕方","夜")))),IF(OR($D1802="朝",$D1802="昼",$D1802="夕方",$D1802="夜"),$D1802,"⚠ 不明"))))</f>
        <v/>
      </c>
    </row>
    <row r="1803" customFormat="false" ht="15" hidden="false" customHeight="false" outlineLevel="0" collapsed="false">
      <c r="A1803" s="75"/>
      <c r="B1803" s="76"/>
      <c r="C1803" s="77"/>
      <c r="D1803" s="78"/>
      <c r="E1803" s="77"/>
      <c r="F1803" s="76"/>
      <c r="G1803" s="76"/>
      <c r="I1803" s="79" t="str">
        <f aca="false">IF($B1803="","",IF(ISNUMBER(MATCH($B1803,日別データ!$B$13:$B$32,0)),"✔ OK","⚠ 未登録"))</f>
        <v/>
      </c>
      <c r="J1803" s="80" t="str">
        <f aca="false">IF($B1803="","",IF($D1803="","－",IF(ISNUMBER($D1803),IF(AND($D1803&gt;=1,MOD($D1803,1)=0),"－",IF(MOD($D1803,1)&lt;$L$6,"朝",IF(MOD($D1803,1)&lt;$L$7,"昼",IF(MOD($D1803,1)&lt;$L$8,"夕方","夜")))),IF(OR($D1803="朝",$D1803="昼",$D1803="夕方",$D1803="夜"),$D1803,"⚠ 不明"))))</f>
        <v/>
      </c>
    </row>
    <row r="1804" customFormat="false" ht="15" hidden="false" customHeight="false" outlineLevel="0" collapsed="false">
      <c r="A1804" s="75"/>
      <c r="B1804" s="76"/>
      <c r="C1804" s="77"/>
      <c r="D1804" s="78"/>
      <c r="E1804" s="77"/>
      <c r="F1804" s="76"/>
      <c r="G1804" s="76"/>
      <c r="I1804" s="79" t="str">
        <f aca="false">IF($B1804="","",IF(ISNUMBER(MATCH($B1804,日別データ!$B$13:$B$32,0)),"✔ OK","⚠ 未登録"))</f>
        <v/>
      </c>
      <c r="J1804" s="80" t="str">
        <f aca="false">IF($B1804="","",IF($D1804="","－",IF(ISNUMBER($D1804),IF(AND($D1804&gt;=1,MOD($D1804,1)=0),"－",IF(MOD($D1804,1)&lt;$L$6,"朝",IF(MOD($D1804,1)&lt;$L$7,"昼",IF(MOD($D1804,1)&lt;$L$8,"夕方","夜")))),IF(OR($D1804="朝",$D1804="昼",$D1804="夕方",$D1804="夜"),$D1804,"⚠ 不明"))))</f>
        <v/>
      </c>
    </row>
    <row r="1805" customFormat="false" ht="15" hidden="false" customHeight="false" outlineLevel="0" collapsed="false">
      <c r="A1805" s="75"/>
      <c r="B1805" s="76"/>
      <c r="C1805" s="77"/>
      <c r="D1805" s="78"/>
      <c r="E1805" s="77"/>
      <c r="F1805" s="76"/>
      <c r="G1805" s="76"/>
      <c r="I1805" s="79" t="str">
        <f aca="false">IF($B1805="","",IF(ISNUMBER(MATCH($B1805,日別データ!$B$13:$B$32,0)),"✔ OK","⚠ 未登録"))</f>
        <v/>
      </c>
      <c r="J1805" s="80" t="str">
        <f aca="false">IF($B1805="","",IF($D1805="","－",IF(ISNUMBER($D1805),IF(AND($D1805&gt;=1,MOD($D1805,1)=0),"－",IF(MOD($D1805,1)&lt;$L$6,"朝",IF(MOD($D1805,1)&lt;$L$7,"昼",IF(MOD($D1805,1)&lt;$L$8,"夕方","夜")))),IF(OR($D1805="朝",$D1805="昼",$D1805="夕方",$D1805="夜"),$D1805,"⚠ 不明"))))</f>
        <v/>
      </c>
    </row>
    <row r="1806" customFormat="false" ht="15" hidden="false" customHeight="false" outlineLevel="0" collapsed="false">
      <c r="A1806" s="75"/>
      <c r="B1806" s="76"/>
      <c r="C1806" s="77"/>
      <c r="D1806" s="78"/>
      <c r="E1806" s="77"/>
      <c r="F1806" s="76"/>
      <c r="G1806" s="76"/>
      <c r="I1806" s="79" t="str">
        <f aca="false">IF($B1806="","",IF(ISNUMBER(MATCH($B1806,日別データ!$B$13:$B$32,0)),"✔ OK","⚠ 未登録"))</f>
        <v/>
      </c>
      <c r="J1806" s="80" t="str">
        <f aca="false">IF($B1806="","",IF($D1806="","－",IF(ISNUMBER($D1806),IF(AND($D1806&gt;=1,MOD($D1806,1)=0),"－",IF(MOD($D1806,1)&lt;$L$6,"朝",IF(MOD($D1806,1)&lt;$L$7,"昼",IF(MOD($D1806,1)&lt;$L$8,"夕方","夜")))),IF(OR($D1806="朝",$D1806="昼",$D1806="夕方",$D1806="夜"),$D1806,"⚠ 不明"))))</f>
        <v/>
      </c>
    </row>
    <row r="1807" customFormat="false" ht="15" hidden="false" customHeight="false" outlineLevel="0" collapsed="false">
      <c r="A1807" s="75"/>
      <c r="B1807" s="76"/>
      <c r="C1807" s="77"/>
      <c r="D1807" s="78"/>
      <c r="E1807" s="77"/>
      <c r="F1807" s="76"/>
      <c r="G1807" s="76"/>
      <c r="I1807" s="79" t="str">
        <f aca="false">IF($B1807="","",IF(ISNUMBER(MATCH($B1807,日別データ!$B$13:$B$32,0)),"✔ OK","⚠ 未登録"))</f>
        <v/>
      </c>
      <c r="J1807" s="80" t="str">
        <f aca="false">IF($B1807="","",IF($D1807="","－",IF(ISNUMBER($D1807),IF(AND($D1807&gt;=1,MOD($D1807,1)=0),"－",IF(MOD($D1807,1)&lt;$L$6,"朝",IF(MOD($D1807,1)&lt;$L$7,"昼",IF(MOD($D1807,1)&lt;$L$8,"夕方","夜")))),IF(OR($D1807="朝",$D1807="昼",$D1807="夕方",$D1807="夜"),$D1807,"⚠ 不明"))))</f>
        <v/>
      </c>
    </row>
    <row r="1808" customFormat="false" ht="15" hidden="false" customHeight="false" outlineLevel="0" collapsed="false">
      <c r="A1808" s="75"/>
      <c r="B1808" s="76"/>
      <c r="C1808" s="77"/>
      <c r="D1808" s="78"/>
      <c r="E1808" s="77"/>
      <c r="F1808" s="76"/>
      <c r="G1808" s="76"/>
      <c r="I1808" s="79" t="str">
        <f aca="false">IF($B1808="","",IF(ISNUMBER(MATCH($B1808,日別データ!$B$13:$B$32,0)),"✔ OK","⚠ 未登録"))</f>
        <v/>
      </c>
      <c r="J1808" s="80" t="str">
        <f aca="false">IF($B1808="","",IF($D1808="","－",IF(ISNUMBER($D1808),IF(AND($D1808&gt;=1,MOD($D1808,1)=0),"－",IF(MOD($D1808,1)&lt;$L$6,"朝",IF(MOD($D1808,1)&lt;$L$7,"昼",IF(MOD($D1808,1)&lt;$L$8,"夕方","夜")))),IF(OR($D1808="朝",$D1808="昼",$D1808="夕方",$D1808="夜"),$D1808,"⚠ 不明"))))</f>
        <v/>
      </c>
    </row>
    <row r="1809" customFormat="false" ht="15" hidden="false" customHeight="false" outlineLevel="0" collapsed="false">
      <c r="A1809" s="75"/>
      <c r="B1809" s="76"/>
      <c r="C1809" s="77"/>
      <c r="D1809" s="78"/>
      <c r="E1809" s="77"/>
      <c r="F1809" s="76"/>
      <c r="G1809" s="76"/>
      <c r="I1809" s="79" t="str">
        <f aca="false">IF($B1809="","",IF(ISNUMBER(MATCH($B1809,日別データ!$B$13:$B$32,0)),"✔ OK","⚠ 未登録"))</f>
        <v/>
      </c>
      <c r="J1809" s="80" t="str">
        <f aca="false">IF($B1809="","",IF($D1809="","－",IF(ISNUMBER($D1809),IF(AND($D1809&gt;=1,MOD($D1809,1)=0),"－",IF(MOD($D1809,1)&lt;$L$6,"朝",IF(MOD($D1809,1)&lt;$L$7,"昼",IF(MOD($D1809,1)&lt;$L$8,"夕方","夜")))),IF(OR($D1809="朝",$D1809="昼",$D1809="夕方",$D1809="夜"),$D1809,"⚠ 不明"))))</f>
        <v/>
      </c>
    </row>
    <row r="1810" customFormat="false" ht="15" hidden="false" customHeight="false" outlineLevel="0" collapsed="false">
      <c r="A1810" s="75"/>
      <c r="B1810" s="76"/>
      <c r="C1810" s="77"/>
      <c r="D1810" s="78"/>
      <c r="E1810" s="77"/>
      <c r="F1810" s="76"/>
      <c r="G1810" s="76"/>
      <c r="I1810" s="79" t="str">
        <f aca="false">IF($B1810="","",IF(ISNUMBER(MATCH($B1810,日別データ!$B$13:$B$32,0)),"✔ OK","⚠ 未登録"))</f>
        <v/>
      </c>
      <c r="J1810" s="80" t="str">
        <f aca="false">IF($B1810="","",IF($D1810="","－",IF(ISNUMBER($D1810),IF(AND($D1810&gt;=1,MOD($D1810,1)=0),"－",IF(MOD($D1810,1)&lt;$L$6,"朝",IF(MOD($D1810,1)&lt;$L$7,"昼",IF(MOD($D1810,1)&lt;$L$8,"夕方","夜")))),IF(OR($D1810="朝",$D1810="昼",$D1810="夕方",$D1810="夜"),$D1810,"⚠ 不明"))))</f>
        <v/>
      </c>
    </row>
    <row r="1811" customFormat="false" ht="15" hidden="false" customHeight="false" outlineLevel="0" collapsed="false">
      <c r="A1811" s="75"/>
      <c r="B1811" s="76"/>
      <c r="C1811" s="77"/>
      <c r="D1811" s="78"/>
      <c r="E1811" s="77"/>
      <c r="F1811" s="76"/>
      <c r="G1811" s="76"/>
      <c r="I1811" s="79" t="str">
        <f aca="false">IF($B1811="","",IF(ISNUMBER(MATCH($B1811,日別データ!$B$13:$B$32,0)),"✔ OK","⚠ 未登録"))</f>
        <v/>
      </c>
      <c r="J1811" s="80" t="str">
        <f aca="false">IF($B1811="","",IF($D1811="","－",IF(ISNUMBER($D1811),IF(AND($D1811&gt;=1,MOD($D1811,1)=0),"－",IF(MOD($D1811,1)&lt;$L$6,"朝",IF(MOD($D1811,1)&lt;$L$7,"昼",IF(MOD($D1811,1)&lt;$L$8,"夕方","夜")))),IF(OR($D1811="朝",$D1811="昼",$D1811="夕方",$D1811="夜"),$D1811,"⚠ 不明"))))</f>
        <v/>
      </c>
    </row>
    <row r="1812" customFormat="false" ht="15" hidden="false" customHeight="false" outlineLevel="0" collapsed="false">
      <c r="A1812" s="75"/>
      <c r="B1812" s="76"/>
      <c r="C1812" s="77"/>
      <c r="D1812" s="78"/>
      <c r="E1812" s="77"/>
      <c r="F1812" s="76"/>
      <c r="G1812" s="76"/>
      <c r="I1812" s="79" t="str">
        <f aca="false">IF($B1812="","",IF(ISNUMBER(MATCH($B1812,日別データ!$B$13:$B$32,0)),"✔ OK","⚠ 未登録"))</f>
        <v/>
      </c>
      <c r="J1812" s="80" t="str">
        <f aca="false">IF($B1812="","",IF($D1812="","－",IF(ISNUMBER($D1812),IF(AND($D1812&gt;=1,MOD($D1812,1)=0),"－",IF(MOD($D1812,1)&lt;$L$6,"朝",IF(MOD($D1812,1)&lt;$L$7,"昼",IF(MOD($D1812,1)&lt;$L$8,"夕方","夜")))),IF(OR($D1812="朝",$D1812="昼",$D1812="夕方",$D1812="夜"),$D1812,"⚠ 不明"))))</f>
        <v/>
      </c>
    </row>
    <row r="1813" customFormat="false" ht="15" hidden="false" customHeight="false" outlineLevel="0" collapsed="false">
      <c r="A1813" s="75"/>
      <c r="B1813" s="76"/>
      <c r="C1813" s="77"/>
      <c r="D1813" s="78"/>
      <c r="E1813" s="77"/>
      <c r="F1813" s="76"/>
      <c r="G1813" s="76"/>
      <c r="I1813" s="79" t="str">
        <f aca="false">IF($B1813="","",IF(ISNUMBER(MATCH($B1813,日別データ!$B$13:$B$32,0)),"✔ OK","⚠ 未登録"))</f>
        <v/>
      </c>
      <c r="J1813" s="80" t="str">
        <f aca="false">IF($B1813="","",IF($D1813="","－",IF(ISNUMBER($D1813),IF(AND($D1813&gt;=1,MOD($D1813,1)=0),"－",IF(MOD($D1813,1)&lt;$L$6,"朝",IF(MOD($D1813,1)&lt;$L$7,"昼",IF(MOD($D1813,1)&lt;$L$8,"夕方","夜")))),IF(OR($D1813="朝",$D1813="昼",$D1813="夕方",$D1813="夜"),$D1813,"⚠ 不明"))))</f>
        <v/>
      </c>
    </row>
    <row r="1814" customFormat="false" ht="15" hidden="false" customHeight="false" outlineLevel="0" collapsed="false">
      <c r="A1814" s="75"/>
      <c r="B1814" s="76"/>
      <c r="C1814" s="77"/>
      <c r="D1814" s="78"/>
      <c r="E1814" s="77"/>
      <c r="F1814" s="76"/>
      <c r="G1814" s="76"/>
      <c r="I1814" s="79" t="str">
        <f aca="false">IF($B1814="","",IF(ISNUMBER(MATCH($B1814,日別データ!$B$13:$B$32,0)),"✔ OK","⚠ 未登録"))</f>
        <v/>
      </c>
      <c r="J1814" s="80" t="str">
        <f aca="false">IF($B1814="","",IF($D1814="","－",IF(ISNUMBER($D1814),IF(AND($D1814&gt;=1,MOD($D1814,1)=0),"－",IF(MOD($D1814,1)&lt;$L$6,"朝",IF(MOD($D1814,1)&lt;$L$7,"昼",IF(MOD($D1814,1)&lt;$L$8,"夕方","夜")))),IF(OR($D1814="朝",$D1814="昼",$D1814="夕方",$D1814="夜"),$D1814,"⚠ 不明"))))</f>
        <v/>
      </c>
    </row>
    <row r="1815" customFormat="false" ht="15" hidden="false" customHeight="false" outlineLevel="0" collapsed="false">
      <c r="A1815" s="75"/>
      <c r="B1815" s="76"/>
      <c r="C1815" s="77"/>
      <c r="D1815" s="78"/>
      <c r="E1815" s="77"/>
      <c r="F1815" s="76"/>
      <c r="G1815" s="76"/>
      <c r="I1815" s="79" t="str">
        <f aca="false">IF($B1815="","",IF(ISNUMBER(MATCH($B1815,日別データ!$B$13:$B$32,0)),"✔ OK","⚠ 未登録"))</f>
        <v/>
      </c>
      <c r="J1815" s="80" t="str">
        <f aca="false">IF($B1815="","",IF($D1815="","－",IF(ISNUMBER($D1815),IF(AND($D1815&gt;=1,MOD($D1815,1)=0),"－",IF(MOD($D1815,1)&lt;$L$6,"朝",IF(MOD($D1815,1)&lt;$L$7,"昼",IF(MOD($D1815,1)&lt;$L$8,"夕方","夜")))),IF(OR($D1815="朝",$D1815="昼",$D1815="夕方",$D1815="夜"),$D1815,"⚠ 不明"))))</f>
        <v/>
      </c>
    </row>
    <row r="1816" customFormat="false" ht="15" hidden="false" customHeight="false" outlineLevel="0" collapsed="false">
      <c r="A1816" s="75"/>
      <c r="B1816" s="76"/>
      <c r="C1816" s="77"/>
      <c r="D1816" s="78"/>
      <c r="E1816" s="77"/>
      <c r="F1816" s="76"/>
      <c r="G1816" s="76"/>
      <c r="I1816" s="79" t="str">
        <f aca="false">IF($B1816="","",IF(ISNUMBER(MATCH($B1816,日別データ!$B$13:$B$32,0)),"✔ OK","⚠ 未登録"))</f>
        <v/>
      </c>
      <c r="J1816" s="80" t="str">
        <f aca="false">IF($B1816="","",IF($D1816="","－",IF(ISNUMBER($D1816),IF(AND($D1816&gt;=1,MOD($D1816,1)=0),"－",IF(MOD($D1816,1)&lt;$L$6,"朝",IF(MOD($D1816,1)&lt;$L$7,"昼",IF(MOD($D1816,1)&lt;$L$8,"夕方","夜")))),IF(OR($D1816="朝",$D1816="昼",$D1816="夕方",$D1816="夜"),$D1816,"⚠ 不明"))))</f>
        <v/>
      </c>
    </row>
    <row r="1817" customFormat="false" ht="15" hidden="false" customHeight="false" outlineLevel="0" collapsed="false">
      <c r="A1817" s="75"/>
      <c r="B1817" s="76"/>
      <c r="C1817" s="77"/>
      <c r="D1817" s="78"/>
      <c r="E1817" s="77"/>
      <c r="F1817" s="76"/>
      <c r="G1817" s="76"/>
      <c r="I1817" s="79" t="str">
        <f aca="false">IF($B1817="","",IF(ISNUMBER(MATCH($B1817,日別データ!$B$13:$B$32,0)),"✔ OK","⚠ 未登録"))</f>
        <v/>
      </c>
      <c r="J1817" s="80" t="str">
        <f aca="false">IF($B1817="","",IF($D1817="","－",IF(ISNUMBER($D1817),IF(AND($D1817&gt;=1,MOD($D1817,1)=0),"－",IF(MOD($D1817,1)&lt;$L$6,"朝",IF(MOD($D1817,1)&lt;$L$7,"昼",IF(MOD($D1817,1)&lt;$L$8,"夕方","夜")))),IF(OR($D1817="朝",$D1817="昼",$D1817="夕方",$D1817="夜"),$D1817,"⚠ 不明"))))</f>
        <v/>
      </c>
    </row>
    <row r="1818" customFormat="false" ht="15" hidden="false" customHeight="false" outlineLevel="0" collapsed="false">
      <c r="A1818" s="75"/>
      <c r="B1818" s="76"/>
      <c r="C1818" s="77"/>
      <c r="D1818" s="78"/>
      <c r="E1818" s="77"/>
      <c r="F1818" s="76"/>
      <c r="G1818" s="76"/>
      <c r="I1818" s="79" t="str">
        <f aca="false">IF($B1818="","",IF(ISNUMBER(MATCH($B1818,日別データ!$B$13:$B$32,0)),"✔ OK","⚠ 未登録"))</f>
        <v/>
      </c>
      <c r="J1818" s="80" t="str">
        <f aca="false">IF($B1818="","",IF($D1818="","－",IF(ISNUMBER($D1818),IF(AND($D1818&gt;=1,MOD($D1818,1)=0),"－",IF(MOD($D1818,1)&lt;$L$6,"朝",IF(MOD($D1818,1)&lt;$L$7,"昼",IF(MOD($D1818,1)&lt;$L$8,"夕方","夜")))),IF(OR($D1818="朝",$D1818="昼",$D1818="夕方",$D1818="夜"),$D1818,"⚠ 不明"))))</f>
        <v/>
      </c>
    </row>
    <row r="1819" customFormat="false" ht="15" hidden="false" customHeight="false" outlineLevel="0" collapsed="false">
      <c r="A1819" s="75"/>
      <c r="B1819" s="76"/>
      <c r="C1819" s="77"/>
      <c r="D1819" s="78"/>
      <c r="E1819" s="77"/>
      <c r="F1819" s="76"/>
      <c r="G1819" s="76"/>
      <c r="I1819" s="79" t="str">
        <f aca="false">IF($B1819="","",IF(ISNUMBER(MATCH($B1819,日別データ!$B$13:$B$32,0)),"✔ OK","⚠ 未登録"))</f>
        <v/>
      </c>
      <c r="J1819" s="80" t="str">
        <f aca="false">IF($B1819="","",IF($D1819="","－",IF(ISNUMBER($D1819),IF(AND($D1819&gt;=1,MOD($D1819,1)=0),"－",IF(MOD($D1819,1)&lt;$L$6,"朝",IF(MOD($D1819,1)&lt;$L$7,"昼",IF(MOD($D1819,1)&lt;$L$8,"夕方","夜")))),IF(OR($D1819="朝",$D1819="昼",$D1819="夕方",$D1819="夜"),$D1819,"⚠ 不明"))))</f>
        <v/>
      </c>
    </row>
    <row r="1820" customFormat="false" ht="15" hidden="false" customHeight="false" outlineLevel="0" collapsed="false">
      <c r="A1820" s="75"/>
      <c r="B1820" s="76"/>
      <c r="C1820" s="77"/>
      <c r="D1820" s="78"/>
      <c r="E1820" s="77"/>
      <c r="F1820" s="76"/>
      <c r="G1820" s="76"/>
      <c r="I1820" s="79" t="str">
        <f aca="false">IF($B1820="","",IF(ISNUMBER(MATCH($B1820,日別データ!$B$13:$B$32,0)),"✔ OK","⚠ 未登録"))</f>
        <v/>
      </c>
      <c r="J1820" s="80" t="str">
        <f aca="false">IF($B1820="","",IF($D1820="","－",IF(ISNUMBER($D1820),IF(AND($D1820&gt;=1,MOD($D1820,1)=0),"－",IF(MOD($D1820,1)&lt;$L$6,"朝",IF(MOD($D1820,1)&lt;$L$7,"昼",IF(MOD($D1820,1)&lt;$L$8,"夕方","夜")))),IF(OR($D1820="朝",$D1820="昼",$D1820="夕方",$D1820="夜"),$D1820,"⚠ 不明"))))</f>
        <v/>
      </c>
    </row>
    <row r="1821" customFormat="false" ht="15" hidden="false" customHeight="false" outlineLevel="0" collapsed="false">
      <c r="A1821" s="75"/>
      <c r="B1821" s="76"/>
      <c r="C1821" s="77"/>
      <c r="D1821" s="78"/>
      <c r="E1821" s="77"/>
      <c r="F1821" s="76"/>
      <c r="G1821" s="76"/>
      <c r="I1821" s="79" t="str">
        <f aca="false">IF($B1821="","",IF(ISNUMBER(MATCH($B1821,日別データ!$B$13:$B$32,0)),"✔ OK","⚠ 未登録"))</f>
        <v/>
      </c>
      <c r="J1821" s="80" t="str">
        <f aca="false">IF($B1821="","",IF($D1821="","－",IF(ISNUMBER($D1821),IF(AND($D1821&gt;=1,MOD($D1821,1)=0),"－",IF(MOD($D1821,1)&lt;$L$6,"朝",IF(MOD($D1821,1)&lt;$L$7,"昼",IF(MOD($D1821,1)&lt;$L$8,"夕方","夜")))),IF(OR($D1821="朝",$D1821="昼",$D1821="夕方",$D1821="夜"),$D1821,"⚠ 不明"))))</f>
        <v/>
      </c>
    </row>
    <row r="1822" customFormat="false" ht="15" hidden="false" customHeight="false" outlineLevel="0" collapsed="false">
      <c r="A1822" s="75"/>
      <c r="B1822" s="76"/>
      <c r="C1822" s="77"/>
      <c r="D1822" s="78"/>
      <c r="E1822" s="77"/>
      <c r="F1822" s="76"/>
      <c r="G1822" s="76"/>
      <c r="I1822" s="79" t="str">
        <f aca="false">IF($B1822="","",IF(ISNUMBER(MATCH($B1822,日別データ!$B$13:$B$32,0)),"✔ OK","⚠ 未登録"))</f>
        <v/>
      </c>
      <c r="J1822" s="80" t="str">
        <f aca="false">IF($B1822="","",IF($D1822="","－",IF(ISNUMBER($D1822),IF(AND($D1822&gt;=1,MOD($D1822,1)=0),"－",IF(MOD($D1822,1)&lt;$L$6,"朝",IF(MOD($D1822,1)&lt;$L$7,"昼",IF(MOD($D1822,1)&lt;$L$8,"夕方","夜")))),IF(OR($D1822="朝",$D1822="昼",$D1822="夕方",$D1822="夜"),$D1822,"⚠ 不明"))))</f>
        <v/>
      </c>
    </row>
    <row r="1823" customFormat="false" ht="15" hidden="false" customHeight="false" outlineLevel="0" collapsed="false">
      <c r="A1823" s="75"/>
      <c r="B1823" s="76"/>
      <c r="C1823" s="77"/>
      <c r="D1823" s="78"/>
      <c r="E1823" s="77"/>
      <c r="F1823" s="76"/>
      <c r="G1823" s="76"/>
      <c r="I1823" s="79" t="str">
        <f aca="false">IF($B1823="","",IF(ISNUMBER(MATCH($B1823,日別データ!$B$13:$B$32,0)),"✔ OK","⚠ 未登録"))</f>
        <v/>
      </c>
      <c r="J1823" s="80" t="str">
        <f aca="false">IF($B1823="","",IF($D1823="","－",IF(ISNUMBER($D1823),IF(AND($D1823&gt;=1,MOD($D1823,1)=0),"－",IF(MOD($D1823,1)&lt;$L$6,"朝",IF(MOD($D1823,1)&lt;$L$7,"昼",IF(MOD($D1823,1)&lt;$L$8,"夕方","夜")))),IF(OR($D1823="朝",$D1823="昼",$D1823="夕方",$D1823="夜"),$D1823,"⚠ 不明"))))</f>
        <v/>
      </c>
    </row>
    <row r="1824" customFormat="false" ht="15" hidden="false" customHeight="false" outlineLevel="0" collapsed="false">
      <c r="A1824" s="75"/>
      <c r="B1824" s="76"/>
      <c r="C1824" s="77"/>
      <c r="D1824" s="78"/>
      <c r="E1824" s="77"/>
      <c r="F1824" s="76"/>
      <c r="G1824" s="76"/>
      <c r="I1824" s="79" t="str">
        <f aca="false">IF($B1824="","",IF(ISNUMBER(MATCH($B1824,日別データ!$B$13:$B$32,0)),"✔ OK","⚠ 未登録"))</f>
        <v/>
      </c>
      <c r="J1824" s="80" t="str">
        <f aca="false">IF($B1824="","",IF($D1824="","－",IF(ISNUMBER($D1824),IF(AND($D1824&gt;=1,MOD($D1824,1)=0),"－",IF(MOD($D1824,1)&lt;$L$6,"朝",IF(MOD($D1824,1)&lt;$L$7,"昼",IF(MOD($D1824,1)&lt;$L$8,"夕方","夜")))),IF(OR($D1824="朝",$D1824="昼",$D1824="夕方",$D1824="夜"),$D1824,"⚠ 不明"))))</f>
        <v/>
      </c>
    </row>
    <row r="1825" customFormat="false" ht="15" hidden="false" customHeight="false" outlineLevel="0" collapsed="false">
      <c r="A1825" s="75"/>
      <c r="B1825" s="76"/>
      <c r="C1825" s="77"/>
      <c r="D1825" s="78"/>
      <c r="E1825" s="77"/>
      <c r="F1825" s="76"/>
      <c r="G1825" s="76"/>
      <c r="I1825" s="79" t="str">
        <f aca="false">IF($B1825="","",IF(ISNUMBER(MATCH($B1825,日別データ!$B$13:$B$32,0)),"✔ OK","⚠ 未登録"))</f>
        <v/>
      </c>
      <c r="J1825" s="80" t="str">
        <f aca="false">IF($B1825="","",IF($D1825="","－",IF(ISNUMBER($D1825),IF(AND($D1825&gt;=1,MOD($D1825,1)=0),"－",IF(MOD($D1825,1)&lt;$L$6,"朝",IF(MOD($D1825,1)&lt;$L$7,"昼",IF(MOD($D1825,1)&lt;$L$8,"夕方","夜")))),IF(OR($D1825="朝",$D1825="昼",$D1825="夕方",$D1825="夜"),$D1825,"⚠ 不明"))))</f>
        <v/>
      </c>
    </row>
    <row r="1826" customFormat="false" ht="15" hidden="false" customHeight="false" outlineLevel="0" collapsed="false">
      <c r="A1826" s="75"/>
      <c r="B1826" s="76"/>
      <c r="C1826" s="77"/>
      <c r="D1826" s="78"/>
      <c r="E1826" s="77"/>
      <c r="F1826" s="76"/>
      <c r="G1826" s="76"/>
      <c r="I1826" s="79" t="str">
        <f aca="false">IF($B1826="","",IF(ISNUMBER(MATCH($B1826,日別データ!$B$13:$B$32,0)),"✔ OK","⚠ 未登録"))</f>
        <v/>
      </c>
      <c r="J1826" s="80" t="str">
        <f aca="false">IF($B1826="","",IF($D1826="","－",IF(ISNUMBER($D1826),IF(AND($D1826&gt;=1,MOD($D1826,1)=0),"－",IF(MOD($D1826,1)&lt;$L$6,"朝",IF(MOD($D1826,1)&lt;$L$7,"昼",IF(MOD($D1826,1)&lt;$L$8,"夕方","夜")))),IF(OR($D1826="朝",$D1826="昼",$D1826="夕方",$D1826="夜"),$D1826,"⚠ 不明"))))</f>
        <v/>
      </c>
    </row>
    <row r="1827" customFormat="false" ht="15" hidden="false" customHeight="false" outlineLevel="0" collapsed="false">
      <c r="A1827" s="75"/>
      <c r="B1827" s="76"/>
      <c r="C1827" s="77"/>
      <c r="D1827" s="78"/>
      <c r="E1827" s="77"/>
      <c r="F1827" s="76"/>
      <c r="G1827" s="76"/>
      <c r="I1827" s="79" t="str">
        <f aca="false">IF($B1827="","",IF(ISNUMBER(MATCH($B1827,日別データ!$B$13:$B$32,0)),"✔ OK","⚠ 未登録"))</f>
        <v/>
      </c>
      <c r="J1827" s="80" t="str">
        <f aca="false">IF($B1827="","",IF($D1827="","－",IF(ISNUMBER($D1827),IF(AND($D1827&gt;=1,MOD($D1827,1)=0),"－",IF(MOD($D1827,1)&lt;$L$6,"朝",IF(MOD($D1827,1)&lt;$L$7,"昼",IF(MOD($D1827,1)&lt;$L$8,"夕方","夜")))),IF(OR($D1827="朝",$D1827="昼",$D1827="夕方",$D1827="夜"),$D1827,"⚠ 不明"))))</f>
        <v/>
      </c>
    </row>
    <row r="1828" customFormat="false" ht="15" hidden="false" customHeight="false" outlineLevel="0" collapsed="false">
      <c r="A1828" s="75"/>
      <c r="B1828" s="76"/>
      <c r="C1828" s="77"/>
      <c r="D1828" s="78"/>
      <c r="E1828" s="77"/>
      <c r="F1828" s="76"/>
      <c r="G1828" s="76"/>
      <c r="I1828" s="79" t="str">
        <f aca="false">IF($B1828="","",IF(ISNUMBER(MATCH($B1828,日別データ!$B$13:$B$32,0)),"✔ OK","⚠ 未登録"))</f>
        <v/>
      </c>
      <c r="J1828" s="80" t="str">
        <f aca="false">IF($B1828="","",IF($D1828="","－",IF(ISNUMBER($D1828),IF(AND($D1828&gt;=1,MOD($D1828,1)=0),"－",IF(MOD($D1828,1)&lt;$L$6,"朝",IF(MOD($D1828,1)&lt;$L$7,"昼",IF(MOD($D1828,1)&lt;$L$8,"夕方","夜")))),IF(OR($D1828="朝",$D1828="昼",$D1828="夕方",$D1828="夜"),$D1828,"⚠ 不明"))))</f>
        <v/>
      </c>
    </row>
    <row r="1829" customFormat="false" ht="15" hidden="false" customHeight="false" outlineLevel="0" collapsed="false">
      <c r="A1829" s="75"/>
      <c r="B1829" s="76"/>
      <c r="C1829" s="77"/>
      <c r="D1829" s="78"/>
      <c r="E1829" s="77"/>
      <c r="F1829" s="76"/>
      <c r="G1829" s="76"/>
      <c r="I1829" s="79" t="str">
        <f aca="false">IF($B1829="","",IF(ISNUMBER(MATCH($B1829,日別データ!$B$13:$B$32,0)),"✔ OK","⚠ 未登録"))</f>
        <v/>
      </c>
      <c r="J1829" s="80" t="str">
        <f aca="false">IF($B1829="","",IF($D1829="","－",IF(ISNUMBER($D1829),IF(AND($D1829&gt;=1,MOD($D1829,1)=0),"－",IF(MOD($D1829,1)&lt;$L$6,"朝",IF(MOD($D1829,1)&lt;$L$7,"昼",IF(MOD($D1829,1)&lt;$L$8,"夕方","夜")))),IF(OR($D1829="朝",$D1829="昼",$D1829="夕方",$D1829="夜"),$D1829,"⚠ 不明"))))</f>
        <v/>
      </c>
    </row>
    <row r="1830" customFormat="false" ht="15" hidden="false" customHeight="false" outlineLevel="0" collapsed="false">
      <c r="A1830" s="75"/>
      <c r="B1830" s="76"/>
      <c r="C1830" s="77"/>
      <c r="D1830" s="78"/>
      <c r="E1830" s="77"/>
      <c r="F1830" s="76"/>
      <c r="G1830" s="76"/>
      <c r="I1830" s="79" t="str">
        <f aca="false">IF($B1830="","",IF(ISNUMBER(MATCH($B1830,日別データ!$B$13:$B$32,0)),"✔ OK","⚠ 未登録"))</f>
        <v/>
      </c>
      <c r="J1830" s="80" t="str">
        <f aca="false">IF($B1830="","",IF($D1830="","－",IF(ISNUMBER($D1830),IF(AND($D1830&gt;=1,MOD($D1830,1)=0),"－",IF(MOD($D1830,1)&lt;$L$6,"朝",IF(MOD($D1830,1)&lt;$L$7,"昼",IF(MOD($D1830,1)&lt;$L$8,"夕方","夜")))),IF(OR($D1830="朝",$D1830="昼",$D1830="夕方",$D1830="夜"),$D1830,"⚠ 不明"))))</f>
        <v/>
      </c>
    </row>
    <row r="1831" customFormat="false" ht="15" hidden="false" customHeight="false" outlineLevel="0" collapsed="false">
      <c r="A1831" s="75"/>
      <c r="B1831" s="76"/>
      <c r="C1831" s="77"/>
      <c r="D1831" s="78"/>
      <c r="E1831" s="77"/>
      <c r="F1831" s="76"/>
      <c r="G1831" s="76"/>
      <c r="I1831" s="79" t="str">
        <f aca="false">IF($B1831="","",IF(ISNUMBER(MATCH($B1831,日別データ!$B$13:$B$32,0)),"✔ OK","⚠ 未登録"))</f>
        <v/>
      </c>
      <c r="J1831" s="80" t="str">
        <f aca="false">IF($B1831="","",IF($D1831="","－",IF(ISNUMBER($D1831),IF(AND($D1831&gt;=1,MOD($D1831,1)=0),"－",IF(MOD($D1831,1)&lt;$L$6,"朝",IF(MOD($D1831,1)&lt;$L$7,"昼",IF(MOD($D1831,1)&lt;$L$8,"夕方","夜")))),IF(OR($D1831="朝",$D1831="昼",$D1831="夕方",$D1831="夜"),$D1831,"⚠ 不明"))))</f>
        <v/>
      </c>
    </row>
    <row r="1832" customFormat="false" ht="15" hidden="false" customHeight="false" outlineLevel="0" collapsed="false">
      <c r="A1832" s="75"/>
      <c r="B1832" s="76"/>
      <c r="C1832" s="77"/>
      <c r="D1832" s="78"/>
      <c r="E1832" s="77"/>
      <c r="F1832" s="76"/>
      <c r="G1832" s="76"/>
      <c r="I1832" s="79" t="str">
        <f aca="false">IF($B1832="","",IF(ISNUMBER(MATCH($B1832,日別データ!$B$13:$B$32,0)),"✔ OK","⚠ 未登録"))</f>
        <v/>
      </c>
      <c r="J1832" s="80" t="str">
        <f aca="false">IF($B1832="","",IF($D1832="","－",IF(ISNUMBER($D1832),IF(AND($D1832&gt;=1,MOD($D1832,1)=0),"－",IF(MOD($D1832,1)&lt;$L$6,"朝",IF(MOD($D1832,1)&lt;$L$7,"昼",IF(MOD($D1832,1)&lt;$L$8,"夕方","夜")))),IF(OR($D1832="朝",$D1832="昼",$D1832="夕方",$D1832="夜"),$D1832,"⚠ 不明"))))</f>
        <v/>
      </c>
    </row>
    <row r="1833" customFormat="false" ht="15" hidden="false" customHeight="false" outlineLevel="0" collapsed="false">
      <c r="A1833" s="75"/>
      <c r="B1833" s="76"/>
      <c r="C1833" s="77"/>
      <c r="D1833" s="78"/>
      <c r="E1833" s="77"/>
      <c r="F1833" s="76"/>
      <c r="G1833" s="76"/>
      <c r="I1833" s="79" t="str">
        <f aca="false">IF($B1833="","",IF(ISNUMBER(MATCH($B1833,日別データ!$B$13:$B$32,0)),"✔ OK","⚠ 未登録"))</f>
        <v/>
      </c>
      <c r="J1833" s="80" t="str">
        <f aca="false">IF($B1833="","",IF($D1833="","－",IF(ISNUMBER($D1833),IF(AND($D1833&gt;=1,MOD($D1833,1)=0),"－",IF(MOD($D1833,1)&lt;$L$6,"朝",IF(MOD($D1833,1)&lt;$L$7,"昼",IF(MOD($D1833,1)&lt;$L$8,"夕方","夜")))),IF(OR($D1833="朝",$D1833="昼",$D1833="夕方",$D1833="夜"),$D1833,"⚠ 不明"))))</f>
        <v/>
      </c>
    </row>
    <row r="1834" customFormat="false" ht="15" hidden="false" customHeight="false" outlineLevel="0" collapsed="false">
      <c r="A1834" s="75"/>
      <c r="B1834" s="76"/>
      <c r="C1834" s="77"/>
      <c r="D1834" s="78"/>
      <c r="E1834" s="77"/>
      <c r="F1834" s="76"/>
      <c r="G1834" s="76"/>
      <c r="I1834" s="79" t="str">
        <f aca="false">IF($B1834="","",IF(ISNUMBER(MATCH($B1834,日別データ!$B$13:$B$32,0)),"✔ OK","⚠ 未登録"))</f>
        <v/>
      </c>
      <c r="J1834" s="80" t="str">
        <f aca="false">IF($B1834="","",IF($D1834="","－",IF(ISNUMBER($D1834),IF(AND($D1834&gt;=1,MOD($D1834,1)=0),"－",IF(MOD($D1834,1)&lt;$L$6,"朝",IF(MOD($D1834,1)&lt;$L$7,"昼",IF(MOD($D1834,1)&lt;$L$8,"夕方","夜")))),IF(OR($D1834="朝",$D1834="昼",$D1834="夕方",$D1834="夜"),$D1834,"⚠ 不明"))))</f>
        <v/>
      </c>
    </row>
    <row r="1835" customFormat="false" ht="15" hidden="false" customHeight="false" outlineLevel="0" collapsed="false">
      <c r="A1835" s="75"/>
      <c r="B1835" s="76"/>
      <c r="C1835" s="77"/>
      <c r="D1835" s="78"/>
      <c r="E1835" s="77"/>
      <c r="F1835" s="76"/>
      <c r="G1835" s="76"/>
      <c r="I1835" s="79" t="str">
        <f aca="false">IF($B1835="","",IF(ISNUMBER(MATCH($B1835,日別データ!$B$13:$B$32,0)),"✔ OK","⚠ 未登録"))</f>
        <v/>
      </c>
      <c r="J1835" s="80" t="str">
        <f aca="false">IF($B1835="","",IF($D1835="","－",IF(ISNUMBER($D1835),IF(AND($D1835&gt;=1,MOD($D1835,1)=0),"－",IF(MOD($D1835,1)&lt;$L$6,"朝",IF(MOD($D1835,1)&lt;$L$7,"昼",IF(MOD($D1835,1)&lt;$L$8,"夕方","夜")))),IF(OR($D1835="朝",$D1835="昼",$D1835="夕方",$D1835="夜"),$D1835,"⚠ 不明"))))</f>
        <v/>
      </c>
    </row>
    <row r="1836" customFormat="false" ht="15" hidden="false" customHeight="false" outlineLevel="0" collapsed="false">
      <c r="A1836" s="75"/>
      <c r="B1836" s="76"/>
      <c r="C1836" s="77"/>
      <c r="D1836" s="78"/>
      <c r="E1836" s="77"/>
      <c r="F1836" s="76"/>
      <c r="G1836" s="76"/>
      <c r="I1836" s="79" t="str">
        <f aca="false">IF($B1836="","",IF(ISNUMBER(MATCH($B1836,日別データ!$B$13:$B$32,0)),"✔ OK","⚠ 未登録"))</f>
        <v/>
      </c>
      <c r="J1836" s="80" t="str">
        <f aca="false">IF($B1836="","",IF($D1836="","－",IF(ISNUMBER($D1836),IF(AND($D1836&gt;=1,MOD($D1836,1)=0),"－",IF(MOD($D1836,1)&lt;$L$6,"朝",IF(MOD($D1836,1)&lt;$L$7,"昼",IF(MOD($D1836,1)&lt;$L$8,"夕方","夜")))),IF(OR($D1836="朝",$D1836="昼",$D1836="夕方",$D1836="夜"),$D1836,"⚠ 不明"))))</f>
        <v/>
      </c>
    </row>
    <row r="1837" customFormat="false" ht="15" hidden="false" customHeight="false" outlineLevel="0" collapsed="false">
      <c r="A1837" s="75"/>
      <c r="B1837" s="76"/>
      <c r="C1837" s="77"/>
      <c r="D1837" s="78"/>
      <c r="E1837" s="77"/>
      <c r="F1837" s="76"/>
      <c r="G1837" s="76"/>
      <c r="I1837" s="79" t="str">
        <f aca="false">IF($B1837="","",IF(ISNUMBER(MATCH($B1837,日別データ!$B$13:$B$32,0)),"✔ OK","⚠ 未登録"))</f>
        <v/>
      </c>
      <c r="J1837" s="80" t="str">
        <f aca="false">IF($B1837="","",IF($D1837="","－",IF(ISNUMBER($D1837),IF(AND($D1837&gt;=1,MOD($D1837,1)=0),"－",IF(MOD($D1837,1)&lt;$L$6,"朝",IF(MOD($D1837,1)&lt;$L$7,"昼",IF(MOD($D1837,1)&lt;$L$8,"夕方","夜")))),IF(OR($D1837="朝",$D1837="昼",$D1837="夕方",$D1837="夜"),$D1837,"⚠ 不明"))))</f>
        <v/>
      </c>
    </row>
    <row r="1838" customFormat="false" ht="15" hidden="false" customHeight="false" outlineLevel="0" collapsed="false">
      <c r="A1838" s="75"/>
      <c r="B1838" s="76"/>
      <c r="C1838" s="77"/>
      <c r="D1838" s="78"/>
      <c r="E1838" s="77"/>
      <c r="F1838" s="76"/>
      <c r="G1838" s="76"/>
      <c r="I1838" s="79" t="str">
        <f aca="false">IF($B1838="","",IF(ISNUMBER(MATCH($B1838,日別データ!$B$13:$B$32,0)),"✔ OK","⚠ 未登録"))</f>
        <v/>
      </c>
      <c r="J1838" s="80" t="str">
        <f aca="false">IF($B1838="","",IF($D1838="","－",IF(ISNUMBER($D1838),IF(AND($D1838&gt;=1,MOD($D1838,1)=0),"－",IF(MOD($D1838,1)&lt;$L$6,"朝",IF(MOD($D1838,1)&lt;$L$7,"昼",IF(MOD($D1838,1)&lt;$L$8,"夕方","夜")))),IF(OR($D1838="朝",$D1838="昼",$D1838="夕方",$D1838="夜"),$D1838,"⚠ 不明"))))</f>
        <v/>
      </c>
    </row>
    <row r="1839" customFormat="false" ht="15" hidden="false" customHeight="false" outlineLevel="0" collapsed="false">
      <c r="A1839" s="75"/>
      <c r="B1839" s="76"/>
      <c r="C1839" s="77"/>
      <c r="D1839" s="78"/>
      <c r="E1839" s="77"/>
      <c r="F1839" s="76"/>
      <c r="G1839" s="76"/>
      <c r="I1839" s="79" t="str">
        <f aca="false">IF($B1839="","",IF(ISNUMBER(MATCH($B1839,日別データ!$B$13:$B$32,0)),"✔ OK","⚠ 未登録"))</f>
        <v/>
      </c>
      <c r="J1839" s="80" t="str">
        <f aca="false">IF($B1839="","",IF($D1839="","－",IF(ISNUMBER($D1839),IF(AND($D1839&gt;=1,MOD($D1839,1)=0),"－",IF(MOD($D1839,1)&lt;$L$6,"朝",IF(MOD($D1839,1)&lt;$L$7,"昼",IF(MOD($D1839,1)&lt;$L$8,"夕方","夜")))),IF(OR($D1839="朝",$D1839="昼",$D1839="夕方",$D1839="夜"),$D1839,"⚠ 不明"))))</f>
        <v/>
      </c>
    </row>
    <row r="1840" customFormat="false" ht="15" hidden="false" customHeight="false" outlineLevel="0" collapsed="false">
      <c r="A1840" s="75"/>
      <c r="B1840" s="76"/>
      <c r="C1840" s="77"/>
      <c r="D1840" s="78"/>
      <c r="E1840" s="77"/>
      <c r="F1840" s="76"/>
      <c r="G1840" s="76"/>
      <c r="I1840" s="79" t="str">
        <f aca="false">IF($B1840="","",IF(ISNUMBER(MATCH($B1840,日別データ!$B$13:$B$32,0)),"✔ OK","⚠ 未登録"))</f>
        <v/>
      </c>
      <c r="J1840" s="80" t="str">
        <f aca="false">IF($B1840="","",IF($D1840="","－",IF(ISNUMBER($D1840),IF(AND($D1840&gt;=1,MOD($D1840,1)=0),"－",IF(MOD($D1840,1)&lt;$L$6,"朝",IF(MOD($D1840,1)&lt;$L$7,"昼",IF(MOD($D1840,1)&lt;$L$8,"夕方","夜")))),IF(OR($D1840="朝",$D1840="昼",$D1840="夕方",$D1840="夜"),$D1840,"⚠ 不明"))))</f>
        <v/>
      </c>
    </row>
    <row r="1841" customFormat="false" ht="15" hidden="false" customHeight="false" outlineLevel="0" collapsed="false">
      <c r="A1841" s="75"/>
      <c r="B1841" s="76"/>
      <c r="C1841" s="77"/>
      <c r="D1841" s="78"/>
      <c r="E1841" s="77"/>
      <c r="F1841" s="76"/>
      <c r="G1841" s="76"/>
      <c r="I1841" s="79" t="str">
        <f aca="false">IF($B1841="","",IF(ISNUMBER(MATCH($B1841,日別データ!$B$13:$B$32,0)),"✔ OK","⚠ 未登録"))</f>
        <v/>
      </c>
      <c r="J1841" s="80" t="str">
        <f aca="false">IF($B1841="","",IF($D1841="","－",IF(ISNUMBER($D1841),IF(AND($D1841&gt;=1,MOD($D1841,1)=0),"－",IF(MOD($D1841,1)&lt;$L$6,"朝",IF(MOD($D1841,1)&lt;$L$7,"昼",IF(MOD($D1841,1)&lt;$L$8,"夕方","夜")))),IF(OR($D1841="朝",$D1841="昼",$D1841="夕方",$D1841="夜"),$D1841,"⚠ 不明"))))</f>
        <v/>
      </c>
    </row>
    <row r="1842" customFormat="false" ht="15" hidden="false" customHeight="false" outlineLevel="0" collapsed="false">
      <c r="A1842" s="75"/>
      <c r="B1842" s="76"/>
      <c r="C1842" s="77"/>
      <c r="D1842" s="78"/>
      <c r="E1842" s="77"/>
      <c r="F1842" s="76"/>
      <c r="G1842" s="76"/>
      <c r="I1842" s="79" t="str">
        <f aca="false">IF($B1842="","",IF(ISNUMBER(MATCH($B1842,日別データ!$B$13:$B$32,0)),"✔ OK","⚠ 未登録"))</f>
        <v/>
      </c>
      <c r="J1842" s="80" t="str">
        <f aca="false">IF($B1842="","",IF($D1842="","－",IF(ISNUMBER($D1842),IF(AND($D1842&gt;=1,MOD($D1842,1)=0),"－",IF(MOD($D1842,1)&lt;$L$6,"朝",IF(MOD($D1842,1)&lt;$L$7,"昼",IF(MOD($D1842,1)&lt;$L$8,"夕方","夜")))),IF(OR($D1842="朝",$D1842="昼",$D1842="夕方",$D1842="夜"),$D1842,"⚠ 不明"))))</f>
        <v/>
      </c>
    </row>
    <row r="1843" customFormat="false" ht="15" hidden="false" customHeight="false" outlineLevel="0" collapsed="false">
      <c r="A1843" s="75"/>
      <c r="B1843" s="76"/>
      <c r="C1843" s="77"/>
      <c r="D1843" s="78"/>
      <c r="E1843" s="77"/>
      <c r="F1843" s="76"/>
      <c r="G1843" s="76"/>
      <c r="I1843" s="79" t="str">
        <f aca="false">IF($B1843="","",IF(ISNUMBER(MATCH($B1843,日別データ!$B$13:$B$32,0)),"✔ OK","⚠ 未登録"))</f>
        <v/>
      </c>
      <c r="J1843" s="80" t="str">
        <f aca="false">IF($B1843="","",IF($D1843="","－",IF(ISNUMBER($D1843),IF(AND($D1843&gt;=1,MOD($D1843,1)=0),"－",IF(MOD($D1843,1)&lt;$L$6,"朝",IF(MOD($D1843,1)&lt;$L$7,"昼",IF(MOD($D1843,1)&lt;$L$8,"夕方","夜")))),IF(OR($D1843="朝",$D1843="昼",$D1843="夕方",$D1843="夜"),$D1843,"⚠ 不明"))))</f>
        <v/>
      </c>
    </row>
    <row r="1844" customFormat="false" ht="15" hidden="false" customHeight="false" outlineLevel="0" collapsed="false">
      <c r="A1844" s="75"/>
      <c r="B1844" s="76"/>
      <c r="C1844" s="77"/>
      <c r="D1844" s="78"/>
      <c r="E1844" s="77"/>
      <c r="F1844" s="76"/>
      <c r="G1844" s="76"/>
      <c r="I1844" s="79" t="str">
        <f aca="false">IF($B1844="","",IF(ISNUMBER(MATCH($B1844,日別データ!$B$13:$B$32,0)),"✔ OK","⚠ 未登録"))</f>
        <v/>
      </c>
      <c r="J1844" s="80" t="str">
        <f aca="false">IF($B1844="","",IF($D1844="","－",IF(ISNUMBER($D1844),IF(AND($D1844&gt;=1,MOD($D1844,1)=0),"－",IF(MOD($D1844,1)&lt;$L$6,"朝",IF(MOD($D1844,1)&lt;$L$7,"昼",IF(MOD($D1844,1)&lt;$L$8,"夕方","夜")))),IF(OR($D1844="朝",$D1844="昼",$D1844="夕方",$D1844="夜"),$D1844,"⚠ 不明"))))</f>
        <v/>
      </c>
    </row>
    <row r="1845" customFormat="false" ht="15" hidden="false" customHeight="false" outlineLevel="0" collapsed="false">
      <c r="A1845" s="75"/>
      <c r="B1845" s="76"/>
      <c r="C1845" s="77"/>
      <c r="D1845" s="78"/>
      <c r="E1845" s="77"/>
      <c r="F1845" s="76"/>
      <c r="G1845" s="76"/>
      <c r="I1845" s="79" t="str">
        <f aca="false">IF($B1845="","",IF(ISNUMBER(MATCH($B1845,日別データ!$B$13:$B$32,0)),"✔ OK","⚠ 未登録"))</f>
        <v/>
      </c>
      <c r="J1845" s="80" t="str">
        <f aca="false">IF($B1845="","",IF($D1845="","－",IF(ISNUMBER($D1845),IF(AND($D1845&gt;=1,MOD($D1845,1)=0),"－",IF(MOD($D1845,1)&lt;$L$6,"朝",IF(MOD($D1845,1)&lt;$L$7,"昼",IF(MOD($D1845,1)&lt;$L$8,"夕方","夜")))),IF(OR($D1845="朝",$D1845="昼",$D1845="夕方",$D1845="夜"),$D1845,"⚠ 不明"))))</f>
        <v/>
      </c>
    </row>
    <row r="1846" customFormat="false" ht="15" hidden="false" customHeight="false" outlineLevel="0" collapsed="false">
      <c r="A1846" s="75"/>
      <c r="B1846" s="76"/>
      <c r="C1846" s="77"/>
      <c r="D1846" s="78"/>
      <c r="E1846" s="77"/>
      <c r="F1846" s="76"/>
      <c r="G1846" s="76"/>
      <c r="I1846" s="79" t="str">
        <f aca="false">IF($B1846="","",IF(ISNUMBER(MATCH($B1846,日別データ!$B$13:$B$32,0)),"✔ OK","⚠ 未登録"))</f>
        <v/>
      </c>
      <c r="J1846" s="80" t="str">
        <f aca="false">IF($B1846="","",IF($D1846="","－",IF(ISNUMBER($D1846),IF(AND($D1846&gt;=1,MOD($D1846,1)=0),"－",IF(MOD($D1846,1)&lt;$L$6,"朝",IF(MOD($D1846,1)&lt;$L$7,"昼",IF(MOD($D1846,1)&lt;$L$8,"夕方","夜")))),IF(OR($D1846="朝",$D1846="昼",$D1846="夕方",$D1846="夜"),$D1846,"⚠ 不明"))))</f>
        <v/>
      </c>
    </row>
    <row r="1847" customFormat="false" ht="15" hidden="false" customHeight="false" outlineLevel="0" collapsed="false">
      <c r="A1847" s="75"/>
      <c r="B1847" s="76"/>
      <c r="C1847" s="77"/>
      <c r="D1847" s="78"/>
      <c r="E1847" s="77"/>
      <c r="F1847" s="76"/>
      <c r="G1847" s="76"/>
      <c r="I1847" s="79" t="str">
        <f aca="false">IF($B1847="","",IF(ISNUMBER(MATCH($B1847,日別データ!$B$13:$B$32,0)),"✔ OK","⚠ 未登録"))</f>
        <v/>
      </c>
      <c r="J1847" s="80" t="str">
        <f aca="false">IF($B1847="","",IF($D1847="","－",IF(ISNUMBER($D1847),IF(AND($D1847&gt;=1,MOD($D1847,1)=0),"－",IF(MOD($D1847,1)&lt;$L$6,"朝",IF(MOD($D1847,1)&lt;$L$7,"昼",IF(MOD($D1847,1)&lt;$L$8,"夕方","夜")))),IF(OR($D1847="朝",$D1847="昼",$D1847="夕方",$D1847="夜"),$D1847,"⚠ 不明"))))</f>
        <v/>
      </c>
    </row>
    <row r="1848" customFormat="false" ht="15" hidden="false" customHeight="false" outlineLevel="0" collapsed="false">
      <c r="A1848" s="75"/>
      <c r="B1848" s="76"/>
      <c r="C1848" s="77"/>
      <c r="D1848" s="78"/>
      <c r="E1848" s="77"/>
      <c r="F1848" s="76"/>
      <c r="G1848" s="76"/>
      <c r="I1848" s="79" t="str">
        <f aca="false">IF($B1848="","",IF(ISNUMBER(MATCH($B1848,日別データ!$B$13:$B$32,0)),"✔ OK","⚠ 未登録"))</f>
        <v/>
      </c>
      <c r="J1848" s="80" t="str">
        <f aca="false">IF($B1848="","",IF($D1848="","－",IF(ISNUMBER($D1848),IF(AND($D1848&gt;=1,MOD($D1848,1)=0),"－",IF(MOD($D1848,1)&lt;$L$6,"朝",IF(MOD($D1848,1)&lt;$L$7,"昼",IF(MOD($D1848,1)&lt;$L$8,"夕方","夜")))),IF(OR($D1848="朝",$D1848="昼",$D1848="夕方",$D1848="夜"),$D1848,"⚠ 不明"))))</f>
        <v/>
      </c>
    </row>
    <row r="1849" customFormat="false" ht="15" hidden="false" customHeight="false" outlineLevel="0" collapsed="false">
      <c r="A1849" s="75"/>
      <c r="B1849" s="76"/>
      <c r="C1849" s="77"/>
      <c r="D1849" s="78"/>
      <c r="E1849" s="77"/>
      <c r="F1849" s="76"/>
      <c r="G1849" s="76"/>
      <c r="I1849" s="79" t="str">
        <f aca="false">IF($B1849="","",IF(ISNUMBER(MATCH($B1849,日別データ!$B$13:$B$32,0)),"✔ OK","⚠ 未登録"))</f>
        <v/>
      </c>
      <c r="J1849" s="80" t="str">
        <f aca="false">IF($B1849="","",IF($D1849="","－",IF(ISNUMBER($D1849),IF(AND($D1849&gt;=1,MOD($D1849,1)=0),"－",IF(MOD($D1849,1)&lt;$L$6,"朝",IF(MOD($D1849,1)&lt;$L$7,"昼",IF(MOD($D1849,1)&lt;$L$8,"夕方","夜")))),IF(OR($D1849="朝",$D1849="昼",$D1849="夕方",$D1849="夜"),$D1849,"⚠ 不明"))))</f>
        <v/>
      </c>
    </row>
    <row r="1850" customFormat="false" ht="15" hidden="false" customHeight="false" outlineLevel="0" collapsed="false">
      <c r="A1850" s="75"/>
      <c r="B1850" s="76"/>
      <c r="C1850" s="77"/>
      <c r="D1850" s="78"/>
      <c r="E1850" s="77"/>
      <c r="F1850" s="76"/>
      <c r="G1850" s="76"/>
      <c r="I1850" s="79" t="str">
        <f aca="false">IF($B1850="","",IF(ISNUMBER(MATCH($B1850,日別データ!$B$13:$B$32,0)),"✔ OK","⚠ 未登録"))</f>
        <v/>
      </c>
      <c r="J1850" s="80" t="str">
        <f aca="false">IF($B1850="","",IF($D1850="","－",IF(ISNUMBER($D1850),IF(AND($D1850&gt;=1,MOD($D1850,1)=0),"－",IF(MOD($D1850,1)&lt;$L$6,"朝",IF(MOD($D1850,1)&lt;$L$7,"昼",IF(MOD($D1850,1)&lt;$L$8,"夕方","夜")))),IF(OR($D1850="朝",$D1850="昼",$D1850="夕方",$D1850="夜"),$D1850,"⚠ 不明"))))</f>
        <v/>
      </c>
    </row>
    <row r="1851" customFormat="false" ht="15" hidden="false" customHeight="false" outlineLevel="0" collapsed="false">
      <c r="A1851" s="75"/>
      <c r="B1851" s="76"/>
      <c r="C1851" s="77"/>
      <c r="D1851" s="78"/>
      <c r="E1851" s="77"/>
      <c r="F1851" s="76"/>
      <c r="G1851" s="76"/>
      <c r="I1851" s="79" t="str">
        <f aca="false">IF($B1851="","",IF(ISNUMBER(MATCH($B1851,日別データ!$B$13:$B$32,0)),"✔ OK","⚠ 未登録"))</f>
        <v/>
      </c>
      <c r="J1851" s="80" t="str">
        <f aca="false">IF($B1851="","",IF($D1851="","－",IF(ISNUMBER($D1851),IF(AND($D1851&gt;=1,MOD($D1851,1)=0),"－",IF(MOD($D1851,1)&lt;$L$6,"朝",IF(MOD($D1851,1)&lt;$L$7,"昼",IF(MOD($D1851,1)&lt;$L$8,"夕方","夜")))),IF(OR($D1851="朝",$D1851="昼",$D1851="夕方",$D1851="夜"),$D1851,"⚠ 不明"))))</f>
        <v/>
      </c>
    </row>
    <row r="1852" customFormat="false" ht="15" hidden="false" customHeight="false" outlineLevel="0" collapsed="false">
      <c r="A1852" s="75"/>
      <c r="B1852" s="76"/>
      <c r="C1852" s="77"/>
      <c r="D1852" s="78"/>
      <c r="E1852" s="77"/>
      <c r="F1852" s="76"/>
      <c r="G1852" s="76"/>
      <c r="I1852" s="79" t="str">
        <f aca="false">IF($B1852="","",IF(ISNUMBER(MATCH($B1852,日別データ!$B$13:$B$32,0)),"✔ OK","⚠ 未登録"))</f>
        <v/>
      </c>
      <c r="J1852" s="80" t="str">
        <f aca="false">IF($B1852="","",IF($D1852="","－",IF(ISNUMBER($D1852),IF(AND($D1852&gt;=1,MOD($D1852,1)=0),"－",IF(MOD($D1852,1)&lt;$L$6,"朝",IF(MOD($D1852,1)&lt;$L$7,"昼",IF(MOD($D1852,1)&lt;$L$8,"夕方","夜")))),IF(OR($D1852="朝",$D1852="昼",$D1852="夕方",$D1852="夜"),$D1852,"⚠ 不明"))))</f>
        <v/>
      </c>
    </row>
    <row r="1853" customFormat="false" ht="15" hidden="false" customHeight="false" outlineLevel="0" collapsed="false">
      <c r="A1853" s="75"/>
      <c r="B1853" s="76"/>
      <c r="C1853" s="77"/>
      <c r="D1853" s="78"/>
      <c r="E1853" s="77"/>
      <c r="F1853" s="76"/>
      <c r="G1853" s="76"/>
      <c r="I1853" s="79" t="str">
        <f aca="false">IF($B1853="","",IF(ISNUMBER(MATCH($B1853,日別データ!$B$13:$B$32,0)),"✔ OK","⚠ 未登録"))</f>
        <v/>
      </c>
      <c r="J1853" s="80" t="str">
        <f aca="false">IF($B1853="","",IF($D1853="","－",IF(ISNUMBER($D1853),IF(AND($D1853&gt;=1,MOD($D1853,1)=0),"－",IF(MOD($D1853,1)&lt;$L$6,"朝",IF(MOD($D1853,1)&lt;$L$7,"昼",IF(MOD($D1853,1)&lt;$L$8,"夕方","夜")))),IF(OR($D1853="朝",$D1853="昼",$D1853="夕方",$D1853="夜"),$D1853,"⚠ 不明"))))</f>
        <v/>
      </c>
    </row>
    <row r="1854" customFormat="false" ht="15" hidden="false" customHeight="false" outlineLevel="0" collapsed="false">
      <c r="A1854" s="75"/>
      <c r="B1854" s="76"/>
      <c r="C1854" s="77"/>
      <c r="D1854" s="78"/>
      <c r="E1854" s="77"/>
      <c r="F1854" s="76"/>
      <c r="G1854" s="76"/>
      <c r="I1854" s="79" t="str">
        <f aca="false">IF($B1854="","",IF(ISNUMBER(MATCH($B1854,日別データ!$B$13:$B$32,0)),"✔ OK","⚠ 未登録"))</f>
        <v/>
      </c>
      <c r="J1854" s="80" t="str">
        <f aca="false">IF($B1854="","",IF($D1854="","－",IF(ISNUMBER($D1854),IF(AND($D1854&gt;=1,MOD($D1854,1)=0),"－",IF(MOD($D1854,1)&lt;$L$6,"朝",IF(MOD($D1854,1)&lt;$L$7,"昼",IF(MOD($D1854,1)&lt;$L$8,"夕方","夜")))),IF(OR($D1854="朝",$D1854="昼",$D1854="夕方",$D1854="夜"),$D1854,"⚠ 不明"))))</f>
        <v/>
      </c>
    </row>
    <row r="1855" customFormat="false" ht="15" hidden="false" customHeight="false" outlineLevel="0" collapsed="false">
      <c r="A1855" s="75"/>
      <c r="B1855" s="76"/>
      <c r="C1855" s="77"/>
      <c r="D1855" s="78"/>
      <c r="E1855" s="77"/>
      <c r="F1855" s="76"/>
      <c r="G1855" s="76"/>
      <c r="I1855" s="79" t="str">
        <f aca="false">IF($B1855="","",IF(ISNUMBER(MATCH($B1855,日別データ!$B$13:$B$32,0)),"✔ OK","⚠ 未登録"))</f>
        <v/>
      </c>
      <c r="J1855" s="80" t="str">
        <f aca="false">IF($B1855="","",IF($D1855="","－",IF(ISNUMBER($D1855),IF(AND($D1855&gt;=1,MOD($D1855,1)=0),"－",IF(MOD($D1855,1)&lt;$L$6,"朝",IF(MOD($D1855,1)&lt;$L$7,"昼",IF(MOD($D1855,1)&lt;$L$8,"夕方","夜")))),IF(OR($D1855="朝",$D1855="昼",$D1855="夕方",$D1855="夜"),$D1855,"⚠ 不明"))))</f>
        <v/>
      </c>
    </row>
    <row r="1856" customFormat="false" ht="15" hidden="false" customHeight="false" outlineLevel="0" collapsed="false">
      <c r="A1856" s="75"/>
      <c r="B1856" s="76"/>
      <c r="C1856" s="77"/>
      <c r="D1856" s="78"/>
      <c r="E1856" s="77"/>
      <c r="F1856" s="76"/>
      <c r="G1856" s="76"/>
      <c r="I1856" s="79" t="str">
        <f aca="false">IF($B1856="","",IF(ISNUMBER(MATCH($B1856,日別データ!$B$13:$B$32,0)),"✔ OK","⚠ 未登録"))</f>
        <v/>
      </c>
      <c r="J1856" s="80" t="str">
        <f aca="false">IF($B1856="","",IF($D1856="","－",IF(ISNUMBER($D1856),IF(AND($D1856&gt;=1,MOD($D1856,1)=0),"－",IF(MOD($D1856,1)&lt;$L$6,"朝",IF(MOD($D1856,1)&lt;$L$7,"昼",IF(MOD($D1856,1)&lt;$L$8,"夕方","夜")))),IF(OR($D1856="朝",$D1856="昼",$D1856="夕方",$D1856="夜"),$D1856,"⚠ 不明"))))</f>
        <v/>
      </c>
    </row>
    <row r="1857" customFormat="false" ht="15" hidden="false" customHeight="false" outlineLevel="0" collapsed="false">
      <c r="A1857" s="75"/>
      <c r="B1857" s="76"/>
      <c r="C1857" s="77"/>
      <c r="D1857" s="78"/>
      <c r="E1857" s="77"/>
      <c r="F1857" s="76"/>
      <c r="G1857" s="76"/>
      <c r="I1857" s="79" t="str">
        <f aca="false">IF($B1857="","",IF(ISNUMBER(MATCH($B1857,日別データ!$B$13:$B$32,0)),"✔ OK","⚠ 未登録"))</f>
        <v/>
      </c>
      <c r="J1857" s="80" t="str">
        <f aca="false">IF($B1857="","",IF($D1857="","－",IF(ISNUMBER($D1857),IF(AND($D1857&gt;=1,MOD($D1857,1)=0),"－",IF(MOD($D1857,1)&lt;$L$6,"朝",IF(MOD($D1857,1)&lt;$L$7,"昼",IF(MOD($D1857,1)&lt;$L$8,"夕方","夜")))),IF(OR($D1857="朝",$D1857="昼",$D1857="夕方",$D1857="夜"),$D1857,"⚠ 不明"))))</f>
        <v/>
      </c>
    </row>
    <row r="1858" customFormat="false" ht="15" hidden="false" customHeight="false" outlineLevel="0" collapsed="false">
      <c r="A1858" s="75"/>
      <c r="B1858" s="76"/>
      <c r="C1858" s="77"/>
      <c r="D1858" s="78"/>
      <c r="E1858" s="77"/>
      <c r="F1858" s="76"/>
      <c r="G1858" s="76"/>
      <c r="I1858" s="79" t="str">
        <f aca="false">IF($B1858="","",IF(ISNUMBER(MATCH($B1858,日別データ!$B$13:$B$32,0)),"✔ OK","⚠ 未登録"))</f>
        <v/>
      </c>
      <c r="J1858" s="80" t="str">
        <f aca="false">IF($B1858="","",IF($D1858="","－",IF(ISNUMBER($D1858),IF(AND($D1858&gt;=1,MOD($D1858,1)=0),"－",IF(MOD($D1858,1)&lt;$L$6,"朝",IF(MOD($D1858,1)&lt;$L$7,"昼",IF(MOD($D1858,1)&lt;$L$8,"夕方","夜")))),IF(OR($D1858="朝",$D1858="昼",$D1858="夕方",$D1858="夜"),$D1858,"⚠ 不明"))))</f>
        <v/>
      </c>
    </row>
    <row r="1859" customFormat="false" ht="15" hidden="false" customHeight="false" outlineLevel="0" collapsed="false">
      <c r="A1859" s="75"/>
      <c r="B1859" s="76"/>
      <c r="C1859" s="77"/>
      <c r="D1859" s="78"/>
      <c r="E1859" s="77"/>
      <c r="F1859" s="76"/>
      <c r="G1859" s="76"/>
      <c r="I1859" s="79" t="str">
        <f aca="false">IF($B1859="","",IF(ISNUMBER(MATCH($B1859,日別データ!$B$13:$B$32,0)),"✔ OK","⚠ 未登録"))</f>
        <v/>
      </c>
      <c r="J1859" s="80" t="str">
        <f aca="false">IF($B1859="","",IF($D1859="","－",IF(ISNUMBER($D1859),IF(AND($D1859&gt;=1,MOD($D1859,1)=0),"－",IF(MOD($D1859,1)&lt;$L$6,"朝",IF(MOD($D1859,1)&lt;$L$7,"昼",IF(MOD($D1859,1)&lt;$L$8,"夕方","夜")))),IF(OR($D1859="朝",$D1859="昼",$D1859="夕方",$D1859="夜"),$D1859,"⚠ 不明"))))</f>
        <v/>
      </c>
    </row>
    <row r="1860" customFormat="false" ht="15" hidden="false" customHeight="false" outlineLevel="0" collapsed="false">
      <c r="A1860" s="75"/>
      <c r="B1860" s="76"/>
      <c r="C1860" s="77"/>
      <c r="D1860" s="78"/>
      <c r="E1860" s="77"/>
      <c r="F1860" s="76"/>
      <c r="G1860" s="76"/>
      <c r="I1860" s="79" t="str">
        <f aca="false">IF($B1860="","",IF(ISNUMBER(MATCH($B1860,日別データ!$B$13:$B$32,0)),"✔ OK","⚠ 未登録"))</f>
        <v/>
      </c>
      <c r="J1860" s="80" t="str">
        <f aca="false">IF($B1860="","",IF($D1860="","－",IF(ISNUMBER($D1860),IF(AND($D1860&gt;=1,MOD($D1860,1)=0),"－",IF(MOD($D1860,1)&lt;$L$6,"朝",IF(MOD($D1860,1)&lt;$L$7,"昼",IF(MOD($D1860,1)&lt;$L$8,"夕方","夜")))),IF(OR($D1860="朝",$D1860="昼",$D1860="夕方",$D1860="夜"),$D1860,"⚠ 不明"))))</f>
        <v/>
      </c>
    </row>
    <row r="1861" customFormat="false" ht="15" hidden="false" customHeight="false" outlineLevel="0" collapsed="false">
      <c r="A1861" s="75"/>
      <c r="B1861" s="76"/>
      <c r="C1861" s="77"/>
      <c r="D1861" s="78"/>
      <c r="E1861" s="77"/>
      <c r="F1861" s="76"/>
      <c r="G1861" s="76"/>
      <c r="I1861" s="79" t="str">
        <f aca="false">IF($B1861="","",IF(ISNUMBER(MATCH($B1861,日別データ!$B$13:$B$32,0)),"✔ OK","⚠ 未登録"))</f>
        <v/>
      </c>
      <c r="J1861" s="80" t="str">
        <f aca="false">IF($B1861="","",IF($D1861="","－",IF(ISNUMBER($D1861),IF(AND($D1861&gt;=1,MOD($D1861,1)=0),"－",IF(MOD($D1861,1)&lt;$L$6,"朝",IF(MOD($D1861,1)&lt;$L$7,"昼",IF(MOD($D1861,1)&lt;$L$8,"夕方","夜")))),IF(OR($D1861="朝",$D1861="昼",$D1861="夕方",$D1861="夜"),$D1861,"⚠ 不明"))))</f>
        <v/>
      </c>
    </row>
    <row r="1862" customFormat="false" ht="15" hidden="false" customHeight="false" outlineLevel="0" collapsed="false">
      <c r="A1862" s="75"/>
      <c r="B1862" s="76"/>
      <c r="C1862" s="77"/>
      <c r="D1862" s="78"/>
      <c r="E1862" s="77"/>
      <c r="F1862" s="76"/>
      <c r="G1862" s="76"/>
      <c r="I1862" s="79" t="str">
        <f aca="false">IF($B1862="","",IF(ISNUMBER(MATCH($B1862,日別データ!$B$13:$B$32,0)),"✔ OK","⚠ 未登録"))</f>
        <v/>
      </c>
      <c r="J1862" s="80" t="str">
        <f aca="false">IF($B1862="","",IF($D1862="","－",IF(ISNUMBER($D1862),IF(AND($D1862&gt;=1,MOD($D1862,1)=0),"－",IF(MOD($D1862,1)&lt;$L$6,"朝",IF(MOD($D1862,1)&lt;$L$7,"昼",IF(MOD($D1862,1)&lt;$L$8,"夕方","夜")))),IF(OR($D1862="朝",$D1862="昼",$D1862="夕方",$D1862="夜"),$D1862,"⚠ 不明"))))</f>
        <v/>
      </c>
    </row>
    <row r="1863" customFormat="false" ht="15" hidden="false" customHeight="false" outlineLevel="0" collapsed="false">
      <c r="A1863" s="75"/>
      <c r="B1863" s="76"/>
      <c r="C1863" s="77"/>
      <c r="D1863" s="78"/>
      <c r="E1863" s="77"/>
      <c r="F1863" s="76"/>
      <c r="G1863" s="76"/>
      <c r="I1863" s="79" t="str">
        <f aca="false">IF($B1863="","",IF(ISNUMBER(MATCH($B1863,日別データ!$B$13:$B$32,0)),"✔ OK","⚠ 未登録"))</f>
        <v/>
      </c>
      <c r="J1863" s="80" t="str">
        <f aca="false">IF($B1863="","",IF($D1863="","－",IF(ISNUMBER($D1863),IF(AND($D1863&gt;=1,MOD($D1863,1)=0),"－",IF(MOD($D1863,1)&lt;$L$6,"朝",IF(MOD($D1863,1)&lt;$L$7,"昼",IF(MOD($D1863,1)&lt;$L$8,"夕方","夜")))),IF(OR($D1863="朝",$D1863="昼",$D1863="夕方",$D1863="夜"),$D1863,"⚠ 不明"))))</f>
        <v/>
      </c>
    </row>
    <row r="1864" customFormat="false" ht="15" hidden="false" customHeight="false" outlineLevel="0" collapsed="false">
      <c r="A1864" s="75"/>
      <c r="B1864" s="76"/>
      <c r="C1864" s="77"/>
      <c r="D1864" s="78"/>
      <c r="E1864" s="77"/>
      <c r="F1864" s="76"/>
      <c r="G1864" s="76"/>
      <c r="I1864" s="79" t="str">
        <f aca="false">IF($B1864="","",IF(ISNUMBER(MATCH($B1864,日別データ!$B$13:$B$32,0)),"✔ OK","⚠ 未登録"))</f>
        <v/>
      </c>
      <c r="J1864" s="80" t="str">
        <f aca="false">IF($B1864="","",IF($D1864="","－",IF(ISNUMBER($D1864),IF(AND($D1864&gt;=1,MOD($D1864,1)=0),"－",IF(MOD($D1864,1)&lt;$L$6,"朝",IF(MOD($D1864,1)&lt;$L$7,"昼",IF(MOD($D1864,1)&lt;$L$8,"夕方","夜")))),IF(OR($D1864="朝",$D1864="昼",$D1864="夕方",$D1864="夜"),$D1864,"⚠ 不明"))))</f>
        <v/>
      </c>
    </row>
    <row r="1865" customFormat="false" ht="15" hidden="false" customHeight="false" outlineLevel="0" collapsed="false">
      <c r="A1865" s="75"/>
      <c r="B1865" s="76"/>
      <c r="C1865" s="77"/>
      <c r="D1865" s="78"/>
      <c r="E1865" s="77"/>
      <c r="F1865" s="76"/>
      <c r="G1865" s="76"/>
      <c r="I1865" s="79" t="str">
        <f aca="false">IF($B1865="","",IF(ISNUMBER(MATCH($B1865,日別データ!$B$13:$B$32,0)),"✔ OK","⚠ 未登録"))</f>
        <v/>
      </c>
      <c r="J1865" s="80" t="str">
        <f aca="false">IF($B1865="","",IF($D1865="","－",IF(ISNUMBER($D1865),IF(AND($D1865&gt;=1,MOD($D1865,1)=0),"－",IF(MOD($D1865,1)&lt;$L$6,"朝",IF(MOD($D1865,1)&lt;$L$7,"昼",IF(MOD($D1865,1)&lt;$L$8,"夕方","夜")))),IF(OR($D1865="朝",$D1865="昼",$D1865="夕方",$D1865="夜"),$D1865,"⚠ 不明"))))</f>
        <v/>
      </c>
    </row>
    <row r="1866" customFormat="false" ht="15" hidden="false" customHeight="false" outlineLevel="0" collapsed="false">
      <c r="A1866" s="75"/>
      <c r="B1866" s="76"/>
      <c r="C1866" s="77"/>
      <c r="D1866" s="78"/>
      <c r="E1866" s="77"/>
      <c r="F1866" s="76"/>
      <c r="G1866" s="76"/>
      <c r="I1866" s="79" t="str">
        <f aca="false">IF($B1866="","",IF(ISNUMBER(MATCH($B1866,日別データ!$B$13:$B$32,0)),"✔ OK","⚠ 未登録"))</f>
        <v/>
      </c>
      <c r="J1866" s="80" t="str">
        <f aca="false">IF($B1866="","",IF($D1866="","－",IF(ISNUMBER($D1866),IF(AND($D1866&gt;=1,MOD($D1866,1)=0),"－",IF(MOD($D1866,1)&lt;$L$6,"朝",IF(MOD($D1866,1)&lt;$L$7,"昼",IF(MOD($D1866,1)&lt;$L$8,"夕方","夜")))),IF(OR($D1866="朝",$D1866="昼",$D1866="夕方",$D1866="夜"),$D1866,"⚠ 不明"))))</f>
        <v/>
      </c>
    </row>
    <row r="1867" customFormat="false" ht="15" hidden="false" customHeight="false" outlineLevel="0" collapsed="false">
      <c r="A1867" s="75"/>
      <c r="B1867" s="76"/>
      <c r="C1867" s="77"/>
      <c r="D1867" s="78"/>
      <c r="E1867" s="77"/>
      <c r="F1867" s="76"/>
      <c r="G1867" s="76"/>
      <c r="I1867" s="79" t="str">
        <f aca="false">IF($B1867="","",IF(ISNUMBER(MATCH($B1867,日別データ!$B$13:$B$32,0)),"✔ OK","⚠ 未登録"))</f>
        <v/>
      </c>
      <c r="J1867" s="80" t="str">
        <f aca="false">IF($B1867="","",IF($D1867="","－",IF(ISNUMBER($D1867),IF(AND($D1867&gt;=1,MOD($D1867,1)=0),"－",IF(MOD($D1867,1)&lt;$L$6,"朝",IF(MOD($D1867,1)&lt;$L$7,"昼",IF(MOD($D1867,1)&lt;$L$8,"夕方","夜")))),IF(OR($D1867="朝",$D1867="昼",$D1867="夕方",$D1867="夜"),$D1867,"⚠ 不明"))))</f>
        <v/>
      </c>
    </row>
    <row r="1868" customFormat="false" ht="15" hidden="false" customHeight="false" outlineLevel="0" collapsed="false">
      <c r="A1868" s="75"/>
      <c r="B1868" s="76"/>
      <c r="C1868" s="77"/>
      <c r="D1868" s="78"/>
      <c r="E1868" s="77"/>
      <c r="F1868" s="76"/>
      <c r="G1868" s="76"/>
      <c r="I1868" s="79" t="str">
        <f aca="false">IF($B1868="","",IF(ISNUMBER(MATCH($B1868,日別データ!$B$13:$B$32,0)),"✔ OK","⚠ 未登録"))</f>
        <v/>
      </c>
      <c r="J1868" s="80" t="str">
        <f aca="false">IF($B1868="","",IF($D1868="","－",IF(ISNUMBER($D1868),IF(AND($D1868&gt;=1,MOD($D1868,1)=0),"－",IF(MOD($D1868,1)&lt;$L$6,"朝",IF(MOD($D1868,1)&lt;$L$7,"昼",IF(MOD($D1868,1)&lt;$L$8,"夕方","夜")))),IF(OR($D1868="朝",$D1868="昼",$D1868="夕方",$D1868="夜"),$D1868,"⚠ 不明"))))</f>
        <v/>
      </c>
    </row>
    <row r="1869" customFormat="false" ht="15" hidden="false" customHeight="false" outlineLevel="0" collapsed="false">
      <c r="A1869" s="75"/>
      <c r="B1869" s="76"/>
      <c r="C1869" s="77"/>
      <c r="D1869" s="78"/>
      <c r="E1869" s="77"/>
      <c r="F1869" s="76"/>
      <c r="G1869" s="76"/>
      <c r="I1869" s="79" t="str">
        <f aca="false">IF($B1869="","",IF(ISNUMBER(MATCH($B1869,日別データ!$B$13:$B$32,0)),"✔ OK","⚠ 未登録"))</f>
        <v/>
      </c>
      <c r="J1869" s="80" t="str">
        <f aca="false">IF($B1869="","",IF($D1869="","－",IF(ISNUMBER($D1869),IF(AND($D1869&gt;=1,MOD($D1869,1)=0),"－",IF(MOD($D1869,1)&lt;$L$6,"朝",IF(MOD($D1869,1)&lt;$L$7,"昼",IF(MOD($D1869,1)&lt;$L$8,"夕方","夜")))),IF(OR($D1869="朝",$D1869="昼",$D1869="夕方",$D1869="夜"),$D1869,"⚠ 不明"))))</f>
        <v/>
      </c>
    </row>
    <row r="1870" customFormat="false" ht="15" hidden="false" customHeight="false" outlineLevel="0" collapsed="false">
      <c r="A1870" s="75"/>
      <c r="B1870" s="76"/>
      <c r="C1870" s="77"/>
      <c r="D1870" s="78"/>
      <c r="E1870" s="77"/>
      <c r="F1870" s="76"/>
      <c r="G1870" s="76"/>
      <c r="I1870" s="79" t="str">
        <f aca="false">IF($B1870="","",IF(ISNUMBER(MATCH($B1870,日別データ!$B$13:$B$32,0)),"✔ OK","⚠ 未登録"))</f>
        <v/>
      </c>
      <c r="J1870" s="80" t="str">
        <f aca="false">IF($B1870="","",IF($D1870="","－",IF(ISNUMBER($D1870),IF(AND($D1870&gt;=1,MOD($D1870,1)=0),"－",IF(MOD($D1870,1)&lt;$L$6,"朝",IF(MOD($D1870,1)&lt;$L$7,"昼",IF(MOD($D1870,1)&lt;$L$8,"夕方","夜")))),IF(OR($D1870="朝",$D1870="昼",$D1870="夕方",$D1870="夜"),$D1870,"⚠ 不明"))))</f>
        <v/>
      </c>
    </row>
    <row r="1871" customFormat="false" ht="15" hidden="false" customHeight="false" outlineLevel="0" collapsed="false">
      <c r="A1871" s="75"/>
      <c r="B1871" s="76"/>
      <c r="C1871" s="77"/>
      <c r="D1871" s="78"/>
      <c r="E1871" s="77"/>
      <c r="F1871" s="76"/>
      <c r="G1871" s="76"/>
      <c r="I1871" s="79" t="str">
        <f aca="false">IF($B1871="","",IF(ISNUMBER(MATCH($B1871,日別データ!$B$13:$B$32,0)),"✔ OK","⚠ 未登録"))</f>
        <v/>
      </c>
      <c r="J1871" s="80" t="str">
        <f aca="false">IF($B1871="","",IF($D1871="","－",IF(ISNUMBER($D1871),IF(AND($D1871&gt;=1,MOD($D1871,1)=0),"－",IF(MOD($D1871,1)&lt;$L$6,"朝",IF(MOD($D1871,1)&lt;$L$7,"昼",IF(MOD($D1871,1)&lt;$L$8,"夕方","夜")))),IF(OR($D1871="朝",$D1871="昼",$D1871="夕方",$D1871="夜"),$D1871,"⚠ 不明"))))</f>
        <v/>
      </c>
    </row>
    <row r="1872" customFormat="false" ht="15" hidden="false" customHeight="false" outlineLevel="0" collapsed="false">
      <c r="A1872" s="75"/>
      <c r="B1872" s="76"/>
      <c r="C1872" s="77"/>
      <c r="D1872" s="78"/>
      <c r="E1872" s="77"/>
      <c r="F1872" s="76"/>
      <c r="G1872" s="76"/>
      <c r="I1872" s="79" t="str">
        <f aca="false">IF($B1872="","",IF(ISNUMBER(MATCH($B1872,日別データ!$B$13:$B$32,0)),"✔ OK","⚠ 未登録"))</f>
        <v/>
      </c>
      <c r="J1872" s="80" t="str">
        <f aca="false">IF($B1872="","",IF($D1872="","－",IF(ISNUMBER($D1872),IF(AND($D1872&gt;=1,MOD($D1872,1)=0),"－",IF(MOD($D1872,1)&lt;$L$6,"朝",IF(MOD($D1872,1)&lt;$L$7,"昼",IF(MOD($D1872,1)&lt;$L$8,"夕方","夜")))),IF(OR($D1872="朝",$D1872="昼",$D1872="夕方",$D1872="夜"),$D1872,"⚠ 不明"))))</f>
        <v/>
      </c>
    </row>
    <row r="1873" customFormat="false" ht="15" hidden="false" customHeight="false" outlineLevel="0" collapsed="false">
      <c r="A1873" s="75"/>
      <c r="B1873" s="76"/>
      <c r="C1873" s="77"/>
      <c r="D1873" s="78"/>
      <c r="E1873" s="77"/>
      <c r="F1873" s="76"/>
      <c r="G1873" s="76"/>
      <c r="I1873" s="79" t="str">
        <f aca="false">IF($B1873="","",IF(ISNUMBER(MATCH($B1873,日別データ!$B$13:$B$32,0)),"✔ OK","⚠ 未登録"))</f>
        <v/>
      </c>
      <c r="J1873" s="80" t="str">
        <f aca="false">IF($B1873="","",IF($D1873="","－",IF(ISNUMBER($D1873),IF(AND($D1873&gt;=1,MOD($D1873,1)=0),"－",IF(MOD($D1873,1)&lt;$L$6,"朝",IF(MOD($D1873,1)&lt;$L$7,"昼",IF(MOD($D1873,1)&lt;$L$8,"夕方","夜")))),IF(OR($D1873="朝",$D1873="昼",$D1873="夕方",$D1873="夜"),$D1873,"⚠ 不明"))))</f>
        <v/>
      </c>
    </row>
    <row r="1874" customFormat="false" ht="15" hidden="false" customHeight="false" outlineLevel="0" collapsed="false">
      <c r="A1874" s="75"/>
      <c r="B1874" s="76"/>
      <c r="C1874" s="77"/>
      <c r="D1874" s="78"/>
      <c r="E1874" s="77"/>
      <c r="F1874" s="76"/>
      <c r="G1874" s="76"/>
      <c r="I1874" s="79" t="str">
        <f aca="false">IF($B1874="","",IF(ISNUMBER(MATCH($B1874,日別データ!$B$13:$B$32,0)),"✔ OK","⚠ 未登録"))</f>
        <v/>
      </c>
      <c r="J1874" s="80" t="str">
        <f aca="false">IF($B1874="","",IF($D1874="","－",IF(ISNUMBER($D1874),IF(AND($D1874&gt;=1,MOD($D1874,1)=0),"－",IF(MOD($D1874,1)&lt;$L$6,"朝",IF(MOD($D1874,1)&lt;$L$7,"昼",IF(MOD($D1874,1)&lt;$L$8,"夕方","夜")))),IF(OR($D1874="朝",$D1874="昼",$D1874="夕方",$D1874="夜"),$D1874,"⚠ 不明"))))</f>
        <v/>
      </c>
    </row>
    <row r="1875" customFormat="false" ht="15" hidden="false" customHeight="false" outlineLevel="0" collapsed="false">
      <c r="A1875" s="75"/>
      <c r="B1875" s="76"/>
      <c r="C1875" s="77"/>
      <c r="D1875" s="78"/>
      <c r="E1875" s="77"/>
      <c r="F1875" s="76"/>
      <c r="G1875" s="76"/>
      <c r="I1875" s="79" t="str">
        <f aca="false">IF($B1875="","",IF(ISNUMBER(MATCH($B1875,日別データ!$B$13:$B$32,0)),"✔ OK","⚠ 未登録"))</f>
        <v/>
      </c>
      <c r="J1875" s="80" t="str">
        <f aca="false">IF($B1875="","",IF($D1875="","－",IF(ISNUMBER($D1875),IF(AND($D1875&gt;=1,MOD($D1875,1)=0),"－",IF(MOD($D1875,1)&lt;$L$6,"朝",IF(MOD($D1875,1)&lt;$L$7,"昼",IF(MOD($D1875,1)&lt;$L$8,"夕方","夜")))),IF(OR($D1875="朝",$D1875="昼",$D1875="夕方",$D1875="夜"),$D1875,"⚠ 不明"))))</f>
        <v/>
      </c>
    </row>
    <row r="1876" customFormat="false" ht="15" hidden="false" customHeight="false" outlineLevel="0" collapsed="false">
      <c r="A1876" s="75"/>
      <c r="B1876" s="76"/>
      <c r="C1876" s="77"/>
      <c r="D1876" s="78"/>
      <c r="E1876" s="77"/>
      <c r="F1876" s="76"/>
      <c r="G1876" s="76"/>
      <c r="I1876" s="79" t="str">
        <f aca="false">IF($B1876="","",IF(ISNUMBER(MATCH($B1876,日別データ!$B$13:$B$32,0)),"✔ OK","⚠ 未登録"))</f>
        <v/>
      </c>
      <c r="J1876" s="80" t="str">
        <f aca="false">IF($B1876="","",IF($D1876="","－",IF(ISNUMBER($D1876),IF(AND($D1876&gt;=1,MOD($D1876,1)=0),"－",IF(MOD($D1876,1)&lt;$L$6,"朝",IF(MOD($D1876,1)&lt;$L$7,"昼",IF(MOD($D1876,1)&lt;$L$8,"夕方","夜")))),IF(OR($D1876="朝",$D1876="昼",$D1876="夕方",$D1876="夜"),$D1876,"⚠ 不明"))))</f>
        <v/>
      </c>
    </row>
    <row r="1877" customFormat="false" ht="15" hidden="false" customHeight="false" outlineLevel="0" collapsed="false">
      <c r="A1877" s="75"/>
      <c r="B1877" s="76"/>
      <c r="C1877" s="77"/>
      <c r="D1877" s="78"/>
      <c r="E1877" s="77"/>
      <c r="F1877" s="76"/>
      <c r="G1877" s="76"/>
      <c r="I1877" s="79" t="str">
        <f aca="false">IF($B1877="","",IF(ISNUMBER(MATCH($B1877,日別データ!$B$13:$B$32,0)),"✔ OK","⚠ 未登録"))</f>
        <v/>
      </c>
      <c r="J1877" s="80" t="str">
        <f aca="false">IF($B1877="","",IF($D1877="","－",IF(ISNUMBER($D1877),IF(AND($D1877&gt;=1,MOD($D1877,1)=0),"－",IF(MOD($D1877,1)&lt;$L$6,"朝",IF(MOD($D1877,1)&lt;$L$7,"昼",IF(MOD($D1877,1)&lt;$L$8,"夕方","夜")))),IF(OR($D1877="朝",$D1877="昼",$D1877="夕方",$D1877="夜"),$D1877,"⚠ 不明"))))</f>
        <v/>
      </c>
    </row>
    <row r="1878" customFormat="false" ht="15" hidden="false" customHeight="false" outlineLevel="0" collapsed="false">
      <c r="A1878" s="75"/>
      <c r="B1878" s="76"/>
      <c r="C1878" s="77"/>
      <c r="D1878" s="78"/>
      <c r="E1878" s="77"/>
      <c r="F1878" s="76"/>
      <c r="G1878" s="76"/>
      <c r="I1878" s="79" t="str">
        <f aca="false">IF($B1878="","",IF(ISNUMBER(MATCH($B1878,日別データ!$B$13:$B$32,0)),"✔ OK","⚠ 未登録"))</f>
        <v/>
      </c>
      <c r="J1878" s="80" t="str">
        <f aca="false">IF($B1878="","",IF($D1878="","－",IF(ISNUMBER($D1878),IF(AND($D1878&gt;=1,MOD($D1878,1)=0),"－",IF(MOD($D1878,1)&lt;$L$6,"朝",IF(MOD($D1878,1)&lt;$L$7,"昼",IF(MOD($D1878,1)&lt;$L$8,"夕方","夜")))),IF(OR($D1878="朝",$D1878="昼",$D1878="夕方",$D1878="夜"),$D1878,"⚠ 不明"))))</f>
        <v/>
      </c>
    </row>
    <row r="1879" customFormat="false" ht="15" hidden="false" customHeight="false" outlineLevel="0" collapsed="false">
      <c r="A1879" s="75"/>
      <c r="B1879" s="76"/>
      <c r="C1879" s="77"/>
      <c r="D1879" s="78"/>
      <c r="E1879" s="77"/>
      <c r="F1879" s="76"/>
      <c r="G1879" s="76"/>
      <c r="I1879" s="79" t="str">
        <f aca="false">IF($B1879="","",IF(ISNUMBER(MATCH($B1879,日別データ!$B$13:$B$32,0)),"✔ OK","⚠ 未登録"))</f>
        <v/>
      </c>
      <c r="J1879" s="80" t="str">
        <f aca="false">IF($B1879="","",IF($D1879="","－",IF(ISNUMBER($D1879),IF(AND($D1879&gt;=1,MOD($D1879,1)=0),"－",IF(MOD($D1879,1)&lt;$L$6,"朝",IF(MOD($D1879,1)&lt;$L$7,"昼",IF(MOD($D1879,1)&lt;$L$8,"夕方","夜")))),IF(OR($D1879="朝",$D1879="昼",$D1879="夕方",$D1879="夜"),$D1879,"⚠ 不明"))))</f>
        <v/>
      </c>
    </row>
    <row r="1880" customFormat="false" ht="15" hidden="false" customHeight="false" outlineLevel="0" collapsed="false">
      <c r="A1880" s="75"/>
      <c r="B1880" s="76"/>
      <c r="C1880" s="77"/>
      <c r="D1880" s="78"/>
      <c r="E1880" s="77"/>
      <c r="F1880" s="76"/>
      <c r="G1880" s="76"/>
      <c r="I1880" s="79" t="str">
        <f aca="false">IF($B1880="","",IF(ISNUMBER(MATCH($B1880,日別データ!$B$13:$B$32,0)),"✔ OK","⚠ 未登録"))</f>
        <v/>
      </c>
      <c r="J1880" s="80" t="str">
        <f aca="false">IF($B1880="","",IF($D1880="","－",IF(ISNUMBER($D1880),IF(AND($D1880&gt;=1,MOD($D1880,1)=0),"－",IF(MOD($D1880,1)&lt;$L$6,"朝",IF(MOD($D1880,1)&lt;$L$7,"昼",IF(MOD($D1880,1)&lt;$L$8,"夕方","夜")))),IF(OR($D1880="朝",$D1880="昼",$D1880="夕方",$D1880="夜"),$D1880,"⚠ 不明"))))</f>
        <v/>
      </c>
    </row>
    <row r="1881" customFormat="false" ht="15" hidden="false" customHeight="false" outlineLevel="0" collapsed="false">
      <c r="A1881" s="75"/>
      <c r="B1881" s="76"/>
      <c r="C1881" s="77"/>
      <c r="D1881" s="78"/>
      <c r="E1881" s="77"/>
      <c r="F1881" s="76"/>
      <c r="G1881" s="76"/>
      <c r="I1881" s="79" t="str">
        <f aca="false">IF($B1881="","",IF(ISNUMBER(MATCH($B1881,日別データ!$B$13:$B$32,0)),"✔ OK","⚠ 未登録"))</f>
        <v/>
      </c>
      <c r="J1881" s="80" t="str">
        <f aca="false">IF($B1881="","",IF($D1881="","－",IF(ISNUMBER($D1881),IF(AND($D1881&gt;=1,MOD($D1881,1)=0),"－",IF(MOD($D1881,1)&lt;$L$6,"朝",IF(MOD($D1881,1)&lt;$L$7,"昼",IF(MOD($D1881,1)&lt;$L$8,"夕方","夜")))),IF(OR($D1881="朝",$D1881="昼",$D1881="夕方",$D1881="夜"),$D1881,"⚠ 不明"))))</f>
        <v/>
      </c>
    </row>
    <row r="1882" customFormat="false" ht="15" hidden="false" customHeight="false" outlineLevel="0" collapsed="false">
      <c r="A1882" s="75"/>
      <c r="B1882" s="76"/>
      <c r="C1882" s="77"/>
      <c r="D1882" s="78"/>
      <c r="E1882" s="77"/>
      <c r="F1882" s="76"/>
      <c r="G1882" s="76"/>
      <c r="I1882" s="79" t="str">
        <f aca="false">IF($B1882="","",IF(ISNUMBER(MATCH($B1882,日別データ!$B$13:$B$32,0)),"✔ OK","⚠ 未登録"))</f>
        <v/>
      </c>
      <c r="J1882" s="80" t="str">
        <f aca="false">IF($B1882="","",IF($D1882="","－",IF(ISNUMBER($D1882),IF(AND($D1882&gt;=1,MOD($D1882,1)=0),"－",IF(MOD($D1882,1)&lt;$L$6,"朝",IF(MOD($D1882,1)&lt;$L$7,"昼",IF(MOD($D1882,1)&lt;$L$8,"夕方","夜")))),IF(OR($D1882="朝",$D1882="昼",$D1882="夕方",$D1882="夜"),$D1882,"⚠ 不明"))))</f>
        <v/>
      </c>
    </row>
    <row r="1883" customFormat="false" ht="15" hidden="false" customHeight="false" outlineLevel="0" collapsed="false">
      <c r="A1883" s="75"/>
      <c r="B1883" s="76"/>
      <c r="C1883" s="77"/>
      <c r="D1883" s="78"/>
      <c r="E1883" s="77"/>
      <c r="F1883" s="76"/>
      <c r="G1883" s="76"/>
      <c r="I1883" s="79" t="str">
        <f aca="false">IF($B1883="","",IF(ISNUMBER(MATCH($B1883,日別データ!$B$13:$B$32,0)),"✔ OK","⚠ 未登録"))</f>
        <v/>
      </c>
      <c r="J1883" s="80" t="str">
        <f aca="false">IF($B1883="","",IF($D1883="","－",IF(ISNUMBER($D1883),IF(AND($D1883&gt;=1,MOD($D1883,1)=0),"－",IF(MOD($D1883,1)&lt;$L$6,"朝",IF(MOD($D1883,1)&lt;$L$7,"昼",IF(MOD($D1883,1)&lt;$L$8,"夕方","夜")))),IF(OR($D1883="朝",$D1883="昼",$D1883="夕方",$D1883="夜"),$D1883,"⚠ 不明"))))</f>
        <v/>
      </c>
    </row>
    <row r="1884" customFormat="false" ht="15" hidden="false" customHeight="false" outlineLevel="0" collapsed="false">
      <c r="A1884" s="75"/>
      <c r="B1884" s="76"/>
      <c r="C1884" s="77"/>
      <c r="D1884" s="78"/>
      <c r="E1884" s="77"/>
      <c r="F1884" s="76"/>
      <c r="G1884" s="76"/>
      <c r="I1884" s="79" t="str">
        <f aca="false">IF($B1884="","",IF(ISNUMBER(MATCH($B1884,日別データ!$B$13:$B$32,0)),"✔ OK","⚠ 未登録"))</f>
        <v/>
      </c>
      <c r="J1884" s="80" t="str">
        <f aca="false">IF($B1884="","",IF($D1884="","－",IF(ISNUMBER($D1884),IF(AND($D1884&gt;=1,MOD($D1884,1)=0),"－",IF(MOD($D1884,1)&lt;$L$6,"朝",IF(MOD($D1884,1)&lt;$L$7,"昼",IF(MOD($D1884,1)&lt;$L$8,"夕方","夜")))),IF(OR($D1884="朝",$D1884="昼",$D1884="夕方",$D1884="夜"),$D1884,"⚠ 不明"))))</f>
        <v/>
      </c>
    </row>
    <row r="1885" customFormat="false" ht="15" hidden="false" customHeight="false" outlineLevel="0" collapsed="false">
      <c r="A1885" s="75"/>
      <c r="B1885" s="76"/>
      <c r="C1885" s="77"/>
      <c r="D1885" s="78"/>
      <c r="E1885" s="77"/>
      <c r="F1885" s="76"/>
      <c r="G1885" s="76"/>
      <c r="I1885" s="79" t="str">
        <f aca="false">IF($B1885="","",IF(ISNUMBER(MATCH($B1885,日別データ!$B$13:$B$32,0)),"✔ OK","⚠ 未登録"))</f>
        <v/>
      </c>
      <c r="J1885" s="80" t="str">
        <f aca="false">IF($B1885="","",IF($D1885="","－",IF(ISNUMBER($D1885),IF(AND($D1885&gt;=1,MOD($D1885,1)=0),"－",IF(MOD($D1885,1)&lt;$L$6,"朝",IF(MOD($D1885,1)&lt;$L$7,"昼",IF(MOD($D1885,1)&lt;$L$8,"夕方","夜")))),IF(OR($D1885="朝",$D1885="昼",$D1885="夕方",$D1885="夜"),$D1885,"⚠ 不明"))))</f>
        <v/>
      </c>
    </row>
    <row r="1886" customFormat="false" ht="15" hidden="false" customHeight="false" outlineLevel="0" collapsed="false">
      <c r="A1886" s="75"/>
      <c r="B1886" s="76"/>
      <c r="C1886" s="77"/>
      <c r="D1886" s="78"/>
      <c r="E1886" s="77"/>
      <c r="F1886" s="76"/>
      <c r="G1886" s="76"/>
      <c r="I1886" s="79" t="str">
        <f aca="false">IF($B1886="","",IF(ISNUMBER(MATCH($B1886,日別データ!$B$13:$B$32,0)),"✔ OK","⚠ 未登録"))</f>
        <v/>
      </c>
      <c r="J1886" s="80" t="str">
        <f aca="false">IF($B1886="","",IF($D1886="","－",IF(ISNUMBER($D1886),IF(AND($D1886&gt;=1,MOD($D1886,1)=0),"－",IF(MOD($D1886,1)&lt;$L$6,"朝",IF(MOD($D1886,1)&lt;$L$7,"昼",IF(MOD($D1886,1)&lt;$L$8,"夕方","夜")))),IF(OR($D1886="朝",$D1886="昼",$D1886="夕方",$D1886="夜"),$D1886,"⚠ 不明"))))</f>
        <v/>
      </c>
    </row>
    <row r="1887" customFormat="false" ht="15" hidden="false" customHeight="false" outlineLevel="0" collapsed="false">
      <c r="A1887" s="75"/>
      <c r="B1887" s="76"/>
      <c r="C1887" s="77"/>
      <c r="D1887" s="78"/>
      <c r="E1887" s="77"/>
      <c r="F1887" s="76"/>
      <c r="G1887" s="76"/>
      <c r="I1887" s="79" t="str">
        <f aca="false">IF($B1887="","",IF(ISNUMBER(MATCH($B1887,日別データ!$B$13:$B$32,0)),"✔ OK","⚠ 未登録"))</f>
        <v/>
      </c>
      <c r="J1887" s="80" t="str">
        <f aca="false">IF($B1887="","",IF($D1887="","－",IF(ISNUMBER($D1887),IF(AND($D1887&gt;=1,MOD($D1887,1)=0),"－",IF(MOD($D1887,1)&lt;$L$6,"朝",IF(MOD($D1887,1)&lt;$L$7,"昼",IF(MOD($D1887,1)&lt;$L$8,"夕方","夜")))),IF(OR($D1887="朝",$D1887="昼",$D1887="夕方",$D1887="夜"),$D1887,"⚠ 不明"))))</f>
        <v/>
      </c>
    </row>
    <row r="1888" customFormat="false" ht="15" hidden="false" customHeight="false" outlineLevel="0" collapsed="false">
      <c r="A1888" s="75"/>
      <c r="B1888" s="76"/>
      <c r="C1888" s="77"/>
      <c r="D1888" s="78"/>
      <c r="E1888" s="77"/>
      <c r="F1888" s="76"/>
      <c r="G1888" s="76"/>
      <c r="I1888" s="79" t="str">
        <f aca="false">IF($B1888="","",IF(ISNUMBER(MATCH($B1888,日別データ!$B$13:$B$32,0)),"✔ OK","⚠ 未登録"))</f>
        <v/>
      </c>
      <c r="J1888" s="80" t="str">
        <f aca="false">IF($B1888="","",IF($D1888="","－",IF(ISNUMBER($D1888),IF(AND($D1888&gt;=1,MOD($D1888,1)=0),"－",IF(MOD($D1888,1)&lt;$L$6,"朝",IF(MOD($D1888,1)&lt;$L$7,"昼",IF(MOD($D1888,1)&lt;$L$8,"夕方","夜")))),IF(OR($D1888="朝",$D1888="昼",$D1888="夕方",$D1888="夜"),$D1888,"⚠ 不明"))))</f>
        <v/>
      </c>
    </row>
    <row r="1889" customFormat="false" ht="15" hidden="false" customHeight="false" outlineLevel="0" collapsed="false">
      <c r="A1889" s="75"/>
      <c r="B1889" s="76"/>
      <c r="C1889" s="77"/>
      <c r="D1889" s="78"/>
      <c r="E1889" s="77"/>
      <c r="F1889" s="76"/>
      <c r="G1889" s="76"/>
      <c r="I1889" s="79" t="str">
        <f aca="false">IF($B1889="","",IF(ISNUMBER(MATCH($B1889,日別データ!$B$13:$B$32,0)),"✔ OK","⚠ 未登録"))</f>
        <v/>
      </c>
      <c r="J1889" s="80" t="str">
        <f aca="false">IF($B1889="","",IF($D1889="","－",IF(ISNUMBER($D1889),IF(AND($D1889&gt;=1,MOD($D1889,1)=0),"－",IF(MOD($D1889,1)&lt;$L$6,"朝",IF(MOD($D1889,1)&lt;$L$7,"昼",IF(MOD($D1889,1)&lt;$L$8,"夕方","夜")))),IF(OR($D1889="朝",$D1889="昼",$D1889="夕方",$D1889="夜"),$D1889,"⚠ 不明"))))</f>
        <v/>
      </c>
    </row>
    <row r="1890" customFormat="false" ht="15" hidden="false" customHeight="false" outlineLevel="0" collapsed="false">
      <c r="A1890" s="75"/>
      <c r="B1890" s="76"/>
      <c r="C1890" s="77"/>
      <c r="D1890" s="78"/>
      <c r="E1890" s="77"/>
      <c r="F1890" s="76"/>
      <c r="G1890" s="76"/>
      <c r="I1890" s="79" t="str">
        <f aca="false">IF($B1890="","",IF(ISNUMBER(MATCH($B1890,日別データ!$B$13:$B$32,0)),"✔ OK","⚠ 未登録"))</f>
        <v/>
      </c>
      <c r="J1890" s="80" t="str">
        <f aca="false">IF($B1890="","",IF($D1890="","－",IF(ISNUMBER($D1890),IF(AND($D1890&gt;=1,MOD($D1890,1)=0),"－",IF(MOD($D1890,1)&lt;$L$6,"朝",IF(MOD($D1890,1)&lt;$L$7,"昼",IF(MOD($D1890,1)&lt;$L$8,"夕方","夜")))),IF(OR($D1890="朝",$D1890="昼",$D1890="夕方",$D1890="夜"),$D1890,"⚠ 不明"))))</f>
        <v/>
      </c>
    </row>
    <row r="1891" customFormat="false" ht="15" hidden="false" customHeight="false" outlineLevel="0" collapsed="false">
      <c r="A1891" s="75"/>
      <c r="B1891" s="76"/>
      <c r="C1891" s="77"/>
      <c r="D1891" s="78"/>
      <c r="E1891" s="77"/>
      <c r="F1891" s="76"/>
      <c r="G1891" s="76"/>
      <c r="I1891" s="79" t="str">
        <f aca="false">IF($B1891="","",IF(ISNUMBER(MATCH($B1891,日別データ!$B$13:$B$32,0)),"✔ OK","⚠ 未登録"))</f>
        <v/>
      </c>
      <c r="J1891" s="80" t="str">
        <f aca="false">IF($B1891="","",IF($D1891="","－",IF(ISNUMBER($D1891),IF(AND($D1891&gt;=1,MOD($D1891,1)=0),"－",IF(MOD($D1891,1)&lt;$L$6,"朝",IF(MOD($D1891,1)&lt;$L$7,"昼",IF(MOD($D1891,1)&lt;$L$8,"夕方","夜")))),IF(OR($D1891="朝",$D1891="昼",$D1891="夕方",$D1891="夜"),$D1891,"⚠ 不明"))))</f>
        <v/>
      </c>
    </row>
    <row r="1892" customFormat="false" ht="15" hidden="false" customHeight="false" outlineLevel="0" collapsed="false">
      <c r="A1892" s="75"/>
      <c r="B1892" s="76"/>
      <c r="C1892" s="77"/>
      <c r="D1892" s="78"/>
      <c r="E1892" s="77"/>
      <c r="F1892" s="76"/>
      <c r="G1892" s="76"/>
      <c r="I1892" s="79" t="str">
        <f aca="false">IF($B1892="","",IF(ISNUMBER(MATCH($B1892,日別データ!$B$13:$B$32,0)),"✔ OK","⚠ 未登録"))</f>
        <v/>
      </c>
      <c r="J1892" s="80" t="str">
        <f aca="false">IF($B1892="","",IF($D1892="","－",IF(ISNUMBER($D1892),IF(AND($D1892&gt;=1,MOD($D1892,1)=0),"－",IF(MOD($D1892,1)&lt;$L$6,"朝",IF(MOD($D1892,1)&lt;$L$7,"昼",IF(MOD($D1892,1)&lt;$L$8,"夕方","夜")))),IF(OR($D1892="朝",$D1892="昼",$D1892="夕方",$D1892="夜"),$D1892,"⚠ 不明"))))</f>
        <v/>
      </c>
    </row>
    <row r="1893" customFormat="false" ht="15" hidden="false" customHeight="false" outlineLevel="0" collapsed="false">
      <c r="A1893" s="75"/>
      <c r="B1893" s="76"/>
      <c r="C1893" s="77"/>
      <c r="D1893" s="78"/>
      <c r="E1893" s="77"/>
      <c r="F1893" s="76"/>
      <c r="G1893" s="76"/>
      <c r="I1893" s="79" t="str">
        <f aca="false">IF($B1893="","",IF(ISNUMBER(MATCH($B1893,日別データ!$B$13:$B$32,0)),"✔ OK","⚠ 未登録"))</f>
        <v/>
      </c>
      <c r="J1893" s="80" t="str">
        <f aca="false">IF($B1893="","",IF($D1893="","－",IF(ISNUMBER($D1893),IF(AND($D1893&gt;=1,MOD($D1893,1)=0),"－",IF(MOD($D1893,1)&lt;$L$6,"朝",IF(MOD($D1893,1)&lt;$L$7,"昼",IF(MOD($D1893,1)&lt;$L$8,"夕方","夜")))),IF(OR($D1893="朝",$D1893="昼",$D1893="夕方",$D1893="夜"),$D1893,"⚠ 不明"))))</f>
        <v/>
      </c>
    </row>
    <row r="1894" customFormat="false" ht="15" hidden="false" customHeight="false" outlineLevel="0" collapsed="false">
      <c r="A1894" s="75"/>
      <c r="B1894" s="76"/>
      <c r="C1894" s="77"/>
      <c r="D1894" s="78"/>
      <c r="E1894" s="77"/>
      <c r="F1894" s="76"/>
      <c r="G1894" s="76"/>
      <c r="I1894" s="79" t="str">
        <f aca="false">IF($B1894="","",IF(ISNUMBER(MATCH($B1894,日別データ!$B$13:$B$32,0)),"✔ OK","⚠ 未登録"))</f>
        <v/>
      </c>
      <c r="J1894" s="80" t="str">
        <f aca="false">IF($B1894="","",IF($D1894="","－",IF(ISNUMBER($D1894),IF(AND($D1894&gt;=1,MOD($D1894,1)=0),"－",IF(MOD($D1894,1)&lt;$L$6,"朝",IF(MOD($D1894,1)&lt;$L$7,"昼",IF(MOD($D1894,1)&lt;$L$8,"夕方","夜")))),IF(OR($D1894="朝",$D1894="昼",$D1894="夕方",$D1894="夜"),$D1894,"⚠ 不明"))))</f>
        <v/>
      </c>
    </row>
    <row r="1895" customFormat="false" ht="15" hidden="false" customHeight="false" outlineLevel="0" collapsed="false">
      <c r="A1895" s="75"/>
      <c r="B1895" s="76"/>
      <c r="C1895" s="77"/>
      <c r="D1895" s="78"/>
      <c r="E1895" s="77"/>
      <c r="F1895" s="76"/>
      <c r="G1895" s="76"/>
      <c r="I1895" s="79" t="str">
        <f aca="false">IF($B1895="","",IF(ISNUMBER(MATCH($B1895,日別データ!$B$13:$B$32,0)),"✔ OK","⚠ 未登録"))</f>
        <v/>
      </c>
      <c r="J1895" s="80" t="str">
        <f aca="false">IF($B1895="","",IF($D1895="","－",IF(ISNUMBER($D1895),IF(AND($D1895&gt;=1,MOD($D1895,1)=0),"－",IF(MOD($D1895,1)&lt;$L$6,"朝",IF(MOD($D1895,1)&lt;$L$7,"昼",IF(MOD($D1895,1)&lt;$L$8,"夕方","夜")))),IF(OR($D1895="朝",$D1895="昼",$D1895="夕方",$D1895="夜"),$D1895,"⚠ 不明"))))</f>
        <v/>
      </c>
    </row>
    <row r="1896" customFormat="false" ht="15" hidden="false" customHeight="false" outlineLevel="0" collapsed="false">
      <c r="A1896" s="75"/>
      <c r="B1896" s="76"/>
      <c r="C1896" s="77"/>
      <c r="D1896" s="78"/>
      <c r="E1896" s="77"/>
      <c r="F1896" s="76"/>
      <c r="G1896" s="76"/>
      <c r="I1896" s="79" t="str">
        <f aca="false">IF($B1896="","",IF(ISNUMBER(MATCH($B1896,日別データ!$B$13:$B$32,0)),"✔ OK","⚠ 未登録"))</f>
        <v/>
      </c>
      <c r="J1896" s="80" t="str">
        <f aca="false">IF($B1896="","",IF($D1896="","－",IF(ISNUMBER($D1896),IF(AND($D1896&gt;=1,MOD($D1896,1)=0),"－",IF(MOD($D1896,1)&lt;$L$6,"朝",IF(MOD($D1896,1)&lt;$L$7,"昼",IF(MOD($D1896,1)&lt;$L$8,"夕方","夜")))),IF(OR($D1896="朝",$D1896="昼",$D1896="夕方",$D1896="夜"),$D1896,"⚠ 不明"))))</f>
        <v/>
      </c>
    </row>
    <row r="1897" customFormat="false" ht="15" hidden="false" customHeight="false" outlineLevel="0" collapsed="false">
      <c r="A1897" s="75"/>
      <c r="B1897" s="76"/>
      <c r="C1897" s="77"/>
      <c r="D1897" s="78"/>
      <c r="E1897" s="77"/>
      <c r="F1897" s="76"/>
      <c r="G1897" s="76"/>
      <c r="I1897" s="79" t="str">
        <f aca="false">IF($B1897="","",IF(ISNUMBER(MATCH($B1897,日別データ!$B$13:$B$32,0)),"✔ OK","⚠ 未登録"))</f>
        <v/>
      </c>
      <c r="J1897" s="80" t="str">
        <f aca="false">IF($B1897="","",IF($D1897="","－",IF(ISNUMBER($D1897),IF(AND($D1897&gt;=1,MOD($D1897,1)=0),"－",IF(MOD($D1897,1)&lt;$L$6,"朝",IF(MOD($D1897,1)&lt;$L$7,"昼",IF(MOD($D1897,1)&lt;$L$8,"夕方","夜")))),IF(OR($D1897="朝",$D1897="昼",$D1897="夕方",$D1897="夜"),$D1897,"⚠ 不明"))))</f>
        <v/>
      </c>
    </row>
    <row r="1898" customFormat="false" ht="15" hidden="false" customHeight="false" outlineLevel="0" collapsed="false">
      <c r="A1898" s="75"/>
      <c r="B1898" s="76"/>
      <c r="C1898" s="77"/>
      <c r="D1898" s="78"/>
      <c r="E1898" s="77"/>
      <c r="F1898" s="76"/>
      <c r="G1898" s="76"/>
      <c r="I1898" s="79" t="str">
        <f aca="false">IF($B1898="","",IF(ISNUMBER(MATCH($B1898,日別データ!$B$13:$B$32,0)),"✔ OK","⚠ 未登録"))</f>
        <v/>
      </c>
      <c r="J1898" s="80" t="str">
        <f aca="false">IF($B1898="","",IF($D1898="","－",IF(ISNUMBER($D1898),IF(AND($D1898&gt;=1,MOD($D1898,1)=0),"－",IF(MOD($D1898,1)&lt;$L$6,"朝",IF(MOD($D1898,1)&lt;$L$7,"昼",IF(MOD($D1898,1)&lt;$L$8,"夕方","夜")))),IF(OR($D1898="朝",$D1898="昼",$D1898="夕方",$D1898="夜"),$D1898,"⚠ 不明"))))</f>
        <v/>
      </c>
    </row>
    <row r="1899" customFormat="false" ht="15" hidden="false" customHeight="false" outlineLevel="0" collapsed="false">
      <c r="A1899" s="75"/>
      <c r="B1899" s="76"/>
      <c r="C1899" s="77"/>
      <c r="D1899" s="78"/>
      <c r="E1899" s="77"/>
      <c r="F1899" s="76"/>
      <c r="G1899" s="76"/>
      <c r="I1899" s="79" t="str">
        <f aca="false">IF($B1899="","",IF(ISNUMBER(MATCH($B1899,日別データ!$B$13:$B$32,0)),"✔ OK","⚠ 未登録"))</f>
        <v/>
      </c>
      <c r="J1899" s="80" t="str">
        <f aca="false">IF($B1899="","",IF($D1899="","－",IF(ISNUMBER($D1899),IF(AND($D1899&gt;=1,MOD($D1899,1)=0),"－",IF(MOD($D1899,1)&lt;$L$6,"朝",IF(MOD($D1899,1)&lt;$L$7,"昼",IF(MOD($D1899,1)&lt;$L$8,"夕方","夜")))),IF(OR($D1899="朝",$D1899="昼",$D1899="夕方",$D1899="夜"),$D1899,"⚠ 不明"))))</f>
        <v/>
      </c>
    </row>
    <row r="1900" customFormat="false" ht="15" hidden="false" customHeight="false" outlineLevel="0" collapsed="false">
      <c r="A1900" s="75"/>
      <c r="B1900" s="76"/>
      <c r="C1900" s="77"/>
      <c r="D1900" s="78"/>
      <c r="E1900" s="77"/>
      <c r="F1900" s="76"/>
      <c r="G1900" s="76"/>
      <c r="I1900" s="79" t="str">
        <f aca="false">IF($B1900="","",IF(ISNUMBER(MATCH($B1900,日別データ!$B$13:$B$32,0)),"✔ OK","⚠ 未登録"))</f>
        <v/>
      </c>
      <c r="J1900" s="80" t="str">
        <f aca="false">IF($B1900="","",IF($D1900="","－",IF(ISNUMBER($D1900),IF(AND($D1900&gt;=1,MOD($D1900,1)=0),"－",IF(MOD($D1900,1)&lt;$L$6,"朝",IF(MOD($D1900,1)&lt;$L$7,"昼",IF(MOD($D1900,1)&lt;$L$8,"夕方","夜")))),IF(OR($D1900="朝",$D1900="昼",$D1900="夕方",$D1900="夜"),$D1900,"⚠ 不明"))))</f>
        <v/>
      </c>
    </row>
    <row r="1901" customFormat="false" ht="15" hidden="false" customHeight="false" outlineLevel="0" collapsed="false">
      <c r="A1901" s="75"/>
      <c r="B1901" s="76"/>
      <c r="C1901" s="77"/>
      <c r="D1901" s="78"/>
      <c r="E1901" s="77"/>
      <c r="F1901" s="76"/>
      <c r="G1901" s="76"/>
      <c r="I1901" s="79" t="str">
        <f aca="false">IF($B1901="","",IF(ISNUMBER(MATCH($B1901,日別データ!$B$13:$B$32,0)),"✔ OK","⚠ 未登録"))</f>
        <v/>
      </c>
      <c r="J1901" s="80" t="str">
        <f aca="false">IF($B1901="","",IF($D1901="","－",IF(ISNUMBER($D1901),IF(AND($D1901&gt;=1,MOD($D1901,1)=0),"－",IF(MOD($D1901,1)&lt;$L$6,"朝",IF(MOD($D1901,1)&lt;$L$7,"昼",IF(MOD($D1901,1)&lt;$L$8,"夕方","夜")))),IF(OR($D1901="朝",$D1901="昼",$D1901="夕方",$D1901="夜"),$D1901,"⚠ 不明"))))</f>
        <v/>
      </c>
    </row>
    <row r="1902" customFormat="false" ht="15" hidden="false" customHeight="false" outlineLevel="0" collapsed="false">
      <c r="A1902" s="75"/>
      <c r="B1902" s="76"/>
      <c r="C1902" s="77"/>
      <c r="D1902" s="78"/>
      <c r="E1902" s="77"/>
      <c r="F1902" s="76"/>
      <c r="G1902" s="76"/>
      <c r="I1902" s="79" t="str">
        <f aca="false">IF($B1902="","",IF(ISNUMBER(MATCH($B1902,日別データ!$B$13:$B$32,0)),"✔ OK","⚠ 未登録"))</f>
        <v/>
      </c>
      <c r="J1902" s="80" t="str">
        <f aca="false">IF($B1902="","",IF($D1902="","－",IF(ISNUMBER($D1902),IF(AND($D1902&gt;=1,MOD($D1902,1)=0),"－",IF(MOD($D1902,1)&lt;$L$6,"朝",IF(MOD($D1902,1)&lt;$L$7,"昼",IF(MOD($D1902,1)&lt;$L$8,"夕方","夜")))),IF(OR($D1902="朝",$D1902="昼",$D1902="夕方",$D1902="夜"),$D1902,"⚠ 不明"))))</f>
        <v/>
      </c>
    </row>
    <row r="1903" customFormat="false" ht="15" hidden="false" customHeight="false" outlineLevel="0" collapsed="false">
      <c r="A1903" s="75"/>
      <c r="B1903" s="76"/>
      <c r="C1903" s="77"/>
      <c r="D1903" s="78"/>
      <c r="E1903" s="77"/>
      <c r="F1903" s="76"/>
      <c r="G1903" s="76"/>
      <c r="I1903" s="79" t="str">
        <f aca="false">IF($B1903="","",IF(ISNUMBER(MATCH($B1903,日別データ!$B$13:$B$32,0)),"✔ OK","⚠ 未登録"))</f>
        <v/>
      </c>
      <c r="J1903" s="80" t="str">
        <f aca="false">IF($B1903="","",IF($D1903="","－",IF(ISNUMBER($D1903),IF(AND($D1903&gt;=1,MOD($D1903,1)=0),"－",IF(MOD($D1903,1)&lt;$L$6,"朝",IF(MOD($D1903,1)&lt;$L$7,"昼",IF(MOD($D1903,1)&lt;$L$8,"夕方","夜")))),IF(OR($D1903="朝",$D1903="昼",$D1903="夕方",$D1903="夜"),$D1903,"⚠ 不明"))))</f>
        <v/>
      </c>
    </row>
    <row r="1904" customFormat="false" ht="15" hidden="false" customHeight="false" outlineLevel="0" collapsed="false">
      <c r="A1904" s="75"/>
      <c r="B1904" s="76"/>
      <c r="C1904" s="77"/>
      <c r="D1904" s="78"/>
      <c r="E1904" s="77"/>
      <c r="F1904" s="76"/>
      <c r="G1904" s="76"/>
      <c r="I1904" s="79" t="str">
        <f aca="false">IF($B1904="","",IF(ISNUMBER(MATCH($B1904,日別データ!$B$13:$B$32,0)),"✔ OK","⚠ 未登録"))</f>
        <v/>
      </c>
      <c r="J1904" s="80" t="str">
        <f aca="false">IF($B1904="","",IF($D1904="","－",IF(ISNUMBER($D1904),IF(AND($D1904&gt;=1,MOD($D1904,1)=0),"－",IF(MOD($D1904,1)&lt;$L$6,"朝",IF(MOD($D1904,1)&lt;$L$7,"昼",IF(MOD($D1904,1)&lt;$L$8,"夕方","夜")))),IF(OR($D1904="朝",$D1904="昼",$D1904="夕方",$D1904="夜"),$D1904,"⚠ 不明"))))</f>
        <v/>
      </c>
    </row>
    <row r="1905" customFormat="false" ht="15" hidden="false" customHeight="false" outlineLevel="0" collapsed="false">
      <c r="A1905" s="75"/>
      <c r="B1905" s="76"/>
      <c r="C1905" s="77"/>
      <c r="D1905" s="78"/>
      <c r="E1905" s="77"/>
      <c r="F1905" s="76"/>
      <c r="G1905" s="76"/>
      <c r="I1905" s="79" t="str">
        <f aca="false">IF($B1905="","",IF(ISNUMBER(MATCH($B1905,日別データ!$B$13:$B$32,0)),"✔ OK","⚠ 未登録"))</f>
        <v/>
      </c>
      <c r="J1905" s="80" t="str">
        <f aca="false">IF($B1905="","",IF($D1905="","－",IF(ISNUMBER($D1905),IF(AND($D1905&gt;=1,MOD($D1905,1)=0),"－",IF(MOD($D1905,1)&lt;$L$6,"朝",IF(MOD($D1905,1)&lt;$L$7,"昼",IF(MOD($D1905,1)&lt;$L$8,"夕方","夜")))),IF(OR($D1905="朝",$D1905="昼",$D1905="夕方",$D1905="夜"),$D1905,"⚠ 不明"))))</f>
        <v/>
      </c>
    </row>
    <row r="1906" customFormat="false" ht="15" hidden="false" customHeight="false" outlineLevel="0" collapsed="false">
      <c r="A1906" s="75"/>
      <c r="B1906" s="76"/>
      <c r="C1906" s="77"/>
      <c r="D1906" s="78"/>
      <c r="E1906" s="77"/>
      <c r="F1906" s="76"/>
      <c r="G1906" s="76"/>
      <c r="I1906" s="79" t="str">
        <f aca="false">IF($B1906="","",IF(ISNUMBER(MATCH($B1906,日別データ!$B$13:$B$32,0)),"✔ OK","⚠ 未登録"))</f>
        <v/>
      </c>
      <c r="J1906" s="80" t="str">
        <f aca="false">IF($B1906="","",IF($D1906="","－",IF(ISNUMBER($D1906),IF(AND($D1906&gt;=1,MOD($D1906,1)=0),"－",IF(MOD($D1906,1)&lt;$L$6,"朝",IF(MOD($D1906,1)&lt;$L$7,"昼",IF(MOD($D1906,1)&lt;$L$8,"夕方","夜")))),IF(OR($D1906="朝",$D1906="昼",$D1906="夕方",$D1906="夜"),$D1906,"⚠ 不明"))))</f>
        <v/>
      </c>
    </row>
    <row r="1907" customFormat="false" ht="15" hidden="false" customHeight="false" outlineLevel="0" collapsed="false">
      <c r="A1907" s="75"/>
      <c r="B1907" s="76"/>
      <c r="C1907" s="77"/>
      <c r="D1907" s="78"/>
      <c r="E1907" s="77"/>
      <c r="F1907" s="76"/>
      <c r="G1907" s="76"/>
      <c r="I1907" s="79" t="str">
        <f aca="false">IF($B1907="","",IF(ISNUMBER(MATCH($B1907,日別データ!$B$13:$B$32,0)),"✔ OK","⚠ 未登録"))</f>
        <v/>
      </c>
      <c r="J1907" s="80" t="str">
        <f aca="false">IF($B1907="","",IF($D1907="","－",IF(ISNUMBER($D1907),IF(AND($D1907&gt;=1,MOD($D1907,1)=0),"－",IF(MOD($D1907,1)&lt;$L$6,"朝",IF(MOD($D1907,1)&lt;$L$7,"昼",IF(MOD($D1907,1)&lt;$L$8,"夕方","夜")))),IF(OR($D1907="朝",$D1907="昼",$D1907="夕方",$D1907="夜"),$D1907,"⚠ 不明"))))</f>
        <v/>
      </c>
    </row>
    <row r="1908" customFormat="false" ht="15" hidden="false" customHeight="false" outlineLevel="0" collapsed="false">
      <c r="A1908" s="75"/>
      <c r="B1908" s="76"/>
      <c r="C1908" s="77"/>
      <c r="D1908" s="78"/>
      <c r="E1908" s="77"/>
      <c r="F1908" s="76"/>
      <c r="G1908" s="76"/>
      <c r="I1908" s="79" t="str">
        <f aca="false">IF($B1908="","",IF(ISNUMBER(MATCH($B1908,日別データ!$B$13:$B$32,0)),"✔ OK","⚠ 未登録"))</f>
        <v/>
      </c>
      <c r="J1908" s="80" t="str">
        <f aca="false">IF($B1908="","",IF($D1908="","－",IF(ISNUMBER($D1908),IF(AND($D1908&gt;=1,MOD($D1908,1)=0),"－",IF(MOD($D1908,1)&lt;$L$6,"朝",IF(MOD($D1908,1)&lt;$L$7,"昼",IF(MOD($D1908,1)&lt;$L$8,"夕方","夜")))),IF(OR($D1908="朝",$D1908="昼",$D1908="夕方",$D1908="夜"),$D1908,"⚠ 不明"))))</f>
        <v/>
      </c>
    </row>
    <row r="1909" customFormat="false" ht="15" hidden="false" customHeight="false" outlineLevel="0" collapsed="false">
      <c r="A1909" s="75"/>
      <c r="B1909" s="76"/>
      <c r="C1909" s="77"/>
      <c r="D1909" s="78"/>
      <c r="E1909" s="77"/>
      <c r="F1909" s="76"/>
      <c r="G1909" s="76"/>
      <c r="I1909" s="79" t="str">
        <f aca="false">IF($B1909="","",IF(ISNUMBER(MATCH($B1909,日別データ!$B$13:$B$32,0)),"✔ OK","⚠ 未登録"))</f>
        <v/>
      </c>
      <c r="J1909" s="80" t="str">
        <f aca="false">IF($B1909="","",IF($D1909="","－",IF(ISNUMBER($D1909),IF(AND($D1909&gt;=1,MOD($D1909,1)=0),"－",IF(MOD($D1909,1)&lt;$L$6,"朝",IF(MOD($D1909,1)&lt;$L$7,"昼",IF(MOD($D1909,1)&lt;$L$8,"夕方","夜")))),IF(OR($D1909="朝",$D1909="昼",$D1909="夕方",$D1909="夜"),$D1909,"⚠ 不明"))))</f>
        <v/>
      </c>
    </row>
    <row r="1910" customFormat="false" ht="15" hidden="false" customHeight="false" outlineLevel="0" collapsed="false">
      <c r="A1910" s="75"/>
      <c r="B1910" s="76"/>
      <c r="C1910" s="77"/>
      <c r="D1910" s="78"/>
      <c r="E1910" s="77"/>
      <c r="F1910" s="76"/>
      <c r="G1910" s="76"/>
      <c r="I1910" s="79" t="str">
        <f aca="false">IF($B1910="","",IF(ISNUMBER(MATCH($B1910,日別データ!$B$13:$B$32,0)),"✔ OK","⚠ 未登録"))</f>
        <v/>
      </c>
      <c r="J1910" s="80" t="str">
        <f aca="false">IF($B1910="","",IF($D1910="","－",IF(ISNUMBER($D1910),IF(AND($D1910&gt;=1,MOD($D1910,1)=0),"－",IF(MOD($D1910,1)&lt;$L$6,"朝",IF(MOD($D1910,1)&lt;$L$7,"昼",IF(MOD($D1910,1)&lt;$L$8,"夕方","夜")))),IF(OR($D1910="朝",$D1910="昼",$D1910="夕方",$D1910="夜"),$D1910,"⚠ 不明"))))</f>
        <v/>
      </c>
    </row>
    <row r="1911" customFormat="false" ht="15" hidden="false" customHeight="false" outlineLevel="0" collapsed="false">
      <c r="A1911" s="75"/>
      <c r="B1911" s="76"/>
      <c r="C1911" s="77"/>
      <c r="D1911" s="78"/>
      <c r="E1911" s="77"/>
      <c r="F1911" s="76"/>
      <c r="G1911" s="76"/>
      <c r="I1911" s="79" t="str">
        <f aca="false">IF($B1911="","",IF(ISNUMBER(MATCH($B1911,日別データ!$B$13:$B$32,0)),"✔ OK","⚠ 未登録"))</f>
        <v/>
      </c>
      <c r="J1911" s="80" t="str">
        <f aca="false">IF($B1911="","",IF($D1911="","－",IF(ISNUMBER($D1911),IF(AND($D1911&gt;=1,MOD($D1911,1)=0),"－",IF(MOD($D1911,1)&lt;$L$6,"朝",IF(MOD($D1911,1)&lt;$L$7,"昼",IF(MOD($D1911,1)&lt;$L$8,"夕方","夜")))),IF(OR($D1911="朝",$D1911="昼",$D1911="夕方",$D1911="夜"),$D1911,"⚠ 不明"))))</f>
        <v/>
      </c>
    </row>
    <row r="1912" customFormat="false" ht="15" hidden="false" customHeight="false" outlineLevel="0" collapsed="false">
      <c r="A1912" s="75"/>
      <c r="B1912" s="76"/>
      <c r="C1912" s="77"/>
      <c r="D1912" s="78"/>
      <c r="E1912" s="77"/>
      <c r="F1912" s="76"/>
      <c r="G1912" s="76"/>
      <c r="I1912" s="79" t="str">
        <f aca="false">IF($B1912="","",IF(ISNUMBER(MATCH($B1912,日別データ!$B$13:$B$32,0)),"✔ OK","⚠ 未登録"))</f>
        <v/>
      </c>
      <c r="J1912" s="80" t="str">
        <f aca="false">IF($B1912="","",IF($D1912="","－",IF(ISNUMBER($D1912),IF(AND($D1912&gt;=1,MOD($D1912,1)=0),"－",IF(MOD($D1912,1)&lt;$L$6,"朝",IF(MOD($D1912,1)&lt;$L$7,"昼",IF(MOD($D1912,1)&lt;$L$8,"夕方","夜")))),IF(OR($D1912="朝",$D1912="昼",$D1912="夕方",$D1912="夜"),$D1912,"⚠ 不明"))))</f>
        <v/>
      </c>
    </row>
    <row r="1913" customFormat="false" ht="15" hidden="false" customHeight="false" outlineLevel="0" collapsed="false">
      <c r="A1913" s="75"/>
      <c r="B1913" s="76"/>
      <c r="C1913" s="77"/>
      <c r="D1913" s="78"/>
      <c r="E1913" s="77"/>
      <c r="F1913" s="76"/>
      <c r="G1913" s="76"/>
      <c r="I1913" s="79" t="str">
        <f aca="false">IF($B1913="","",IF(ISNUMBER(MATCH($B1913,日別データ!$B$13:$B$32,0)),"✔ OK","⚠ 未登録"))</f>
        <v/>
      </c>
      <c r="J1913" s="80" t="str">
        <f aca="false">IF($B1913="","",IF($D1913="","－",IF(ISNUMBER($D1913),IF(AND($D1913&gt;=1,MOD($D1913,1)=0),"－",IF(MOD($D1913,1)&lt;$L$6,"朝",IF(MOD($D1913,1)&lt;$L$7,"昼",IF(MOD($D1913,1)&lt;$L$8,"夕方","夜")))),IF(OR($D1913="朝",$D1913="昼",$D1913="夕方",$D1913="夜"),$D1913,"⚠ 不明"))))</f>
        <v/>
      </c>
    </row>
    <row r="1914" customFormat="false" ht="15" hidden="false" customHeight="false" outlineLevel="0" collapsed="false">
      <c r="A1914" s="75"/>
      <c r="B1914" s="76"/>
      <c r="C1914" s="77"/>
      <c r="D1914" s="78"/>
      <c r="E1914" s="77"/>
      <c r="F1914" s="76"/>
      <c r="G1914" s="76"/>
      <c r="I1914" s="79" t="str">
        <f aca="false">IF($B1914="","",IF(ISNUMBER(MATCH($B1914,日別データ!$B$13:$B$32,0)),"✔ OK","⚠ 未登録"))</f>
        <v/>
      </c>
      <c r="J1914" s="80" t="str">
        <f aca="false">IF($B1914="","",IF($D1914="","－",IF(ISNUMBER($D1914),IF(AND($D1914&gt;=1,MOD($D1914,1)=0),"－",IF(MOD($D1914,1)&lt;$L$6,"朝",IF(MOD($D1914,1)&lt;$L$7,"昼",IF(MOD($D1914,1)&lt;$L$8,"夕方","夜")))),IF(OR($D1914="朝",$D1914="昼",$D1914="夕方",$D1914="夜"),$D1914,"⚠ 不明"))))</f>
        <v/>
      </c>
    </row>
    <row r="1915" customFormat="false" ht="15" hidden="false" customHeight="false" outlineLevel="0" collapsed="false">
      <c r="A1915" s="75"/>
      <c r="B1915" s="76"/>
      <c r="C1915" s="77"/>
      <c r="D1915" s="78"/>
      <c r="E1915" s="77"/>
      <c r="F1915" s="76"/>
      <c r="G1915" s="76"/>
      <c r="I1915" s="79" t="str">
        <f aca="false">IF($B1915="","",IF(ISNUMBER(MATCH($B1915,日別データ!$B$13:$B$32,0)),"✔ OK","⚠ 未登録"))</f>
        <v/>
      </c>
      <c r="J1915" s="80" t="str">
        <f aca="false">IF($B1915="","",IF($D1915="","－",IF(ISNUMBER($D1915),IF(AND($D1915&gt;=1,MOD($D1915,1)=0),"－",IF(MOD($D1915,1)&lt;$L$6,"朝",IF(MOD($D1915,1)&lt;$L$7,"昼",IF(MOD($D1915,1)&lt;$L$8,"夕方","夜")))),IF(OR($D1915="朝",$D1915="昼",$D1915="夕方",$D1915="夜"),$D1915,"⚠ 不明"))))</f>
        <v/>
      </c>
    </row>
    <row r="1916" customFormat="false" ht="15" hidden="false" customHeight="false" outlineLevel="0" collapsed="false">
      <c r="A1916" s="75"/>
      <c r="B1916" s="76"/>
      <c r="C1916" s="77"/>
      <c r="D1916" s="78"/>
      <c r="E1916" s="77"/>
      <c r="F1916" s="76"/>
      <c r="G1916" s="76"/>
      <c r="I1916" s="79" t="str">
        <f aca="false">IF($B1916="","",IF(ISNUMBER(MATCH($B1916,日別データ!$B$13:$B$32,0)),"✔ OK","⚠ 未登録"))</f>
        <v/>
      </c>
      <c r="J1916" s="80" t="str">
        <f aca="false">IF($B1916="","",IF($D1916="","－",IF(ISNUMBER($D1916),IF(AND($D1916&gt;=1,MOD($D1916,1)=0),"－",IF(MOD($D1916,1)&lt;$L$6,"朝",IF(MOD($D1916,1)&lt;$L$7,"昼",IF(MOD($D1916,1)&lt;$L$8,"夕方","夜")))),IF(OR($D1916="朝",$D1916="昼",$D1916="夕方",$D1916="夜"),$D1916,"⚠ 不明"))))</f>
        <v/>
      </c>
    </row>
    <row r="1917" customFormat="false" ht="15" hidden="false" customHeight="false" outlineLevel="0" collapsed="false">
      <c r="A1917" s="75"/>
      <c r="B1917" s="76"/>
      <c r="C1917" s="77"/>
      <c r="D1917" s="78"/>
      <c r="E1917" s="77"/>
      <c r="F1917" s="76"/>
      <c r="G1917" s="76"/>
      <c r="I1917" s="79" t="str">
        <f aca="false">IF($B1917="","",IF(ISNUMBER(MATCH($B1917,日別データ!$B$13:$B$32,0)),"✔ OK","⚠ 未登録"))</f>
        <v/>
      </c>
      <c r="J1917" s="80" t="str">
        <f aca="false">IF($B1917="","",IF($D1917="","－",IF(ISNUMBER($D1917),IF(AND($D1917&gt;=1,MOD($D1917,1)=0),"－",IF(MOD($D1917,1)&lt;$L$6,"朝",IF(MOD($D1917,1)&lt;$L$7,"昼",IF(MOD($D1917,1)&lt;$L$8,"夕方","夜")))),IF(OR($D1917="朝",$D1917="昼",$D1917="夕方",$D1917="夜"),$D1917,"⚠ 不明"))))</f>
        <v/>
      </c>
    </row>
    <row r="1918" customFormat="false" ht="15" hidden="false" customHeight="false" outlineLevel="0" collapsed="false">
      <c r="A1918" s="75"/>
      <c r="B1918" s="76"/>
      <c r="C1918" s="77"/>
      <c r="D1918" s="78"/>
      <c r="E1918" s="77"/>
      <c r="F1918" s="76"/>
      <c r="G1918" s="76"/>
      <c r="I1918" s="79" t="str">
        <f aca="false">IF($B1918="","",IF(ISNUMBER(MATCH($B1918,日別データ!$B$13:$B$32,0)),"✔ OK","⚠ 未登録"))</f>
        <v/>
      </c>
      <c r="J1918" s="80" t="str">
        <f aca="false">IF($B1918="","",IF($D1918="","－",IF(ISNUMBER($D1918),IF(AND($D1918&gt;=1,MOD($D1918,1)=0),"－",IF(MOD($D1918,1)&lt;$L$6,"朝",IF(MOD($D1918,1)&lt;$L$7,"昼",IF(MOD($D1918,1)&lt;$L$8,"夕方","夜")))),IF(OR($D1918="朝",$D1918="昼",$D1918="夕方",$D1918="夜"),$D1918,"⚠ 不明"))))</f>
        <v/>
      </c>
    </row>
    <row r="1919" customFormat="false" ht="15" hidden="false" customHeight="false" outlineLevel="0" collapsed="false">
      <c r="A1919" s="75"/>
      <c r="B1919" s="76"/>
      <c r="C1919" s="77"/>
      <c r="D1919" s="78"/>
      <c r="E1919" s="77"/>
      <c r="F1919" s="76"/>
      <c r="G1919" s="76"/>
      <c r="I1919" s="79" t="str">
        <f aca="false">IF($B1919="","",IF(ISNUMBER(MATCH($B1919,日別データ!$B$13:$B$32,0)),"✔ OK","⚠ 未登録"))</f>
        <v/>
      </c>
      <c r="J1919" s="80" t="str">
        <f aca="false">IF($B1919="","",IF($D1919="","－",IF(ISNUMBER($D1919),IF(AND($D1919&gt;=1,MOD($D1919,1)=0),"－",IF(MOD($D1919,1)&lt;$L$6,"朝",IF(MOD($D1919,1)&lt;$L$7,"昼",IF(MOD($D1919,1)&lt;$L$8,"夕方","夜")))),IF(OR($D1919="朝",$D1919="昼",$D1919="夕方",$D1919="夜"),$D1919,"⚠ 不明"))))</f>
        <v/>
      </c>
    </row>
    <row r="1920" customFormat="false" ht="15" hidden="false" customHeight="false" outlineLevel="0" collapsed="false">
      <c r="A1920" s="75"/>
      <c r="B1920" s="76"/>
      <c r="C1920" s="77"/>
      <c r="D1920" s="78"/>
      <c r="E1920" s="77"/>
      <c r="F1920" s="76"/>
      <c r="G1920" s="76"/>
      <c r="I1920" s="79" t="str">
        <f aca="false">IF($B1920="","",IF(ISNUMBER(MATCH($B1920,日別データ!$B$13:$B$32,0)),"✔ OK","⚠ 未登録"))</f>
        <v/>
      </c>
      <c r="J1920" s="80" t="str">
        <f aca="false">IF($B1920="","",IF($D1920="","－",IF(ISNUMBER($D1920),IF(AND($D1920&gt;=1,MOD($D1920,1)=0),"－",IF(MOD($D1920,1)&lt;$L$6,"朝",IF(MOD($D1920,1)&lt;$L$7,"昼",IF(MOD($D1920,1)&lt;$L$8,"夕方","夜")))),IF(OR($D1920="朝",$D1920="昼",$D1920="夕方",$D1920="夜"),$D1920,"⚠ 不明"))))</f>
        <v/>
      </c>
    </row>
    <row r="1921" customFormat="false" ht="15" hidden="false" customHeight="false" outlineLevel="0" collapsed="false">
      <c r="A1921" s="75"/>
      <c r="B1921" s="76"/>
      <c r="C1921" s="77"/>
      <c r="D1921" s="78"/>
      <c r="E1921" s="77"/>
      <c r="F1921" s="76"/>
      <c r="G1921" s="76"/>
      <c r="I1921" s="79" t="str">
        <f aca="false">IF($B1921="","",IF(ISNUMBER(MATCH($B1921,日別データ!$B$13:$B$32,0)),"✔ OK","⚠ 未登録"))</f>
        <v/>
      </c>
      <c r="J1921" s="80" t="str">
        <f aca="false">IF($B1921="","",IF($D1921="","－",IF(ISNUMBER($D1921),IF(AND($D1921&gt;=1,MOD($D1921,1)=0),"－",IF(MOD($D1921,1)&lt;$L$6,"朝",IF(MOD($D1921,1)&lt;$L$7,"昼",IF(MOD($D1921,1)&lt;$L$8,"夕方","夜")))),IF(OR($D1921="朝",$D1921="昼",$D1921="夕方",$D1921="夜"),$D1921,"⚠ 不明"))))</f>
        <v/>
      </c>
    </row>
    <row r="1922" customFormat="false" ht="15" hidden="false" customHeight="false" outlineLevel="0" collapsed="false">
      <c r="A1922" s="75"/>
      <c r="B1922" s="76"/>
      <c r="C1922" s="77"/>
      <c r="D1922" s="78"/>
      <c r="E1922" s="77"/>
      <c r="F1922" s="76"/>
      <c r="G1922" s="76"/>
      <c r="I1922" s="79" t="str">
        <f aca="false">IF($B1922="","",IF(ISNUMBER(MATCH($B1922,日別データ!$B$13:$B$32,0)),"✔ OK","⚠ 未登録"))</f>
        <v/>
      </c>
      <c r="J1922" s="80" t="str">
        <f aca="false">IF($B1922="","",IF($D1922="","－",IF(ISNUMBER($D1922),IF(AND($D1922&gt;=1,MOD($D1922,1)=0),"－",IF(MOD($D1922,1)&lt;$L$6,"朝",IF(MOD($D1922,1)&lt;$L$7,"昼",IF(MOD($D1922,1)&lt;$L$8,"夕方","夜")))),IF(OR($D1922="朝",$D1922="昼",$D1922="夕方",$D1922="夜"),$D1922,"⚠ 不明"))))</f>
        <v/>
      </c>
    </row>
    <row r="1923" customFormat="false" ht="15" hidden="false" customHeight="false" outlineLevel="0" collapsed="false">
      <c r="A1923" s="75"/>
      <c r="B1923" s="76"/>
      <c r="C1923" s="77"/>
      <c r="D1923" s="78"/>
      <c r="E1923" s="77"/>
      <c r="F1923" s="76"/>
      <c r="G1923" s="76"/>
      <c r="I1923" s="79" t="str">
        <f aca="false">IF($B1923="","",IF(ISNUMBER(MATCH($B1923,日別データ!$B$13:$B$32,0)),"✔ OK","⚠ 未登録"))</f>
        <v/>
      </c>
      <c r="J1923" s="80" t="str">
        <f aca="false">IF($B1923="","",IF($D1923="","－",IF(ISNUMBER($D1923),IF(AND($D1923&gt;=1,MOD($D1923,1)=0),"－",IF(MOD($D1923,1)&lt;$L$6,"朝",IF(MOD($D1923,1)&lt;$L$7,"昼",IF(MOD($D1923,1)&lt;$L$8,"夕方","夜")))),IF(OR($D1923="朝",$D1923="昼",$D1923="夕方",$D1923="夜"),$D1923,"⚠ 不明"))))</f>
        <v/>
      </c>
    </row>
    <row r="1924" customFormat="false" ht="15" hidden="false" customHeight="false" outlineLevel="0" collapsed="false">
      <c r="A1924" s="75"/>
      <c r="B1924" s="76"/>
      <c r="C1924" s="77"/>
      <c r="D1924" s="78"/>
      <c r="E1924" s="77"/>
      <c r="F1924" s="76"/>
      <c r="G1924" s="76"/>
      <c r="I1924" s="79" t="str">
        <f aca="false">IF($B1924="","",IF(ISNUMBER(MATCH($B1924,日別データ!$B$13:$B$32,0)),"✔ OK","⚠ 未登録"))</f>
        <v/>
      </c>
      <c r="J1924" s="80" t="str">
        <f aca="false">IF($B1924="","",IF($D1924="","－",IF(ISNUMBER($D1924),IF(AND($D1924&gt;=1,MOD($D1924,1)=0),"－",IF(MOD($D1924,1)&lt;$L$6,"朝",IF(MOD($D1924,1)&lt;$L$7,"昼",IF(MOD($D1924,1)&lt;$L$8,"夕方","夜")))),IF(OR($D1924="朝",$D1924="昼",$D1924="夕方",$D1924="夜"),$D1924,"⚠ 不明"))))</f>
        <v/>
      </c>
    </row>
    <row r="1925" customFormat="false" ht="15" hidden="false" customHeight="false" outlineLevel="0" collapsed="false">
      <c r="A1925" s="75"/>
      <c r="B1925" s="76"/>
      <c r="C1925" s="77"/>
      <c r="D1925" s="78"/>
      <c r="E1925" s="77"/>
      <c r="F1925" s="76"/>
      <c r="G1925" s="76"/>
      <c r="I1925" s="79" t="str">
        <f aca="false">IF($B1925="","",IF(ISNUMBER(MATCH($B1925,日別データ!$B$13:$B$32,0)),"✔ OK","⚠ 未登録"))</f>
        <v/>
      </c>
      <c r="J1925" s="80" t="str">
        <f aca="false">IF($B1925="","",IF($D1925="","－",IF(ISNUMBER($D1925),IF(AND($D1925&gt;=1,MOD($D1925,1)=0),"－",IF(MOD($D1925,1)&lt;$L$6,"朝",IF(MOD($D1925,1)&lt;$L$7,"昼",IF(MOD($D1925,1)&lt;$L$8,"夕方","夜")))),IF(OR($D1925="朝",$D1925="昼",$D1925="夕方",$D1925="夜"),$D1925,"⚠ 不明"))))</f>
        <v/>
      </c>
    </row>
    <row r="1926" customFormat="false" ht="15" hidden="false" customHeight="false" outlineLevel="0" collapsed="false">
      <c r="A1926" s="75"/>
      <c r="B1926" s="76"/>
      <c r="C1926" s="77"/>
      <c r="D1926" s="78"/>
      <c r="E1926" s="77"/>
      <c r="F1926" s="76"/>
      <c r="G1926" s="76"/>
      <c r="I1926" s="79" t="str">
        <f aca="false">IF($B1926="","",IF(ISNUMBER(MATCH($B1926,日別データ!$B$13:$B$32,0)),"✔ OK","⚠ 未登録"))</f>
        <v/>
      </c>
      <c r="J1926" s="80" t="str">
        <f aca="false">IF($B1926="","",IF($D1926="","－",IF(ISNUMBER($D1926),IF(AND($D1926&gt;=1,MOD($D1926,1)=0),"－",IF(MOD($D1926,1)&lt;$L$6,"朝",IF(MOD($D1926,1)&lt;$L$7,"昼",IF(MOD($D1926,1)&lt;$L$8,"夕方","夜")))),IF(OR($D1926="朝",$D1926="昼",$D1926="夕方",$D1926="夜"),$D1926,"⚠ 不明"))))</f>
        <v/>
      </c>
    </row>
    <row r="1927" customFormat="false" ht="15" hidden="false" customHeight="false" outlineLevel="0" collapsed="false">
      <c r="A1927" s="75"/>
      <c r="B1927" s="76"/>
      <c r="C1927" s="77"/>
      <c r="D1927" s="78"/>
      <c r="E1927" s="77"/>
      <c r="F1927" s="76"/>
      <c r="G1927" s="76"/>
      <c r="I1927" s="79" t="str">
        <f aca="false">IF($B1927="","",IF(ISNUMBER(MATCH($B1927,日別データ!$B$13:$B$32,0)),"✔ OK","⚠ 未登録"))</f>
        <v/>
      </c>
      <c r="J1927" s="80" t="str">
        <f aca="false">IF($B1927="","",IF($D1927="","－",IF(ISNUMBER($D1927),IF(AND($D1927&gt;=1,MOD($D1927,1)=0),"－",IF(MOD($D1927,1)&lt;$L$6,"朝",IF(MOD($D1927,1)&lt;$L$7,"昼",IF(MOD($D1927,1)&lt;$L$8,"夕方","夜")))),IF(OR($D1927="朝",$D1927="昼",$D1927="夕方",$D1927="夜"),$D1927,"⚠ 不明"))))</f>
        <v/>
      </c>
    </row>
    <row r="1928" customFormat="false" ht="15" hidden="false" customHeight="false" outlineLevel="0" collapsed="false">
      <c r="A1928" s="75"/>
      <c r="B1928" s="76"/>
      <c r="C1928" s="77"/>
      <c r="D1928" s="78"/>
      <c r="E1928" s="77"/>
      <c r="F1928" s="76"/>
      <c r="G1928" s="76"/>
      <c r="I1928" s="79" t="str">
        <f aca="false">IF($B1928="","",IF(ISNUMBER(MATCH($B1928,日別データ!$B$13:$B$32,0)),"✔ OK","⚠ 未登録"))</f>
        <v/>
      </c>
      <c r="J1928" s="80" t="str">
        <f aca="false">IF($B1928="","",IF($D1928="","－",IF(ISNUMBER($D1928),IF(AND($D1928&gt;=1,MOD($D1928,1)=0),"－",IF(MOD($D1928,1)&lt;$L$6,"朝",IF(MOD($D1928,1)&lt;$L$7,"昼",IF(MOD($D1928,1)&lt;$L$8,"夕方","夜")))),IF(OR($D1928="朝",$D1928="昼",$D1928="夕方",$D1928="夜"),$D1928,"⚠ 不明"))))</f>
        <v/>
      </c>
    </row>
    <row r="1929" customFormat="false" ht="15" hidden="false" customHeight="false" outlineLevel="0" collapsed="false">
      <c r="A1929" s="75"/>
      <c r="B1929" s="76"/>
      <c r="C1929" s="77"/>
      <c r="D1929" s="78"/>
      <c r="E1929" s="77"/>
      <c r="F1929" s="76"/>
      <c r="G1929" s="76"/>
      <c r="I1929" s="79" t="str">
        <f aca="false">IF($B1929="","",IF(ISNUMBER(MATCH($B1929,日別データ!$B$13:$B$32,0)),"✔ OK","⚠ 未登録"))</f>
        <v/>
      </c>
      <c r="J1929" s="80" t="str">
        <f aca="false">IF($B1929="","",IF($D1929="","－",IF(ISNUMBER($D1929),IF(AND($D1929&gt;=1,MOD($D1929,1)=0),"－",IF(MOD($D1929,1)&lt;$L$6,"朝",IF(MOD($D1929,1)&lt;$L$7,"昼",IF(MOD($D1929,1)&lt;$L$8,"夕方","夜")))),IF(OR($D1929="朝",$D1929="昼",$D1929="夕方",$D1929="夜"),$D1929,"⚠ 不明"))))</f>
        <v/>
      </c>
    </row>
    <row r="1930" customFormat="false" ht="15" hidden="false" customHeight="false" outlineLevel="0" collapsed="false">
      <c r="A1930" s="75"/>
      <c r="B1930" s="76"/>
      <c r="C1930" s="77"/>
      <c r="D1930" s="78"/>
      <c r="E1930" s="77"/>
      <c r="F1930" s="76"/>
      <c r="G1930" s="76"/>
      <c r="I1930" s="79" t="str">
        <f aca="false">IF($B1930="","",IF(ISNUMBER(MATCH($B1930,日別データ!$B$13:$B$32,0)),"✔ OK","⚠ 未登録"))</f>
        <v/>
      </c>
      <c r="J1930" s="80" t="str">
        <f aca="false">IF($B1930="","",IF($D1930="","－",IF(ISNUMBER($D1930),IF(AND($D1930&gt;=1,MOD($D1930,1)=0),"－",IF(MOD($D1930,1)&lt;$L$6,"朝",IF(MOD($D1930,1)&lt;$L$7,"昼",IF(MOD($D1930,1)&lt;$L$8,"夕方","夜")))),IF(OR($D1930="朝",$D1930="昼",$D1930="夕方",$D1930="夜"),$D1930,"⚠ 不明"))))</f>
        <v/>
      </c>
    </row>
    <row r="1931" customFormat="false" ht="15" hidden="false" customHeight="false" outlineLevel="0" collapsed="false">
      <c r="A1931" s="75"/>
      <c r="B1931" s="76"/>
      <c r="C1931" s="77"/>
      <c r="D1931" s="78"/>
      <c r="E1931" s="77"/>
      <c r="F1931" s="76"/>
      <c r="G1931" s="76"/>
      <c r="I1931" s="79" t="str">
        <f aca="false">IF($B1931="","",IF(ISNUMBER(MATCH($B1931,日別データ!$B$13:$B$32,0)),"✔ OK","⚠ 未登録"))</f>
        <v/>
      </c>
      <c r="J1931" s="80" t="str">
        <f aca="false">IF($B1931="","",IF($D1931="","－",IF(ISNUMBER($D1931),IF(AND($D1931&gt;=1,MOD($D1931,1)=0),"－",IF(MOD($D1931,1)&lt;$L$6,"朝",IF(MOD($D1931,1)&lt;$L$7,"昼",IF(MOD($D1931,1)&lt;$L$8,"夕方","夜")))),IF(OR($D1931="朝",$D1931="昼",$D1931="夕方",$D1931="夜"),$D1931,"⚠ 不明"))))</f>
        <v/>
      </c>
    </row>
    <row r="1932" customFormat="false" ht="15" hidden="false" customHeight="false" outlineLevel="0" collapsed="false">
      <c r="A1932" s="75"/>
      <c r="B1932" s="76"/>
      <c r="C1932" s="77"/>
      <c r="D1932" s="78"/>
      <c r="E1932" s="77"/>
      <c r="F1932" s="76"/>
      <c r="G1932" s="76"/>
      <c r="I1932" s="79" t="str">
        <f aca="false">IF($B1932="","",IF(ISNUMBER(MATCH($B1932,日別データ!$B$13:$B$32,0)),"✔ OK","⚠ 未登録"))</f>
        <v/>
      </c>
      <c r="J1932" s="80" t="str">
        <f aca="false">IF($B1932="","",IF($D1932="","－",IF(ISNUMBER($D1932),IF(AND($D1932&gt;=1,MOD($D1932,1)=0),"－",IF(MOD($D1932,1)&lt;$L$6,"朝",IF(MOD($D1932,1)&lt;$L$7,"昼",IF(MOD($D1932,1)&lt;$L$8,"夕方","夜")))),IF(OR($D1932="朝",$D1932="昼",$D1932="夕方",$D1932="夜"),$D1932,"⚠ 不明"))))</f>
        <v/>
      </c>
    </row>
    <row r="1933" customFormat="false" ht="15" hidden="false" customHeight="false" outlineLevel="0" collapsed="false">
      <c r="A1933" s="75"/>
      <c r="B1933" s="76"/>
      <c r="C1933" s="77"/>
      <c r="D1933" s="78"/>
      <c r="E1933" s="77"/>
      <c r="F1933" s="76"/>
      <c r="G1933" s="76"/>
      <c r="I1933" s="79" t="str">
        <f aca="false">IF($B1933="","",IF(ISNUMBER(MATCH($B1933,日別データ!$B$13:$B$32,0)),"✔ OK","⚠ 未登録"))</f>
        <v/>
      </c>
      <c r="J1933" s="80" t="str">
        <f aca="false">IF($B1933="","",IF($D1933="","－",IF(ISNUMBER($D1933),IF(AND($D1933&gt;=1,MOD($D1933,1)=0),"－",IF(MOD($D1933,1)&lt;$L$6,"朝",IF(MOD($D1933,1)&lt;$L$7,"昼",IF(MOD($D1933,1)&lt;$L$8,"夕方","夜")))),IF(OR($D1933="朝",$D1933="昼",$D1933="夕方",$D1933="夜"),$D1933,"⚠ 不明"))))</f>
        <v/>
      </c>
    </row>
    <row r="1934" customFormat="false" ht="15" hidden="false" customHeight="false" outlineLevel="0" collapsed="false">
      <c r="A1934" s="75"/>
      <c r="B1934" s="76"/>
      <c r="C1934" s="77"/>
      <c r="D1934" s="78"/>
      <c r="E1934" s="77"/>
      <c r="F1934" s="76"/>
      <c r="G1934" s="76"/>
      <c r="I1934" s="79" t="str">
        <f aca="false">IF($B1934="","",IF(ISNUMBER(MATCH($B1934,日別データ!$B$13:$B$32,0)),"✔ OK","⚠ 未登録"))</f>
        <v/>
      </c>
      <c r="J1934" s="80" t="str">
        <f aca="false">IF($B1934="","",IF($D1934="","－",IF(ISNUMBER($D1934),IF(AND($D1934&gt;=1,MOD($D1934,1)=0),"－",IF(MOD($D1934,1)&lt;$L$6,"朝",IF(MOD($D1934,1)&lt;$L$7,"昼",IF(MOD($D1934,1)&lt;$L$8,"夕方","夜")))),IF(OR($D1934="朝",$D1934="昼",$D1934="夕方",$D1934="夜"),$D1934,"⚠ 不明"))))</f>
        <v/>
      </c>
    </row>
    <row r="1935" customFormat="false" ht="15" hidden="false" customHeight="false" outlineLevel="0" collapsed="false">
      <c r="A1935" s="75"/>
      <c r="B1935" s="76"/>
      <c r="C1935" s="77"/>
      <c r="D1935" s="78"/>
      <c r="E1935" s="77"/>
      <c r="F1935" s="76"/>
      <c r="G1935" s="76"/>
      <c r="I1935" s="79" t="str">
        <f aca="false">IF($B1935="","",IF(ISNUMBER(MATCH($B1935,日別データ!$B$13:$B$32,0)),"✔ OK","⚠ 未登録"))</f>
        <v/>
      </c>
      <c r="J1935" s="80" t="str">
        <f aca="false">IF($B1935="","",IF($D1935="","－",IF(ISNUMBER($D1935),IF(AND($D1935&gt;=1,MOD($D1935,1)=0),"－",IF(MOD($D1935,1)&lt;$L$6,"朝",IF(MOD($D1935,1)&lt;$L$7,"昼",IF(MOD($D1935,1)&lt;$L$8,"夕方","夜")))),IF(OR($D1935="朝",$D1935="昼",$D1935="夕方",$D1935="夜"),$D1935,"⚠ 不明"))))</f>
        <v/>
      </c>
    </row>
    <row r="1936" customFormat="false" ht="15" hidden="false" customHeight="false" outlineLevel="0" collapsed="false">
      <c r="A1936" s="75"/>
      <c r="B1936" s="76"/>
      <c r="C1936" s="77"/>
      <c r="D1936" s="78"/>
      <c r="E1936" s="77"/>
      <c r="F1936" s="76"/>
      <c r="G1936" s="76"/>
      <c r="I1936" s="79" t="str">
        <f aca="false">IF($B1936="","",IF(ISNUMBER(MATCH($B1936,日別データ!$B$13:$B$32,0)),"✔ OK","⚠ 未登録"))</f>
        <v/>
      </c>
      <c r="J1936" s="80" t="str">
        <f aca="false">IF($B1936="","",IF($D1936="","－",IF(ISNUMBER($D1936),IF(AND($D1936&gt;=1,MOD($D1936,1)=0),"－",IF(MOD($D1936,1)&lt;$L$6,"朝",IF(MOD($D1936,1)&lt;$L$7,"昼",IF(MOD($D1936,1)&lt;$L$8,"夕方","夜")))),IF(OR($D1936="朝",$D1936="昼",$D1936="夕方",$D1936="夜"),$D1936,"⚠ 不明"))))</f>
        <v/>
      </c>
    </row>
    <row r="1937" customFormat="false" ht="15" hidden="false" customHeight="false" outlineLevel="0" collapsed="false">
      <c r="A1937" s="75"/>
      <c r="B1937" s="76"/>
      <c r="C1937" s="77"/>
      <c r="D1937" s="78"/>
      <c r="E1937" s="77"/>
      <c r="F1937" s="76"/>
      <c r="G1937" s="76"/>
      <c r="I1937" s="79" t="str">
        <f aca="false">IF($B1937="","",IF(ISNUMBER(MATCH($B1937,日別データ!$B$13:$B$32,0)),"✔ OK","⚠ 未登録"))</f>
        <v/>
      </c>
      <c r="J1937" s="80" t="str">
        <f aca="false">IF($B1937="","",IF($D1937="","－",IF(ISNUMBER($D1937),IF(AND($D1937&gt;=1,MOD($D1937,1)=0),"－",IF(MOD($D1937,1)&lt;$L$6,"朝",IF(MOD($D1937,1)&lt;$L$7,"昼",IF(MOD($D1937,1)&lt;$L$8,"夕方","夜")))),IF(OR($D1937="朝",$D1937="昼",$D1937="夕方",$D1937="夜"),$D1937,"⚠ 不明"))))</f>
        <v/>
      </c>
    </row>
    <row r="1938" customFormat="false" ht="15" hidden="false" customHeight="false" outlineLevel="0" collapsed="false">
      <c r="A1938" s="75"/>
      <c r="B1938" s="76"/>
      <c r="C1938" s="77"/>
      <c r="D1938" s="78"/>
      <c r="E1938" s="77"/>
      <c r="F1938" s="76"/>
      <c r="G1938" s="76"/>
      <c r="I1938" s="79" t="str">
        <f aca="false">IF($B1938="","",IF(ISNUMBER(MATCH($B1938,日別データ!$B$13:$B$32,0)),"✔ OK","⚠ 未登録"))</f>
        <v/>
      </c>
      <c r="J1938" s="80" t="str">
        <f aca="false">IF($B1938="","",IF($D1938="","－",IF(ISNUMBER($D1938),IF(AND($D1938&gt;=1,MOD($D1938,1)=0),"－",IF(MOD($D1938,1)&lt;$L$6,"朝",IF(MOD($D1938,1)&lt;$L$7,"昼",IF(MOD($D1938,1)&lt;$L$8,"夕方","夜")))),IF(OR($D1938="朝",$D1938="昼",$D1938="夕方",$D1938="夜"),$D1938,"⚠ 不明"))))</f>
        <v/>
      </c>
    </row>
    <row r="1939" customFormat="false" ht="15" hidden="false" customHeight="false" outlineLevel="0" collapsed="false">
      <c r="A1939" s="75"/>
      <c r="B1939" s="76"/>
      <c r="C1939" s="77"/>
      <c r="D1939" s="78"/>
      <c r="E1939" s="77"/>
      <c r="F1939" s="76"/>
      <c r="G1939" s="76"/>
      <c r="I1939" s="79" t="str">
        <f aca="false">IF($B1939="","",IF(ISNUMBER(MATCH($B1939,日別データ!$B$13:$B$32,0)),"✔ OK","⚠ 未登録"))</f>
        <v/>
      </c>
      <c r="J1939" s="80" t="str">
        <f aca="false">IF($B1939="","",IF($D1939="","－",IF(ISNUMBER($D1939),IF(AND($D1939&gt;=1,MOD($D1939,1)=0),"－",IF(MOD($D1939,1)&lt;$L$6,"朝",IF(MOD($D1939,1)&lt;$L$7,"昼",IF(MOD($D1939,1)&lt;$L$8,"夕方","夜")))),IF(OR($D1939="朝",$D1939="昼",$D1939="夕方",$D1939="夜"),$D1939,"⚠ 不明"))))</f>
        <v/>
      </c>
    </row>
    <row r="1940" customFormat="false" ht="15" hidden="false" customHeight="false" outlineLevel="0" collapsed="false">
      <c r="A1940" s="75"/>
      <c r="B1940" s="76"/>
      <c r="C1940" s="77"/>
      <c r="D1940" s="78"/>
      <c r="E1940" s="77"/>
      <c r="F1940" s="76"/>
      <c r="G1940" s="76"/>
      <c r="I1940" s="79" t="str">
        <f aca="false">IF($B1940="","",IF(ISNUMBER(MATCH($B1940,日別データ!$B$13:$B$32,0)),"✔ OK","⚠ 未登録"))</f>
        <v/>
      </c>
      <c r="J1940" s="80" t="str">
        <f aca="false">IF($B1940="","",IF($D1940="","－",IF(ISNUMBER($D1940),IF(AND($D1940&gt;=1,MOD($D1940,1)=0),"－",IF(MOD($D1940,1)&lt;$L$6,"朝",IF(MOD($D1940,1)&lt;$L$7,"昼",IF(MOD($D1940,1)&lt;$L$8,"夕方","夜")))),IF(OR($D1940="朝",$D1940="昼",$D1940="夕方",$D1940="夜"),$D1940,"⚠ 不明"))))</f>
        <v/>
      </c>
    </row>
    <row r="1941" customFormat="false" ht="15" hidden="false" customHeight="false" outlineLevel="0" collapsed="false">
      <c r="A1941" s="75"/>
      <c r="B1941" s="76"/>
      <c r="C1941" s="77"/>
      <c r="D1941" s="78"/>
      <c r="E1941" s="77"/>
      <c r="F1941" s="76"/>
      <c r="G1941" s="76"/>
      <c r="I1941" s="79" t="str">
        <f aca="false">IF($B1941="","",IF(ISNUMBER(MATCH($B1941,日別データ!$B$13:$B$32,0)),"✔ OK","⚠ 未登録"))</f>
        <v/>
      </c>
      <c r="J1941" s="80" t="str">
        <f aca="false">IF($B1941="","",IF($D1941="","－",IF(ISNUMBER($D1941),IF(AND($D1941&gt;=1,MOD($D1941,1)=0),"－",IF(MOD($D1941,1)&lt;$L$6,"朝",IF(MOD($D1941,1)&lt;$L$7,"昼",IF(MOD($D1941,1)&lt;$L$8,"夕方","夜")))),IF(OR($D1941="朝",$D1941="昼",$D1941="夕方",$D1941="夜"),$D1941,"⚠ 不明"))))</f>
        <v/>
      </c>
    </row>
    <row r="1942" customFormat="false" ht="15" hidden="false" customHeight="false" outlineLevel="0" collapsed="false">
      <c r="A1942" s="75"/>
      <c r="B1942" s="76"/>
      <c r="C1942" s="77"/>
      <c r="D1942" s="78"/>
      <c r="E1942" s="77"/>
      <c r="F1942" s="76"/>
      <c r="G1942" s="76"/>
      <c r="I1942" s="79" t="str">
        <f aca="false">IF($B1942="","",IF(ISNUMBER(MATCH($B1942,日別データ!$B$13:$B$32,0)),"✔ OK","⚠ 未登録"))</f>
        <v/>
      </c>
      <c r="J1942" s="80" t="str">
        <f aca="false">IF($B1942="","",IF($D1942="","－",IF(ISNUMBER($D1942),IF(AND($D1942&gt;=1,MOD($D1942,1)=0),"－",IF(MOD($D1942,1)&lt;$L$6,"朝",IF(MOD($D1942,1)&lt;$L$7,"昼",IF(MOD($D1942,1)&lt;$L$8,"夕方","夜")))),IF(OR($D1942="朝",$D1942="昼",$D1942="夕方",$D1942="夜"),$D1942,"⚠ 不明"))))</f>
        <v/>
      </c>
    </row>
    <row r="1943" customFormat="false" ht="15" hidden="false" customHeight="false" outlineLevel="0" collapsed="false">
      <c r="A1943" s="75"/>
      <c r="B1943" s="76"/>
      <c r="C1943" s="77"/>
      <c r="D1943" s="78"/>
      <c r="E1943" s="77"/>
      <c r="F1943" s="76"/>
      <c r="G1943" s="76"/>
      <c r="I1943" s="79" t="str">
        <f aca="false">IF($B1943="","",IF(ISNUMBER(MATCH($B1943,日別データ!$B$13:$B$32,0)),"✔ OK","⚠ 未登録"))</f>
        <v/>
      </c>
      <c r="J1943" s="80" t="str">
        <f aca="false">IF($B1943="","",IF($D1943="","－",IF(ISNUMBER($D1943),IF(AND($D1943&gt;=1,MOD($D1943,1)=0),"－",IF(MOD($D1943,1)&lt;$L$6,"朝",IF(MOD($D1943,1)&lt;$L$7,"昼",IF(MOD($D1943,1)&lt;$L$8,"夕方","夜")))),IF(OR($D1943="朝",$D1943="昼",$D1943="夕方",$D1943="夜"),$D1943,"⚠ 不明"))))</f>
        <v/>
      </c>
    </row>
    <row r="1944" customFormat="false" ht="15" hidden="false" customHeight="false" outlineLevel="0" collapsed="false">
      <c r="A1944" s="75"/>
      <c r="B1944" s="76"/>
      <c r="C1944" s="77"/>
      <c r="D1944" s="78"/>
      <c r="E1944" s="77"/>
      <c r="F1944" s="76"/>
      <c r="G1944" s="76"/>
      <c r="I1944" s="79" t="str">
        <f aca="false">IF($B1944="","",IF(ISNUMBER(MATCH($B1944,日別データ!$B$13:$B$32,0)),"✔ OK","⚠ 未登録"))</f>
        <v/>
      </c>
      <c r="J1944" s="80" t="str">
        <f aca="false">IF($B1944="","",IF($D1944="","－",IF(ISNUMBER($D1944),IF(AND($D1944&gt;=1,MOD($D1944,1)=0),"－",IF(MOD($D1944,1)&lt;$L$6,"朝",IF(MOD($D1944,1)&lt;$L$7,"昼",IF(MOD($D1944,1)&lt;$L$8,"夕方","夜")))),IF(OR($D1944="朝",$D1944="昼",$D1944="夕方",$D1944="夜"),$D1944,"⚠ 不明"))))</f>
        <v/>
      </c>
    </row>
    <row r="1945" customFormat="false" ht="15" hidden="false" customHeight="false" outlineLevel="0" collapsed="false">
      <c r="A1945" s="75"/>
      <c r="B1945" s="76"/>
      <c r="C1945" s="77"/>
      <c r="D1945" s="78"/>
      <c r="E1945" s="77"/>
      <c r="F1945" s="76"/>
      <c r="G1945" s="76"/>
      <c r="I1945" s="79" t="str">
        <f aca="false">IF($B1945="","",IF(ISNUMBER(MATCH($B1945,日別データ!$B$13:$B$32,0)),"✔ OK","⚠ 未登録"))</f>
        <v/>
      </c>
      <c r="J1945" s="80" t="str">
        <f aca="false">IF($B1945="","",IF($D1945="","－",IF(ISNUMBER($D1945),IF(AND($D1945&gt;=1,MOD($D1945,1)=0),"－",IF(MOD($D1945,1)&lt;$L$6,"朝",IF(MOD($D1945,1)&lt;$L$7,"昼",IF(MOD($D1945,1)&lt;$L$8,"夕方","夜")))),IF(OR($D1945="朝",$D1945="昼",$D1945="夕方",$D1945="夜"),$D1945,"⚠ 不明"))))</f>
        <v/>
      </c>
    </row>
    <row r="1946" customFormat="false" ht="15" hidden="false" customHeight="false" outlineLevel="0" collapsed="false">
      <c r="A1946" s="75"/>
      <c r="B1946" s="76"/>
      <c r="C1946" s="77"/>
      <c r="D1946" s="78"/>
      <c r="E1946" s="77"/>
      <c r="F1946" s="76"/>
      <c r="G1946" s="76"/>
      <c r="I1946" s="79" t="str">
        <f aca="false">IF($B1946="","",IF(ISNUMBER(MATCH($B1946,日別データ!$B$13:$B$32,0)),"✔ OK","⚠ 未登録"))</f>
        <v/>
      </c>
      <c r="J1946" s="80" t="str">
        <f aca="false">IF($B1946="","",IF($D1946="","－",IF(ISNUMBER($D1946),IF(AND($D1946&gt;=1,MOD($D1946,1)=0),"－",IF(MOD($D1946,1)&lt;$L$6,"朝",IF(MOD($D1946,1)&lt;$L$7,"昼",IF(MOD($D1946,1)&lt;$L$8,"夕方","夜")))),IF(OR($D1946="朝",$D1946="昼",$D1946="夕方",$D1946="夜"),$D1946,"⚠ 不明"))))</f>
        <v/>
      </c>
    </row>
    <row r="1947" customFormat="false" ht="15" hidden="false" customHeight="false" outlineLevel="0" collapsed="false">
      <c r="A1947" s="75"/>
      <c r="B1947" s="76"/>
      <c r="C1947" s="77"/>
      <c r="D1947" s="78"/>
      <c r="E1947" s="77"/>
      <c r="F1947" s="76"/>
      <c r="G1947" s="76"/>
      <c r="I1947" s="79" t="str">
        <f aca="false">IF($B1947="","",IF(ISNUMBER(MATCH($B1947,日別データ!$B$13:$B$32,0)),"✔ OK","⚠ 未登録"))</f>
        <v/>
      </c>
      <c r="J1947" s="80" t="str">
        <f aca="false">IF($B1947="","",IF($D1947="","－",IF(ISNUMBER($D1947),IF(AND($D1947&gt;=1,MOD($D1947,1)=0),"－",IF(MOD($D1947,1)&lt;$L$6,"朝",IF(MOD($D1947,1)&lt;$L$7,"昼",IF(MOD($D1947,1)&lt;$L$8,"夕方","夜")))),IF(OR($D1947="朝",$D1947="昼",$D1947="夕方",$D1947="夜"),$D1947,"⚠ 不明"))))</f>
        <v/>
      </c>
    </row>
    <row r="1948" customFormat="false" ht="15" hidden="false" customHeight="false" outlineLevel="0" collapsed="false">
      <c r="A1948" s="75"/>
      <c r="B1948" s="76"/>
      <c r="C1948" s="77"/>
      <c r="D1948" s="78"/>
      <c r="E1948" s="77"/>
      <c r="F1948" s="76"/>
      <c r="G1948" s="76"/>
      <c r="I1948" s="79" t="str">
        <f aca="false">IF($B1948="","",IF(ISNUMBER(MATCH($B1948,日別データ!$B$13:$B$32,0)),"✔ OK","⚠ 未登録"))</f>
        <v/>
      </c>
      <c r="J1948" s="80" t="str">
        <f aca="false">IF($B1948="","",IF($D1948="","－",IF(ISNUMBER($D1948),IF(AND($D1948&gt;=1,MOD($D1948,1)=0),"－",IF(MOD($D1948,1)&lt;$L$6,"朝",IF(MOD($D1948,1)&lt;$L$7,"昼",IF(MOD($D1948,1)&lt;$L$8,"夕方","夜")))),IF(OR($D1948="朝",$D1948="昼",$D1948="夕方",$D1948="夜"),$D1948,"⚠ 不明"))))</f>
        <v/>
      </c>
    </row>
    <row r="1949" customFormat="false" ht="15" hidden="false" customHeight="false" outlineLevel="0" collapsed="false">
      <c r="A1949" s="75"/>
      <c r="B1949" s="76"/>
      <c r="C1949" s="77"/>
      <c r="D1949" s="78"/>
      <c r="E1949" s="77"/>
      <c r="F1949" s="76"/>
      <c r="G1949" s="76"/>
      <c r="I1949" s="79" t="str">
        <f aca="false">IF($B1949="","",IF(ISNUMBER(MATCH($B1949,日別データ!$B$13:$B$32,0)),"✔ OK","⚠ 未登録"))</f>
        <v/>
      </c>
      <c r="J1949" s="80" t="str">
        <f aca="false">IF($B1949="","",IF($D1949="","－",IF(ISNUMBER($D1949),IF(AND($D1949&gt;=1,MOD($D1949,1)=0),"－",IF(MOD($D1949,1)&lt;$L$6,"朝",IF(MOD($D1949,1)&lt;$L$7,"昼",IF(MOD($D1949,1)&lt;$L$8,"夕方","夜")))),IF(OR($D1949="朝",$D1949="昼",$D1949="夕方",$D1949="夜"),$D1949,"⚠ 不明"))))</f>
        <v/>
      </c>
    </row>
    <row r="1950" customFormat="false" ht="15" hidden="false" customHeight="false" outlineLevel="0" collapsed="false">
      <c r="A1950" s="75"/>
      <c r="B1950" s="76"/>
      <c r="C1950" s="77"/>
      <c r="D1950" s="78"/>
      <c r="E1950" s="77"/>
      <c r="F1950" s="76"/>
      <c r="G1950" s="76"/>
      <c r="I1950" s="79" t="str">
        <f aca="false">IF($B1950="","",IF(ISNUMBER(MATCH($B1950,日別データ!$B$13:$B$32,0)),"✔ OK","⚠ 未登録"))</f>
        <v/>
      </c>
      <c r="J1950" s="80" t="str">
        <f aca="false">IF($B1950="","",IF($D1950="","－",IF(ISNUMBER($D1950),IF(AND($D1950&gt;=1,MOD($D1950,1)=0),"－",IF(MOD($D1950,1)&lt;$L$6,"朝",IF(MOD($D1950,1)&lt;$L$7,"昼",IF(MOD($D1950,1)&lt;$L$8,"夕方","夜")))),IF(OR($D1950="朝",$D1950="昼",$D1950="夕方",$D1950="夜"),$D1950,"⚠ 不明"))))</f>
        <v/>
      </c>
    </row>
    <row r="1951" customFormat="false" ht="15" hidden="false" customHeight="false" outlineLevel="0" collapsed="false">
      <c r="A1951" s="75"/>
      <c r="B1951" s="76"/>
      <c r="C1951" s="77"/>
      <c r="D1951" s="78"/>
      <c r="E1951" s="77"/>
      <c r="F1951" s="76"/>
      <c r="G1951" s="76"/>
      <c r="I1951" s="79" t="str">
        <f aca="false">IF($B1951="","",IF(ISNUMBER(MATCH($B1951,日別データ!$B$13:$B$32,0)),"✔ OK","⚠ 未登録"))</f>
        <v/>
      </c>
      <c r="J1951" s="80" t="str">
        <f aca="false">IF($B1951="","",IF($D1951="","－",IF(ISNUMBER($D1951),IF(AND($D1951&gt;=1,MOD($D1951,1)=0),"－",IF(MOD($D1951,1)&lt;$L$6,"朝",IF(MOD($D1951,1)&lt;$L$7,"昼",IF(MOD($D1951,1)&lt;$L$8,"夕方","夜")))),IF(OR($D1951="朝",$D1951="昼",$D1951="夕方",$D1951="夜"),$D1951,"⚠ 不明"))))</f>
        <v/>
      </c>
    </row>
    <row r="1952" customFormat="false" ht="15" hidden="false" customHeight="false" outlineLevel="0" collapsed="false">
      <c r="A1952" s="75"/>
      <c r="B1952" s="76"/>
      <c r="C1952" s="77"/>
      <c r="D1952" s="78"/>
      <c r="E1952" s="77"/>
      <c r="F1952" s="76"/>
      <c r="G1952" s="76"/>
      <c r="I1952" s="79" t="str">
        <f aca="false">IF($B1952="","",IF(ISNUMBER(MATCH($B1952,日別データ!$B$13:$B$32,0)),"✔ OK","⚠ 未登録"))</f>
        <v/>
      </c>
      <c r="J1952" s="80" t="str">
        <f aca="false">IF($B1952="","",IF($D1952="","－",IF(ISNUMBER($D1952),IF(AND($D1952&gt;=1,MOD($D1952,1)=0),"－",IF(MOD($D1952,1)&lt;$L$6,"朝",IF(MOD($D1952,1)&lt;$L$7,"昼",IF(MOD($D1952,1)&lt;$L$8,"夕方","夜")))),IF(OR($D1952="朝",$D1952="昼",$D1952="夕方",$D1952="夜"),$D1952,"⚠ 不明"))))</f>
        <v/>
      </c>
    </row>
    <row r="1953" customFormat="false" ht="15" hidden="false" customHeight="false" outlineLevel="0" collapsed="false">
      <c r="A1953" s="75"/>
      <c r="B1953" s="76"/>
      <c r="C1953" s="77"/>
      <c r="D1953" s="78"/>
      <c r="E1953" s="77"/>
      <c r="F1953" s="76"/>
      <c r="G1953" s="76"/>
      <c r="I1953" s="79" t="str">
        <f aca="false">IF($B1953="","",IF(ISNUMBER(MATCH($B1953,日別データ!$B$13:$B$32,0)),"✔ OK","⚠ 未登録"))</f>
        <v/>
      </c>
      <c r="J1953" s="80" t="str">
        <f aca="false">IF($B1953="","",IF($D1953="","－",IF(ISNUMBER($D1953),IF(AND($D1953&gt;=1,MOD($D1953,1)=0),"－",IF(MOD($D1953,1)&lt;$L$6,"朝",IF(MOD($D1953,1)&lt;$L$7,"昼",IF(MOD($D1953,1)&lt;$L$8,"夕方","夜")))),IF(OR($D1953="朝",$D1953="昼",$D1953="夕方",$D1953="夜"),$D1953,"⚠ 不明"))))</f>
        <v/>
      </c>
    </row>
    <row r="1954" customFormat="false" ht="15" hidden="false" customHeight="false" outlineLevel="0" collapsed="false">
      <c r="A1954" s="75"/>
      <c r="B1954" s="76"/>
      <c r="C1954" s="77"/>
      <c r="D1954" s="78"/>
      <c r="E1954" s="77"/>
      <c r="F1954" s="76"/>
      <c r="G1954" s="76"/>
      <c r="I1954" s="79" t="str">
        <f aca="false">IF($B1954="","",IF(ISNUMBER(MATCH($B1954,日別データ!$B$13:$B$32,0)),"✔ OK","⚠ 未登録"))</f>
        <v/>
      </c>
      <c r="J1954" s="80" t="str">
        <f aca="false">IF($B1954="","",IF($D1954="","－",IF(ISNUMBER($D1954),IF(AND($D1954&gt;=1,MOD($D1954,1)=0),"－",IF(MOD($D1954,1)&lt;$L$6,"朝",IF(MOD($D1954,1)&lt;$L$7,"昼",IF(MOD($D1954,1)&lt;$L$8,"夕方","夜")))),IF(OR($D1954="朝",$D1954="昼",$D1954="夕方",$D1954="夜"),$D1954,"⚠ 不明"))))</f>
        <v/>
      </c>
    </row>
    <row r="1955" customFormat="false" ht="15" hidden="false" customHeight="false" outlineLevel="0" collapsed="false">
      <c r="A1955" s="75"/>
      <c r="B1955" s="76"/>
      <c r="C1955" s="77"/>
      <c r="D1955" s="78"/>
      <c r="E1955" s="77"/>
      <c r="F1955" s="76"/>
      <c r="G1955" s="76"/>
      <c r="I1955" s="79" t="str">
        <f aca="false">IF($B1955="","",IF(ISNUMBER(MATCH($B1955,日別データ!$B$13:$B$32,0)),"✔ OK","⚠ 未登録"))</f>
        <v/>
      </c>
      <c r="J1955" s="80" t="str">
        <f aca="false">IF($B1955="","",IF($D1955="","－",IF(ISNUMBER($D1955),IF(AND($D1955&gt;=1,MOD($D1955,1)=0),"－",IF(MOD($D1955,1)&lt;$L$6,"朝",IF(MOD($D1955,1)&lt;$L$7,"昼",IF(MOD($D1955,1)&lt;$L$8,"夕方","夜")))),IF(OR($D1955="朝",$D1955="昼",$D1955="夕方",$D1955="夜"),$D1955,"⚠ 不明"))))</f>
        <v/>
      </c>
    </row>
    <row r="1956" customFormat="false" ht="15" hidden="false" customHeight="false" outlineLevel="0" collapsed="false">
      <c r="A1956" s="75"/>
      <c r="B1956" s="76"/>
      <c r="C1956" s="77"/>
      <c r="D1956" s="78"/>
      <c r="E1956" s="77"/>
      <c r="F1956" s="76"/>
      <c r="G1956" s="76"/>
      <c r="I1956" s="79" t="str">
        <f aca="false">IF($B1956="","",IF(ISNUMBER(MATCH($B1956,日別データ!$B$13:$B$32,0)),"✔ OK","⚠ 未登録"))</f>
        <v/>
      </c>
      <c r="J1956" s="80" t="str">
        <f aca="false">IF($B1956="","",IF($D1956="","－",IF(ISNUMBER($D1956),IF(AND($D1956&gt;=1,MOD($D1956,1)=0),"－",IF(MOD($D1956,1)&lt;$L$6,"朝",IF(MOD($D1956,1)&lt;$L$7,"昼",IF(MOD($D1956,1)&lt;$L$8,"夕方","夜")))),IF(OR($D1956="朝",$D1956="昼",$D1956="夕方",$D1956="夜"),$D1956,"⚠ 不明"))))</f>
        <v/>
      </c>
    </row>
    <row r="1957" customFormat="false" ht="15" hidden="false" customHeight="false" outlineLevel="0" collapsed="false">
      <c r="A1957" s="75"/>
      <c r="B1957" s="76"/>
      <c r="C1957" s="77"/>
      <c r="D1957" s="78"/>
      <c r="E1957" s="77"/>
      <c r="F1957" s="76"/>
      <c r="G1957" s="76"/>
      <c r="I1957" s="79" t="str">
        <f aca="false">IF($B1957="","",IF(ISNUMBER(MATCH($B1957,日別データ!$B$13:$B$32,0)),"✔ OK","⚠ 未登録"))</f>
        <v/>
      </c>
      <c r="J1957" s="80" t="str">
        <f aca="false">IF($B1957="","",IF($D1957="","－",IF(ISNUMBER($D1957),IF(AND($D1957&gt;=1,MOD($D1957,1)=0),"－",IF(MOD($D1957,1)&lt;$L$6,"朝",IF(MOD($D1957,1)&lt;$L$7,"昼",IF(MOD($D1957,1)&lt;$L$8,"夕方","夜")))),IF(OR($D1957="朝",$D1957="昼",$D1957="夕方",$D1957="夜"),$D1957,"⚠ 不明"))))</f>
        <v/>
      </c>
    </row>
    <row r="1958" customFormat="false" ht="15" hidden="false" customHeight="false" outlineLevel="0" collapsed="false">
      <c r="A1958" s="75"/>
      <c r="B1958" s="76"/>
      <c r="C1958" s="77"/>
      <c r="D1958" s="78"/>
      <c r="E1958" s="77"/>
      <c r="F1958" s="76"/>
      <c r="G1958" s="76"/>
      <c r="I1958" s="79" t="str">
        <f aca="false">IF($B1958="","",IF(ISNUMBER(MATCH($B1958,日別データ!$B$13:$B$32,0)),"✔ OK","⚠ 未登録"))</f>
        <v/>
      </c>
      <c r="J1958" s="80" t="str">
        <f aca="false">IF($B1958="","",IF($D1958="","－",IF(ISNUMBER($D1958),IF(AND($D1958&gt;=1,MOD($D1958,1)=0),"－",IF(MOD($D1958,1)&lt;$L$6,"朝",IF(MOD($D1958,1)&lt;$L$7,"昼",IF(MOD($D1958,1)&lt;$L$8,"夕方","夜")))),IF(OR($D1958="朝",$D1958="昼",$D1958="夕方",$D1958="夜"),$D1958,"⚠ 不明"))))</f>
        <v/>
      </c>
    </row>
    <row r="1959" customFormat="false" ht="15" hidden="false" customHeight="false" outlineLevel="0" collapsed="false">
      <c r="A1959" s="75"/>
      <c r="B1959" s="76"/>
      <c r="C1959" s="77"/>
      <c r="D1959" s="78"/>
      <c r="E1959" s="77"/>
      <c r="F1959" s="76"/>
      <c r="G1959" s="76"/>
      <c r="I1959" s="79" t="str">
        <f aca="false">IF($B1959="","",IF(ISNUMBER(MATCH($B1959,日別データ!$B$13:$B$32,0)),"✔ OK","⚠ 未登録"))</f>
        <v/>
      </c>
      <c r="J1959" s="80" t="str">
        <f aca="false">IF($B1959="","",IF($D1959="","－",IF(ISNUMBER($D1959),IF(AND($D1959&gt;=1,MOD($D1959,1)=0),"－",IF(MOD($D1959,1)&lt;$L$6,"朝",IF(MOD($D1959,1)&lt;$L$7,"昼",IF(MOD($D1959,1)&lt;$L$8,"夕方","夜")))),IF(OR($D1959="朝",$D1959="昼",$D1959="夕方",$D1959="夜"),$D1959,"⚠ 不明"))))</f>
        <v/>
      </c>
    </row>
    <row r="1960" customFormat="false" ht="15" hidden="false" customHeight="false" outlineLevel="0" collapsed="false">
      <c r="A1960" s="75"/>
      <c r="B1960" s="76"/>
      <c r="C1960" s="77"/>
      <c r="D1960" s="78"/>
      <c r="E1960" s="77"/>
      <c r="F1960" s="76"/>
      <c r="G1960" s="76"/>
      <c r="I1960" s="79" t="str">
        <f aca="false">IF($B1960="","",IF(ISNUMBER(MATCH($B1960,日別データ!$B$13:$B$32,0)),"✔ OK","⚠ 未登録"))</f>
        <v/>
      </c>
      <c r="J1960" s="80" t="str">
        <f aca="false">IF($B1960="","",IF($D1960="","－",IF(ISNUMBER($D1960),IF(AND($D1960&gt;=1,MOD($D1960,1)=0),"－",IF(MOD($D1960,1)&lt;$L$6,"朝",IF(MOD($D1960,1)&lt;$L$7,"昼",IF(MOD($D1960,1)&lt;$L$8,"夕方","夜")))),IF(OR($D1960="朝",$D1960="昼",$D1960="夕方",$D1960="夜"),$D1960,"⚠ 不明"))))</f>
        <v/>
      </c>
    </row>
    <row r="1961" customFormat="false" ht="15" hidden="false" customHeight="false" outlineLevel="0" collapsed="false">
      <c r="A1961" s="75"/>
      <c r="B1961" s="76"/>
      <c r="C1961" s="77"/>
      <c r="D1961" s="78"/>
      <c r="E1961" s="77"/>
      <c r="F1961" s="76"/>
      <c r="G1961" s="76"/>
      <c r="I1961" s="79" t="str">
        <f aca="false">IF($B1961="","",IF(ISNUMBER(MATCH($B1961,日別データ!$B$13:$B$32,0)),"✔ OK","⚠ 未登録"))</f>
        <v/>
      </c>
      <c r="J1961" s="80" t="str">
        <f aca="false">IF($B1961="","",IF($D1961="","－",IF(ISNUMBER($D1961),IF(AND($D1961&gt;=1,MOD($D1961,1)=0),"－",IF(MOD($D1961,1)&lt;$L$6,"朝",IF(MOD($D1961,1)&lt;$L$7,"昼",IF(MOD($D1961,1)&lt;$L$8,"夕方","夜")))),IF(OR($D1961="朝",$D1961="昼",$D1961="夕方",$D1961="夜"),$D1961,"⚠ 不明"))))</f>
        <v/>
      </c>
    </row>
    <row r="1962" customFormat="false" ht="15" hidden="false" customHeight="false" outlineLevel="0" collapsed="false">
      <c r="A1962" s="75"/>
      <c r="B1962" s="76"/>
      <c r="C1962" s="77"/>
      <c r="D1962" s="78"/>
      <c r="E1962" s="77"/>
      <c r="F1962" s="76"/>
      <c r="G1962" s="76"/>
      <c r="I1962" s="79" t="str">
        <f aca="false">IF($B1962="","",IF(ISNUMBER(MATCH($B1962,日別データ!$B$13:$B$32,0)),"✔ OK","⚠ 未登録"))</f>
        <v/>
      </c>
      <c r="J1962" s="80" t="str">
        <f aca="false">IF($B1962="","",IF($D1962="","－",IF(ISNUMBER($D1962),IF(AND($D1962&gt;=1,MOD($D1962,1)=0),"－",IF(MOD($D1962,1)&lt;$L$6,"朝",IF(MOD($D1962,1)&lt;$L$7,"昼",IF(MOD($D1962,1)&lt;$L$8,"夕方","夜")))),IF(OR($D1962="朝",$D1962="昼",$D1962="夕方",$D1962="夜"),$D1962,"⚠ 不明"))))</f>
        <v/>
      </c>
    </row>
    <row r="1963" customFormat="false" ht="15" hidden="false" customHeight="false" outlineLevel="0" collapsed="false">
      <c r="A1963" s="75"/>
      <c r="B1963" s="76"/>
      <c r="C1963" s="77"/>
      <c r="D1963" s="78"/>
      <c r="E1963" s="77"/>
      <c r="F1963" s="76"/>
      <c r="G1963" s="76"/>
      <c r="I1963" s="79" t="str">
        <f aca="false">IF($B1963="","",IF(ISNUMBER(MATCH($B1963,日別データ!$B$13:$B$32,0)),"✔ OK","⚠ 未登録"))</f>
        <v/>
      </c>
      <c r="J1963" s="80" t="str">
        <f aca="false">IF($B1963="","",IF($D1963="","－",IF(ISNUMBER($D1963),IF(AND($D1963&gt;=1,MOD($D1963,1)=0),"－",IF(MOD($D1963,1)&lt;$L$6,"朝",IF(MOD($D1963,1)&lt;$L$7,"昼",IF(MOD($D1963,1)&lt;$L$8,"夕方","夜")))),IF(OR($D1963="朝",$D1963="昼",$D1963="夕方",$D1963="夜"),$D1963,"⚠ 不明"))))</f>
        <v/>
      </c>
    </row>
    <row r="1964" customFormat="false" ht="15" hidden="false" customHeight="false" outlineLevel="0" collapsed="false">
      <c r="A1964" s="75"/>
      <c r="B1964" s="76"/>
      <c r="C1964" s="77"/>
      <c r="D1964" s="78"/>
      <c r="E1964" s="77"/>
      <c r="F1964" s="76"/>
      <c r="G1964" s="76"/>
      <c r="I1964" s="79" t="str">
        <f aca="false">IF($B1964="","",IF(ISNUMBER(MATCH($B1964,日別データ!$B$13:$B$32,0)),"✔ OK","⚠ 未登録"))</f>
        <v/>
      </c>
      <c r="J1964" s="80" t="str">
        <f aca="false">IF($B1964="","",IF($D1964="","－",IF(ISNUMBER($D1964),IF(AND($D1964&gt;=1,MOD($D1964,1)=0),"－",IF(MOD($D1964,1)&lt;$L$6,"朝",IF(MOD($D1964,1)&lt;$L$7,"昼",IF(MOD($D1964,1)&lt;$L$8,"夕方","夜")))),IF(OR($D1964="朝",$D1964="昼",$D1964="夕方",$D1964="夜"),$D1964,"⚠ 不明"))))</f>
        <v/>
      </c>
    </row>
    <row r="1965" customFormat="false" ht="15" hidden="false" customHeight="false" outlineLevel="0" collapsed="false">
      <c r="A1965" s="75"/>
      <c r="B1965" s="76"/>
      <c r="C1965" s="77"/>
      <c r="D1965" s="78"/>
      <c r="E1965" s="77"/>
      <c r="F1965" s="76"/>
      <c r="G1965" s="76"/>
      <c r="I1965" s="79" t="str">
        <f aca="false">IF($B1965="","",IF(ISNUMBER(MATCH($B1965,日別データ!$B$13:$B$32,0)),"✔ OK","⚠ 未登録"))</f>
        <v/>
      </c>
      <c r="J1965" s="80" t="str">
        <f aca="false">IF($B1965="","",IF($D1965="","－",IF(ISNUMBER($D1965),IF(AND($D1965&gt;=1,MOD($D1965,1)=0),"－",IF(MOD($D1965,1)&lt;$L$6,"朝",IF(MOD($D1965,1)&lt;$L$7,"昼",IF(MOD($D1965,1)&lt;$L$8,"夕方","夜")))),IF(OR($D1965="朝",$D1965="昼",$D1965="夕方",$D1965="夜"),$D1965,"⚠ 不明"))))</f>
        <v/>
      </c>
    </row>
    <row r="1966" customFormat="false" ht="15" hidden="false" customHeight="false" outlineLevel="0" collapsed="false">
      <c r="A1966" s="75"/>
      <c r="B1966" s="76"/>
      <c r="C1966" s="77"/>
      <c r="D1966" s="78"/>
      <c r="E1966" s="77"/>
      <c r="F1966" s="76"/>
      <c r="G1966" s="76"/>
      <c r="I1966" s="79" t="str">
        <f aca="false">IF($B1966="","",IF(ISNUMBER(MATCH($B1966,日別データ!$B$13:$B$32,0)),"✔ OK","⚠ 未登録"))</f>
        <v/>
      </c>
      <c r="J1966" s="80" t="str">
        <f aca="false">IF($B1966="","",IF($D1966="","－",IF(ISNUMBER($D1966),IF(AND($D1966&gt;=1,MOD($D1966,1)=0),"－",IF(MOD($D1966,1)&lt;$L$6,"朝",IF(MOD($D1966,1)&lt;$L$7,"昼",IF(MOD($D1966,1)&lt;$L$8,"夕方","夜")))),IF(OR($D1966="朝",$D1966="昼",$D1966="夕方",$D1966="夜"),$D1966,"⚠ 不明"))))</f>
        <v/>
      </c>
    </row>
    <row r="1967" customFormat="false" ht="15" hidden="false" customHeight="false" outlineLevel="0" collapsed="false">
      <c r="A1967" s="75"/>
      <c r="B1967" s="76"/>
      <c r="C1967" s="77"/>
      <c r="D1967" s="78"/>
      <c r="E1967" s="77"/>
      <c r="F1967" s="76"/>
      <c r="G1967" s="76"/>
      <c r="I1967" s="79" t="str">
        <f aca="false">IF($B1967="","",IF(ISNUMBER(MATCH($B1967,日別データ!$B$13:$B$32,0)),"✔ OK","⚠ 未登録"))</f>
        <v/>
      </c>
      <c r="J1967" s="80" t="str">
        <f aca="false">IF($B1967="","",IF($D1967="","－",IF(ISNUMBER($D1967),IF(AND($D1967&gt;=1,MOD($D1967,1)=0),"－",IF(MOD($D1967,1)&lt;$L$6,"朝",IF(MOD($D1967,1)&lt;$L$7,"昼",IF(MOD($D1967,1)&lt;$L$8,"夕方","夜")))),IF(OR($D1967="朝",$D1967="昼",$D1967="夕方",$D1967="夜"),$D1967,"⚠ 不明"))))</f>
        <v/>
      </c>
    </row>
    <row r="1968" customFormat="false" ht="15" hidden="false" customHeight="false" outlineLevel="0" collapsed="false">
      <c r="A1968" s="75"/>
      <c r="B1968" s="76"/>
      <c r="C1968" s="77"/>
      <c r="D1968" s="78"/>
      <c r="E1968" s="77"/>
      <c r="F1968" s="76"/>
      <c r="G1968" s="76"/>
      <c r="I1968" s="79" t="str">
        <f aca="false">IF($B1968="","",IF(ISNUMBER(MATCH($B1968,日別データ!$B$13:$B$32,0)),"✔ OK","⚠ 未登録"))</f>
        <v/>
      </c>
      <c r="J1968" s="80" t="str">
        <f aca="false">IF($B1968="","",IF($D1968="","－",IF(ISNUMBER($D1968),IF(AND($D1968&gt;=1,MOD($D1968,1)=0),"－",IF(MOD($D1968,1)&lt;$L$6,"朝",IF(MOD($D1968,1)&lt;$L$7,"昼",IF(MOD($D1968,1)&lt;$L$8,"夕方","夜")))),IF(OR($D1968="朝",$D1968="昼",$D1968="夕方",$D1968="夜"),$D1968,"⚠ 不明"))))</f>
        <v/>
      </c>
    </row>
    <row r="1969" customFormat="false" ht="15" hidden="false" customHeight="false" outlineLevel="0" collapsed="false">
      <c r="A1969" s="75"/>
      <c r="B1969" s="76"/>
      <c r="C1969" s="77"/>
      <c r="D1969" s="78"/>
      <c r="E1969" s="77"/>
      <c r="F1969" s="76"/>
      <c r="G1969" s="76"/>
      <c r="I1969" s="79" t="str">
        <f aca="false">IF($B1969="","",IF(ISNUMBER(MATCH($B1969,日別データ!$B$13:$B$32,0)),"✔ OK","⚠ 未登録"))</f>
        <v/>
      </c>
      <c r="J1969" s="80" t="str">
        <f aca="false">IF($B1969="","",IF($D1969="","－",IF(ISNUMBER($D1969),IF(AND($D1969&gt;=1,MOD($D1969,1)=0),"－",IF(MOD($D1969,1)&lt;$L$6,"朝",IF(MOD($D1969,1)&lt;$L$7,"昼",IF(MOD($D1969,1)&lt;$L$8,"夕方","夜")))),IF(OR($D1969="朝",$D1969="昼",$D1969="夕方",$D1969="夜"),$D1969,"⚠ 不明"))))</f>
        <v/>
      </c>
    </row>
    <row r="1970" customFormat="false" ht="15" hidden="false" customHeight="false" outlineLevel="0" collapsed="false">
      <c r="A1970" s="75"/>
      <c r="B1970" s="76"/>
      <c r="C1970" s="77"/>
      <c r="D1970" s="78"/>
      <c r="E1970" s="77"/>
      <c r="F1970" s="76"/>
      <c r="G1970" s="76"/>
      <c r="I1970" s="79" t="str">
        <f aca="false">IF($B1970="","",IF(ISNUMBER(MATCH($B1970,日別データ!$B$13:$B$32,0)),"✔ OK","⚠ 未登録"))</f>
        <v/>
      </c>
      <c r="J1970" s="80" t="str">
        <f aca="false">IF($B1970="","",IF($D1970="","－",IF(ISNUMBER($D1970),IF(AND($D1970&gt;=1,MOD($D1970,1)=0),"－",IF(MOD($D1970,1)&lt;$L$6,"朝",IF(MOD($D1970,1)&lt;$L$7,"昼",IF(MOD($D1970,1)&lt;$L$8,"夕方","夜")))),IF(OR($D1970="朝",$D1970="昼",$D1970="夕方",$D1970="夜"),$D1970,"⚠ 不明"))))</f>
        <v/>
      </c>
    </row>
    <row r="1971" customFormat="false" ht="15" hidden="false" customHeight="false" outlineLevel="0" collapsed="false">
      <c r="A1971" s="75"/>
      <c r="B1971" s="76"/>
      <c r="C1971" s="77"/>
      <c r="D1971" s="78"/>
      <c r="E1971" s="77"/>
      <c r="F1971" s="76"/>
      <c r="G1971" s="76"/>
      <c r="I1971" s="79" t="str">
        <f aca="false">IF($B1971="","",IF(ISNUMBER(MATCH($B1971,日別データ!$B$13:$B$32,0)),"✔ OK","⚠ 未登録"))</f>
        <v/>
      </c>
      <c r="J1971" s="80" t="str">
        <f aca="false">IF($B1971="","",IF($D1971="","－",IF(ISNUMBER($D1971),IF(AND($D1971&gt;=1,MOD($D1971,1)=0),"－",IF(MOD($D1971,1)&lt;$L$6,"朝",IF(MOD($D1971,1)&lt;$L$7,"昼",IF(MOD($D1971,1)&lt;$L$8,"夕方","夜")))),IF(OR($D1971="朝",$D1971="昼",$D1971="夕方",$D1971="夜"),$D1971,"⚠ 不明"))))</f>
        <v/>
      </c>
    </row>
    <row r="1972" customFormat="false" ht="15" hidden="false" customHeight="false" outlineLevel="0" collapsed="false">
      <c r="A1972" s="75"/>
      <c r="B1972" s="76"/>
      <c r="C1972" s="77"/>
      <c r="D1972" s="78"/>
      <c r="E1972" s="77"/>
      <c r="F1972" s="76"/>
      <c r="G1972" s="76"/>
      <c r="I1972" s="79" t="str">
        <f aca="false">IF($B1972="","",IF(ISNUMBER(MATCH($B1972,日別データ!$B$13:$B$32,0)),"✔ OK","⚠ 未登録"))</f>
        <v/>
      </c>
      <c r="J1972" s="80" t="str">
        <f aca="false">IF($B1972="","",IF($D1972="","－",IF(ISNUMBER($D1972),IF(AND($D1972&gt;=1,MOD($D1972,1)=0),"－",IF(MOD($D1972,1)&lt;$L$6,"朝",IF(MOD($D1972,1)&lt;$L$7,"昼",IF(MOD($D1972,1)&lt;$L$8,"夕方","夜")))),IF(OR($D1972="朝",$D1972="昼",$D1972="夕方",$D1972="夜"),$D1972,"⚠ 不明"))))</f>
        <v/>
      </c>
    </row>
    <row r="1973" customFormat="false" ht="15" hidden="false" customHeight="false" outlineLevel="0" collapsed="false">
      <c r="A1973" s="75"/>
      <c r="B1973" s="76"/>
      <c r="C1973" s="77"/>
      <c r="D1973" s="78"/>
      <c r="E1973" s="77"/>
      <c r="F1973" s="76"/>
      <c r="G1973" s="76"/>
      <c r="I1973" s="79" t="str">
        <f aca="false">IF($B1973="","",IF(ISNUMBER(MATCH($B1973,日別データ!$B$13:$B$32,0)),"✔ OK","⚠ 未登録"))</f>
        <v/>
      </c>
      <c r="J1973" s="80" t="str">
        <f aca="false">IF($B1973="","",IF($D1973="","－",IF(ISNUMBER($D1973),IF(AND($D1973&gt;=1,MOD($D1973,1)=0),"－",IF(MOD($D1973,1)&lt;$L$6,"朝",IF(MOD($D1973,1)&lt;$L$7,"昼",IF(MOD($D1973,1)&lt;$L$8,"夕方","夜")))),IF(OR($D1973="朝",$D1973="昼",$D1973="夕方",$D1973="夜"),$D1973,"⚠ 不明"))))</f>
        <v/>
      </c>
    </row>
    <row r="1974" customFormat="false" ht="15" hidden="false" customHeight="false" outlineLevel="0" collapsed="false">
      <c r="A1974" s="75"/>
      <c r="B1974" s="76"/>
      <c r="C1974" s="77"/>
      <c r="D1974" s="78"/>
      <c r="E1974" s="77"/>
      <c r="F1974" s="76"/>
      <c r="G1974" s="76"/>
      <c r="I1974" s="79" t="str">
        <f aca="false">IF($B1974="","",IF(ISNUMBER(MATCH($B1974,日別データ!$B$13:$B$32,0)),"✔ OK","⚠ 未登録"))</f>
        <v/>
      </c>
      <c r="J1974" s="80" t="str">
        <f aca="false">IF($B1974="","",IF($D1974="","－",IF(ISNUMBER($D1974),IF(AND($D1974&gt;=1,MOD($D1974,1)=0),"－",IF(MOD($D1974,1)&lt;$L$6,"朝",IF(MOD($D1974,1)&lt;$L$7,"昼",IF(MOD($D1974,1)&lt;$L$8,"夕方","夜")))),IF(OR($D1974="朝",$D1974="昼",$D1974="夕方",$D1974="夜"),$D1974,"⚠ 不明"))))</f>
        <v/>
      </c>
    </row>
    <row r="1975" customFormat="false" ht="15" hidden="false" customHeight="false" outlineLevel="0" collapsed="false">
      <c r="A1975" s="75"/>
      <c r="B1975" s="76"/>
      <c r="C1975" s="77"/>
      <c r="D1975" s="78"/>
      <c r="E1975" s="77"/>
      <c r="F1975" s="76"/>
      <c r="G1975" s="76"/>
      <c r="I1975" s="79" t="str">
        <f aca="false">IF($B1975="","",IF(ISNUMBER(MATCH($B1975,日別データ!$B$13:$B$32,0)),"✔ OK","⚠ 未登録"))</f>
        <v/>
      </c>
      <c r="J1975" s="80" t="str">
        <f aca="false">IF($B1975="","",IF($D1975="","－",IF(ISNUMBER($D1975),IF(AND($D1975&gt;=1,MOD($D1975,1)=0),"－",IF(MOD($D1975,1)&lt;$L$6,"朝",IF(MOD($D1975,1)&lt;$L$7,"昼",IF(MOD($D1975,1)&lt;$L$8,"夕方","夜")))),IF(OR($D1975="朝",$D1975="昼",$D1975="夕方",$D1975="夜"),$D1975,"⚠ 不明"))))</f>
        <v/>
      </c>
    </row>
    <row r="1976" customFormat="false" ht="15" hidden="false" customHeight="false" outlineLevel="0" collapsed="false">
      <c r="A1976" s="75"/>
      <c r="B1976" s="76"/>
      <c r="C1976" s="77"/>
      <c r="D1976" s="78"/>
      <c r="E1976" s="77"/>
      <c r="F1976" s="76"/>
      <c r="G1976" s="76"/>
      <c r="I1976" s="79" t="str">
        <f aca="false">IF($B1976="","",IF(ISNUMBER(MATCH($B1976,日別データ!$B$13:$B$32,0)),"✔ OK","⚠ 未登録"))</f>
        <v/>
      </c>
      <c r="J1976" s="80" t="str">
        <f aca="false">IF($B1976="","",IF($D1976="","－",IF(ISNUMBER($D1976),IF(AND($D1976&gt;=1,MOD($D1976,1)=0),"－",IF(MOD($D1976,1)&lt;$L$6,"朝",IF(MOD($D1976,1)&lt;$L$7,"昼",IF(MOD($D1976,1)&lt;$L$8,"夕方","夜")))),IF(OR($D1976="朝",$D1976="昼",$D1976="夕方",$D1976="夜"),$D1976,"⚠ 不明"))))</f>
        <v/>
      </c>
    </row>
    <row r="1977" customFormat="false" ht="15" hidden="false" customHeight="false" outlineLevel="0" collapsed="false">
      <c r="A1977" s="75"/>
      <c r="B1977" s="76"/>
      <c r="C1977" s="77"/>
      <c r="D1977" s="78"/>
      <c r="E1977" s="77"/>
      <c r="F1977" s="76"/>
      <c r="G1977" s="76"/>
      <c r="I1977" s="79" t="str">
        <f aca="false">IF($B1977="","",IF(ISNUMBER(MATCH($B1977,日別データ!$B$13:$B$32,0)),"✔ OK","⚠ 未登録"))</f>
        <v/>
      </c>
      <c r="J1977" s="80" t="str">
        <f aca="false">IF($B1977="","",IF($D1977="","－",IF(ISNUMBER($D1977),IF(AND($D1977&gt;=1,MOD($D1977,1)=0),"－",IF(MOD($D1977,1)&lt;$L$6,"朝",IF(MOD($D1977,1)&lt;$L$7,"昼",IF(MOD($D1977,1)&lt;$L$8,"夕方","夜")))),IF(OR($D1977="朝",$D1977="昼",$D1977="夕方",$D1977="夜"),$D1977,"⚠ 不明"))))</f>
        <v/>
      </c>
    </row>
    <row r="1978" customFormat="false" ht="15" hidden="false" customHeight="false" outlineLevel="0" collapsed="false">
      <c r="A1978" s="75"/>
      <c r="B1978" s="76"/>
      <c r="C1978" s="77"/>
      <c r="D1978" s="78"/>
      <c r="E1978" s="77"/>
      <c r="F1978" s="76"/>
      <c r="G1978" s="76"/>
      <c r="I1978" s="79" t="str">
        <f aca="false">IF($B1978="","",IF(ISNUMBER(MATCH($B1978,日別データ!$B$13:$B$32,0)),"✔ OK","⚠ 未登録"))</f>
        <v/>
      </c>
      <c r="J1978" s="80" t="str">
        <f aca="false">IF($B1978="","",IF($D1978="","－",IF(ISNUMBER($D1978),IF(AND($D1978&gt;=1,MOD($D1978,1)=0),"－",IF(MOD($D1978,1)&lt;$L$6,"朝",IF(MOD($D1978,1)&lt;$L$7,"昼",IF(MOD($D1978,1)&lt;$L$8,"夕方","夜")))),IF(OR($D1978="朝",$D1978="昼",$D1978="夕方",$D1978="夜"),$D1978,"⚠ 不明"))))</f>
        <v/>
      </c>
    </row>
    <row r="1979" customFormat="false" ht="15" hidden="false" customHeight="false" outlineLevel="0" collapsed="false">
      <c r="A1979" s="75"/>
      <c r="B1979" s="76"/>
      <c r="C1979" s="77"/>
      <c r="D1979" s="78"/>
      <c r="E1979" s="77"/>
      <c r="F1979" s="76"/>
      <c r="G1979" s="76"/>
      <c r="I1979" s="79" t="str">
        <f aca="false">IF($B1979="","",IF(ISNUMBER(MATCH($B1979,日別データ!$B$13:$B$32,0)),"✔ OK","⚠ 未登録"))</f>
        <v/>
      </c>
      <c r="J1979" s="80" t="str">
        <f aca="false">IF($B1979="","",IF($D1979="","－",IF(ISNUMBER($D1979),IF(AND($D1979&gt;=1,MOD($D1979,1)=0),"－",IF(MOD($D1979,1)&lt;$L$6,"朝",IF(MOD($D1979,1)&lt;$L$7,"昼",IF(MOD($D1979,1)&lt;$L$8,"夕方","夜")))),IF(OR($D1979="朝",$D1979="昼",$D1979="夕方",$D1979="夜"),$D1979,"⚠ 不明"))))</f>
        <v/>
      </c>
    </row>
    <row r="1980" customFormat="false" ht="15" hidden="false" customHeight="false" outlineLevel="0" collapsed="false">
      <c r="A1980" s="75"/>
      <c r="B1980" s="76"/>
      <c r="C1980" s="77"/>
      <c r="D1980" s="78"/>
      <c r="E1980" s="77"/>
      <c r="F1980" s="76"/>
      <c r="G1980" s="76"/>
      <c r="I1980" s="79" t="str">
        <f aca="false">IF($B1980="","",IF(ISNUMBER(MATCH($B1980,日別データ!$B$13:$B$32,0)),"✔ OK","⚠ 未登録"))</f>
        <v/>
      </c>
      <c r="J1980" s="80" t="str">
        <f aca="false">IF($B1980="","",IF($D1980="","－",IF(ISNUMBER($D1980),IF(AND($D1980&gt;=1,MOD($D1980,1)=0),"－",IF(MOD($D1980,1)&lt;$L$6,"朝",IF(MOD($D1980,1)&lt;$L$7,"昼",IF(MOD($D1980,1)&lt;$L$8,"夕方","夜")))),IF(OR($D1980="朝",$D1980="昼",$D1980="夕方",$D1980="夜"),$D1980,"⚠ 不明"))))</f>
        <v/>
      </c>
    </row>
    <row r="1981" customFormat="false" ht="15" hidden="false" customHeight="false" outlineLevel="0" collapsed="false">
      <c r="A1981" s="75"/>
      <c r="B1981" s="76"/>
      <c r="C1981" s="77"/>
      <c r="D1981" s="78"/>
      <c r="E1981" s="77"/>
      <c r="F1981" s="76"/>
      <c r="G1981" s="76"/>
      <c r="I1981" s="79" t="str">
        <f aca="false">IF($B1981="","",IF(ISNUMBER(MATCH($B1981,日別データ!$B$13:$B$32,0)),"✔ OK","⚠ 未登録"))</f>
        <v/>
      </c>
      <c r="J1981" s="80" t="str">
        <f aca="false">IF($B1981="","",IF($D1981="","－",IF(ISNUMBER($D1981),IF(AND($D1981&gt;=1,MOD($D1981,1)=0),"－",IF(MOD($D1981,1)&lt;$L$6,"朝",IF(MOD($D1981,1)&lt;$L$7,"昼",IF(MOD($D1981,1)&lt;$L$8,"夕方","夜")))),IF(OR($D1981="朝",$D1981="昼",$D1981="夕方",$D1981="夜"),$D1981,"⚠ 不明"))))</f>
        <v/>
      </c>
    </row>
    <row r="1982" customFormat="false" ht="15" hidden="false" customHeight="false" outlineLevel="0" collapsed="false">
      <c r="A1982" s="75"/>
      <c r="B1982" s="76"/>
      <c r="C1982" s="77"/>
      <c r="D1982" s="78"/>
      <c r="E1982" s="77"/>
      <c r="F1982" s="76"/>
      <c r="G1982" s="76"/>
      <c r="I1982" s="79" t="str">
        <f aca="false">IF($B1982="","",IF(ISNUMBER(MATCH($B1982,日別データ!$B$13:$B$32,0)),"✔ OK","⚠ 未登録"))</f>
        <v/>
      </c>
      <c r="J1982" s="80" t="str">
        <f aca="false">IF($B1982="","",IF($D1982="","－",IF(ISNUMBER($D1982),IF(AND($D1982&gt;=1,MOD($D1982,1)=0),"－",IF(MOD($D1982,1)&lt;$L$6,"朝",IF(MOD($D1982,1)&lt;$L$7,"昼",IF(MOD($D1982,1)&lt;$L$8,"夕方","夜")))),IF(OR($D1982="朝",$D1982="昼",$D1982="夕方",$D1982="夜"),$D1982,"⚠ 不明"))))</f>
        <v/>
      </c>
    </row>
    <row r="1983" customFormat="false" ht="15" hidden="false" customHeight="false" outlineLevel="0" collapsed="false">
      <c r="A1983" s="75"/>
      <c r="B1983" s="76"/>
      <c r="C1983" s="77"/>
      <c r="D1983" s="78"/>
      <c r="E1983" s="77"/>
      <c r="F1983" s="76"/>
      <c r="G1983" s="76"/>
      <c r="I1983" s="79" t="str">
        <f aca="false">IF($B1983="","",IF(ISNUMBER(MATCH($B1983,日別データ!$B$13:$B$32,0)),"✔ OK","⚠ 未登録"))</f>
        <v/>
      </c>
      <c r="J1983" s="80" t="str">
        <f aca="false">IF($B1983="","",IF($D1983="","－",IF(ISNUMBER($D1983),IF(AND($D1983&gt;=1,MOD($D1983,1)=0),"－",IF(MOD($D1983,1)&lt;$L$6,"朝",IF(MOD($D1983,1)&lt;$L$7,"昼",IF(MOD($D1983,1)&lt;$L$8,"夕方","夜")))),IF(OR($D1983="朝",$D1983="昼",$D1983="夕方",$D1983="夜"),$D1983,"⚠ 不明"))))</f>
        <v/>
      </c>
    </row>
    <row r="1984" customFormat="false" ht="15" hidden="false" customHeight="false" outlineLevel="0" collapsed="false">
      <c r="A1984" s="75"/>
      <c r="B1984" s="76"/>
      <c r="C1984" s="77"/>
      <c r="D1984" s="78"/>
      <c r="E1984" s="77"/>
      <c r="F1984" s="76"/>
      <c r="G1984" s="76"/>
      <c r="I1984" s="79" t="str">
        <f aca="false">IF($B1984="","",IF(ISNUMBER(MATCH($B1984,日別データ!$B$13:$B$32,0)),"✔ OK","⚠ 未登録"))</f>
        <v/>
      </c>
      <c r="J1984" s="80" t="str">
        <f aca="false">IF($B1984="","",IF($D1984="","－",IF(ISNUMBER($D1984),IF(AND($D1984&gt;=1,MOD($D1984,1)=0),"－",IF(MOD($D1984,1)&lt;$L$6,"朝",IF(MOD($D1984,1)&lt;$L$7,"昼",IF(MOD($D1984,1)&lt;$L$8,"夕方","夜")))),IF(OR($D1984="朝",$D1984="昼",$D1984="夕方",$D1984="夜"),$D1984,"⚠ 不明"))))</f>
        <v/>
      </c>
    </row>
    <row r="1985" customFormat="false" ht="15" hidden="false" customHeight="false" outlineLevel="0" collapsed="false">
      <c r="A1985" s="75"/>
      <c r="B1985" s="76"/>
      <c r="C1985" s="77"/>
      <c r="D1985" s="78"/>
      <c r="E1985" s="77"/>
      <c r="F1985" s="76"/>
      <c r="G1985" s="76"/>
      <c r="I1985" s="79" t="str">
        <f aca="false">IF($B1985="","",IF(ISNUMBER(MATCH($B1985,日別データ!$B$13:$B$32,0)),"✔ OK","⚠ 未登録"))</f>
        <v/>
      </c>
      <c r="J1985" s="80" t="str">
        <f aca="false">IF($B1985="","",IF($D1985="","－",IF(ISNUMBER($D1985),IF(AND($D1985&gt;=1,MOD($D1985,1)=0),"－",IF(MOD($D1985,1)&lt;$L$6,"朝",IF(MOD($D1985,1)&lt;$L$7,"昼",IF(MOD($D1985,1)&lt;$L$8,"夕方","夜")))),IF(OR($D1985="朝",$D1985="昼",$D1985="夕方",$D1985="夜"),$D1985,"⚠ 不明"))))</f>
        <v/>
      </c>
    </row>
    <row r="1986" customFormat="false" ht="15" hidden="false" customHeight="false" outlineLevel="0" collapsed="false">
      <c r="A1986" s="75"/>
      <c r="B1986" s="76"/>
      <c r="C1986" s="77"/>
      <c r="D1986" s="78"/>
      <c r="E1986" s="77"/>
      <c r="F1986" s="76"/>
      <c r="G1986" s="76"/>
      <c r="I1986" s="79" t="str">
        <f aca="false">IF($B1986="","",IF(ISNUMBER(MATCH($B1986,日別データ!$B$13:$B$32,0)),"✔ OK","⚠ 未登録"))</f>
        <v/>
      </c>
      <c r="J1986" s="80" t="str">
        <f aca="false">IF($B1986="","",IF($D1986="","－",IF(ISNUMBER($D1986),IF(AND($D1986&gt;=1,MOD($D1986,1)=0),"－",IF(MOD($D1986,1)&lt;$L$6,"朝",IF(MOD($D1986,1)&lt;$L$7,"昼",IF(MOD($D1986,1)&lt;$L$8,"夕方","夜")))),IF(OR($D1986="朝",$D1986="昼",$D1986="夕方",$D1986="夜"),$D1986,"⚠ 不明"))))</f>
        <v/>
      </c>
    </row>
    <row r="1987" customFormat="false" ht="15" hidden="false" customHeight="false" outlineLevel="0" collapsed="false">
      <c r="A1987" s="75"/>
      <c r="B1987" s="76"/>
      <c r="C1987" s="77"/>
      <c r="D1987" s="78"/>
      <c r="E1987" s="77"/>
      <c r="F1987" s="76"/>
      <c r="G1987" s="76"/>
      <c r="I1987" s="79" t="str">
        <f aca="false">IF($B1987="","",IF(ISNUMBER(MATCH($B1987,日別データ!$B$13:$B$32,0)),"✔ OK","⚠ 未登録"))</f>
        <v/>
      </c>
      <c r="J1987" s="80" t="str">
        <f aca="false">IF($B1987="","",IF($D1987="","－",IF(ISNUMBER($D1987),IF(AND($D1987&gt;=1,MOD($D1987,1)=0),"－",IF(MOD($D1987,1)&lt;$L$6,"朝",IF(MOD($D1987,1)&lt;$L$7,"昼",IF(MOD($D1987,1)&lt;$L$8,"夕方","夜")))),IF(OR($D1987="朝",$D1987="昼",$D1987="夕方",$D1987="夜"),$D1987,"⚠ 不明"))))</f>
        <v/>
      </c>
    </row>
    <row r="1988" customFormat="false" ht="15" hidden="false" customHeight="false" outlineLevel="0" collapsed="false">
      <c r="A1988" s="75"/>
      <c r="B1988" s="76"/>
      <c r="C1988" s="77"/>
      <c r="D1988" s="78"/>
      <c r="E1988" s="77"/>
      <c r="F1988" s="76"/>
      <c r="G1988" s="76"/>
      <c r="I1988" s="79" t="str">
        <f aca="false">IF($B1988="","",IF(ISNUMBER(MATCH($B1988,日別データ!$B$13:$B$32,0)),"✔ OK","⚠ 未登録"))</f>
        <v/>
      </c>
      <c r="J1988" s="80" t="str">
        <f aca="false">IF($B1988="","",IF($D1988="","－",IF(ISNUMBER($D1988),IF(AND($D1988&gt;=1,MOD($D1988,1)=0),"－",IF(MOD($D1988,1)&lt;$L$6,"朝",IF(MOD($D1988,1)&lt;$L$7,"昼",IF(MOD($D1988,1)&lt;$L$8,"夕方","夜")))),IF(OR($D1988="朝",$D1988="昼",$D1988="夕方",$D1988="夜"),$D1988,"⚠ 不明"))))</f>
        <v/>
      </c>
    </row>
    <row r="1989" customFormat="false" ht="15" hidden="false" customHeight="false" outlineLevel="0" collapsed="false">
      <c r="A1989" s="75"/>
      <c r="B1989" s="76"/>
      <c r="C1989" s="77"/>
      <c r="D1989" s="78"/>
      <c r="E1989" s="77"/>
      <c r="F1989" s="76"/>
      <c r="G1989" s="76"/>
      <c r="I1989" s="79" t="str">
        <f aca="false">IF($B1989="","",IF(ISNUMBER(MATCH($B1989,日別データ!$B$13:$B$32,0)),"✔ OK","⚠ 未登録"))</f>
        <v/>
      </c>
      <c r="J1989" s="80" t="str">
        <f aca="false">IF($B1989="","",IF($D1989="","－",IF(ISNUMBER($D1989),IF(AND($D1989&gt;=1,MOD($D1989,1)=0),"－",IF(MOD($D1989,1)&lt;$L$6,"朝",IF(MOD($D1989,1)&lt;$L$7,"昼",IF(MOD($D1989,1)&lt;$L$8,"夕方","夜")))),IF(OR($D1989="朝",$D1989="昼",$D1989="夕方",$D1989="夜"),$D1989,"⚠ 不明"))))</f>
        <v/>
      </c>
    </row>
    <row r="1990" customFormat="false" ht="15" hidden="false" customHeight="false" outlineLevel="0" collapsed="false">
      <c r="A1990" s="75"/>
      <c r="B1990" s="76"/>
      <c r="C1990" s="77"/>
      <c r="D1990" s="78"/>
      <c r="E1990" s="77"/>
      <c r="F1990" s="76"/>
      <c r="G1990" s="76"/>
      <c r="I1990" s="79" t="str">
        <f aca="false">IF($B1990="","",IF(ISNUMBER(MATCH($B1990,日別データ!$B$13:$B$32,0)),"✔ OK","⚠ 未登録"))</f>
        <v/>
      </c>
      <c r="J1990" s="80" t="str">
        <f aca="false">IF($B1990="","",IF($D1990="","－",IF(ISNUMBER($D1990),IF(AND($D1990&gt;=1,MOD($D1990,1)=0),"－",IF(MOD($D1990,1)&lt;$L$6,"朝",IF(MOD($D1990,1)&lt;$L$7,"昼",IF(MOD($D1990,1)&lt;$L$8,"夕方","夜")))),IF(OR($D1990="朝",$D1990="昼",$D1990="夕方",$D1990="夜"),$D1990,"⚠ 不明"))))</f>
        <v/>
      </c>
    </row>
    <row r="1991" customFormat="false" ht="15" hidden="false" customHeight="false" outlineLevel="0" collapsed="false">
      <c r="A1991" s="75"/>
      <c r="B1991" s="76"/>
      <c r="C1991" s="77"/>
      <c r="D1991" s="78"/>
      <c r="E1991" s="77"/>
      <c r="F1991" s="76"/>
      <c r="G1991" s="76"/>
      <c r="I1991" s="79" t="str">
        <f aca="false">IF($B1991="","",IF(ISNUMBER(MATCH($B1991,日別データ!$B$13:$B$32,0)),"✔ OK","⚠ 未登録"))</f>
        <v/>
      </c>
      <c r="J1991" s="80" t="str">
        <f aca="false">IF($B1991="","",IF($D1991="","－",IF(ISNUMBER($D1991),IF(AND($D1991&gt;=1,MOD($D1991,1)=0),"－",IF(MOD($D1991,1)&lt;$L$6,"朝",IF(MOD($D1991,1)&lt;$L$7,"昼",IF(MOD($D1991,1)&lt;$L$8,"夕方","夜")))),IF(OR($D1991="朝",$D1991="昼",$D1991="夕方",$D1991="夜"),$D1991,"⚠ 不明"))))</f>
        <v/>
      </c>
    </row>
    <row r="1992" customFormat="false" ht="15" hidden="false" customHeight="false" outlineLevel="0" collapsed="false">
      <c r="A1992" s="75"/>
      <c r="B1992" s="76"/>
      <c r="C1992" s="77"/>
      <c r="D1992" s="78"/>
      <c r="E1992" s="77"/>
      <c r="F1992" s="76"/>
      <c r="G1992" s="76"/>
      <c r="I1992" s="79" t="str">
        <f aca="false">IF($B1992="","",IF(ISNUMBER(MATCH($B1992,日別データ!$B$13:$B$32,0)),"✔ OK","⚠ 未登録"))</f>
        <v/>
      </c>
      <c r="J1992" s="80" t="str">
        <f aca="false">IF($B1992="","",IF($D1992="","－",IF(ISNUMBER($D1992),IF(AND($D1992&gt;=1,MOD($D1992,1)=0),"－",IF(MOD($D1992,1)&lt;$L$6,"朝",IF(MOD($D1992,1)&lt;$L$7,"昼",IF(MOD($D1992,1)&lt;$L$8,"夕方","夜")))),IF(OR($D1992="朝",$D1992="昼",$D1992="夕方",$D1992="夜"),$D1992,"⚠ 不明"))))</f>
        <v/>
      </c>
    </row>
    <row r="1993" customFormat="false" ht="15" hidden="false" customHeight="false" outlineLevel="0" collapsed="false">
      <c r="A1993" s="75"/>
      <c r="B1993" s="76"/>
      <c r="C1993" s="77"/>
      <c r="D1993" s="78"/>
      <c r="E1993" s="77"/>
      <c r="F1993" s="76"/>
      <c r="G1993" s="76"/>
      <c r="I1993" s="79" t="str">
        <f aca="false">IF($B1993="","",IF(ISNUMBER(MATCH($B1993,日別データ!$B$13:$B$32,0)),"✔ OK","⚠ 未登録"))</f>
        <v/>
      </c>
      <c r="J1993" s="80" t="str">
        <f aca="false">IF($B1993="","",IF($D1993="","－",IF(ISNUMBER($D1993),IF(AND($D1993&gt;=1,MOD($D1993,1)=0),"－",IF(MOD($D1993,1)&lt;$L$6,"朝",IF(MOD($D1993,1)&lt;$L$7,"昼",IF(MOD($D1993,1)&lt;$L$8,"夕方","夜")))),IF(OR($D1993="朝",$D1993="昼",$D1993="夕方",$D1993="夜"),$D1993,"⚠ 不明"))))</f>
        <v/>
      </c>
    </row>
    <row r="1994" customFormat="false" ht="15" hidden="false" customHeight="false" outlineLevel="0" collapsed="false">
      <c r="A1994" s="75"/>
      <c r="B1994" s="76"/>
      <c r="C1994" s="77"/>
      <c r="D1994" s="78"/>
      <c r="E1994" s="77"/>
      <c r="F1994" s="76"/>
      <c r="G1994" s="76"/>
      <c r="I1994" s="79" t="str">
        <f aca="false">IF($B1994="","",IF(ISNUMBER(MATCH($B1994,日別データ!$B$13:$B$32,0)),"✔ OK","⚠ 未登録"))</f>
        <v/>
      </c>
      <c r="J1994" s="80" t="str">
        <f aca="false">IF($B1994="","",IF($D1994="","－",IF(ISNUMBER($D1994),IF(AND($D1994&gt;=1,MOD($D1994,1)=0),"－",IF(MOD($D1994,1)&lt;$L$6,"朝",IF(MOD($D1994,1)&lt;$L$7,"昼",IF(MOD($D1994,1)&lt;$L$8,"夕方","夜")))),IF(OR($D1994="朝",$D1994="昼",$D1994="夕方",$D1994="夜"),$D1994,"⚠ 不明"))))</f>
        <v/>
      </c>
    </row>
    <row r="1995" customFormat="false" ht="15" hidden="false" customHeight="false" outlineLevel="0" collapsed="false">
      <c r="A1995" s="75"/>
      <c r="B1995" s="76"/>
      <c r="C1995" s="77"/>
      <c r="D1995" s="78"/>
      <c r="E1995" s="77"/>
      <c r="F1995" s="76"/>
      <c r="G1995" s="76"/>
      <c r="I1995" s="79" t="str">
        <f aca="false">IF($B1995="","",IF(ISNUMBER(MATCH($B1995,日別データ!$B$13:$B$32,0)),"✔ OK","⚠ 未登録"))</f>
        <v/>
      </c>
      <c r="J1995" s="80" t="str">
        <f aca="false">IF($B1995="","",IF($D1995="","－",IF(ISNUMBER($D1995),IF(AND($D1995&gt;=1,MOD($D1995,1)=0),"－",IF(MOD($D1995,1)&lt;$L$6,"朝",IF(MOD($D1995,1)&lt;$L$7,"昼",IF(MOD($D1995,1)&lt;$L$8,"夕方","夜")))),IF(OR($D1995="朝",$D1995="昼",$D1995="夕方",$D1995="夜"),$D1995,"⚠ 不明"))))</f>
        <v/>
      </c>
    </row>
    <row r="1996" customFormat="false" ht="15" hidden="false" customHeight="false" outlineLevel="0" collapsed="false">
      <c r="A1996" s="75"/>
      <c r="B1996" s="76"/>
      <c r="C1996" s="77"/>
      <c r="D1996" s="78"/>
      <c r="E1996" s="77"/>
      <c r="F1996" s="76"/>
      <c r="G1996" s="76"/>
      <c r="I1996" s="79" t="str">
        <f aca="false">IF($B1996="","",IF(ISNUMBER(MATCH($B1996,日別データ!$B$13:$B$32,0)),"✔ OK","⚠ 未登録"))</f>
        <v/>
      </c>
      <c r="J1996" s="80" t="str">
        <f aca="false">IF($B1996="","",IF($D1996="","－",IF(ISNUMBER($D1996),IF(AND($D1996&gt;=1,MOD($D1996,1)=0),"－",IF(MOD($D1996,1)&lt;$L$6,"朝",IF(MOD($D1996,1)&lt;$L$7,"昼",IF(MOD($D1996,1)&lt;$L$8,"夕方","夜")))),IF(OR($D1996="朝",$D1996="昼",$D1996="夕方",$D1996="夜"),$D1996,"⚠ 不明"))))</f>
        <v/>
      </c>
    </row>
    <row r="1997" customFormat="false" ht="15" hidden="false" customHeight="false" outlineLevel="0" collapsed="false">
      <c r="A1997" s="75"/>
      <c r="B1997" s="76"/>
      <c r="C1997" s="77"/>
      <c r="D1997" s="78"/>
      <c r="E1997" s="77"/>
      <c r="F1997" s="76"/>
      <c r="G1997" s="76"/>
      <c r="I1997" s="79" t="str">
        <f aca="false">IF($B1997="","",IF(ISNUMBER(MATCH($B1997,日別データ!$B$13:$B$32,0)),"✔ OK","⚠ 未登録"))</f>
        <v/>
      </c>
      <c r="J1997" s="80" t="str">
        <f aca="false">IF($B1997="","",IF($D1997="","－",IF(ISNUMBER($D1997),IF(AND($D1997&gt;=1,MOD($D1997,1)=0),"－",IF(MOD($D1997,1)&lt;$L$6,"朝",IF(MOD($D1997,1)&lt;$L$7,"昼",IF(MOD($D1997,1)&lt;$L$8,"夕方","夜")))),IF(OR($D1997="朝",$D1997="昼",$D1997="夕方",$D1997="夜"),$D1997,"⚠ 不明"))))</f>
        <v/>
      </c>
    </row>
    <row r="1998" customFormat="false" ht="15" hidden="false" customHeight="false" outlineLevel="0" collapsed="false">
      <c r="A1998" s="75"/>
      <c r="B1998" s="76"/>
      <c r="C1998" s="77"/>
      <c r="D1998" s="78"/>
      <c r="E1998" s="77"/>
      <c r="F1998" s="76"/>
      <c r="G1998" s="76"/>
      <c r="I1998" s="79" t="str">
        <f aca="false">IF($B1998="","",IF(ISNUMBER(MATCH($B1998,日別データ!$B$13:$B$32,0)),"✔ OK","⚠ 未登録"))</f>
        <v/>
      </c>
      <c r="J1998" s="80" t="str">
        <f aca="false">IF($B1998="","",IF($D1998="","－",IF(ISNUMBER($D1998),IF(AND($D1998&gt;=1,MOD($D1998,1)=0),"－",IF(MOD($D1998,1)&lt;$L$6,"朝",IF(MOD($D1998,1)&lt;$L$7,"昼",IF(MOD($D1998,1)&lt;$L$8,"夕方","夜")))),IF(OR($D1998="朝",$D1998="昼",$D1998="夕方",$D1998="夜"),$D1998,"⚠ 不明"))))</f>
        <v/>
      </c>
    </row>
    <row r="1999" customFormat="false" ht="15" hidden="false" customHeight="false" outlineLevel="0" collapsed="false">
      <c r="A1999" s="75"/>
      <c r="B1999" s="76"/>
      <c r="C1999" s="77"/>
      <c r="D1999" s="78"/>
      <c r="E1999" s="77"/>
      <c r="F1999" s="76"/>
      <c r="G1999" s="76"/>
      <c r="I1999" s="79" t="str">
        <f aca="false">IF($B1999="","",IF(ISNUMBER(MATCH($B1999,日別データ!$B$13:$B$32,0)),"✔ OK","⚠ 未登録"))</f>
        <v/>
      </c>
      <c r="J1999" s="80" t="str">
        <f aca="false">IF($B1999="","",IF($D1999="","－",IF(ISNUMBER($D1999),IF(AND($D1999&gt;=1,MOD($D1999,1)=0),"－",IF(MOD($D1999,1)&lt;$L$6,"朝",IF(MOD($D1999,1)&lt;$L$7,"昼",IF(MOD($D1999,1)&lt;$L$8,"夕方","夜")))),IF(OR($D1999="朝",$D1999="昼",$D1999="夕方",$D1999="夜"),$D1999,"⚠ 不明"))))</f>
        <v/>
      </c>
    </row>
    <row r="2000" customFormat="false" ht="15" hidden="false" customHeight="false" outlineLevel="0" collapsed="false">
      <c r="A2000" s="75"/>
      <c r="B2000" s="76"/>
      <c r="C2000" s="77"/>
      <c r="D2000" s="78"/>
      <c r="E2000" s="77"/>
      <c r="F2000" s="76"/>
      <c r="G2000" s="76"/>
      <c r="I2000" s="79" t="str">
        <f aca="false">IF($B2000="","",IF(ISNUMBER(MATCH($B2000,日別データ!$B$13:$B$32,0)),"✔ OK","⚠ 未登録"))</f>
        <v/>
      </c>
      <c r="J2000" s="80" t="str">
        <f aca="false">IF($B2000="","",IF($D2000="","－",IF(ISNUMBER($D2000),IF(AND($D2000&gt;=1,MOD($D2000,1)=0),"－",IF(MOD($D2000,1)&lt;$L$6,"朝",IF(MOD($D2000,1)&lt;$L$7,"昼",IF(MOD($D2000,1)&lt;$L$8,"夕方","夜")))),IF(OR($D2000="朝",$D2000="昼",$D2000="夕方",$D2000="夜"),$D2000,"⚠ 不明"))))</f>
        <v/>
      </c>
    </row>
    <row r="2001" customFormat="false" ht="15" hidden="false" customHeight="false" outlineLevel="0" collapsed="false">
      <c r="A2001" s="75"/>
      <c r="B2001" s="76"/>
      <c r="C2001" s="77"/>
      <c r="D2001" s="78"/>
      <c r="E2001" s="77"/>
      <c r="F2001" s="76"/>
      <c r="G2001" s="76"/>
      <c r="I2001" s="79" t="str">
        <f aca="false">IF($B2001="","",IF(ISNUMBER(MATCH($B2001,日別データ!$B$13:$B$32,0)),"✔ OK","⚠ 未登録"))</f>
        <v/>
      </c>
      <c r="J2001" s="80" t="str">
        <f aca="false">IF($B2001="","",IF($D2001="","－",IF(ISNUMBER($D2001),IF(AND($D2001&gt;=1,MOD($D2001,1)=0),"－",IF(MOD($D2001,1)&lt;$L$6,"朝",IF(MOD($D2001,1)&lt;$L$7,"昼",IF(MOD($D2001,1)&lt;$L$8,"夕方","夜")))),IF(OR($D2001="朝",$D2001="昼",$D2001="夕方",$D2001="夜"),$D2001,"⚠ 不明"))))</f>
        <v/>
      </c>
    </row>
    <row r="2002" customFormat="false" ht="15" hidden="false" customHeight="false" outlineLevel="0" collapsed="false">
      <c r="A2002" s="75"/>
      <c r="B2002" s="76"/>
      <c r="C2002" s="77"/>
      <c r="D2002" s="78"/>
      <c r="E2002" s="77"/>
      <c r="F2002" s="76"/>
      <c r="G2002" s="76"/>
      <c r="I2002" s="79" t="str">
        <f aca="false">IF($B2002="","",IF(ISNUMBER(MATCH($B2002,日別データ!$B$13:$B$32,0)),"✔ OK","⚠ 未登録"))</f>
        <v/>
      </c>
      <c r="J2002" s="80" t="str">
        <f aca="false">IF($B2002="","",IF($D2002="","－",IF(ISNUMBER($D2002),IF(AND($D2002&gt;=1,MOD($D2002,1)=0),"－",IF(MOD($D2002,1)&lt;$L$6,"朝",IF(MOD($D2002,1)&lt;$L$7,"昼",IF(MOD($D2002,1)&lt;$L$8,"夕方","夜")))),IF(OR($D2002="朝",$D2002="昼",$D2002="夕方",$D2002="夜"),$D2002,"⚠ 不明"))))</f>
        <v/>
      </c>
    </row>
    <row r="2003" customFormat="false" ht="15" hidden="false" customHeight="false" outlineLevel="0" collapsed="false">
      <c r="A2003" s="75"/>
      <c r="B2003" s="76"/>
      <c r="C2003" s="77"/>
      <c r="D2003" s="78"/>
      <c r="E2003" s="77"/>
      <c r="F2003" s="76"/>
      <c r="G2003" s="76"/>
      <c r="I2003" s="79" t="str">
        <f aca="false">IF($B2003="","",IF(ISNUMBER(MATCH($B2003,日別データ!$B$13:$B$32,0)),"✔ OK","⚠ 未登録"))</f>
        <v/>
      </c>
      <c r="J2003" s="80" t="str">
        <f aca="false">IF($B2003="","",IF($D2003="","－",IF(ISNUMBER($D2003),IF(AND($D2003&gt;=1,MOD($D2003,1)=0),"－",IF(MOD($D2003,1)&lt;$L$6,"朝",IF(MOD($D2003,1)&lt;$L$7,"昼",IF(MOD($D2003,1)&lt;$L$8,"夕方","夜")))),IF(OR($D2003="朝",$D2003="昼",$D2003="夕方",$D2003="夜"),$D2003,"⚠ 不明"))))</f>
        <v/>
      </c>
    </row>
    <row r="2004" customFormat="false" ht="15" hidden="false" customHeight="false" outlineLevel="0" collapsed="false">
      <c r="A2004" s="75"/>
      <c r="B2004" s="76"/>
      <c r="C2004" s="77"/>
      <c r="D2004" s="78"/>
      <c r="E2004" s="77"/>
      <c r="F2004" s="76"/>
      <c r="G2004" s="76"/>
      <c r="I2004" s="79" t="str">
        <f aca="false">IF($B2004="","",IF(ISNUMBER(MATCH($B2004,日別データ!$B$13:$B$32,0)),"✔ OK","⚠ 未登録"))</f>
        <v/>
      </c>
      <c r="J2004" s="80" t="str">
        <f aca="false">IF($B2004="","",IF($D2004="","－",IF(ISNUMBER($D2004),IF(AND($D2004&gt;=1,MOD($D2004,1)=0),"－",IF(MOD($D2004,1)&lt;$L$6,"朝",IF(MOD($D2004,1)&lt;$L$7,"昼",IF(MOD($D2004,1)&lt;$L$8,"夕方","夜")))),IF(OR($D2004="朝",$D2004="昼",$D2004="夕方",$D2004="夜"),$D2004,"⚠ 不明"))))</f>
        <v/>
      </c>
    </row>
  </sheetData>
  <mergeCells count="3">
    <mergeCell ref="A1:L1"/>
    <mergeCell ref="A2:G2"/>
    <mergeCell ref="K5:L5"/>
  </mergeCells>
  <conditionalFormatting sqref="L3">
    <cfRule type="expression" priority="2" aboveAverage="0" equalAverage="0" bottom="0" percent="0" rank="0" text="" dxfId="2">
      <formula>$L$3&gt;0</formula>
    </cfRule>
  </conditionalFormatting>
  <conditionalFormatting sqref="I5:I2004">
    <cfRule type="expression" priority="3" aboveAverage="0" equalAverage="0" bottom="0" percent="0" rank="0" text="" dxfId="6">
      <formula>ISNUMBER(SEARCH("✔",I5))</formula>
    </cfRule>
    <cfRule type="expression" priority="4" aboveAverage="0" equalAverage="0" bottom="0" percent="0" rank="0" text="" dxfId="7">
      <formula>ISNUMBER(SEARCH("⚠",I5))</formula>
    </cfRule>
  </conditionalFormatting>
  <conditionalFormatting sqref="J5:J2004">
    <cfRule type="expression" priority="5" aboveAverage="0" equalAverage="0" bottom="0" percent="0" rank="0" text="" dxfId="0">
      <formula>ISNUMBER(SEARCH("⚠",J5))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2026-08-27T00:10:49Z</dcterms:created>
  <dc:creator>TOHOシネマズ新宿 コンセッション</dc:creator>
  <dc:description/>
  <dc:language>en-US</dc:language>
  <cp:lastModifiedBy/>
  <dcterms:modified xsi:type="dcterms:W3CDTF">2026-08-27T00:10:51Z</dcterms:modified>
  <cp:revision>0</cp:revision>
  <dc:subject/>
  <dc:title>コンセッション事前準備数ツール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