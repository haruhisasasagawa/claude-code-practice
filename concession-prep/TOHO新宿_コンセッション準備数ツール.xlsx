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theme/theme1.xml" ContentType="application/vnd.openxmlformats-officedocument.theme+xml"/>
  <Override PartName="/xl/comments3.xml" ContentType="application/vnd.openxmlformats-officedocument.spreadsheetml.comments+xml"/>
  <Override PartName="/xl/styles.xml" ContentType="application/vnd.openxmlformats-officedocument.spreadsheetml.style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xl/comments2.xml" ContentType="application/vnd.openxmlformats-officedocument.spreadsheetml.comments+xml"/>
  <Override PartName="/xl/drawings/vmlDrawing1.vml" ContentType="application/vnd.openxmlformats-officedocument.vmlDrawing"/>
  <Override PartName="/xl/drawings/vmlDrawing2.vml" ContentType="application/vnd.openxmlformats-officedocument.vmlDrawing"/>
  <Override PartName="/xl/drawings/vmlDrawing3.vml" ContentType="application/vnd.openxmlformats-officedocument.vmlDrawing"/>
  <Override PartName="/xl/_rels/workbook.xml.rels" ContentType="application/vnd.openxmlformats-package.relationships+xml"/>
  <Override PartName="/xl/comments4.xml" ContentType="application/vnd.openxmlformats-officedocument.spreadsheetml.comment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使い方" sheetId="1" state="visible" r:id="rId3"/>
    <sheet name="準備数計算" sheetId="2" state="visible" r:id="rId4"/>
    <sheet name="日別データ" sheetId="3" state="visible" r:id="rId5"/>
    <sheet name="CSV貼付" sheetId="4" state="visible" r:id="rId6"/>
  </sheets>
  <definedNames>
    <definedName function="false" hidden="false" localSheetId="3" name="_xlnm.Print_Area" vbProcedure="false">CSV貼付!$A$1:$J$64</definedName>
    <definedName function="false" hidden="false" localSheetId="1" name="_xlnm.Print_Area" vbProcedure="false">準備数計算!$A$1:$I$31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2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D5" authorId="0">
      <text>
        <r>
          <rPr>
            <sz val="10"/>
            <rFont val="WenQuanYi Zen Hei"/>
            <family val="2"/>
          </rPr>
          <t xml:space="preserve">サンプル値です。準備したい日の予測動員数</t>
        </r>
        <r>
          <rPr>
            <sz val="10"/>
            <rFont val="Arial"/>
            <family val="2"/>
          </rPr>
          <t xml:space="preserve">(</t>
        </r>
        <r>
          <rPr>
            <sz val="10"/>
            <rFont val="WenQuanYi Zen Hei"/>
            <family val="2"/>
          </rPr>
          <t xml:space="preserve">人</t>
        </r>
        <r>
          <rPr>
            <sz val="10"/>
            <rFont val="Arial"/>
            <family val="2"/>
          </rPr>
          <t xml:space="preserve">)</t>
        </r>
        <r>
          <rPr>
            <sz val="10"/>
            <rFont val="WenQuanYi Zen Hei"/>
            <family val="2"/>
          </rPr>
          <t xml:space="preserve">に置き換えてください。</t>
        </r>
      </text>
    </comment>
    <comment ref="G9" authorId="0">
      <text>
        <r>
          <rPr>
            <sz val="10"/>
            <rFont val="WenQuanYi Zen Hei"/>
            <family val="2"/>
          </rPr>
          <t xml:space="preserve">時間帯の名前は自由に変更できます</t>
        </r>
        <r>
          <rPr>
            <sz val="10"/>
            <rFont val="Arial"/>
            <family val="2"/>
          </rPr>
          <t xml:space="preserve">(</t>
        </r>
        <r>
          <rPr>
            <sz val="10"/>
            <rFont val="WenQuanYi Zen Hei"/>
            <family val="2"/>
          </rPr>
          <t xml:space="preserve">例</t>
        </r>
        <r>
          <rPr>
            <sz val="10"/>
            <rFont val="Arial"/>
            <family val="2"/>
          </rPr>
          <t xml:space="preserve">: 12</t>
        </r>
        <r>
          <rPr>
            <sz val="10"/>
            <rFont val="WenQuanYi Zen Hei"/>
            <family val="2"/>
          </rPr>
          <t xml:space="preserve">時台、レイト前</t>
        </r>
        <r>
          <rPr>
            <sz val="10"/>
            <rFont val="Arial"/>
            <family val="2"/>
          </rPr>
          <t xml:space="preserve">)</t>
        </r>
        <r>
          <rPr>
            <sz val="10"/>
            <rFont val="WenQuanYi Zen Hei"/>
            <family val="2"/>
          </rPr>
          <t xml:space="preserve">。</t>
        </r>
      </text>
    </comment>
    <comment ref="G10" authorId="0">
      <text>
        <r>
          <rPr>
            <sz val="10"/>
            <rFont val="WenQuanYi Zen Hei"/>
            <family val="2"/>
          </rPr>
          <t xml:space="preserve">倍率はサンプルです。</t>
        </r>
        <r>
          <rPr>
            <sz val="10"/>
            <rFont val="Arial"/>
            <family val="2"/>
          </rPr>
          <t xml:space="preserve">1.2 </t>
        </r>
        <r>
          <rPr>
            <sz val="10"/>
            <rFont val="WenQuanYi Zen Hei"/>
            <family val="2"/>
          </rPr>
          <t xml:space="preserve">と入力すると </t>
        </r>
        <r>
          <rPr>
            <sz val="10"/>
            <rFont val="Arial"/>
            <family val="2"/>
          </rPr>
          <t xml:space="preserve">×120% </t>
        </r>
        <r>
          <rPr>
            <sz val="10"/>
            <rFont val="WenQuanYi Zen Hei"/>
            <family val="2"/>
          </rPr>
          <t xml:space="preserve">になります。</t>
        </r>
      </text>
    </comment>
  </commentList>
</comments>
</file>

<file path=xl/comments3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B9" authorId="0">
      <text>
        <r>
          <rPr>
            <sz val="10"/>
            <rFont val="WenQuanYi Zen Hei"/>
            <family val="2"/>
          </rPr>
          <t xml:space="preserve">商品名はサンプルです</t>
        </r>
        <r>
          <rPr>
            <sz val="10"/>
            <rFont val="Arial"/>
            <family val="2"/>
          </rPr>
          <t xml:space="preserve">(</t>
        </r>
        <r>
          <rPr>
            <sz val="10"/>
            <rFont val="WenQuanYi Zen Hei"/>
            <family val="2"/>
          </rPr>
          <t xml:space="preserve">最大</t>
        </r>
        <r>
          <rPr>
            <sz val="10"/>
            <rFont val="Arial"/>
            <family val="2"/>
          </rPr>
          <t xml:space="preserve">20</t>
        </r>
        <r>
          <rPr>
            <sz val="10"/>
            <rFont val="WenQuanYi Zen Hei"/>
            <family val="2"/>
          </rPr>
          <t xml:space="preserve">枠</t>
        </r>
        <r>
          <rPr>
            <sz val="10"/>
            <rFont val="Arial"/>
            <family val="2"/>
          </rPr>
          <t xml:space="preserve">)</t>
        </r>
        <r>
          <rPr>
            <sz val="10"/>
            <rFont val="WenQuanYi Zen Hei"/>
            <family val="2"/>
          </rPr>
          <t xml:space="preserve">。</t>
        </r>
        <r>
          <rPr>
            <sz val="10"/>
            <rFont val="Arial"/>
            <family val="2"/>
          </rPr>
          <t xml:space="preserve">CSV</t>
        </r>
        <r>
          <rPr>
            <sz val="10"/>
            <rFont val="WenQuanYi Zen Hei"/>
            <family val="2"/>
          </rPr>
          <t xml:space="preserve">側の商品名と完全一致させてください。</t>
        </r>
      </text>
    </comment>
    <comment ref="C4" authorId="0">
      <text>
        <r>
          <rPr>
            <sz val="10"/>
            <rFont val="WenQuanYi Zen Hei"/>
            <family val="2"/>
          </rPr>
          <t xml:space="preserve">日付・動員数はサンプルです。実際の直近</t>
        </r>
        <r>
          <rPr>
            <sz val="10"/>
            <rFont val="Arial"/>
            <family val="2"/>
          </rPr>
          <t xml:space="preserve">7</t>
        </r>
        <r>
          <rPr>
            <sz val="10"/>
            <rFont val="WenQuanYi Zen Hei"/>
            <family val="2"/>
          </rPr>
          <t xml:space="preserve">日分に置き換えてください。</t>
        </r>
      </text>
    </comment>
  </commentList>
</comments>
</file>

<file path=xl/comments4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A5" authorId="0">
      <text>
        <r>
          <rPr>
            <sz val="10"/>
            <rFont val="Arial"/>
            <family val="2"/>
          </rPr>
          <t xml:space="preserve">5</t>
        </r>
        <r>
          <rPr>
            <sz val="10"/>
            <rFont val="WenQuanYi Zen Hei"/>
            <family val="2"/>
          </rPr>
          <t xml:space="preserve">行目以降はサンプルデータです。実際の</t>
        </r>
        <r>
          <rPr>
            <sz val="10"/>
            <rFont val="Arial"/>
            <family val="2"/>
          </rPr>
          <t xml:space="preserve">CSV</t>
        </r>
        <r>
          <rPr>
            <sz val="10"/>
            <rFont val="WenQuanYi Zen Hei"/>
            <family val="2"/>
          </rPr>
          <t xml:space="preserve">に置き換えてください。</t>
        </r>
      </text>
    </comment>
    <comment ref="I4" authorId="0">
      <text>
        <r>
          <rPr>
            <sz val="10"/>
            <rFont val="WenQuanYi Zen Hei"/>
            <family val="2"/>
          </rPr>
          <t xml:space="preserve">「日別データ」の商品名一覧に載っているかを自動判定します。「⚠ 未登録」の行は集計されません。</t>
        </r>
      </text>
    </comment>
  </commentList>
</comments>
</file>

<file path=xl/sharedStrings.xml><?xml version="1.0" encoding="utf-8"?>
<sst xmlns="http://schemas.openxmlformats.org/spreadsheetml/2006/main" count="170" uniqueCount="86">
  <si>
    <t xml:space="preserve">　🍿 コンセッション 事前準備数ツール</t>
  </si>
  <si>
    <r>
      <rPr>
        <sz val="9.5"/>
        <color rgb="FF8A93A3"/>
        <rFont val="BIZ UDPゴシック"/>
        <family val="0"/>
        <charset val="1"/>
      </rPr>
      <t xml:space="preserve">TOHO</t>
    </r>
    <r>
      <rPr>
        <sz val="9.5"/>
        <color rgb="FF8A93A3"/>
        <rFont val="WenQuanYi Zen Hei"/>
        <family val="2"/>
      </rPr>
      <t xml:space="preserve">シネマズ新宿｜過去の購買率から、ピーク前の仕込み数を自動計算する雛形です</t>
    </r>
  </si>
  <si>
    <r>
      <rPr>
        <b val="true"/>
        <sz val="10"/>
        <color rgb="FF2E3A59"/>
        <rFont val="WenQuanYi Zen Hei"/>
        <family val="2"/>
      </rPr>
      <t xml:space="preserve">  つかいかた（</t>
    </r>
    <r>
      <rPr>
        <b val="true"/>
        <sz val="10"/>
        <color rgb="FF2E3A59"/>
        <rFont val="BIZ UDPゴシック"/>
        <family val="0"/>
        <charset val="1"/>
      </rPr>
      <t xml:space="preserve">3</t>
    </r>
    <r>
      <rPr>
        <b val="true"/>
        <sz val="10"/>
        <color rgb="FF2E3A59"/>
        <rFont val="WenQuanYi Zen Hei"/>
        <family val="2"/>
      </rPr>
      <t xml:space="preserve">ステップ）</t>
    </r>
  </si>
  <si>
    <t xml:space="preserve">①</t>
  </si>
  <si>
    <t xml:space="preserve">「日別データ」シートに 日付 と 動員数 を入力</t>
  </si>
  <si>
    <r>
      <rPr>
        <sz val="9"/>
        <color rgb="FF8A93A3"/>
        <rFont val="WenQuanYi Zen Hei"/>
        <family val="2"/>
      </rPr>
      <t xml:space="preserve">直近</t>
    </r>
    <r>
      <rPr>
        <sz val="9"/>
        <color rgb="FF8A93A3"/>
        <rFont val="BIZ UDPゴシック"/>
        <family val="0"/>
        <charset val="1"/>
      </rPr>
      <t xml:space="preserve">7</t>
    </r>
    <r>
      <rPr>
        <sz val="9"/>
        <color rgb="FF8A93A3"/>
        <rFont val="WenQuanYi Zen Hei"/>
        <family val="2"/>
      </rPr>
      <t xml:space="preserve">日分。日付は左から古い順（右端＝昨日）。販売数は</t>
    </r>
    <r>
      <rPr>
        <sz val="9"/>
        <color rgb="FF8A93A3"/>
        <rFont val="BIZ UDPゴシック"/>
        <family val="0"/>
        <charset val="1"/>
      </rPr>
      <t xml:space="preserve">STEP②</t>
    </r>
    <r>
      <rPr>
        <sz val="9"/>
        <color rgb="FF8A93A3"/>
        <rFont val="WenQuanYi Zen Hei"/>
        <family val="2"/>
      </rPr>
      <t xml:space="preserve">の</t>
    </r>
    <r>
      <rPr>
        <sz val="9"/>
        <color rgb="FF8A93A3"/>
        <rFont val="BIZ UDPゴシック"/>
        <family val="0"/>
        <charset val="1"/>
      </rPr>
      <t xml:space="preserve">CSV</t>
    </r>
    <r>
      <rPr>
        <sz val="9"/>
        <color rgb="FF8A93A3"/>
        <rFont val="WenQuanYi Zen Hei"/>
        <family val="2"/>
      </rPr>
      <t xml:space="preserve">から自動で入ります。｜担当：社員</t>
    </r>
  </si>
  <si>
    <t xml:space="preserve">②</t>
  </si>
  <si>
    <r>
      <rPr>
        <b val="true"/>
        <sz val="11"/>
        <color rgb="FF333B4A"/>
        <rFont val="WenQuanYi Zen Hei"/>
        <family val="2"/>
      </rPr>
      <t xml:space="preserve">「</t>
    </r>
    <r>
      <rPr>
        <b val="true"/>
        <sz val="11"/>
        <color rgb="FF333B4A"/>
        <rFont val="BIZ UDPゴシック"/>
        <family val="0"/>
        <charset val="1"/>
      </rPr>
      <t xml:space="preserve">CSV</t>
    </r>
    <r>
      <rPr>
        <b val="true"/>
        <sz val="11"/>
        <color rgb="FF333B4A"/>
        <rFont val="WenQuanYi Zen Hei"/>
        <family val="2"/>
      </rPr>
      <t xml:space="preserve">貼付」シートに 集計ソフトの</t>
    </r>
    <r>
      <rPr>
        <b val="true"/>
        <sz val="11"/>
        <color rgb="FF333B4A"/>
        <rFont val="BIZ UDPゴシック"/>
        <family val="0"/>
        <charset val="1"/>
      </rPr>
      <t xml:space="preserve">CSV </t>
    </r>
    <r>
      <rPr>
        <b val="true"/>
        <sz val="11"/>
        <color rgb="FF333B4A"/>
        <rFont val="WenQuanYi Zen Hei"/>
        <family val="2"/>
      </rPr>
      <t xml:space="preserve">を貼り付け</t>
    </r>
  </si>
  <si>
    <r>
      <rPr>
        <sz val="9"/>
        <color rgb="FF8A93A3"/>
        <rFont val="BIZ UDPゴシック"/>
        <family val="0"/>
        <charset val="1"/>
      </rPr>
      <t xml:space="preserve">A</t>
    </r>
    <r>
      <rPr>
        <sz val="9"/>
        <color rgb="FF8A93A3"/>
        <rFont val="WenQuanYi Zen Hei"/>
        <family val="2"/>
      </rPr>
      <t xml:space="preserve">列</t>
    </r>
    <r>
      <rPr>
        <sz val="9"/>
        <color rgb="FF8A93A3"/>
        <rFont val="BIZ UDPゴシック"/>
        <family val="0"/>
        <charset val="1"/>
      </rPr>
      <t xml:space="preserve">=</t>
    </r>
    <r>
      <rPr>
        <sz val="9"/>
        <color rgb="FF8A93A3"/>
        <rFont val="WenQuanYi Zen Hei"/>
        <family val="2"/>
      </rPr>
      <t xml:space="preserve">日付・</t>
    </r>
    <r>
      <rPr>
        <sz val="9"/>
        <color rgb="FF8A93A3"/>
        <rFont val="BIZ UDPゴシック"/>
        <family val="0"/>
        <charset val="1"/>
      </rPr>
      <t xml:space="preserve">B</t>
    </r>
    <r>
      <rPr>
        <sz val="9"/>
        <color rgb="FF8A93A3"/>
        <rFont val="WenQuanYi Zen Hei"/>
        <family val="2"/>
      </rPr>
      <t xml:space="preserve">列</t>
    </r>
    <r>
      <rPr>
        <sz val="9"/>
        <color rgb="FF8A93A3"/>
        <rFont val="BIZ UDPゴシック"/>
        <family val="0"/>
        <charset val="1"/>
      </rPr>
      <t xml:space="preserve">=</t>
    </r>
    <r>
      <rPr>
        <sz val="9"/>
        <color rgb="FF8A93A3"/>
        <rFont val="WenQuanYi Zen Hei"/>
        <family val="2"/>
      </rPr>
      <t xml:space="preserve">商品名・</t>
    </r>
    <r>
      <rPr>
        <sz val="9"/>
        <color rgb="FF8A93A3"/>
        <rFont val="BIZ UDPゴシック"/>
        <family val="0"/>
        <charset val="1"/>
      </rPr>
      <t xml:space="preserve">C</t>
    </r>
    <r>
      <rPr>
        <sz val="9"/>
        <color rgb="FF8A93A3"/>
        <rFont val="WenQuanYi Zen Hei"/>
        <family val="2"/>
      </rPr>
      <t xml:space="preserve">列</t>
    </r>
    <r>
      <rPr>
        <sz val="9"/>
        <color rgb="FF8A93A3"/>
        <rFont val="BIZ UDPゴシック"/>
        <family val="0"/>
        <charset val="1"/>
      </rPr>
      <t xml:space="preserve">=</t>
    </r>
    <r>
      <rPr>
        <sz val="9"/>
        <color rgb="FF8A93A3"/>
        <rFont val="WenQuanYi Zen Hei"/>
        <family val="2"/>
      </rPr>
      <t xml:space="preserve">販売数（</t>
    </r>
    <r>
      <rPr>
        <sz val="9"/>
        <color rgb="FF8A93A3"/>
        <rFont val="BIZ UDPゴシック"/>
        <family val="0"/>
        <charset val="1"/>
      </rPr>
      <t xml:space="preserve">D</t>
    </r>
    <r>
      <rPr>
        <sz val="9"/>
        <color rgb="FF8A93A3"/>
        <rFont val="WenQuanYi Zen Hei"/>
        <family val="2"/>
      </rPr>
      <t xml:space="preserve">〜</t>
    </r>
    <r>
      <rPr>
        <sz val="9"/>
        <color rgb="FF8A93A3"/>
        <rFont val="BIZ UDPゴシック"/>
        <family val="0"/>
        <charset val="1"/>
      </rPr>
      <t xml:space="preserve">G</t>
    </r>
    <r>
      <rPr>
        <sz val="9"/>
        <color rgb="FF8A93A3"/>
        <rFont val="WenQuanYi Zen Hei"/>
        <family val="2"/>
      </rPr>
      <t xml:space="preserve">列は予備）。商品名チェックと日別データの</t>
    </r>
    <r>
      <rPr>
        <sz val="9"/>
        <color rgb="FF8A93A3"/>
        <rFont val="BIZ UDPゴシック"/>
        <family val="0"/>
        <charset val="1"/>
      </rPr>
      <t xml:space="preserve">CSV</t>
    </r>
    <r>
      <rPr>
        <sz val="9"/>
        <color rgb="FF8A93A3"/>
        <rFont val="WenQuanYi Zen Hei"/>
        <family val="2"/>
      </rPr>
      <t xml:space="preserve">取込チェックが「✔」か確認。｜担当：社員</t>
    </r>
  </si>
  <si>
    <t xml:space="preserve">③</t>
  </si>
  <si>
    <t xml:space="preserve">「準備数計算」シートで 参照期間 と 予測動員数 を選ぶ</t>
  </si>
  <si>
    <r>
      <rPr>
        <sz val="9"/>
        <color rgb="FF8A93A3"/>
        <rFont val="WenQuanYi Zen Hei"/>
        <family val="2"/>
      </rPr>
      <t xml:space="preserve">直近</t>
    </r>
    <r>
      <rPr>
        <sz val="9"/>
        <color rgb="FF8A93A3"/>
        <rFont val="BIZ UDPゴシック"/>
        <family val="0"/>
        <charset val="1"/>
      </rPr>
      <t xml:space="preserve">7</t>
    </r>
    <r>
      <rPr>
        <sz val="9"/>
        <color rgb="FF8A93A3"/>
        <rFont val="WenQuanYi Zen Hei"/>
        <family val="2"/>
      </rPr>
      <t xml:space="preserve">日間</t>
    </r>
    <r>
      <rPr>
        <sz val="9"/>
        <color rgb="FF8A93A3"/>
        <rFont val="BIZ UDPゴシック"/>
        <family val="0"/>
        <charset val="1"/>
      </rPr>
      <t xml:space="preserve">/3</t>
    </r>
    <r>
      <rPr>
        <sz val="9"/>
        <color rgb="FF8A93A3"/>
        <rFont val="WenQuanYi Zen Hei"/>
        <family val="2"/>
      </rPr>
      <t xml:space="preserve">日間</t>
    </r>
    <r>
      <rPr>
        <sz val="9"/>
        <color rgb="FF8A93A3"/>
        <rFont val="BIZ UDPゴシック"/>
        <family val="0"/>
        <charset val="1"/>
      </rPr>
      <t xml:space="preserve">/</t>
    </r>
    <r>
      <rPr>
        <sz val="9"/>
        <color rgb="FF8A93A3"/>
        <rFont val="WenQuanYi Zen Hei"/>
        <family val="2"/>
      </rPr>
      <t xml:space="preserve">昨日から期間を選択。時間帯の倍率（</t>
    </r>
    <r>
      <rPr>
        <sz val="9"/>
        <color rgb="FF8A93A3"/>
        <rFont val="BIZ UDPゴシック"/>
        <family val="0"/>
        <charset val="1"/>
      </rPr>
      <t xml:space="preserve">×120%</t>
    </r>
    <r>
      <rPr>
        <sz val="9"/>
        <color rgb="FF8A93A3"/>
        <rFont val="WenQuanYi Zen Hei"/>
        <family val="2"/>
      </rPr>
      <t xml:space="preserve">など）は表の右上で自由に変更。｜担当：社員（確認：スタッフ）</t>
    </r>
  </si>
  <si>
    <t xml:space="preserve">  セルの色のルール</t>
  </si>
  <si>
    <t xml:space="preserve">✏️ 黄色 ＝ 入力するセル</t>
  </si>
  <si>
    <t xml:space="preserve">🔒 グレー ＝ 自動計算</t>
  </si>
  <si>
    <t xml:space="preserve">  計算のしくみ</t>
  </si>
  <si>
    <r>
      <rPr>
        <sz val="10"/>
        <color rgb="FF333B4A"/>
        <rFont val="WenQuanYi Zen Hei"/>
        <family val="2"/>
      </rPr>
      <t xml:space="preserve">購買率 ＝ 参照期間の販売数 </t>
    </r>
    <r>
      <rPr>
        <sz val="10"/>
        <color rgb="FF333B4A"/>
        <rFont val="BIZ UDPゴシック"/>
        <family val="0"/>
        <charset val="1"/>
      </rPr>
      <t xml:space="preserve">÷ </t>
    </r>
    <r>
      <rPr>
        <sz val="10"/>
        <color rgb="FF333B4A"/>
        <rFont val="WenQuanYi Zen Hei"/>
        <family val="2"/>
      </rPr>
      <t xml:space="preserve">参照期間の動員数</t>
    </r>
  </si>
  <si>
    <r>
      <rPr>
        <sz val="10"/>
        <color rgb="FF333B4A"/>
        <rFont val="WenQuanYi Zen Hei"/>
        <family val="2"/>
      </rPr>
      <t xml:space="preserve">準備数 ＝ 予測動員数 </t>
    </r>
    <r>
      <rPr>
        <sz val="10"/>
        <color rgb="FF333B4A"/>
        <rFont val="BIZ UDPゴシック"/>
        <family val="0"/>
        <charset val="1"/>
      </rPr>
      <t xml:space="preserve">× </t>
    </r>
    <r>
      <rPr>
        <sz val="10"/>
        <color rgb="FF333B4A"/>
        <rFont val="WenQuanYi Zen Hei"/>
        <family val="2"/>
      </rPr>
      <t xml:space="preserve">購買率 </t>
    </r>
    <r>
      <rPr>
        <sz val="10"/>
        <color rgb="FF333B4A"/>
        <rFont val="BIZ UDPゴシック"/>
        <family val="0"/>
        <charset val="1"/>
      </rPr>
      <t xml:space="preserve">× </t>
    </r>
    <r>
      <rPr>
        <sz val="10"/>
        <color rgb="FF333B4A"/>
        <rFont val="WenQuanYi Zen Hei"/>
        <family val="2"/>
      </rPr>
      <t xml:space="preserve">時間帯倍率（小数点以下は切り上げ）</t>
    </r>
  </si>
  <si>
    <t xml:space="preserve">  注意メモ</t>
  </si>
  <si>
    <r>
      <rPr>
        <sz val="9.5"/>
        <color rgb="FF333B4A"/>
        <rFont val="WenQuanYi Zen Hei"/>
        <family val="2"/>
      </rPr>
      <t xml:space="preserve">・商品枠は最大</t>
    </r>
    <r>
      <rPr>
        <sz val="9.5"/>
        <color rgb="FF333B4A"/>
        <rFont val="BIZ UDPゴシック"/>
        <family val="0"/>
        <charset val="1"/>
      </rPr>
      <t xml:space="preserve">20</t>
    </r>
    <r>
      <rPr>
        <sz val="9.5"/>
        <color rgb="FF333B4A"/>
        <rFont val="WenQuanYi Zen Hei"/>
        <family val="2"/>
      </rPr>
      <t xml:space="preserve">です（「日別データ」シートの商品名欄）。</t>
    </r>
    <r>
      <rPr>
        <sz val="9.5"/>
        <color rgb="FF333B4A"/>
        <rFont val="BIZ UDPゴシック"/>
        <family val="0"/>
        <charset val="1"/>
      </rPr>
      <t xml:space="preserve">10</t>
    </r>
    <r>
      <rPr>
        <sz val="9.5"/>
        <color rgb="FF333B4A"/>
        <rFont val="WenQuanYi Zen Hei"/>
        <family val="2"/>
      </rPr>
      <t xml:space="preserve">〜</t>
    </r>
    <r>
      <rPr>
        <sz val="9.5"/>
        <color rgb="FF333B4A"/>
        <rFont val="BIZ UDPゴシック"/>
        <family val="0"/>
        <charset val="1"/>
      </rPr>
      <t xml:space="preserve">20</t>
    </r>
    <r>
      <rPr>
        <sz val="9.5"/>
        <color rgb="FF333B4A"/>
        <rFont val="WenQuanYi Zen Hei"/>
        <family val="2"/>
      </rPr>
      <t xml:space="preserve">品での運用を想定しています。</t>
    </r>
  </si>
  <si>
    <r>
      <rPr>
        <sz val="9.5"/>
        <color rgb="FF333B4A"/>
        <rFont val="WenQuanYi Zen Hei"/>
        <family val="2"/>
      </rPr>
      <t xml:space="preserve">・商品名は</t>
    </r>
    <r>
      <rPr>
        <sz val="9.5"/>
        <color rgb="FF333B4A"/>
        <rFont val="BIZ UDPゴシック"/>
        <family val="0"/>
        <charset val="1"/>
      </rPr>
      <t xml:space="preserve">CSV</t>
    </r>
    <r>
      <rPr>
        <sz val="9.5"/>
        <color rgb="FF333B4A"/>
        <rFont val="WenQuanYi Zen Hei"/>
        <family val="2"/>
      </rPr>
      <t xml:space="preserve">側と完全一致が必要です。「⚠ 未登録」が出たら、どちらかの名前をそろえてください。</t>
    </r>
  </si>
  <si>
    <r>
      <rPr>
        <sz val="9.5"/>
        <color rgb="FF333B4A"/>
        <rFont val="WenQuanYi Zen Hei"/>
        <family val="2"/>
      </rPr>
      <t xml:space="preserve">・</t>
    </r>
    <r>
      <rPr>
        <sz val="9.5"/>
        <color rgb="FF333B4A"/>
        <rFont val="BIZ UDPゴシック"/>
        <family val="0"/>
        <charset val="1"/>
      </rPr>
      <t xml:space="preserve">CSV</t>
    </r>
    <r>
      <rPr>
        <sz val="9.5"/>
        <color rgb="FF333B4A"/>
        <rFont val="WenQuanYi Zen Hei"/>
        <family val="2"/>
      </rPr>
      <t xml:space="preserve">貼付は最大</t>
    </r>
    <r>
      <rPr>
        <sz val="9.5"/>
        <color rgb="FF333B4A"/>
        <rFont val="BIZ UDPゴシック"/>
        <family val="0"/>
        <charset val="1"/>
      </rPr>
      <t xml:space="preserve">2000</t>
    </r>
    <r>
      <rPr>
        <sz val="9.5"/>
        <color rgb="FF333B4A"/>
        <rFont val="WenQuanYi Zen Hei"/>
        <family val="2"/>
      </rPr>
      <t xml:space="preserve">行まで集計されます。列が多い</t>
    </r>
    <r>
      <rPr>
        <sz val="9.5"/>
        <color rgb="FF333B4A"/>
        <rFont val="BIZ UDPゴシック"/>
        <family val="0"/>
        <charset val="1"/>
      </rPr>
      <t xml:space="preserve">CSV</t>
    </r>
    <r>
      <rPr>
        <sz val="9.5"/>
        <color rgb="FF333B4A"/>
        <rFont val="WenQuanYi Zen Hei"/>
        <family val="2"/>
      </rPr>
      <t xml:space="preserve">は「日付・商品名・販売数」の</t>
    </r>
    <r>
      <rPr>
        <sz val="9.5"/>
        <color rgb="FF333B4A"/>
        <rFont val="BIZ UDPゴシック"/>
        <family val="0"/>
        <charset val="1"/>
      </rPr>
      <t xml:space="preserve">3</t>
    </r>
    <r>
      <rPr>
        <sz val="9.5"/>
        <color rgb="FF333B4A"/>
        <rFont val="WenQuanYi Zen Hei"/>
        <family val="2"/>
      </rPr>
      <t xml:space="preserve">列だけコピーして貼ると確実です。</t>
    </r>
  </si>
  <si>
    <r>
      <rPr>
        <sz val="9.5"/>
        <color rgb="FF333B4A"/>
        <rFont val="WenQuanYi Zen Hei"/>
        <family val="2"/>
      </rPr>
      <t xml:space="preserve">・</t>
    </r>
    <r>
      <rPr>
        <sz val="9.5"/>
        <color rgb="FF333B4A"/>
        <rFont val="BIZ UDPゴシック"/>
        <family val="0"/>
        <charset val="1"/>
      </rPr>
      <t xml:space="preserve">CSV</t>
    </r>
    <r>
      <rPr>
        <sz val="9.5"/>
        <color rgb="FF333B4A"/>
        <rFont val="WenQuanYi Zen Hei"/>
        <family val="2"/>
      </rPr>
      <t xml:space="preserve">を貼り付けて日付が文字列になった場合は、日付列を選択 →「データ」→「区切り位置」で日付に戻せます。</t>
    </r>
  </si>
  <si>
    <t xml:space="preserve">・購買率に「要確認」と出たときは、参照期間の動員数が未入力です。「日別データ」シートを確認してください。</t>
  </si>
  <si>
    <t xml:space="preserve">・いまはサンプルデータが入っています。実際のデータで上書きしてお使いください。</t>
  </si>
  <si>
    <r>
      <rPr>
        <sz val="8.5"/>
        <color rgb="FF8A93A3"/>
        <rFont val="WenQuanYi Zen Hei"/>
        <family val="2"/>
      </rPr>
      <t xml:space="preserve">雛形版 </t>
    </r>
    <r>
      <rPr>
        <sz val="8.5"/>
        <color rgb="FF8A93A3"/>
        <rFont val="BIZ UDPゴシック"/>
        <family val="0"/>
        <charset val="1"/>
      </rPr>
      <t xml:space="preserve">v1.0</t>
    </r>
    <r>
      <rPr>
        <sz val="8.5"/>
        <color rgb="FF8A93A3"/>
        <rFont val="WenQuanYi Zen Hei"/>
        <family val="2"/>
      </rPr>
      <t xml:space="preserve">（</t>
    </r>
    <r>
      <rPr>
        <sz val="8.5"/>
        <color rgb="FF8A93A3"/>
        <rFont val="BIZ UDPゴシック"/>
        <family val="0"/>
        <charset val="1"/>
      </rPr>
      <t xml:space="preserve">2026/8</t>
    </r>
    <r>
      <rPr>
        <sz val="8.5"/>
        <color rgb="FF8A93A3"/>
        <rFont val="WenQuanYi Zen Hei"/>
        <family val="2"/>
      </rPr>
      <t xml:space="preserve">）｜数式・レイアウトは自由に調整してください</t>
    </r>
  </si>
  <si>
    <t xml:space="preserve">　🍿 準備数計算｜ピーク前の仕込み数</t>
  </si>
  <si>
    <r>
      <rPr>
        <sz val="9"/>
        <color rgb="FF8A93A3"/>
        <rFont val="WenQuanYi Zen Hei"/>
        <family val="2"/>
      </rPr>
      <t xml:space="preserve">過去の購買率 </t>
    </r>
    <r>
      <rPr>
        <sz val="9"/>
        <color rgb="FF8A93A3"/>
        <rFont val="BIZ UDPゴシック"/>
        <family val="0"/>
        <charset val="1"/>
      </rPr>
      <t xml:space="preserve">× </t>
    </r>
    <r>
      <rPr>
        <sz val="9"/>
        <color rgb="FF8A93A3"/>
        <rFont val="WenQuanYi Zen Hei"/>
        <family val="2"/>
      </rPr>
      <t xml:space="preserve">予測動員数 </t>
    </r>
    <r>
      <rPr>
        <sz val="9"/>
        <color rgb="FF8A93A3"/>
        <rFont val="BIZ UDPゴシック"/>
        <family val="0"/>
        <charset val="1"/>
      </rPr>
      <t xml:space="preserve">× </t>
    </r>
    <r>
      <rPr>
        <sz val="9"/>
        <color rgb="FF8A93A3"/>
        <rFont val="WenQuanYi Zen Hei"/>
        <family val="2"/>
      </rPr>
      <t xml:space="preserve">時間帯倍率 で、事前に準備する数を自動計算します</t>
    </r>
  </si>
  <si>
    <t xml:space="preserve"> ⚙ 計算用（さわらない）</t>
  </si>
  <si>
    <t xml:space="preserve">  ① 参照期間</t>
  </si>
  <si>
    <r>
      <rPr>
        <b val="true"/>
        <sz val="10.5"/>
        <color rgb="FF333B4A"/>
        <rFont val="WenQuanYi Zen Hei"/>
        <family val="2"/>
      </rPr>
      <t xml:space="preserve">直近</t>
    </r>
    <r>
      <rPr>
        <b val="true"/>
        <sz val="10.5"/>
        <color rgb="FF333B4A"/>
        <rFont val="BIZ UDPゴシック"/>
        <family val="0"/>
        <charset val="1"/>
      </rPr>
      <t xml:space="preserve">7</t>
    </r>
    <r>
      <rPr>
        <b val="true"/>
        <sz val="10.5"/>
        <color rgb="FF333B4A"/>
        <rFont val="WenQuanYi Zen Hei"/>
        <family val="2"/>
      </rPr>
      <t xml:space="preserve">日間</t>
    </r>
  </si>
  <si>
    <t xml:space="preserve">参照日数</t>
  </si>
  <si>
    <t xml:space="preserve">  ② 予測動員数</t>
  </si>
  <si>
    <t xml:space="preserve">← 準備したい日（明日など）の予測動員数を入力</t>
  </si>
  <si>
    <t xml:space="preserve">動員合計</t>
  </si>
  <si>
    <t xml:space="preserve">  ③ 時間帯倍率</t>
  </si>
  <si>
    <r>
      <rPr>
        <sz val="9"/>
        <color rgb="FF8A93A3"/>
        <rFont val="WenQuanYi Zen Hei"/>
        <family val="2"/>
      </rPr>
      <t xml:space="preserve">→ 右の「</t>
    </r>
    <r>
      <rPr>
        <sz val="9"/>
        <color rgb="FF8A93A3"/>
        <rFont val="BIZ UDPゴシック"/>
        <family val="0"/>
        <charset val="1"/>
      </rPr>
      <t xml:space="preserve">×○○%</t>
    </r>
    <r>
      <rPr>
        <sz val="9"/>
        <color rgb="FF8A93A3"/>
        <rFont val="WenQuanYi Zen Hei"/>
        <family val="2"/>
      </rPr>
      <t xml:space="preserve">」を書き換えると時間帯ごとの準備数に反映（名前も変更</t>
    </r>
    <r>
      <rPr>
        <sz val="9"/>
        <color rgb="FF8A93A3"/>
        <rFont val="BIZ UDPゴシック"/>
        <family val="0"/>
        <charset val="1"/>
      </rPr>
      <t xml:space="preserve">OK</t>
    </r>
    <r>
      <rPr>
        <sz val="9"/>
        <color rgb="FF8A93A3"/>
        <rFont val="WenQuanYi Zen Hei"/>
        <family val="2"/>
      </rPr>
      <t xml:space="preserve">）</t>
    </r>
  </si>
  <si>
    <t xml:space="preserve">No.</t>
  </si>
  <si>
    <t xml:space="preserve">商品名</t>
  </si>
  <si>
    <t xml:space="preserve">期間販売数</t>
  </si>
  <si>
    <t xml:space="preserve">購買率</t>
  </si>
  <si>
    <r>
      <rPr>
        <b val="true"/>
        <sz val="9.5"/>
        <color rgb="FFFFFFFF"/>
        <rFont val="WenQuanYi Zen Hei"/>
        <family val="2"/>
      </rPr>
      <t xml:space="preserve">基準準備数
</t>
    </r>
    <r>
      <rPr>
        <b val="true"/>
        <sz val="9.5"/>
        <color rgb="FFFFFFFF"/>
        <rFont val="BIZ UDPゴシック"/>
        <family val="0"/>
        <charset val="1"/>
      </rPr>
      <t xml:space="preserve">(</t>
    </r>
    <r>
      <rPr>
        <b val="true"/>
        <sz val="9.5"/>
        <color rgb="FFFFFFFF"/>
        <rFont val="WenQuanYi Zen Hei"/>
        <family val="2"/>
      </rPr>
      <t xml:space="preserve">倍率</t>
    </r>
    <r>
      <rPr>
        <b val="true"/>
        <sz val="9.5"/>
        <color rgb="FFFFFFFF"/>
        <rFont val="BIZ UDPゴシック"/>
        <family val="0"/>
        <charset val="1"/>
      </rPr>
      <t xml:space="preserve">100%)</t>
    </r>
  </si>
  <si>
    <r>
      <rPr>
        <b val="true"/>
        <sz val="8.5"/>
        <color rgb="FF333B4A"/>
        <rFont val="WenQuanYi Zen Hei"/>
        <family val="2"/>
      </rPr>
      <t xml:space="preserve"> ⏰ 時間帯別の準備数（自由に変更</t>
    </r>
    <r>
      <rPr>
        <b val="true"/>
        <sz val="8.5"/>
        <color rgb="FF333B4A"/>
        <rFont val="BIZ UDPゴシック"/>
        <family val="0"/>
        <charset val="1"/>
      </rPr>
      <t xml:space="preserve">OK</t>
    </r>
    <r>
      <rPr>
        <b val="true"/>
        <sz val="8.5"/>
        <color rgb="FF333B4A"/>
        <rFont val="WenQuanYi Zen Hei"/>
        <family val="2"/>
      </rPr>
      <t xml:space="preserve">）</t>
    </r>
  </si>
  <si>
    <t xml:space="preserve">通常帯</t>
  </si>
  <si>
    <t xml:space="preserve">混雑帯</t>
  </si>
  <si>
    <t xml:space="preserve">ピーク帯</t>
  </si>
  <si>
    <r>
      <rPr>
        <sz val="8.5"/>
        <color rgb="FF8A93A3"/>
        <rFont val="WenQuanYi Zen Hei"/>
        <family val="2"/>
      </rPr>
      <t xml:space="preserve">※ 準備数 ＝ 予測動員数 </t>
    </r>
    <r>
      <rPr>
        <sz val="8.5"/>
        <color rgb="FF8A93A3"/>
        <rFont val="BIZ UDPゴシック"/>
        <family val="0"/>
        <charset val="1"/>
      </rPr>
      <t xml:space="preserve">× </t>
    </r>
    <r>
      <rPr>
        <sz val="8.5"/>
        <color rgb="FF8A93A3"/>
        <rFont val="WenQuanYi Zen Hei"/>
        <family val="2"/>
      </rPr>
      <t xml:space="preserve">購買率 </t>
    </r>
    <r>
      <rPr>
        <sz val="8.5"/>
        <color rgb="FF8A93A3"/>
        <rFont val="BIZ UDPゴシック"/>
        <family val="0"/>
        <charset val="1"/>
      </rPr>
      <t xml:space="preserve">× </t>
    </r>
    <r>
      <rPr>
        <sz val="8.5"/>
        <color rgb="FF8A93A3"/>
        <rFont val="WenQuanYi Zen Hei"/>
        <family val="2"/>
      </rPr>
      <t xml:space="preserve">倍率（小数点以下切り上げ）｜購買率 ＝ 参照期間の販売数 </t>
    </r>
    <r>
      <rPr>
        <sz val="8.5"/>
        <color rgb="FF8A93A3"/>
        <rFont val="BIZ UDPゴシック"/>
        <family val="0"/>
        <charset val="1"/>
      </rPr>
      <t xml:space="preserve">÷ </t>
    </r>
    <r>
      <rPr>
        <sz val="8.5"/>
        <color rgb="FF8A93A3"/>
        <rFont val="WenQuanYi Zen Hei"/>
        <family val="2"/>
      </rPr>
      <t xml:space="preserve">動員数</t>
    </r>
  </si>
  <si>
    <t xml:space="preserve">　📅 日別データ（動員数・販売数）</t>
  </si>
  <si>
    <r>
      <rPr>
        <sz val="8.5"/>
        <color rgb="FF8A93A3"/>
        <rFont val="WenQuanYi Zen Hei"/>
        <family val="2"/>
      </rPr>
      <t xml:space="preserve">凡例</t>
    </r>
    <r>
      <rPr>
        <sz val="8.5"/>
        <color rgb="FF8A93A3"/>
        <rFont val="BIZ UDPゴシック"/>
        <family val="0"/>
        <charset val="1"/>
      </rPr>
      <t xml:space="preserve">:</t>
    </r>
  </si>
  <si>
    <t xml:space="preserve">✏️ 入力セル</t>
  </si>
  <si>
    <t xml:space="preserve">🔒 自動計算</t>
  </si>
  <si>
    <r>
      <rPr>
        <sz val="8.5"/>
        <color rgb="FF8A93A3"/>
        <rFont val="WenQuanYi Zen Hei"/>
        <family val="2"/>
      </rPr>
      <t xml:space="preserve">日付は左から古い順（右端＝昨日）。販売数は</t>
    </r>
    <r>
      <rPr>
        <sz val="8.5"/>
        <color rgb="FF8A93A3"/>
        <rFont val="BIZ UDPゴシック"/>
        <family val="0"/>
        <charset val="1"/>
      </rPr>
      <t xml:space="preserve">CSV</t>
    </r>
    <r>
      <rPr>
        <sz val="8.5"/>
        <color rgb="FF8A93A3"/>
        <rFont val="WenQuanYi Zen Hei"/>
        <family val="2"/>
      </rPr>
      <t xml:space="preserve">貼付から自動集計。</t>
    </r>
  </si>
  <si>
    <t xml:space="preserve">  日付</t>
  </si>
  <si>
    <t xml:space="preserve">  曜日</t>
  </si>
  <si>
    <r>
      <rPr>
        <sz val="8"/>
        <color rgb="FF8A93A3"/>
        <rFont val="BIZ UDPゴシック"/>
        <family val="0"/>
        <charset val="1"/>
      </rPr>
      <t xml:space="preserve">7</t>
    </r>
    <r>
      <rPr>
        <sz val="8"/>
        <color rgb="FF8A93A3"/>
        <rFont val="WenQuanYi Zen Hei"/>
        <family val="2"/>
      </rPr>
      <t xml:space="preserve">日計</t>
    </r>
  </si>
  <si>
    <t xml:space="preserve">  動員数（人）</t>
  </si>
  <si>
    <r>
      <rPr>
        <sz val="8"/>
        <color rgb="FF8A93A3"/>
        <rFont val="BIZ UDPゴシック"/>
        <family val="0"/>
        <charset val="1"/>
      </rPr>
      <t xml:space="preserve">  CSV</t>
    </r>
    <r>
      <rPr>
        <sz val="8"/>
        <color rgb="FF8A93A3"/>
        <rFont val="WenQuanYi Zen Hei"/>
        <family val="2"/>
      </rPr>
      <t xml:space="preserve">取込チェック</t>
    </r>
  </si>
  <si>
    <r>
      <rPr>
        <b val="true"/>
        <sz val="9.5"/>
        <color rgb="FFFFFFFF"/>
        <rFont val="BIZ UDPゴシック"/>
        <family val="0"/>
        <charset val="1"/>
      </rPr>
      <t xml:space="preserve">7</t>
    </r>
    <r>
      <rPr>
        <b val="true"/>
        <sz val="9.5"/>
        <color rgb="FFFFFFFF"/>
        <rFont val="WenQuanYi Zen Hei"/>
        <family val="2"/>
      </rPr>
      <t xml:space="preserve">日合計</t>
    </r>
  </si>
  <si>
    <t xml:space="preserve">メモ</t>
  </si>
  <si>
    <r>
      <rPr>
        <sz val="10.5"/>
        <color rgb="FF333B4A"/>
        <rFont val="WenQuanYi Zen Hei"/>
        <family val="2"/>
      </rPr>
      <t xml:space="preserve">ポップコーン（塩）</t>
    </r>
    <r>
      <rPr>
        <sz val="10.5"/>
        <color rgb="FF333B4A"/>
        <rFont val="BIZ UDPゴシック"/>
        <family val="0"/>
        <charset val="1"/>
      </rPr>
      <t xml:space="preserve">M</t>
    </r>
  </si>
  <si>
    <r>
      <rPr>
        <sz val="10.5"/>
        <color rgb="FF333B4A"/>
        <rFont val="WenQuanYi Zen Hei"/>
        <family val="2"/>
      </rPr>
      <t xml:space="preserve">ポップコーン（キャラメル）</t>
    </r>
    <r>
      <rPr>
        <sz val="10.5"/>
        <color rgb="FF333B4A"/>
        <rFont val="BIZ UDPゴシック"/>
        <family val="0"/>
        <charset val="1"/>
      </rPr>
      <t xml:space="preserve">M</t>
    </r>
  </si>
  <si>
    <t xml:space="preserve">ポップコーン ハーフ＆ハーフ</t>
  </si>
  <si>
    <r>
      <rPr>
        <sz val="10.5"/>
        <color rgb="FF333B4A"/>
        <rFont val="WenQuanYi Zen Hei"/>
        <family val="2"/>
      </rPr>
      <t xml:space="preserve">ドリンク </t>
    </r>
    <r>
      <rPr>
        <sz val="10.5"/>
        <color rgb="FF333B4A"/>
        <rFont val="BIZ UDPゴシック"/>
        <family val="0"/>
        <charset val="1"/>
      </rPr>
      <t xml:space="preserve">S</t>
    </r>
  </si>
  <si>
    <r>
      <rPr>
        <sz val="10.5"/>
        <color rgb="FF333B4A"/>
        <rFont val="WenQuanYi Zen Hei"/>
        <family val="2"/>
      </rPr>
      <t xml:space="preserve">ドリンク </t>
    </r>
    <r>
      <rPr>
        <sz val="10.5"/>
        <color rgb="FF333B4A"/>
        <rFont val="BIZ UDPゴシック"/>
        <family val="0"/>
        <charset val="1"/>
      </rPr>
      <t xml:space="preserve">M</t>
    </r>
  </si>
  <si>
    <r>
      <rPr>
        <sz val="10.5"/>
        <color rgb="FF333B4A"/>
        <rFont val="WenQuanYi Zen Hei"/>
        <family val="2"/>
      </rPr>
      <t xml:space="preserve">ドリンク </t>
    </r>
    <r>
      <rPr>
        <sz val="10.5"/>
        <color rgb="FF333B4A"/>
        <rFont val="BIZ UDPゴシック"/>
        <family val="0"/>
        <charset val="1"/>
      </rPr>
      <t xml:space="preserve">L</t>
    </r>
  </si>
  <si>
    <t xml:space="preserve">チュロス（シナモン）</t>
  </si>
  <si>
    <t xml:space="preserve">ホットドッグ</t>
  </si>
  <si>
    <t xml:space="preserve">ナチョス（チーズソース）</t>
  </si>
  <si>
    <t xml:space="preserve">フライドポテト</t>
  </si>
  <si>
    <t xml:space="preserve">チキンナゲット</t>
  </si>
  <si>
    <t xml:space="preserve">ソフトクリーム（バニラ）</t>
  </si>
  <si>
    <r>
      <rPr>
        <sz val="8.5"/>
        <color rgb="FF8A93A3"/>
        <rFont val="WenQuanYi Zen Hei"/>
        <family val="2"/>
      </rPr>
      <t xml:space="preserve">※ 販売数のセルは自動計算です。</t>
    </r>
    <r>
      <rPr>
        <sz val="8.5"/>
        <color rgb="FF8A93A3"/>
        <rFont val="BIZ UDPゴシック"/>
        <family val="0"/>
        <charset val="1"/>
      </rPr>
      <t xml:space="preserve">CSV</t>
    </r>
    <r>
      <rPr>
        <sz val="8.5"/>
        <color rgb="FF8A93A3"/>
        <rFont val="WenQuanYi Zen Hei"/>
        <family val="2"/>
      </rPr>
      <t xml:space="preserve">を使わず手入力したい場合は、数値を直接入力しても使えます（自動集計に戻すには、となりのセルの数式をコピーしてください）。</t>
    </r>
  </si>
  <si>
    <r>
      <rPr>
        <b val="true"/>
        <sz val="14"/>
        <color rgb="FFFFFFFF"/>
        <rFont val="WenQuanYi Zen Hei"/>
        <family val="2"/>
      </rPr>
      <t xml:space="preserve">　📋 </t>
    </r>
    <r>
      <rPr>
        <b val="true"/>
        <sz val="14"/>
        <color rgb="FFFFFFFF"/>
        <rFont val="BIZ UDPゴシック"/>
        <family val="0"/>
        <charset val="1"/>
      </rPr>
      <t xml:space="preserve">CSV</t>
    </r>
    <r>
      <rPr>
        <b val="true"/>
        <sz val="14"/>
        <color rgb="FFFFFFFF"/>
        <rFont val="WenQuanYi Zen Hei"/>
        <family val="2"/>
      </rPr>
      <t xml:space="preserve">貼付（集計ソフトのデータ）</t>
    </r>
  </si>
  <si>
    <r>
      <rPr>
        <sz val="9"/>
        <color rgb="FF8A93A3"/>
        <rFont val="WenQuanYi Zen Hei"/>
        <family val="2"/>
      </rPr>
      <t xml:space="preserve">集計ソフトから抽出した</t>
    </r>
    <r>
      <rPr>
        <sz val="9"/>
        <color rgb="FF8A93A3"/>
        <rFont val="BIZ UDPゴシック"/>
        <family val="0"/>
        <charset val="1"/>
      </rPr>
      <t xml:space="preserve">CSV</t>
    </r>
    <r>
      <rPr>
        <sz val="9"/>
        <color rgb="FF8A93A3"/>
        <rFont val="WenQuanYi Zen Hei"/>
        <family val="2"/>
      </rPr>
      <t xml:space="preserve">を、</t>
    </r>
    <r>
      <rPr>
        <sz val="9"/>
        <color rgb="FF8A93A3"/>
        <rFont val="BIZ UDPゴシック"/>
        <family val="0"/>
        <charset val="1"/>
      </rPr>
      <t xml:space="preserve">5</t>
    </r>
    <r>
      <rPr>
        <sz val="9"/>
        <color rgb="FF8A93A3"/>
        <rFont val="WenQuanYi Zen Hei"/>
        <family val="2"/>
      </rPr>
      <t xml:space="preserve">行目以降にそのまま貼り付けてください（</t>
    </r>
    <r>
      <rPr>
        <sz val="9"/>
        <color rgb="FF8A93A3"/>
        <rFont val="BIZ UDPゴシック"/>
        <family val="0"/>
        <charset val="1"/>
      </rPr>
      <t xml:space="preserve">A=</t>
    </r>
    <r>
      <rPr>
        <sz val="9"/>
        <color rgb="FF8A93A3"/>
        <rFont val="WenQuanYi Zen Hei"/>
        <family val="2"/>
      </rPr>
      <t xml:space="preserve">日付・</t>
    </r>
    <r>
      <rPr>
        <sz val="9"/>
        <color rgb="FF8A93A3"/>
        <rFont val="BIZ UDPゴシック"/>
        <family val="0"/>
        <charset val="1"/>
      </rPr>
      <t xml:space="preserve">B=</t>
    </r>
    <r>
      <rPr>
        <sz val="9"/>
        <color rgb="FF8A93A3"/>
        <rFont val="WenQuanYi Zen Hei"/>
        <family val="2"/>
      </rPr>
      <t xml:space="preserve">商品名・</t>
    </r>
    <r>
      <rPr>
        <sz val="9"/>
        <color rgb="FF8A93A3"/>
        <rFont val="BIZ UDPゴシック"/>
        <family val="0"/>
        <charset val="1"/>
      </rPr>
      <t xml:space="preserve">C=</t>
    </r>
    <r>
      <rPr>
        <sz val="9"/>
        <color rgb="FF8A93A3"/>
        <rFont val="WenQuanYi Zen Hei"/>
        <family val="2"/>
      </rPr>
      <t xml:space="preserve">販売数、</t>
    </r>
    <r>
      <rPr>
        <sz val="9"/>
        <color rgb="FF8A93A3"/>
        <rFont val="BIZ UDPゴシック"/>
        <family val="0"/>
        <charset val="1"/>
      </rPr>
      <t xml:space="preserve">D</t>
    </r>
    <r>
      <rPr>
        <sz val="9"/>
        <color rgb="FF8A93A3"/>
        <rFont val="WenQuanYi Zen Hei"/>
        <family val="2"/>
      </rPr>
      <t xml:space="preserve">〜</t>
    </r>
    <r>
      <rPr>
        <sz val="9"/>
        <color rgb="FF8A93A3"/>
        <rFont val="BIZ UDPゴシック"/>
        <family val="0"/>
        <charset val="1"/>
      </rPr>
      <t xml:space="preserve">G</t>
    </r>
    <r>
      <rPr>
        <sz val="9"/>
        <color rgb="FF8A93A3"/>
        <rFont val="WenQuanYi Zen Hei"/>
        <family val="2"/>
      </rPr>
      <t xml:space="preserve">列は予備、最大</t>
    </r>
    <r>
      <rPr>
        <sz val="9"/>
        <color rgb="FF8A93A3"/>
        <rFont val="BIZ UDPゴシック"/>
        <family val="0"/>
        <charset val="1"/>
      </rPr>
      <t xml:space="preserve">2000</t>
    </r>
    <r>
      <rPr>
        <sz val="9"/>
        <color rgb="FF8A93A3"/>
        <rFont val="WenQuanYi Zen Hei"/>
        <family val="2"/>
      </rPr>
      <t xml:space="preserve">行）。列が多い</t>
    </r>
    <r>
      <rPr>
        <sz val="9"/>
        <color rgb="FF8A93A3"/>
        <rFont val="BIZ UDPゴシック"/>
        <family val="0"/>
        <charset val="1"/>
      </rPr>
      <t xml:space="preserve">CSV</t>
    </r>
    <r>
      <rPr>
        <sz val="9"/>
        <color rgb="FF8A93A3"/>
        <rFont val="WenQuanYi Zen Hei"/>
        <family val="2"/>
      </rPr>
      <t xml:space="preserve">は「日付・商品名・販売数」の</t>
    </r>
    <r>
      <rPr>
        <sz val="9"/>
        <color rgb="FF8A93A3"/>
        <rFont val="BIZ UDPゴシック"/>
        <family val="0"/>
        <charset val="1"/>
      </rPr>
      <t xml:space="preserve">3</t>
    </r>
    <r>
      <rPr>
        <sz val="9"/>
        <color rgb="FF8A93A3"/>
        <rFont val="WenQuanYi Zen Hei"/>
        <family val="2"/>
      </rPr>
      <t xml:space="preserve">列だけコピーして貼ると確実です。</t>
    </r>
  </si>
  <si>
    <t xml:space="preserve">貼付行数</t>
  </si>
  <si>
    <t xml:space="preserve">⚠ 未登録</t>
  </si>
  <si>
    <t xml:space="preserve">日付</t>
  </si>
  <si>
    <t xml:space="preserve">販売数</t>
  </si>
  <si>
    <t xml:space="preserve">金額（予備）</t>
  </si>
  <si>
    <t xml:space="preserve">（予備）</t>
  </si>
  <si>
    <t xml:space="preserve">商品名チェック</t>
  </si>
  <si>
    <r>
      <rPr>
        <sz val="9.5"/>
        <color rgb="FF333B4A"/>
        <rFont val="WenQuanYi Zen Hei"/>
        <family val="2"/>
      </rPr>
      <t xml:space="preserve">ポップコーン（塩）</t>
    </r>
    <r>
      <rPr>
        <sz val="9.5"/>
        <color rgb="FF333B4A"/>
        <rFont val="BIZ UDPゴシック"/>
        <family val="0"/>
        <charset val="1"/>
      </rPr>
      <t xml:space="preserve">M</t>
    </r>
  </si>
  <si>
    <r>
      <rPr>
        <sz val="9.5"/>
        <color rgb="FF333B4A"/>
        <rFont val="WenQuanYi Zen Hei"/>
        <family val="2"/>
      </rPr>
      <t xml:space="preserve">ポップコーン（キャラメル）</t>
    </r>
    <r>
      <rPr>
        <sz val="9.5"/>
        <color rgb="FF333B4A"/>
        <rFont val="BIZ UDPゴシック"/>
        <family val="0"/>
        <charset val="1"/>
      </rPr>
      <t xml:space="preserve">M</t>
    </r>
  </si>
  <si>
    <r>
      <rPr>
        <sz val="9.5"/>
        <color rgb="FF333B4A"/>
        <rFont val="WenQuanYi Zen Hei"/>
        <family val="2"/>
      </rPr>
      <t xml:space="preserve">ドリンク </t>
    </r>
    <r>
      <rPr>
        <sz val="9.5"/>
        <color rgb="FF333B4A"/>
        <rFont val="BIZ UDPゴシック"/>
        <family val="0"/>
        <charset val="1"/>
      </rPr>
      <t xml:space="preserve">S</t>
    </r>
  </si>
  <si>
    <r>
      <rPr>
        <sz val="9.5"/>
        <color rgb="FF333B4A"/>
        <rFont val="WenQuanYi Zen Hei"/>
        <family val="2"/>
      </rPr>
      <t xml:space="preserve">ドリンク </t>
    </r>
    <r>
      <rPr>
        <sz val="9.5"/>
        <color rgb="FF333B4A"/>
        <rFont val="BIZ UDPゴシック"/>
        <family val="0"/>
        <charset val="1"/>
      </rPr>
      <t xml:space="preserve">M</t>
    </r>
  </si>
  <si>
    <r>
      <rPr>
        <sz val="9.5"/>
        <color rgb="FF333B4A"/>
        <rFont val="WenQuanYi Zen Hei"/>
        <family val="2"/>
      </rPr>
      <t xml:space="preserve">ドリンク </t>
    </r>
    <r>
      <rPr>
        <sz val="9.5"/>
        <color rgb="FF333B4A"/>
        <rFont val="BIZ UDPゴシック"/>
        <family val="0"/>
        <charset val="1"/>
      </rPr>
      <t xml:space="preserve">L</t>
    </r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</si>
</sst>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#,##0"/>
    <numFmt numFmtId="166" formatCode="\×0%"/>
    <numFmt numFmtId="167" formatCode="0.0%"/>
    <numFmt numFmtId="168" formatCode="m/d"/>
  </numFmts>
  <fonts count="4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FFFFFF"/>
      <name val="WenQuanYi Zen Hei"/>
      <family val="2"/>
    </font>
    <font>
      <sz val="9.5"/>
      <color rgb="FF8A93A3"/>
      <name val="BIZ UDPゴシック"/>
      <family val="0"/>
      <charset val="1"/>
    </font>
    <font>
      <sz val="9.5"/>
      <color rgb="FF8A93A3"/>
      <name val="WenQuanYi Zen Hei"/>
      <family val="2"/>
    </font>
    <font>
      <b val="true"/>
      <sz val="10"/>
      <color rgb="FF2E3A59"/>
      <name val="WenQuanYi Zen Hei"/>
      <family val="2"/>
    </font>
    <font>
      <b val="true"/>
      <sz val="10"/>
      <color rgb="FF2E3A59"/>
      <name val="BIZ UDPゴシック"/>
      <family val="0"/>
      <charset val="1"/>
    </font>
    <font>
      <b val="true"/>
      <sz val="16"/>
      <color rgb="FFE8604C"/>
      <name val="BIZ UDPゴシック"/>
      <family val="0"/>
      <charset val="1"/>
    </font>
    <font>
      <b val="true"/>
      <sz val="11"/>
      <color rgb="FF333B4A"/>
      <name val="WenQuanYi Zen Hei"/>
      <family val="2"/>
    </font>
    <font>
      <sz val="9"/>
      <color rgb="FF8A93A3"/>
      <name val="WenQuanYi Zen Hei"/>
      <family val="2"/>
    </font>
    <font>
      <sz val="9"/>
      <color rgb="FF8A93A3"/>
      <name val="BIZ UDPゴシック"/>
      <family val="0"/>
      <charset val="1"/>
    </font>
    <font>
      <b val="true"/>
      <sz val="16"/>
      <color rgb="FFE9A13B"/>
      <name val="BIZ UDPゴシック"/>
      <family val="0"/>
      <charset val="1"/>
    </font>
    <font>
      <b val="true"/>
      <sz val="11"/>
      <color rgb="FF333B4A"/>
      <name val="BIZ UDPゴシック"/>
      <family val="0"/>
      <charset val="1"/>
    </font>
    <font>
      <b val="true"/>
      <sz val="16"/>
      <color rgb="FF1F9E92"/>
      <name val="BIZ UDPゴシック"/>
      <family val="0"/>
      <charset val="1"/>
    </font>
    <font>
      <sz val="9.5"/>
      <color rgb="FF333B4A"/>
      <name val="WenQuanYi Zen Hei"/>
      <family val="2"/>
    </font>
    <font>
      <sz val="9.5"/>
      <color rgb="FF5B6472"/>
      <name val="WenQuanYi Zen Hei"/>
      <family val="2"/>
    </font>
    <font>
      <sz val="10"/>
      <color rgb="FF333B4A"/>
      <name val="WenQuanYi Zen Hei"/>
      <family val="2"/>
    </font>
    <font>
      <sz val="10"/>
      <color rgb="FF333B4A"/>
      <name val="BIZ UDPゴシック"/>
      <family val="0"/>
      <charset val="1"/>
    </font>
    <font>
      <sz val="9.5"/>
      <color rgb="FF333B4A"/>
      <name val="BIZ UDPゴシック"/>
      <family val="0"/>
      <charset val="1"/>
    </font>
    <font>
      <sz val="8.5"/>
      <color rgb="FF8A93A3"/>
      <name val="WenQuanYi Zen Hei"/>
      <family val="2"/>
    </font>
    <font>
      <sz val="8.5"/>
      <color rgb="FF8A93A3"/>
      <name val="BIZ UDPゴシック"/>
      <family val="0"/>
      <charset val="1"/>
    </font>
    <font>
      <sz val="8"/>
      <color rgb="FF8A93A3"/>
      <name val="WenQuanYi Zen Hei"/>
      <family val="2"/>
    </font>
    <font>
      <b val="true"/>
      <sz val="10"/>
      <color rgb="FF333B4A"/>
      <name val="WenQuanYi Zen Hei"/>
      <family val="2"/>
    </font>
    <font>
      <b val="true"/>
      <sz val="10.5"/>
      <color rgb="FF333B4A"/>
      <name val="WenQuanYi Zen Hei"/>
      <family val="2"/>
    </font>
    <font>
      <b val="true"/>
      <sz val="10.5"/>
      <color rgb="FF333B4A"/>
      <name val="BIZ UDPゴシック"/>
      <family val="0"/>
      <charset val="1"/>
    </font>
    <font>
      <b val="true"/>
      <sz val="8.5"/>
      <color rgb="FFD14343"/>
      <name val="BIZ UDPゴシック"/>
      <family val="0"/>
      <charset val="1"/>
    </font>
    <font>
      <b val="true"/>
      <sz val="9.5"/>
      <color rgb="FFFFFFFF"/>
      <name val="BIZ UDPゴシック"/>
      <family val="0"/>
      <charset val="1"/>
    </font>
    <font>
      <b val="true"/>
      <sz val="9.5"/>
      <color rgb="FFFFFFFF"/>
      <name val="WenQuanYi Zen Hei"/>
      <family val="2"/>
    </font>
    <font>
      <b val="true"/>
      <sz val="8.5"/>
      <color rgb="FF333B4A"/>
      <name val="WenQuanYi Zen Hei"/>
      <family val="2"/>
    </font>
    <font>
      <b val="true"/>
      <sz val="8.5"/>
      <color rgb="FF333B4A"/>
      <name val="BIZ UDPゴシック"/>
      <family val="0"/>
      <charset val="1"/>
    </font>
    <font>
      <b val="true"/>
      <sz val="9.5"/>
      <color rgb="FF333B4A"/>
      <name val="WenQuanYi Zen Hei"/>
      <family val="2"/>
    </font>
    <font>
      <b val="true"/>
      <sz val="10"/>
      <color rgb="FFE8604C"/>
      <name val="BIZ UDPゴシック"/>
      <family val="0"/>
      <charset val="1"/>
    </font>
    <font>
      <sz val="10.5"/>
      <color rgb="FF333B4A"/>
      <name val="WenQuanYi Zen Hei"/>
      <family val="2"/>
    </font>
    <font>
      <sz val="10"/>
      <color rgb="FF5B6472"/>
      <name val="BIZ UDPゴシック"/>
      <family val="0"/>
      <charset val="1"/>
    </font>
    <font>
      <b val="true"/>
      <sz val="10.5"/>
      <color rgb="FFE8604C"/>
      <name val="BIZ UDPゴシック"/>
      <family val="0"/>
      <charset val="1"/>
    </font>
    <font>
      <b val="true"/>
      <sz val="10.5"/>
      <color rgb="FF2E3A59"/>
      <name val="BIZ UDPゴシック"/>
      <family val="0"/>
      <charset val="1"/>
    </font>
    <font>
      <sz val="10"/>
      <name val="WenQuanYi Zen Hei"/>
      <family val="2"/>
    </font>
    <font>
      <sz val="10"/>
      <name val="Arial"/>
      <family val="2"/>
    </font>
    <font>
      <sz val="8.5"/>
      <color rgb="FF333B4A"/>
      <name val="WenQuanYi Zen Hei"/>
      <family val="2"/>
    </font>
    <font>
      <sz val="8.5"/>
      <color rgb="FF5B6472"/>
      <name val="WenQuanYi Zen Hei"/>
      <family val="2"/>
    </font>
    <font>
      <b val="true"/>
      <sz val="10"/>
      <color rgb="FF333B4A"/>
      <name val="BIZ UDPゴシック"/>
      <family val="0"/>
      <charset val="1"/>
    </font>
    <font>
      <sz val="8"/>
      <color rgb="FF8A93A3"/>
      <name val="BIZ UDPゴシック"/>
      <family val="0"/>
      <charset val="1"/>
    </font>
    <font>
      <sz val="10.5"/>
      <color rgb="FF333B4A"/>
      <name val="BIZ UDPゴシック"/>
      <family val="0"/>
      <charset val="1"/>
    </font>
    <font>
      <b val="true"/>
      <sz val="10.5"/>
      <color rgb="FF1F9E92"/>
      <name val="BIZ UDPゴシック"/>
      <family val="0"/>
      <charset val="1"/>
    </font>
    <font>
      <b val="true"/>
      <sz val="10"/>
      <color rgb="FF5B6472"/>
      <name val="BIZ UDPゴシック"/>
      <family val="0"/>
      <charset val="1"/>
    </font>
    <font>
      <sz val="9"/>
      <color rgb="FF333B4A"/>
      <name val="BIZ UDPゴシック"/>
      <family val="0"/>
      <charset val="1"/>
    </font>
    <font>
      <b val="true"/>
      <sz val="14"/>
      <color rgb="FFFFFFFF"/>
      <name val="BIZ UDPゴシック"/>
      <family val="0"/>
      <charset val="1"/>
    </font>
  </fonts>
  <fills count="13">
    <fill>
      <patternFill patternType="none"/>
    </fill>
    <fill>
      <patternFill patternType="gray125"/>
    </fill>
    <fill>
      <patternFill patternType="solid">
        <fgColor rgb="FF2E3A59"/>
        <bgColor rgb="FF333B4A"/>
      </patternFill>
    </fill>
    <fill>
      <patternFill patternType="solid">
        <fgColor rgb="FFE9EDF5"/>
        <bgColor rgb="FFDFF2F0"/>
      </patternFill>
    </fill>
    <fill>
      <patternFill patternType="solid">
        <fgColor rgb="FFFFFFFF"/>
        <bgColor rgb="FFF8FAFC"/>
      </patternFill>
    </fill>
    <fill>
      <patternFill patternType="solid">
        <fgColor rgb="FFFFF4D6"/>
        <bgColor rgb="FFFDF0DA"/>
      </patternFill>
    </fill>
    <fill>
      <patternFill patternType="solid">
        <fgColor rgb="FFF2F4F7"/>
        <bgColor rgb="FFF7F8FA"/>
      </patternFill>
    </fill>
    <fill>
      <patternFill patternType="solid">
        <fgColor rgb="FFF7F8FA"/>
        <bgColor rgb="FFF8FAFC"/>
      </patternFill>
    </fill>
    <fill>
      <patternFill patternType="solid">
        <fgColor rgb="FFFCE7E2"/>
        <bgColor rgb="FFFDECEC"/>
      </patternFill>
    </fill>
    <fill>
      <patternFill patternType="solid">
        <fgColor rgb="FFFDF0DA"/>
        <bgColor rgb="FFFFF4D6"/>
      </patternFill>
    </fill>
    <fill>
      <patternFill patternType="solid">
        <fgColor rgb="FFFFF1EE"/>
        <bgColor rgb="FFFDECEC"/>
      </patternFill>
    </fill>
    <fill>
      <patternFill patternType="solid">
        <fgColor rgb="FFF8FAFC"/>
        <bgColor rgb="FFF7F8FA"/>
      </patternFill>
    </fill>
    <fill>
      <patternFill patternType="solid">
        <fgColor rgb="FFDFF2F0"/>
        <bgColor rgb="FFE9EDF5"/>
      </patternFill>
    </fill>
  </fills>
  <borders count="8">
    <border diagonalUp="false" diagonalDown="false">
      <left/>
      <right/>
      <top/>
      <bottom/>
      <diagonal/>
    </border>
    <border diagonalUp="false" diagonalDown="false">
      <left style="medium">
        <color rgb="FFE8604C"/>
      </left>
      <right style="medium">
        <color rgb="FFE8604C"/>
      </right>
      <top style="medium">
        <color rgb="FFE8604C"/>
      </top>
      <bottom style="medium">
        <color rgb="FFE8604C"/>
      </bottom>
      <diagonal/>
    </border>
    <border diagonalUp="false" diagonalDown="false">
      <left style="medium">
        <color rgb="FFE9A13B"/>
      </left>
      <right style="medium">
        <color rgb="FFE9A13B"/>
      </right>
      <top style="medium">
        <color rgb="FFE9A13B"/>
      </top>
      <bottom style="medium">
        <color rgb="FFE9A13B"/>
      </bottom>
      <diagonal/>
    </border>
    <border diagonalUp="false" diagonalDown="false">
      <left style="medium">
        <color rgb="FF1F9E92"/>
      </left>
      <right style="medium">
        <color rgb="FF1F9E92"/>
      </right>
      <top style="medium">
        <color rgb="FF1F9E92"/>
      </top>
      <bottom style="medium">
        <color rgb="FF1F9E92"/>
      </bottom>
      <diagonal/>
    </border>
    <border diagonalUp="false" diagonalDown="false">
      <left style="thin">
        <color rgb="FFF0D48A"/>
      </left>
      <right style="thin">
        <color rgb="FFF0D48A"/>
      </right>
      <top style="thin">
        <color rgb="FFF0D48A"/>
      </top>
      <bottom style="thin">
        <color rgb="FFF0D48A"/>
      </bottom>
      <diagonal/>
    </border>
    <border diagonalUp="false" diagonalDown="false">
      <left style="thin">
        <color rgb="FFDFE3EA"/>
      </left>
      <right style="thin">
        <color rgb="FFDFE3EA"/>
      </right>
      <top style="thin">
        <color rgb="FFDFE3EA"/>
      </top>
      <bottom style="thin">
        <color rgb="FFDFE3EA"/>
      </bottom>
      <diagonal/>
    </border>
    <border diagonalUp="false" diagonalDown="false">
      <left style="hair">
        <color rgb="FFDFE3EA"/>
      </left>
      <right style="hair">
        <color rgb="FFDFE3EA"/>
      </right>
      <top style="hair">
        <color rgb="FFDFE3EA"/>
      </top>
      <bottom style="hair">
        <color rgb="FFDFE3EA"/>
      </bottom>
      <diagonal/>
    </border>
    <border diagonalUp="false" diagonalDown="false">
      <left style="hair">
        <color rgb="FFDFE3EA"/>
      </left>
      <right style="hair">
        <color rgb="FFDFE3EA"/>
      </right>
      <top/>
      <bottom style="hair">
        <color rgb="FFDFE3EA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6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7" fillId="3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9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0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11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3" fillId="4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5" fillId="4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6" fillId="5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7" fillId="6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8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6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1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1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23" fillId="7" borderId="6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24" fillId="8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25" fillId="5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7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21" fillId="0" borderId="6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22" fillId="0" borderId="6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26" fillId="5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7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28" fillId="2" borderId="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9" fillId="2" borderId="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0" fillId="9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32" fillId="5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33" fillId="5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0" borderId="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4" fillId="0" borderId="7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35" fillId="0" borderId="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35" fillId="0" borderId="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36" fillId="10" borderId="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37" fillId="0" borderId="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11" borderId="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4" fillId="11" borderId="7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35" fillId="11" borderId="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35" fillId="11" borderId="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37" fillId="11" borderId="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1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40" fillId="5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1" fillId="6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4" fillId="12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8" fontId="42" fillId="5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1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21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43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5" fontId="44" fillId="5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45" fillId="6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3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28" fillId="2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9" fillId="2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28" fillId="2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4" fillId="5" borderId="4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35" fillId="6" borderId="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46" fillId="6" borderId="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7" fillId="0" borderId="7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21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40" fillId="9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5" fontId="42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8" fontId="20" fillId="0" borderId="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6" fillId="0" borderId="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20" fillId="0" borderId="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0" borderId="6" xfId="0" applyFont="true" applyBorder="true" applyAlignment="true" applyProtection="false">
      <alignment horizontal="center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7">
    <dxf>
      <font>
        <name val="BIZ UDPゴシック"/>
        <charset val="1"/>
        <family val="0"/>
        <b val="1"/>
        <color rgb="FFD14343"/>
        <sz val="9"/>
      </font>
    </dxf>
    <dxf>
      <font>
        <name val="BIZ UDPゴシック"/>
        <charset val="1"/>
        <family val="0"/>
        <b val="1"/>
        <color rgb="FFD14343"/>
      </font>
    </dxf>
    <dxf>
      <font>
        <name val="BIZ UDPゴシック"/>
        <charset val="1"/>
        <family val="0"/>
        <b val="1"/>
        <color rgb="FF3B6FD4"/>
      </font>
    </dxf>
    <dxf>
      <font>
        <name val="BIZ UDPゴシック"/>
        <charset val="1"/>
        <family val="0"/>
        <color rgb="FF2E9E5B"/>
        <sz val="8"/>
      </font>
    </dxf>
    <dxf>
      <font>
        <name val="BIZ UDPゴシック"/>
        <charset val="1"/>
        <family val="0"/>
        <b val="1"/>
        <color rgb="FFD14343"/>
        <sz val="8"/>
      </font>
    </dxf>
    <dxf>
      <font>
        <name val="BIZ UDPゴシック"/>
        <charset val="1"/>
        <family val="0"/>
        <color rgb="FF2E9E5B"/>
        <sz val="9"/>
      </font>
    </dxf>
    <dxf>
      <font>
        <name val="BIZ UDPゴシック"/>
        <charset val="1"/>
        <family val="0"/>
        <b val="1"/>
        <color rgb="FFD14343"/>
        <sz val="9"/>
      </font>
      <fill>
        <patternFill>
          <bgColor rgb="FFFDEC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8FAFC"/>
      <rgbColor rgb="FFFF00FF"/>
      <rgbColor rgb="FF00FFFF"/>
      <rgbColor rgb="FF800000"/>
      <rgbColor rgb="FF008000"/>
      <rgbColor rgb="FF000080"/>
      <rgbColor rgb="FF808000"/>
      <rgbColor rgb="FF800080"/>
      <rgbColor rgb="FF1F9E92"/>
      <rgbColor rgb="FFFCE7E2"/>
      <rgbColor rgb="FF808080"/>
      <rgbColor rgb="FF9999FF"/>
      <rgbColor rgb="FFD14343"/>
      <rgbColor rgb="FFFFF4D6"/>
      <rgbColor rgb="FFDFF2F0"/>
      <rgbColor rgb="FF660066"/>
      <rgbColor rgb="FFFF8080"/>
      <rgbColor rgb="FF0066CC"/>
      <rgbColor rgb="FFDFE3EA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9EDF5"/>
      <rgbColor rgb="FFF2F4F7"/>
      <rgbColor rgb="FFFDF0DA"/>
      <rgbColor rgb="FFFDECEC"/>
      <rgbColor rgb="FFFFF1EE"/>
      <rgbColor rgb="FFF7F8FA"/>
      <rgbColor rgb="FFF0D48A"/>
      <rgbColor rgb="FF3B6FD4"/>
      <rgbColor rgb="FF33CCCC"/>
      <rgbColor rgb="FF99CC00"/>
      <rgbColor rgb="FFFFCC00"/>
      <rgbColor rgb="FFE9A13B"/>
      <rgbColor rgb="FFE8604C"/>
      <rgbColor rgb="FF5B6472"/>
      <rgbColor rgb="FF8A93A3"/>
      <rgbColor rgb="FF003366"/>
      <rgbColor rgb="FF2E9E5B"/>
      <rgbColor rgb="FF003300"/>
      <rgbColor rgb="FF333300"/>
      <rgbColor rgb="FF993300"/>
      <rgbColor rgb="FF993366"/>
      <rgbColor rgb="FF2E3A59"/>
      <rgbColor rgb="FF333B4A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vmlDrawing" Target="../drawings/vmlDrawing1.v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vmlDrawing" Target="../drawings/vmlDrawing2.v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vmlDrawing" Target="../drawings/vmlDrawing3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E3A59"/>
    <pageSetUpPr fitToPage="true"/>
  </sheetPr>
  <dimension ref="A1:J31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.5"/>
    <col collapsed="false" customWidth="true" hidden="false" outlineLevel="0" max="2" min="2" style="0" width="6"/>
    <col collapsed="false" customWidth="true" hidden="false" outlineLevel="0" max="10" min="3" style="0" width="13"/>
  </cols>
  <sheetData>
    <row r="1" customFormat="false" ht="37.5" hidden="false" customHeight="true" outlineLevel="0" collapsed="false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</row>
    <row r="2" customFormat="false" ht="19.5" hidden="false" customHeight="true" outlineLevel="0" collapsed="false">
      <c r="B2" s="2" t="s">
        <v>1</v>
      </c>
      <c r="C2" s="2"/>
      <c r="D2" s="2"/>
      <c r="E2" s="2"/>
      <c r="F2" s="2"/>
      <c r="G2" s="2"/>
      <c r="H2" s="2"/>
      <c r="I2" s="2"/>
      <c r="J2" s="2"/>
    </row>
    <row r="4" customFormat="false" ht="21.75" hidden="false" customHeight="true" outlineLevel="0" collapsed="false">
      <c r="B4" s="3" t="s">
        <v>2</v>
      </c>
      <c r="C4" s="3"/>
      <c r="D4" s="3"/>
    </row>
    <row r="6" customFormat="false" ht="24" hidden="false" customHeight="true" outlineLevel="0" collapsed="false">
      <c r="B6" s="4" t="s">
        <v>3</v>
      </c>
      <c r="C6" s="5" t="s">
        <v>4</v>
      </c>
      <c r="D6" s="5"/>
      <c r="E6" s="5"/>
      <c r="F6" s="5"/>
      <c r="G6" s="5"/>
      <c r="H6" s="5"/>
      <c r="I6" s="5"/>
      <c r="J6" s="5"/>
    </row>
    <row r="7" customFormat="false" ht="31.5" hidden="false" customHeight="true" outlineLevel="0" collapsed="false">
      <c r="B7" s="4"/>
      <c r="C7" s="6" t="s">
        <v>5</v>
      </c>
      <c r="D7" s="6"/>
      <c r="E7" s="6"/>
      <c r="F7" s="6"/>
      <c r="G7" s="6"/>
      <c r="H7" s="6"/>
      <c r="I7" s="6"/>
      <c r="J7" s="6"/>
    </row>
    <row r="9" customFormat="false" ht="24" hidden="false" customHeight="true" outlineLevel="0" collapsed="false">
      <c r="B9" s="7" t="s">
        <v>6</v>
      </c>
      <c r="C9" s="5" t="s">
        <v>7</v>
      </c>
      <c r="D9" s="5"/>
      <c r="E9" s="5"/>
      <c r="F9" s="5"/>
      <c r="G9" s="5"/>
      <c r="H9" s="5"/>
      <c r="I9" s="5"/>
      <c r="J9" s="5"/>
    </row>
    <row r="10" customFormat="false" ht="31.5" hidden="false" customHeight="true" outlineLevel="0" collapsed="false">
      <c r="B10" s="7"/>
      <c r="C10" s="8" t="s">
        <v>8</v>
      </c>
      <c r="D10" s="8"/>
      <c r="E10" s="8"/>
      <c r="F10" s="8"/>
      <c r="G10" s="8"/>
      <c r="H10" s="8"/>
      <c r="I10" s="8"/>
      <c r="J10" s="8"/>
    </row>
    <row r="12" customFormat="false" ht="24" hidden="false" customHeight="true" outlineLevel="0" collapsed="false">
      <c r="B12" s="9" t="s">
        <v>9</v>
      </c>
      <c r="C12" s="5" t="s">
        <v>10</v>
      </c>
      <c r="D12" s="5"/>
      <c r="E12" s="5"/>
      <c r="F12" s="5"/>
      <c r="G12" s="5"/>
      <c r="H12" s="5"/>
      <c r="I12" s="5"/>
      <c r="J12" s="5"/>
    </row>
    <row r="13" customFormat="false" ht="31.5" hidden="false" customHeight="true" outlineLevel="0" collapsed="false">
      <c r="B13" s="9"/>
      <c r="C13" s="6" t="s">
        <v>11</v>
      </c>
      <c r="D13" s="6"/>
      <c r="E13" s="6"/>
      <c r="F13" s="6"/>
      <c r="G13" s="6"/>
      <c r="H13" s="6"/>
      <c r="I13" s="6"/>
      <c r="J13" s="6"/>
    </row>
    <row r="16" customFormat="false" ht="21.75" hidden="false" customHeight="true" outlineLevel="0" collapsed="false">
      <c r="B16" s="3" t="s">
        <v>12</v>
      </c>
      <c r="C16" s="3"/>
      <c r="D16" s="3"/>
    </row>
    <row r="17" customFormat="false" ht="19.5" hidden="false" customHeight="true" outlineLevel="0" collapsed="false">
      <c r="C17" s="10" t="s">
        <v>13</v>
      </c>
      <c r="D17" s="10"/>
      <c r="F17" s="11" t="s">
        <v>14</v>
      </c>
      <c r="G17" s="11"/>
    </row>
    <row r="19" customFormat="false" ht="21.75" hidden="false" customHeight="true" outlineLevel="0" collapsed="false">
      <c r="B19" s="3" t="s">
        <v>15</v>
      </c>
      <c r="C19" s="3"/>
      <c r="D19" s="3"/>
    </row>
    <row r="20" customFormat="false" ht="15" hidden="false" customHeight="false" outlineLevel="0" collapsed="false">
      <c r="C20" s="12" t="s">
        <v>16</v>
      </c>
      <c r="D20" s="12"/>
      <c r="E20" s="12"/>
      <c r="F20" s="12"/>
      <c r="G20" s="12"/>
      <c r="H20" s="12"/>
      <c r="I20" s="12"/>
      <c r="J20" s="12"/>
    </row>
    <row r="21" customFormat="false" ht="15" hidden="false" customHeight="false" outlineLevel="0" collapsed="false">
      <c r="C21" s="12" t="s">
        <v>17</v>
      </c>
      <c r="D21" s="12"/>
      <c r="E21" s="12"/>
      <c r="F21" s="12"/>
      <c r="G21" s="12"/>
      <c r="H21" s="12"/>
      <c r="I21" s="12"/>
      <c r="J21" s="12"/>
    </row>
    <row r="23" customFormat="false" ht="21.75" hidden="false" customHeight="true" outlineLevel="0" collapsed="false">
      <c r="B23" s="3" t="s">
        <v>18</v>
      </c>
      <c r="C23" s="3"/>
      <c r="D23" s="3"/>
    </row>
    <row r="24" customFormat="false" ht="30" hidden="false" customHeight="true" outlineLevel="0" collapsed="false">
      <c r="C24" s="13" t="s">
        <v>19</v>
      </c>
      <c r="D24" s="13"/>
      <c r="E24" s="13"/>
      <c r="F24" s="13"/>
      <c r="G24" s="13"/>
      <c r="H24" s="13"/>
      <c r="I24" s="13"/>
      <c r="J24" s="13"/>
    </row>
    <row r="25" customFormat="false" ht="30" hidden="false" customHeight="true" outlineLevel="0" collapsed="false">
      <c r="C25" s="13" t="s">
        <v>20</v>
      </c>
      <c r="D25" s="13"/>
      <c r="E25" s="13"/>
      <c r="F25" s="13"/>
      <c r="G25" s="13"/>
      <c r="H25" s="13"/>
      <c r="I25" s="13"/>
      <c r="J25" s="13"/>
    </row>
    <row r="26" customFormat="false" ht="30" hidden="false" customHeight="true" outlineLevel="0" collapsed="false">
      <c r="C26" s="13" t="s">
        <v>21</v>
      </c>
      <c r="D26" s="13"/>
      <c r="E26" s="13"/>
      <c r="F26" s="13"/>
      <c r="G26" s="13"/>
      <c r="H26" s="13"/>
      <c r="I26" s="13"/>
      <c r="J26" s="13"/>
    </row>
    <row r="27" customFormat="false" ht="30" hidden="false" customHeight="true" outlineLevel="0" collapsed="false">
      <c r="C27" s="13" t="s">
        <v>22</v>
      </c>
      <c r="D27" s="13"/>
      <c r="E27" s="13"/>
      <c r="F27" s="13"/>
      <c r="G27" s="13"/>
      <c r="H27" s="13"/>
      <c r="I27" s="13"/>
      <c r="J27" s="13"/>
    </row>
    <row r="28" customFormat="false" ht="30" hidden="false" customHeight="true" outlineLevel="0" collapsed="false">
      <c r="C28" s="13" t="s">
        <v>23</v>
      </c>
      <c r="D28" s="13"/>
      <c r="E28" s="13"/>
      <c r="F28" s="13"/>
      <c r="G28" s="13"/>
      <c r="H28" s="13"/>
      <c r="I28" s="13"/>
      <c r="J28" s="13"/>
    </row>
    <row r="29" customFormat="false" ht="30" hidden="false" customHeight="true" outlineLevel="0" collapsed="false">
      <c r="C29" s="13" t="s">
        <v>24</v>
      </c>
      <c r="D29" s="13"/>
      <c r="E29" s="13"/>
      <c r="F29" s="13"/>
      <c r="G29" s="13"/>
      <c r="H29" s="13"/>
      <c r="I29" s="13"/>
      <c r="J29" s="13"/>
    </row>
    <row r="31" customFormat="false" ht="15" hidden="false" customHeight="false" outlineLevel="0" collapsed="false">
      <c r="C31" s="14" t="s">
        <v>25</v>
      </c>
      <c r="D31" s="14"/>
      <c r="E31" s="14"/>
      <c r="F31" s="14"/>
      <c r="G31" s="14"/>
      <c r="H31" s="14"/>
      <c r="I31" s="14"/>
      <c r="J31" s="14"/>
    </row>
  </sheetData>
  <mergeCells count="26">
    <mergeCell ref="A1:J1"/>
    <mergeCell ref="B2:J2"/>
    <mergeCell ref="B4:D4"/>
    <mergeCell ref="B6:B7"/>
    <mergeCell ref="C6:J6"/>
    <mergeCell ref="C7:J7"/>
    <mergeCell ref="B9:B10"/>
    <mergeCell ref="C9:J9"/>
    <mergeCell ref="C10:J10"/>
    <mergeCell ref="B12:B13"/>
    <mergeCell ref="C12:J12"/>
    <mergeCell ref="C13:J13"/>
    <mergeCell ref="B16:D16"/>
    <mergeCell ref="C17:D17"/>
    <mergeCell ref="F17:G17"/>
    <mergeCell ref="B19:D19"/>
    <mergeCell ref="C20:J20"/>
    <mergeCell ref="C21:J21"/>
    <mergeCell ref="B23:D23"/>
    <mergeCell ref="C24:J24"/>
    <mergeCell ref="C25:J25"/>
    <mergeCell ref="C26:J26"/>
    <mergeCell ref="C27:J27"/>
    <mergeCell ref="C28:J28"/>
    <mergeCell ref="C29:J29"/>
    <mergeCell ref="C31:J3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E8604C"/>
    <pageSetUpPr fitToPage="true"/>
  </sheetPr>
  <dimension ref="B1:L3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0" topLeftCell="A11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.5"/>
    <col collapsed="false" customWidth="true" hidden="false" outlineLevel="0" max="2" min="2" style="0" width="6"/>
    <col collapsed="false" customWidth="true" hidden="false" outlineLevel="0" max="3" min="3" style="0" width="26"/>
    <col collapsed="false" customWidth="true" hidden="false" outlineLevel="0" max="4" min="4" style="0" width="12"/>
    <col collapsed="false" customWidth="true" hidden="false" outlineLevel="0" max="5" min="5" style="0" width="11"/>
    <col collapsed="false" customWidth="true" hidden="false" outlineLevel="0" max="6" min="6" style="0" width="13"/>
    <col collapsed="false" customWidth="true" hidden="false" outlineLevel="0" max="9" min="7" style="0" width="12"/>
    <col collapsed="false" customWidth="true" hidden="false" outlineLevel="0" max="10" min="10" style="0" width="2.5"/>
    <col collapsed="false" customWidth="true" hidden="false" outlineLevel="0" max="11" min="11" style="0" width="12"/>
    <col collapsed="false" customWidth="true" hidden="false" outlineLevel="0" max="12" min="12" style="0" width="10"/>
  </cols>
  <sheetData>
    <row r="1" customFormat="false" ht="33.75" hidden="false" customHeight="true" outlineLevel="0" collapsed="false">
      <c r="B1" s="1" t="s">
        <v>26</v>
      </c>
      <c r="C1" s="1"/>
      <c r="D1" s="1"/>
      <c r="E1" s="1"/>
      <c r="F1" s="1"/>
      <c r="G1" s="1"/>
      <c r="H1" s="1"/>
      <c r="I1" s="1"/>
    </row>
    <row r="2" customFormat="false" ht="18" hidden="false" customHeight="true" outlineLevel="0" collapsed="false">
      <c r="B2" s="15" t="s">
        <v>27</v>
      </c>
      <c r="C2" s="15"/>
      <c r="D2" s="15"/>
      <c r="E2" s="15"/>
      <c r="F2" s="15"/>
      <c r="G2" s="15"/>
      <c r="H2" s="15"/>
      <c r="I2" s="15"/>
    </row>
    <row r="3" customFormat="false" ht="6" hidden="false" customHeight="true" outlineLevel="0" collapsed="false">
      <c r="K3" s="16" t="s">
        <v>28</v>
      </c>
      <c r="L3" s="16"/>
    </row>
    <row r="4" customFormat="false" ht="24" hidden="false" customHeight="true" outlineLevel="0" collapsed="false">
      <c r="B4" s="17" t="s">
        <v>29</v>
      </c>
      <c r="C4" s="17"/>
      <c r="D4" s="18" t="s">
        <v>30</v>
      </c>
      <c r="E4" s="19" t="str">
        <f aca="false">IF(日別データ!$I$4="","（「日別データ」シートに日付を入力してください）","参照: "&amp;IF(INDEX(日別データ!$C$4:$I$4,1,8-$L$4)="","—",TEXT(INDEX(日別データ!$C$4:$I$4,1,8-$L$4),"m/d"))&amp;"〜"&amp;TEXT(日別データ!$I$4,"m/d")&amp;"（動員合計 "&amp;TEXT($L$5,"#,##0")&amp;"人）")</f>
        <v>参照: 8/19〜8/25（動員合計 37,000人）</v>
      </c>
      <c r="F4" s="19"/>
      <c r="G4" s="19"/>
      <c r="H4" s="19"/>
      <c r="I4" s="19"/>
      <c r="K4" s="20" t="s">
        <v>31</v>
      </c>
      <c r="L4" s="21" t="n">
        <f aca="false">IF($D$4="昨日",1,IF($D$4="直近3日間",3,7))</f>
        <v>7</v>
      </c>
    </row>
    <row r="5" customFormat="false" ht="24" hidden="false" customHeight="true" outlineLevel="0" collapsed="false">
      <c r="B5" s="17" t="s">
        <v>32</v>
      </c>
      <c r="C5" s="17"/>
      <c r="D5" s="22" t="n">
        <v>5000</v>
      </c>
      <c r="E5" s="15" t="s">
        <v>33</v>
      </c>
      <c r="F5" s="15"/>
      <c r="G5" s="15"/>
      <c r="H5" s="15"/>
      <c r="I5" s="15"/>
      <c r="K5" s="20" t="s">
        <v>34</v>
      </c>
      <c r="L5" s="21" t="n">
        <f aca="false">SUMPRODUCT((COLUMN(日別データ!$C$6:$I$6)&gt;=10-$L$4)*(日別データ!$C$6:$I$6&gt;0),日別データ!$C$6:$I$6)</f>
        <v>37000</v>
      </c>
    </row>
    <row r="6" customFormat="false" ht="19.5" hidden="false" customHeight="true" outlineLevel="0" collapsed="false">
      <c r="B6" s="17" t="s">
        <v>35</v>
      </c>
      <c r="C6" s="17"/>
      <c r="D6" s="15" t="s">
        <v>36</v>
      </c>
      <c r="E6" s="15"/>
      <c r="F6" s="15"/>
      <c r="G6" s="15"/>
      <c r="H6" s="15"/>
      <c r="I6" s="15"/>
    </row>
    <row r="7" customFormat="false" ht="13.5" hidden="false" customHeight="true" outlineLevel="0" collapsed="false">
      <c r="B7" s="23" t="str">
        <f aca="false">IF(日別データ!$I$4="","",TRIM(IF(SUMPRODUCT((COLUMN(日別データ!$C$6:$I$6)&gt;=10-$L$4)*(日別データ!$C$6:$I$6&gt;0))&lt;$L$4,"⚠ 参照期間に動員数が未入力の日があります（入力済みの日だけで計算します）。","")&amp;" "&amp;IF(SUMPRODUCT((COLUMN(日別データ!$C$7:$I$7)&gt;=10-$L$4)*(日別データ!$C$7:$I$7="✔"))=0,"⚠ 参照期間の販売データがCSV貼付にありません。CSVを確認してください。","")))</f>
        <v/>
      </c>
      <c r="C7" s="23"/>
      <c r="D7" s="23"/>
      <c r="E7" s="23"/>
      <c r="F7" s="23"/>
      <c r="G7" s="23"/>
      <c r="H7" s="23"/>
      <c r="I7" s="23"/>
    </row>
    <row r="8" customFormat="false" ht="18" hidden="false" customHeight="true" outlineLevel="0" collapsed="false">
      <c r="B8" s="24" t="s">
        <v>37</v>
      </c>
      <c r="C8" s="25" t="s">
        <v>38</v>
      </c>
      <c r="D8" s="25" t="s">
        <v>39</v>
      </c>
      <c r="E8" s="25" t="s">
        <v>40</v>
      </c>
      <c r="F8" s="25" t="s">
        <v>41</v>
      </c>
      <c r="G8" s="26" t="s">
        <v>42</v>
      </c>
      <c r="H8" s="26"/>
      <c r="I8" s="26"/>
    </row>
    <row r="9" customFormat="false" ht="19.5" hidden="false" customHeight="true" outlineLevel="0" collapsed="false">
      <c r="B9" s="24"/>
      <c r="C9" s="24"/>
      <c r="D9" s="24"/>
      <c r="E9" s="24"/>
      <c r="F9" s="24"/>
      <c r="G9" s="27" t="s">
        <v>43</v>
      </c>
      <c r="H9" s="27" t="s">
        <v>44</v>
      </c>
      <c r="I9" s="27" t="s">
        <v>45</v>
      </c>
    </row>
    <row r="10" customFormat="false" ht="19.5" hidden="false" customHeight="true" outlineLevel="0" collapsed="false">
      <c r="B10" s="24"/>
      <c r="C10" s="24"/>
      <c r="D10" s="24"/>
      <c r="E10" s="24"/>
      <c r="F10" s="24"/>
      <c r="G10" s="28" t="n">
        <v>1</v>
      </c>
      <c r="H10" s="28" t="n">
        <v>1.2</v>
      </c>
      <c r="I10" s="28" t="n">
        <v>1.5</v>
      </c>
    </row>
    <row r="11" customFormat="false" ht="19.5" hidden="false" customHeight="true" outlineLevel="0" collapsed="false">
      <c r="B11" s="29" t="n">
        <v>1</v>
      </c>
      <c r="C11" s="30" t="str">
        <f aca="false">IF(日別データ!B9="","",日別データ!B9)</f>
        <v>ポップコーン（塩）M</v>
      </c>
      <c r="D11" s="31" t="n">
        <f aca="false">IF($C11="","",SUMPRODUCT((COLUMN(日別データ!$C$6:$I$6)&gt;=10-$L$4)*(日別データ!$C$6:$I$6&gt;0),日別データ!C9:I9))</f>
        <v>2798</v>
      </c>
      <c r="E11" s="32" t="n">
        <f aca="false">IF($C11="","",IF($L$5&lt;=0,"要確認",D11/$L$5))</f>
        <v>0.0756216216216216</v>
      </c>
      <c r="F11" s="33" t="n">
        <f aca="false">IF(OR($C11="",$D$5=""),"",IF(ISNUMBER($E11),ROUNDUP($D$5*$E11,0),"—"))</f>
        <v>379</v>
      </c>
      <c r="G11" s="34" t="n">
        <f aca="false">IF(OR($C11="",$D$5="",G$10=""),"",IF(ISNUMBER($E11),ROUNDUP($D$5*$E11*G$10,0),"—"))</f>
        <v>379</v>
      </c>
      <c r="H11" s="34" t="n">
        <f aca="false">IF(OR($C11="",$D$5="",H$10=""),"",IF(ISNUMBER($E11),ROUNDUP($D$5*$E11*H$10,0),"—"))</f>
        <v>454</v>
      </c>
      <c r="I11" s="34" t="n">
        <f aca="false">IF(OR($C11="",$D$5="",I$10=""),"",IF(ISNUMBER($E11),ROUNDUP($D$5*$E11*I$10,0),"—"))</f>
        <v>568</v>
      </c>
    </row>
    <row r="12" customFormat="false" ht="19.5" hidden="false" customHeight="true" outlineLevel="0" collapsed="false">
      <c r="B12" s="35" t="n">
        <v>2</v>
      </c>
      <c r="C12" s="36" t="str">
        <f aca="false">IF(日別データ!B10="","",日別データ!B10)</f>
        <v>ポップコーン（キャラメル）M</v>
      </c>
      <c r="D12" s="37" t="n">
        <f aca="false">IF($C12="","",SUMPRODUCT((COLUMN(日別データ!$C$6:$I$6)&gt;=10-$L$4)*(日別データ!$C$6:$I$6&gt;0),日別データ!C10:I10))</f>
        <v>2260</v>
      </c>
      <c r="E12" s="38" t="n">
        <f aca="false">IF($C12="","",IF($L$5&lt;=0,"要確認",D12/$L$5))</f>
        <v>0.0610810810810811</v>
      </c>
      <c r="F12" s="33" t="n">
        <f aca="false">IF(OR($C12="",$D$5=""),"",IF(ISNUMBER($E12),ROUNDUP($D$5*$E12,0),"—"))</f>
        <v>306</v>
      </c>
      <c r="G12" s="39" t="n">
        <f aca="false">IF(OR($C12="",$D$5="",G$10=""),"",IF(ISNUMBER($E12),ROUNDUP($D$5*$E12*G$10,0),"—"))</f>
        <v>306</v>
      </c>
      <c r="H12" s="39" t="n">
        <f aca="false">IF(OR($C12="",$D$5="",H$10=""),"",IF(ISNUMBER($E12),ROUNDUP($D$5*$E12*H$10,0),"—"))</f>
        <v>367</v>
      </c>
      <c r="I12" s="39" t="n">
        <f aca="false">IF(OR($C12="",$D$5="",I$10=""),"",IF(ISNUMBER($E12),ROUNDUP($D$5*$E12*I$10,0),"—"))</f>
        <v>459</v>
      </c>
    </row>
    <row r="13" customFormat="false" ht="19.5" hidden="false" customHeight="true" outlineLevel="0" collapsed="false">
      <c r="B13" s="29" t="n">
        <v>3</v>
      </c>
      <c r="C13" s="30" t="str">
        <f aca="false">IF(日別データ!B11="","",日別データ!B11)</f>
        <v>ポップコーン ハーフ＆ハーフ</v>
      </c>
      <c r="D13" s="31" t="n">
        <f aca="false">IF($C13="","",SUMPRODUCT((COLUMN(日別データ!$C$6:$I$6)&gt;=10-$L$4)*(日別データ!$C$6:$I$6&gt;0),日別データ!C11:I11))</f>
        <v>1597</v>
      </c>
      <c r="E13" s="32" t="n">
        <f aca="false">IF($C13="","",IF($L$5&lt;=0,"要確認",D13/$L$5))</f>
        <v>0.0431621621621622</v>
      </c>
      <c r="F13" s="33" t="n">
        <f aca="false">IF(OR($C13="",$D$5=""),"",IF(ISNUMBER($E13),ROUNDUP($D$5*$E13,0),"—"))</f>
        <v>216</v>
      </c>
      <c r="G13" s="34" t="n">
        <f aca="false">IF(OR($C13="",$D$5="",G$10=""),"",IF(ISNUMBER($E13),ROUNDUP($D$5*$E13*G$10,0),"—"))</f>
        <v>216</v>
      </c>
      <c r="H13" s="34" t="n">
        <f aca="false">IF(OR($C13="",$D$5="",H$10=""),"",IF(ISNUMBER($E13),ROUNDUP($D$5*$E13*H$10,0),"—"))</f>
        <v>259</v>
      </c>
      <c r="I13" s="34" t="n">
        <f aca="false">IF(OR($C13="",$D$5="",I$10=""),"",IF(ISNUMBER($E13),ROUNDUP($D$5*$E13*I$10,0),"—"))</f>
        <v>324</v>
      </c>
    </row>
    <row r="14" customFormat="false" ht="19.5" hidden="false" customHeight="true" outlineLevel="0" collapsed="false">
      <c r="B14" s="35" t="n">
        <v>4</v>
      </c>
      <c r="C14" s="36" t="str">
        <f aca="false">IF(日別データ!B12="","",日別データ!B12)</f>
        <v>ドリンク S</v>
      </c>
      <c r="D14" s="37" t="n">
        <f aca="false">IF($C14="","",SUMPRODUCT((COLUMN(日別データ!$C$6:$I$6)&gt;=10-$L$4)*(日別データ!$C$6:$I$6&gt;0),日別データ!C12:I12))</f>
        <v>1715</v>
      </c>
      <c r="E14" s="38" t="n">
        <f aca="false">IF($C14="","",IF($L$5&lt;=0,"要確認",D14/$L$5))</f>
        <v>0.0463513513513514</v>
      </c>
      <c r="F14" s="33" t="n">
        <f aca="false">IF(OR($C14="",$D$5=""),"",IF(ISNUMBER($E14),ROUNDUP($D$5*$E14,0),"—"))</f>
        <v>232</v>
      </c>
      <c r="G14" s="39" t="n">
        <f aca="false">IF(OR($C14="",$D$5="",G$10=""),"",IF(ISNUMBER($E14),ROUNDUP($D$5*$E14*G$10,0),"—"))</f>
        <v>232</v>
      </c>
      <c r="H14" s="39" t="n">
        <f aca="false">IF(OR($C14="",$D$5="",H$10=""),"",IF(ISNUMBER($E14),ROUNDUP($D$5*$E14*H$10,0),"—"))</f>
        <v>279</v>
      </c>
      <c r="I14" s="39" t="n">
        <f aca="false">IF(OR($C14="",$D$5="",I$10=""),"",IF(ISNUMBER($E14),ROUNDUP($D$5*$E14*I$10,0),"—"))</f>
        <v>348</v>
      </c>
    </row>
    <row r="15" customFormat="false" ht="19.5" hidden="false" customHeight="true" outlineLevel="0" collapsed="false">
      <c r="B15" s="29" t="n">
        <v>5</v>
      </c>
      <c r="C15" s="30" t="str">
        <f aca="false">IF(日別データ!B13="","",日別データ!B13)</f>
        <v>ドリンク M</v>
      </c>
      <c r="D15" s="31" t="n">
        <f aca="false">IF($C15="","",SUMPRODUCT((COLUMN(日別データ!$C$6:$I$6)&gt;=10-$L$4)*(日別データ!$C$6:$I$6&gt;0),日別データ!C13:I13))</f>
        <v>3549</v>
      </c>
      <c r="E15" s="32" t="n">
        <f aca="false">IF($C15="","",IF($L$5&lt;=0,"要確認",D15/$L$5))</f>
        <v>0.0959189189189189</v>
      </c>
      <c r="F15" s="33" t="n">
        <f aca="false">IF(OR($C15="",$D$5=""),"",IF(ISNUMBER($E15),ROUNDUP($D$5*$E15,0),"—"))</f>
        <v>480</v>
      </c>
      <c r="G15" s="34" t="n">
        <f aca="false">IF(OR($C15="",$D$5="",G$10=""),"",IF(ISNUMBER($E15),ROUNDUP($D$5*$E15*G$10,0),"—"))</f>
        <v>480</v>
      </c>
      <c r="H15" s="34" t="n">
        <f aca="false">IF(OR($C15="",$D$5="",H$10=""),"",IF(ISNUMBER($E15),ROUNDUP($D$5*$E15*H$10,0),"—"))</f>
        <v>576</v>
      </c>
      <c r="I15" s="34" t="n">
        <f aca="false">IF(OR($C15="",$D$5="",I$10=""),"",IF(ISNUMBER($E15),ROUNDUP($D$5*$E15*I$10,0),"—"))</f>
        <v>720</v>
      </c>
    </row>
    <row r="16" customFormat="false" ht="19.5" hidden="false" customHeight="true" outlineLevel="0" collapsed="false">
      <c r="B16" s="35" t="n">
        <v>6</v>
      </c>
      <c r="C16" s="36" t="str">
        <f aca="false">IF(日別データ!B14="","",日別データ!B14)</f>
        <v>ドリンク L</v>
      </c>
      <c r="D16" s="37" t="n">
        <f aca="false">IF($C16="","",SUMPRODUCT((COLUMN(日別データ!$C$6:$I$6)&gt;=10-$L$4)*(日別データ!$C$6:$I$6&gt;0),日別データ!C14:I14))</f>
        <v>1266</v>
      </c>
      <c r="E16" s="38" t="n">
        <f aca="false">IF($C16="","",IF($L$5&lt;=0,"要確認",D16/$L$5))</f>
        <v>0.0342162162162162</v>
      </c>
      <c r="F16" s="33" t="n">
        <f aca="false">IF(OR($C16="",$D$5=""),"",IF(ISNUMBER($E16),ROUNDUP($D$5*$E16,0),"—"))</f>
        <v>172</v>
      </c>
      <c r="G16" s="39" t="n">
        <f aca="false">IF(OR($C16="",$D$5="",G$10=""),"",IF(ISNUMBER($E16),ROUNDUP($D$5*$E16*G$10,0),"—"))</f>
        <v>172</v>
      </c>
      <c r="H16" s="39" t="n">
        <f aca="false">IF(OR($C16="",$D$5="",H$10=""),"",IF(ISNUMBER($E16),ROUNDUP($D$5*$E16*H$10,0),"—"))</f>
        <v>206</v>
      </c>
      <c r="I16" s="39" t="n">
        <f aca="false">IF(OR($C16="",$D$5="",I$10=""),"",IF(ISNUMBER($E16),ROUNDUP($D$5*$E16*I$10,0),"—"))</f>
        <v>257</v>
      </c>
    </row>
    <row r="17" customFormat="false" ht="19.5" hidden="false" customHeight="true" outlineLevel="0" collapsed="false">
      <c r="B17" s="29" t="n">
        <v>7</v>
      </c>
      <c r="C17" s="30" t="str">
        <f aca="false">IF(日別データ!B15="","",日別データ!B15)</f>
        <v>チュロス（シナモン）</v>
      </c>
      <c r="D17" s="31" t="n">
        <f aca="false">IF($C17="","",SUMPRODUCT((COLUMN(日別データ!$C$6:$I$6)&gt;=10-$L$4)*(日別データ!$C$6:$I$6&gt;0),日別データ!C15:I15))</f>
        <v>1092</v>
      </c>
      <c r="E17" s="32" t="n">
        <f aca="false">IF($C17="","",IF($L$5&lt;=0,"要確認",D17/$L$5))</f>
        <v>0.0295135135135135</v>
      </c>
      <c r="F17" s="33" t="n">
        <f aca="false">IF(OR($C17="",$D$5=""),"",IF(ISNUMBER($E17),ROUNDUP($D$5*$E17,0),"—"))</f>
        <v>148</v>
      </c>
      <c r="G17" s="34" t="n">
        <f aca="false">IF(OR($C17="",$D$5="",G$10=""),"",IF(ISNUMBER($E17),ROUNDUP($D$5*$E17*G$10,0),"—"))</f>
        <v>148</v>
      </c>
      <c r="H17" s="34" t="n">
        <f aca="false">IF(OR($C17="",$D$5="",H$10=""),"",IF(ISNUMBER($E17),ROUNDUP($D$5*$E17*H$10,0),"—"))</f>
        <v>178</v>
      </c>
      <c r="I17" s="34" t="n">
        <f aca="false">IF(OR($C17="",$D$5="",I$10=""),"",IF(ISNUMBER($E17),ROUNDUP($D$5*$E17*I$10,0),"—"))</f>
        <v>222</v>
      </c>
    </row>
    <row r="18" customFormat="false" ht="19.5" hidden="false" customHeight="true" outlineLevel="0" collapsed="false">
      <c r="B18" s="35" t="n">
        <v>8</v>
      </c>
      <c r="C18" s="36" t="str">
        <f aca="false">IF(日別データ!B16="","",日別データ!B16)</f>
        <v>ホットドッグ</v>
      </c>
      <c r="D18" s="37" t="n">
        <f aca="false">IF($C18="","",SUMPRODUCT((COLUMN(日別データ!$C$6:$I$6)&gt;=10-$L$4)*(日別データ!$C$6:$I$6&gt;0),日別データ!C16:I16))</f>
        <v>802</v>
      </c>
      <c r="E18" s="38" t="n">
        <f aca="false">IF($C18="","",IF($L$5&lt;=0,"要確認",D18/$L$5))</f>
        <v>0.0216756756756757</v>
      </c>
      <c r="F18" s="33" t="n">
        <f aca="false">IF(OR($C18="",$D$5=""),"",IF(ISNUMBER($E18),ROUNDUP($D$5*$E18,0),"—"))</f>
        <v>109</v>
      </c>
      <c r="G18" s="39" t="n">
        <f aca="false">IF(OR($C18="",$D$5="",G$10=""),"",IF(ISNUMBER($E18),ROUNDUP($D$5*$E18*G$10,0),"—"))</f>
        <v>109</v>
      </c>
      <c r="H18" s="39" t="n">
        <f aca="false">IF(OR($C18="",$D$5="",H$10=""),"",IF(ISNUMBER($E18),ROUNDUP($D$5*$E18*H$10,0),"—"))</f>
        <v>131</v>
      </c>
      <c r="I18" s="39" t="n">
        <f aca="false">IF(OR($C18="",$D$5="",I$10=""),"",IF(ISNUMBER($E18),ROUNDUP($D$5*$E18*I$10,0),"—"))</f>
        <v>163</v>
      </c>
    </row>
    <row r="19" customFormat="false" ht="19.5" hidden="false" customHeight="true" outlineLevel="0" collapsed="false">
      <c r="B19" s="29" t="n">
        <v>9</v>
      </c>
      <c r="C19" s="30" t="str">
        <f aca="false">IF(日別データ!B17="","",日別データ!B17)</f>
        <v>ナチョス（チーズソース）</v>
      </c>
      <c r="D19" s="31" t="n">
        <f aca="false">IF($C19="","",SUMPRODUCT((COLUMN(日別データ!$C$6:$I$6)&gt;=10-$L$4)*(日別データ!$C$6:$I$6&gt;0),日別データ!C17:I17))</f>
        <v>616</v>
      </c>
      <c r="E19" s="32" t="n">
        <f aca="false">IF($C19="","",IF($L$5&lt;=0,"要確認",D19/$L$5))</f>
        <v>0.0166486486486486</v>
      </c>
      <c r="F19" s="33" t="n">
        <f aca="false">IF(OR($C19="",$D$5=""),"",IF(ISNUMBER($E19),ROUNDUP($D$5*$E19,0),"—"))</f>
        <v>84</v>
      </c>
      <c r="G19" s="34" t="n">
        <f aca="false">IF(OR($C19="",$D$5="",G$10=""),"",IF(ISNUMBER($E19),ROUNDUP($D$5*$E19*G$10,0),"—"))</f>
        <v>84</v>
      </c>
      <c r="H19" s="34" t="n">
        <f aca="false">IF(OR($C19="",$D$5="",H$10=""),"",IF(ISNUMBER($E19),ROUNDUP($D$5*$E19*H$10,0),"—"))</f>
        <v>100</v>
      </c>
      <c r="I19" s="34" t="n">
        <f aca="false">IF(OR($C19="",$D$5="",I$10=""),"",IF(ISNUMBER($E19),ROUNDUP($D$5*$E19*I$10,0),"—"))</f>
        <v>125</v>
      </c>
    </row>
    <row r="20" customFormat="false" ht="19.5" hidden="false" customHeight="true" outlineLevel="0" collapsed="false">
      <c r="B20" s="35" t="n">
        <v>10</v>
      </c>
      <c r="C20" s="36" t="str">
        <f aca="false">IF(日別データ!B18="","",日別データ!B18)</f>
        <v>フライドポテト</v>
      </c>
      <c r="D20" s="37" t="n">
        <f aca="false">IF($C20="","",SUMPRODUCT((COLUMN(日別データ!$C$6:$I$6)&gt;=10-$L$4)*(日別データ!$C$6:$I$6&gt;0),日別データ!C18:I18))</f>
        <v>1013</v>
      </c>
      <c r="E20" s="38" t="n">
        <f aca="false">IF($C20="","",IF($L$5&lt;=0,"要確認",D20/$L$5))</f>
        <v>0.0273783783783784</v>
      </c>
      <c r="F20" s="33" t="n">
        <f aca="false">IF(OR($C20="",$D$5=""),"",IF(ISNUMBER($E20),ROUNDUP($D$5*$E20,0),"—"))</f>
        <v>137</v>
      </c>
      <c r="G20" s="39" t="n">
        <f aca="false">IF(OR($C20="",$D$5="",G$10=""),"",IF(ISNUMBER($E20),ROUNDUP($D$5*$E20*G$10,0),"—"))</f>
        <v>137</v>
      </c>
      <c r="H20" s="39" t="n">
        <f aca="false">IF(OR($C20="",$D$5="",H$10=""),"",IF(ISNUMBER($E20),ROUNDUP($D$5*$E20*H$10,0),"—"))</f>
        <v>165</v>
      </c>
      <c r="I20" s="39" t="n">
        <f aca="false">IF(OR($C20="",$D$5="",I$10=""),"",IF(ISNUMBER($E20),ROUNDUP($D$5*$E20*I$10,0),"—"))</f>
        <v>206</v>
      </c>
    </row>
    <row r="21" customFormat="false" ht="19.5" hidden="false" customHeight="true" outlineLevel="0" collapsed="false">
      <c r="B21" s="29" t="n">
        <v>11</v>
      </c>
      <c r="C21" s="30" t="str">
        <f aca="false">IF(日別データ!B19="","",日別データ!B19)</f>
        <v>チキンナゲット</v>
      </c>
      <c r="D21" s="31" t="n">
        <f aca="false">IF($C21="","",SUMPRODUCT((COLUMN(日別データ!$C$6:$I$6)&gt;=10-$L$4)*(日別データ!$C$6:$I$6&gt;0),日別データ!C19:I19))</f>
        <v>561</v>
      </c>
      <c r="E21" s="32" t="n">
        <f aca="false">IF($C21="","",IF($L$5&lt;=0,"要確認",D21/$L$5))</f>
        <v>0.0151621621621622</v>
      </c>
      <c r="F21" s="33" t="n">
        <f aca="false">IF(OR($C21="",$D$5=""),"",IF(ISNUMBER($E21),ROUNDUP($D$5*$E21,0),"—"))</f>
        <v>76</v>
      </c>
      <c r="G21" s="34" t="n">
        <f aca="false">IF(OR($C21="",$D$5="",G$10=""),"",IF(ISNUMBER($E21),ROUNDUP($D$5*$E21*G$10,0),"—"))</f>
        <v>76</v>
      </c>
      <c r="H21" s="34" t="n">
        <f aca="false">IF(OR($C21="",$D$5="",H$10=""),"",IF(ISNUMBER($E21),ROUNDUP($D$5*$E21*H$10,0),"—"))</f>
        <v>91</v>
      </c>
      <c r="I21" s="34" t="n">
        <f aca="false">IF(OR($C21="",$D$5="",I$10=""),"",IF(ISNUMBER($E21),ROUNDUP($D$5*$E21*I$10,0),"—"))</f>
        <v>114</v>
      </c>
    </row>
    <row r="22" customFormat="false" ht="19.5" hidden="false" customHeight="true" outlineLevel="0" collapsed="false">
      <c r="B22" s="35" t="n">
        <v>12</v>
      </c>
      <c r="C22" s="36" t="str">
        <f aca="false">IF(日別データ!B20="","",日別データ!B20)</f>
        <v>ソフトクリーム（バニラ）</v>
      </c>
      <c r="D22" s="37" t="n">
        <f aca="false">IF($C22="","",SUMPRODUCT((COLUMN(日別データ!$C$6:$I$6)&gt;=10-$L$4)*(日別データ!$C$6:$I$6&gt;0),日別データ!C20:I20))</f>
        <v>481</v>
      </c>
      <c r="E22" s="38" t="n">
        <f aca="false">IF($C22="","",IF($L$5&lt;=0,"要確認",D22/$L$5))</f>
        <v>0.013</v>
      </c>
      <c r="F22" s="33" t="n">
        <f aca="false">IF(OR($C22="",$D$5=""),"",IF(ISNUMBER($E22),ROUNDUP($D$5*$E22,0),"—"))</f>
        <v>65</v>
      </c>
      <c r="G22" s="39" t="n">
        <f aca="false">IF(OR($C22="",$D$5="",G$10=""),"",IF(ISNUMBER($E22),ROUNDUP($D$5*$E22*G$10,0),"—"))</f>
        <v>65</v>
      </c>
      <c r="H22" s="39" t="n">
        <f aca="false">IF(OR($C22="",$D$5="",H$10=""),"",IF(ISNUMBER($E22),ROUNDUP($D$5*$E22*H$10,0),"—"))</f>
        <v>78</v>
      </c>
      <c r="I22" s="39" t="n">
        <f aca="false">IF(OR($C22="",$D$5="",I$10=""),"",IF(ISNUMBER($E22),ROUNDUP($D$5*$E22*I$10,0),"—"))</f>
        <v>98</v>
      </c>
    </row>
    <row r="23" customFormat="false" ht="19.5" hidden="false" customHeight="true" outlineLevel="0" collapsed="false">
      <c r="B23" s="29" t="n">
        <v>13</v>
      </c>
      <c r="C23" s="30" t="str">
        <f aca="false">IF(日別データ!B21="","",日別データ!B21)</f>
        <v/>
      </c>
      <c r="D23" s="31" t="str">
        <f aca="false">IF($C23="","",SUMPRODUCT((COLUMN(日別データ!$C$6:$I$6)&gt;=10-$L$4)*(日別データ!$C$6:$I$6&gt;0),日別データ!C21:I21))</f>
        <v/>
      </c>
      <c r="E23" s="32" t="str">
        <f aca="false">IF($C23="","",IF($L$5&lt;=0,"要確認",D23/$L$5))</f>
        <v/>
      </c>
      <c r="F23" s="33" t="str">
        <f aca="false">IF(OR($C23="",$D$5=""),"",IF(ISNUMBER($E23),ROUNDUP($D$5*$E23,0),"—"))</f>
        <v/>
      </c>
      <c r="G23" s="34" t="str">
        <f aca="false">IF(OR($C23="",$D$5="",G$10=""),"",IF(ISNUMBER($E23),ROUNDUP($D$5*$E23*G$10,0),"—"))</f>
        <v/>
      </c>
      <c r="H23" s="34" t="str">
        <f aca="false">IF(OR($C23="",$D$5="",H$10=""),"",IF(ISNUMBER($E23),ROUNDUP($D$5*$E23*H$10,0),"—"))</f>
        <v/>
      </c>
      <c r="I23" s="34" t="str">
        <f aca="false">IF(OR($C23="",$D$5="",I$10=""),"",IF(ISNUMBER($E23),ROUNDUP($D$5*$E23*I$10,0),"—"))</f>
        <v/>
      </c>
    </row>
    <row r="24" customFormat="false" ht="19.5" hidden="false" customHeight="true" outlineLevel="0" collapsed="false">
      <c r="B24" s="35" t="n">
        <v>14</v>
      </c>
      <c r="C24" s="36" t="str">
        <f aca="false">IF(日別データ!B22="","",日別データ!B22)</f>
        <v/>
      </c>
      <c r="D24" s="37" t="str">
        <f aca="false">IF($C24="","",SUMPRODUCT((COLUMN(日別データ!$C$6:$I$6)&gt;=10-$L$4)*(日別データ!$C$6:$I$6&gt;0),日別データ!C22:I22))</f>
        <v/>
      </c>
      <c r="E24" s="38" t="str">
        <f aca="false">IF($C24="","",IF($L$5&lt;=0,"要確認",D24/$L$5))</f>
        <v/>
      </c>
      <c r="F24" s="33" t="str">
        <f aca="false">IF(OR($C24="",$D$5=""),"",IF(ISNUMBER($E24),ROUNDUP($D$5*$E24,0),"—"))</f>
        <v/>
      </c>
      <c r="G24" s="39" t="str">
        <f aca="false">IF(OR($C24="",$D$5="",G$10=""),"",IF(ISNUMBER($E24),ROUNDUP($D$5*$E24*G$10,0),"—"))</f>
        <v/>
      </c>
      <c r="H24" s="39" t="str">
        <f aca="false">IF(OR($C24="",$D$5="",H$10=""),"",IF(ISNUMBER($E24),ROUNDUP($D$5*$E24*H$10,0),"—"))</f>
        <v/>
      </c>
      <c r="I24" s="39" t="str">
        <f aca="false">IF(OR($C24="",$D$5="",I$10=""),"",IF(ISNUMBER($E24),ROUNDUP($D$5*$E24*I$10,0),"—"))</f>
        <v/>
      </c>
    </row>
    <row r="25" customFormat="false" ht="19.5" hidden="false" customHeight="true" outlineLevel="0" collapsed="false">
      <c r="B25" s="29" t="n">
        <v>15</v>
      </c>
      <c r="C25" s="30" t="str">
        <f aca="false">IF(日別データ!B23="","",日別データ!B23)</f>
        <v/>
      </c>
      <c r="D25" s="31" t="str">
        <f aca="false">IF($C25="","",SUMPRODUCT((COLUMN(日別データ!$C$6:$I$6)&gt;=10-$L$4)*(日別データ!$C$6:$I$6&gt;0),日別データ!C23:I23))</f>
        <v/>
      </c>
      <c r="E25" s="32" t="str">
        <f aca="false">IF($C25="","",IF($L$5&lt;=0,"要確認",D25/$L$5))</f>
        <v/>
      </c>
      <c r="F25" s="33" t="str">
        <f aca="false">IF(OR($C25="",$D$5=""),"",IF(ISNUMBER($E25),ROUNDUP($D$5*$E25,0),"—"))</f>
        <v/>
      </c>
      <c r="G25" s="34" t="str">
        <f aca="false">IF(OR($C25="",$D$5="",G$10=""),"",IF(ISNUMBER($E25),ROUNDUP($D$5*$E25*G$10,0),"—"))</f>
        <v/>
      </c>
      <c r="H25" s="34" t="str">
        <f aca="false">IF(OR($C25="",$D$5="",H$10=""),"",IF(ISNUMBER($E25),ROUNDUP($D$5*$E25*H$10,0),"—"))</f>
        <v/>
      </c>
      <c r="I25" s="34" t="str">
        <f aca="false">IF(OR($C25="",$D$5="",I$10=""),"",IF(ISNUMBER($E25),ROUNDUP($D$5*$E25*I$10,0),"—"))</f>
        <v/>
      </c>
    </row>
    <row r="26" customFormat="false" ht="19.5" hidden="false" customHeight="true" outlineLevel="0" collapsed="false">
      <c r="B26" s="35" t="n">
        <v>16</v>
      </c>
      <c r="C26" s="36" t="str">
        <f aca="false">IF(日別データ!B24="","",日別データ!B24)</f>
        <v/>
      </c>
      <c r="D26" s="37" t="str">
        <f aca="false">IF($C26="","",SUMPRODUCT((COLUMN(日別データ!$C$6:$I$6)&gt;=10-$L$4)*(日別データ!$C$6:$I$6&gt;0),日別データ!C24:I24))</f>
        <v/>
      </c>
      <c r="E26" s="38" t="str">
        <f aca="false">IF($C26="","",IF($L$5&lt;=0,"要確認",D26/$L$5))</f>
        <v/>
      </c>
      <c r="F26" s="33" t="str">
        <f aca="false">IF(OR($C26="",$D$5=""),"",IF(ISNUMBER($E26),ROUNDUP($D$5*$E26,0),"—"))</f>
        <v/>
      </c>
      <c r="G26" s="39" t="str">
        <f aca="false">IF(OR($C26="",$D$5="",G$10=""),"",IF(ISNUMBER($E26),ROUNDUP($D$5*$E26*G$10,0),"—"))</f>
        <v/>
      </c>
      <c r="H26" s="39" t="str">
        <f aca="false">IF(OR($C26="",$D$5="",H$10=""),"",IF(ISNUMBER($E26),ROUNDUP($D$5*$E26*H$10,0),"—"))</f>
        <v/>
      </c>
      <c r="I26" s="39" t="str">
        <f aca="false">IF(OR($C26="",$D$5="",I$10=""),"",IF(ISNUMBER($E26),ROUNDUP($D$5*$E26*I$10,0),"—"))</f>
        <v/>
      </c>
    </row>
    <row r="27" customFormat="false" ht="19.5" hidden="false" customHeight="true" outlineLevel="0" collapsed="false">
      <c r="B27" s="29" t="n">
        <v>17</v>
      </c>
      <c r="C27" s="30" t="str">
        <f aca="false">IF(日別データ!B25="","",日別データ!B25)</f>
        <v/>
      </c>
      <c r="D27" s="31" t="str">
        <f aca="false">IF($C27="","",SUMPRODUCT((COLUMN(日別データ!$C$6:$I$6)&gt;=10-$L$4)*(日別データ!$C$6:$I$6&gt;0),日別データ!C25:I25))</f>
        <v/>
      </c>
      <c r="E27" s="32" t="str">
        <f aca="false">IF($C27="","",IF($L$5&lt;=0,"要確認",D27/$L$5))</f>
        <v/>
      </c>
      <c r="F27" s="33" t="str">
        <f aca="false">IF(OR($C27="",$D$5=""),"",IF(ISNUMBER($E27),ROUNDUP($D$5*$E27,0),"—"))</f>
        <v/>
      </c>
      <c r="G27" s="34" t="str">
        <f aca="false">IF(OR($C27="",$D$5="",G$10=""),"",IF(ISNUMBER($E27),ROUNDUP($D$5*$E27*G$10,0),"—"))</f>
        <v/>
      </c>
      <c r="H27" s="34" t="str">
        <f aca="false">IF(OR($C27="",$D$5="",H$10=""),"",IF(ISNUMBER($E27),ROUNDUP($D$5*$E27*H$10,0),"—"))</f>
        <v/>
      </c>
      <c r="I27" s="34" t="str">
        <f aca="false">IF(OR($C27="",$D$5="",I$10=""),"",IF(ISNUMBER($E27),ROUNDUP($D$5*$E27*I$10,0),"—"))</f>
        <v/>
      </c>
    </row>
    <row r="28" customFormat="false" ht="19.5" hidden="false" customHeight="true" outlineLevel="0" collapsed="false">
      <c r="B28" s="35" t="n">
        <v>18</v>
      </c>
      <c r="C28" s="36" t="str">
        <f aca="false">IF(日別データ!B26="","",日別データ!B26)</f>
        <v/>
      </c>
      <c r="D28" s="37" t="str">
        <f aca="false">IF($C28="","",SUMPRODUCT((COLUMN(日別データ!$C$6:$I$6)&gt;=10-$L$4)*(日別データ!$C$6:$I$6&gt;0),日別データ!C26:I26))</f>
        <v/>
      </c>
      <c r="E28" s="38" t="str">
        <f aca="false">IF($C28="","",IF($L$5&lt;=0,"要確認",D28/$L$5))</f>
        <v/>
      </c>
      <c r="F28" s="33" t="str">
        <f aca="false">IF(OR($C28="",$D$5=""),"",IF(ISNUMBER($E28),ROUNDUP($D$5*$E28,0),"—"))</f>
        <v/>
      </c>
      <c r="G28" s="39" t="str">
        <f aca="false">IF(OR($C28="",$D$5="",G$10=""),"",IF(ISNUMBER($E28),ROUNDUP($D$5*$E28*G$10,0),"—"))</f>
        <v/>
      </c>
      <c r="H28" s="39" t="str">
        <f aca="false">IF(OR($C28="",$D$5="",H$10=""),"",IF(ISNUMBER($E28),ROUNDUP($D$5*$E28*H$10,0),"—"))</f>
        <v/>
      </c>
      <c r="I28" s="39" t="str">
        <f aca="false">IF(OR($C28="",$D$5="",I$10=""),"",IF(ISNUMBER($E28),ROUNDUP($D$5*$E28*I$10,0),"—"))</f>
        <v/>
      </c>
    </row>
    <row r="29" customFormat="false" ht="19.5" hidden="false" customHeight="true" outlineLevel="0" collapsed="false">
      <c r="B29" s="29" t="n">
        <v>19</v>
      </c>
      <c r="C29" s="30" t="str">
        <f aca="false">IF(日別データ!B27="","",日別データ!B27)</f>
        <v/>
      </c>
      <c r="D29" s="31" t="str">
        <f aca="false">IF($C29="","",SUMPRODUCT((COLUMN(日別データ!$C$6:$I$6)&gt;=10-$L$4)*(日別データ!$C$6:$I$6&gt;0),日別データ!C27:I27))</f>
        <v/>
      </c>
      <c r="E29" s="32" t="str">
        <f aca="false">IF($C29="","",IF($L$5&lt;=0,"要確認",D29/$L$5))</f>
        <v/>
      </c>
      <c r="F29" s="33" t="str">
        <f aca="false">IF(OR($C29="",$D$5=""),"",IF(ISNUMBER($E29),ROUNDUP($D$5*$E29,0),"—"))</f>
        <v/>
      </c>
      <c r="G29" s="34" t="str">
        <f aca="false">IF(OR($C29="",$D$5="",G$10=""),"",IF(ISNUMBER($E29),ROUNDUP($D$5*$E29*G$10,0),"—"))</f>
        <v/>
      </c>
      <c r="H29" s="34" t="str">
        <f aca="false">IF(OR($C29="",$D$5="",H$10=""),"",IF(ISNUMBER($E29),ROUNDUP($D$5*$E29*H$10,0),"—"))</f>
        <v/>
      </c>
      <c r="I29" s="34" t="str">
        <f aca="false">IF(OR($C29="",$D$5="",I$10=""),"",IF(ISNUMBER($E29),ROUNDUP($D$5*$E29*I$10,0),"—"))</f>
        <v/>
      </c>
    </row>
    <row r="30" customFormat="false" ht="19.5" hidden="false" customHeight="true" outlineLevel="0" collapsed="false">
      <c r="B30" s="35" t="n">
        <v>20</v>
      </c>
      <c r="C30" s="36" t="str">
        <f aca="false">IF(日別データ!B28="","",日別データ!B28)</f>
        <v/>
      </c>
      <c r="D30" s="37" t="str">
        <f aca="false">IF($C30="","",SUMPRODUCT((COLUMN(日別データ!$C$6:$I$6)&gt;=10-$L$4)*(日別データ!$C$6:$I$6&gt;0),日別データ!C28:I28))</f>
        <v/>
      </c>
      <c r="E30" s="38" t="str">
        <f aca="false">IF($C30="","",IF($L$5&lt;=0,"要確認",D30/$L$5))</f>
        <v/>
      </c>
      <c r="F30" s="33" t="str">
        <f aca="false">IF(OR($C30="",$D$5=""),"",IF(ISNUMBER($E30),ROUNDUP($D$5*$E30,0),"—"))</f>
        <v/>
      </c>
      <c r="G30" s="39" t="str">
        <f aca="false">IF(OR($C30="",$D$5="",G$10=""),"",IF(ISNUMBER($E30),ROUNDUP($D$5*$E30*G$10,0),"—"))</f>
        <v/>
      </c>
      <c r="H30" s="39" t="str">
        <f aca="false">IF(OR($C30="",$D$5="",H$10=""),"",IF(ISNUMBER($E30),ROUNDUP($D$5*$E30*H$10,0),"—"))</f>
        <v/>
      </c>
      <c r="I30" s="39" t="str">
        <f aca="false">IF(OR($C30="",$D$5="",I$10=""),"",IF(ISNUMBER($E30),ROUNDUP($D$5*$E30*I$10,0),"—"))</f>
        <v/>
      </c>
    </row>
    <row r="31" customFormat="false" ht="18" hidden="false" customHeight="true" outlineLevel="0" collapsed="false">
      <c r="B31" s="14" t="s">
        <v>46</v>
      </c>
      <c r="C31" s="14"/>
      <c r="D31" s="14"/>
      <c r="E31" s="14"/>
      <c r="F31" s="14"/>
      <c r="G31" s="14"/>
      <c r="H31" s="14"/>
      <c r="I31" s="14"/>
    </row>
  </sheetData>
  <mergeCells count="17">
    <mergeCell ref="B1:I1"/>
    <mergeCell ref="B2:I2"/>
    <mergeCell ref="K3:L3"/>
    <mergeCell ref="B4:C4"/>
    <mergeCell ref="E4:I4"/>
    <mergeCell ref="B5:C5"/>
    <mergeCell ref="E5:I5"/>
    <mergeCell ref="B6:C6"/>
    <mergeCell ref="D6:I6"/>
    <mergeCell ref="B7:I7"/>
    <mergeCell ref="B8:B10"/>
    <mergeCell ref="C8:C10"/>
    <mergeCell ref="D8:D10"/>
    <mergeCell ref="E8:E10"/>
    <mergeCell ref="F8:F10"/>
    <mergeCell ref="G8:I8"/>
    <mergeCell ref="B31:I31"/>
  </mergeCells>
  <conditionalFormatting sqref="F11:F30">
    <cfRule type="dataBar" priority="2">
      <dataBar showValue="1" minLength="10" maxLength="90">
        <cfvo type="num" val="0"/>
        <cfvo type="max" val="0"/>
        <color rgb="FFE8604C"/>
      </dataBar>
      <extLst>
        <ext xmlns:x14="http://schemas.microsoft.com/office/spreadsheetml/2009/9/main" uri="{B025F937-C7B1-47D3-B67F-A62EFF666E3E}">
          <x14:id>{476CDFB0-13BE-45B3-904D-F9452BD2B9E5}</x14:id>
        </ext>
      </extLst>
    </cfRule>
  </conditionalFormatting>
  <conditionalFormatting sqref="E11:E30">
    <cfRule type="expression" priority="3" aboveAverage="0" equalAverage="0" bottom="0" percent="0" rank="0" text="" dxfId="0">
      <formula>ISTEXT(E11)</formula>
    </cfRule>
  </conditionalFormatting>
  <dataValidations count="3">
    <dataValidation allowBlank="false" error="リストから選んでください（直近7日間／直近3日間／昨日）" errorStyle="stop" errorTitle="参照期間" operator="between" showDropDown="false" showErrorMessage="true" showInputMessage="false" sqref="D4" type="list">
      <formula1>"直近7日間,直近3日間,昨日"</formula1>
      <formula2>0</formula2>
    </dataValidation>
    <dataValidation allowBlank="false" error="予測動員数は 0〜999,999 の整数で入力してください" errorStyle="stop" errorTitle="予測動員数" operator="between" showDropDown="false" showErrorMessage="true" showInputMessage="false" sqref="D5" type="whole">
      <formula1>0</formula1>
      <formula2>999999</formula2>
    </dataValidation>
    <dataValidation allowBlank="false" error="倍率は 0〜5 の数値で入力してください（1.2 → ×120%）" errorStyle="stop" errorTitle="時間帯倍率" operator="between" showDropDown="false" showErrorMessage="true" showInputMessage="false" sqref="G10:I10" type="decimal">
      <formula1>0</formula1>
      <formula2>5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legacy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476CDFB0-13BE-45B3-904D-F9452BD2B9E5}">
            <x14:dataBar minLength="10" maxLength="90" axisPosition="none" gradient="true">
              <x14:cfvo type="num">
                <xm:f>0</xm:f>
              </x14:cfvo>
              <x14:cfvo type="max"/>
              <x14:negativeFillColor rgb="FFE8604C"/>
              <x14:axisColor rgb="FF000000"/>
            </x14:dataBar>
          </x14:cfRule>
          <xm:sqref>F11:F30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9E92"/>
    <pageSetUpPr fitToPage="true"/>
  </sheetPr>
  <dimension ref="A1:K2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8" topLeftCell="C9" activePane="bottomRight" state="frozen"/>
      <selection pane="topLeft" activeCell="A1" activeCellId="0" sqref="A1"/>
      <selection pane="topRight" activeCell="C1" activeCellId="0" sqref="C1"/>
      <selection pane="bottomLeft" activeCell="A9" activeCellId="0" sqref="A9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24"/>
    <col collapsed="false" customWidth="true" hidden="false" outlineLevel="0" max="9" min="3" style="0" width="10"/>
    <col collapsed="false" customWidth="true" hidden="false" outlineLevel="0" max="10" min="10" style="0" width="11"/>
    <col collapsed="false" customWidth="true" hidden="false" outlineLevel="0" max="11" min="11" style="0" width="18"/>
  </cols>
  <sheetData>
    <row r="1" customFormat="false" ht="33.75" hidden="false" customHeight="true" outlineLevel="0" collapsed="false">
      <c r="A1" s="1" t="s">
        <v>47</v>
      </c>
      <c r="B1" s="1"/>
      <c r="C1" s="1"/>
      <c r="D1" s="1"/>
      <c r="E1" s="1"/>
      <c r="F1" s="1"/>
      <c r="G1" s="1"/>
      <c r="H1" s="1"/>
      <c r="I1" s="1"/>
      <c r="J1" s="1"/>
      <c r="K1" s="1"/>
    </row>
    <row r="2" customFormat="false" ht="19.5" hidden="false" customHeight="true" outlineLevel="0" collapsed="false">
      <c r="A2" s="40" t="s">
        <v>48</v>
      </c>
      <c r="B2" s="41" t="s">
        <v>49</v>
      </c>
      <c r="C2" s="42" t="s">
        <v>50</v>
      </c>
      <c r="D2" s="42"/>
      <c r="F2" s="14" t="s">
        <v>51</v>
      </c>
      <c r="G2" s="14"/>
      <c r="H2" s="14"/>
      <c r="I2" s="14"/>
      <c r="J2" s="14"/>
      <c r="K2" s="14"/>
    </row>
    <row r="3" customFormat="false" ht="6" hidden="false" customHeight="true" outlineLevel="0" collapsed="false"/>
    <row r="4" customFormat="false" ht="21.75" hidden="false" customHeight="true" outlineLevel="0" collapsed="false">
      <c r="B4" s="43" t="s">
        <v>52</v>
      </c>
      <c r="C4" s="44" t="n">
        <v>46253</v>
      </c>
      <c r="D4" s="44" t="n">
        <v>46254</v>
      </c>
      <c r="E4" s="44" t="n">
        <v>46255</v>
      </c>
      <c r="F4" s="44" t="n">
        <v>46256</v>
      </c>
      <c r="G4" s="44" t="n">
        <v>46257</v>
      </c>
      <c r="H4" s="44" t="n">
        <v>46258</v>
      </c>
      <c r="I4" s="44" t="n">
        <v>46259</v>
      </c>
    </row>
    <row r="5" customFormat="false" ht="15.75" hidden="false" customHeight="true" outlineLevel="0" collapsed="false">
      <c r="B5" s="45" t="s">
        <v>53</v>
      </c>
      <c r="C5" s="46" t="str">
        <f aca="false">IF(C$4="","",CHOOSE(WEEKDAY(C$4),"日","月","火","水","木","金","土"))</f>
        <v>水</v>
      </c>
      <c r="D5" s="46" t="str">
        <f aca="false">IF(D$4="","",CHOOSE(WEEKDAY(D$4),"日","月","火","水","木","金","土"))</f>
        <v>木</v>
      </c>
      <c r="E5" s="46" t="str">
        <f aca="false">IF(E$4="","",CHOOSE(WEEKDAY(E$4),"日","月","火","水","木","金","土"))</f>
        <v>金</v>
      </c>
      <c r="F5" s="46" t="str">
        <f aca="false">IF(F$4="","",CHOOSE(WEEKDAY(F$4),"日","月","火","水","木","金","土"))</f>
        <v>土</v>
      </c>
      <c r="G5" s="46" t="str">
        <f aca="false">IF(G$4="","",CHOOSE(WEEKDAY(G$4),"日","月","火","水","木","金","土"))</f>
        <v>日</v>
      </c>
      <c r="H5" s="46" t="str">
        <f aca="false">IF(H$4="","",CHOOSE(WEEKDAY(H$4),"日","月","火","水","木","金","土"))</f>
        <v>月</v>
      </c>
      <c r="I5" s="46" t="str">
        <f aca="false">IF(I$4="","",CHOOSE(WEEKDAY(I$4),"日","月","火","水","木","金","土"))</f>
        <v>火</v>
      </c>
      <c r="J5" s="47" t="s">
        <v>54</v>
      </c>
    </row>
    <row r="6" customFormat="false" ht="21.75" hidden="false" customHeight="true" outlineLevel="0" collapsed="false">
      <c r="B6" s="43" t="s">
        <v>55</v>
      </c>
      <c r="C6" s="48" t="n">
        <v>4200</v>
      </c>
      <c r="D6" s="48" t="n">
        <v>3900</v>
      </c>
      <c r="E6" s="48" t="n">
        <v>5100</v>
      </c>
      <c r="F6" s="48" t="n">
        <v>8300</v>
      </c>
      <c r="G6" s="48" t="n">
        <v>7800</v>
      </c>
      <c r="H6" s="48" t="n">
        <v>3600</v>
      </c>
      <c r="I6" s="48" t="n">
        <v>4100</v>
      </c>
      <c r="J6" s="49" t="n">
        <f aca="false">IF(COUNT(C6:I6)=0,"",SUM(C6:I6))</f>
        <v>37000</v>
      </c>
    </row>
    <row r="7" customFormat="false" ht="15.75" hidden="false" customHeight="true" outlineLevel="0" collapsed="false">
      <c r="B7" s="50" t="s">
        <v>56</v>
      </c>
      <c r="C7" s="47" t="str">
        <f aca="false">IF(C$4="","",IF(COUNTIFS(CSV貼付!$A$5:$A$2004,"&gt;="&amp;C$4,CSV貼付!$A$5:$A$2004,"&lt;"&amp;C$4+1)=0,"⚠なし","✔"))</f>
        <v>✔</v>
      </c>
      <c r="D7" s="47" t="str">
        <f aca="false">IF(D$4="","",IF(COUNTIFS(CSV貼付!$A$5:$A$2004,"&gt;="&amp;D$4,CSV貼付!$A$5:$A$2004,"&lt;"&amp;D$4+1)=0,"⚠なし","✔"))</f>
        <v>✔</v>
      </c>
      <c r="E7" s="47" t="str">
        <f aca="false">IF(E$4="","",IF(COUNTIFS(CSV貼付!$A$5:$A$2004,"&gt;="&amp;E$4,CSV貼付!$A$5:$A$2004,"&lt;"&amp;E$4+1)=0,"⚠なし","✔"))</f>
        <v>✔</v>
      </c>
      <c r="F7" s="47" t="str">
        <f aca="false">IF(F$4="","",IF(COUNTIFS(CSV貼付!$A$5:$A$2004,"&gt;="&amp;F$4,CSV貼付!$A$5:$A$2004,"&lt;"&amp;F$4+1)=0,"⚠なし","✔"))</f>
        <v>✔</v>
      </c>
      <c r="G7" s="47" t="str">
        <f aca="false">IF(G$4="","",IF(COUNTIFS(CSV貼付!$A$5:$A$2004,"&gt;="&amp;G$4,CSV貼付!$A$5:$A$2004,"&lt;"&amp;G$4+1)=0,"⚠なし","✔"))</f>
        <v>✔</v>
      </c>
      <c r="H7" s="47" t="str">
        <f aca="false">IF(H$4="","",IF(COUNTIFS(CSV貼付!$A$5:$A$2004,"&gt;="&amp;H$4,CSV貼付!$A$5:$A$2004,"&lt;"&amp;H$4+1)=0,"⚠なし","✔"))</f>
        <v>✔</v>
      </c>
      <c r="I7" s="47" t="str">
        <f aca="false">IF(I$4="","",IF(COUNTIFS(CSV貼付!$A$5:$A$2004,"&gt;="&amp;I$4,CSV貼付!$A$5:$A$2004,"&lt;"&amp;I$4+1)=0,"⚠なし","✔"))</f>
        <v>✔</v>
      </c>
    </row>
    <row r="8" customFormat="false" ht="21.75" hidden="false" customHeight="true" outlineLevel="0" collapsed="false">
      <c r="A8" s="51" t="s">
        <v>37</v>
      </c>
      <c r="B8" s="52" t="s">
        <v>38</v>
      </c>
      <c r="C8" s="53" t="n">
        <f aca="false">IF(C$4="","",C$4)</f>
        <v>46253</v>
      </c>
      <c r="D8" s="53" t="n">
        <f aca="false">IF(D$4="","",D$4)</f>
        <v>46254</v>
      </c>
      <c r="E8" s="53" t="n">
        <f aca="false">IF(E$4="","",E$4)</f>
        <v>46255</v>
      </c>
      <c r="F8" s="53" t="n">
        <f aca="false">IF(F$4="","",F$4)</f>
        <v>46256</v>
      </c>
      <c r="G8" s="53" t="n">
        <f aca="false">IF(G$4="","",G$4)</f>
        <v>46257</v>
      </c>
      <c r="H8" s="53" t="n">
        <f aca="false">IF(H$4="","",H$4)</f>
        <v>46258</v>
      </c>
      <c r="I8" s="53" t="n">
        <f aca="false">IF(I$4="","",I$4)</f>
        <v>46259</v>
      </c>
      <c r="J8" s="51" t="s">
        <v>57</v>
      </c>
      <c r="K8" s="52" t="s">
        <v>58</v>
      </c>
    </row>
    <row r="9" customFormat="false" ht="19.5" hidden="false" customHeight="true" outlineLevel="0" collapsed="false">
      <c r="A9" s="29" t="n">
        <v>1</v>
      </c>
      <c r="B9" s="54" t="s">
        <v>59</v>
      </c>
      <c r="C9" s="55" t="n">
        <f aca="false">IF(OR($B9="",C$4=""),"",SUMIFS(CSV貼付!$C$5:$C$2004,CSV貼付!$A$5:$A$2004,"&gt;="&amp;C$4,CSV貼付!$A$5:$A$2004,"&lt;"&amp;C$4+1,CSV貼付!$B$5:$B$2004,$B9))</f>
        <v>313</v>
      </c>
      <c r="D9" s="55" t="n">
        <f aca="false">IF(OR($B9="",D$4=""),"",SUMIFS(CSV貼付!$C$5:$C$2004,CSV貼付!$A$5:$A$2004,"&gt;="&amp;D$4,CSV貼付!$A$5:$A$2004,"&lt;"&amp;D$4+1,CSV貼付!$B$5:$B$2004,$B9))</f>
        <v>251</v>
      </c>
      <c r="E9" s="55" t="n">
        <f aca="false">IF(OR($B9="",E$4=""),"",SUMIFS(CSV貼付!$C$5:$C$2004,CSV貼付!$A$5:$A$2004,"&gt;="&amp;E$4,CSV貼付!$A$5:$A$2004,"&lt;"&amp;E$4+1,CSV貼付!$B$5:$B$2004,$B9))</f>
        <v>414</v>
      </c>
      <c r="F9" s="55" t="n">
        <f aca="false">IF(OR($B9="",F$4=""),"",SUMIFS(CSV貼付!$C$5:$C$2004,CSV貼付!$A$5:$A$2004,"&gt;="&amp;F$4,CSV貼付!$A$5:$A$2004,"&lt;"&amp;F$4+1,CSV貼付!$B$5:$B$2004,$B9))</f>
        <v>677</v>
      </c>
      <c r="G9" s="55" t="n">
        <f aca="false">IF(OR($B9="",G$4=""),"",SUMIFS(CSV貼付!$C$5:$C$2004,CSV貼付!$A$5:$A$2004,"&gt;="&amp;G$4,CSV貼付!$A$5:$A$2004,"&lt;"&amp;G$4+1,CSV貼付!$B$5:$B$2004,$B9))</f>
        <v>611</v>
      </c>
      <c r="H9" s="55" t="n">
        <f aca="false">IF(OR($B9="",H$4=""),"",SUMIFS(CSV貼付!$C$5:$C$2004,CSV貼付!$A$5:$A$2004,"&gt;="&amp;H$4,CSV貼付!$A$5:$A$2004,"&lt;"&amp;H$4+1,CSV貼付!$B$5:$B$2004,$B9))</f>
        <v>268</v>
      </c>
      <c r="I9" s="55" t="n">
        <f aca="false">IF(OR($B9="",I$4=""),"",SUMIFS(CSV貼付!$C$5:$C$2004,CSV貼付!$A$5:$A$2004,"&gt;="&amp;I$4,CSV貼付!$A$5:$A$2004,"&lt;"&amp;I$4+1,CSV貼付!$B$5:$B$2004,$B9))</f>
        <v>264</v>
      </c>
      <c r="J9" s="56" t="n">
        <f aca="false">IF($B9="","",SUM(C9:I9))</f>
        <v>2798</v>
      </c>
      <c r="K9" s="57"/>
    </row>
    <row r="10" customFormat="false" ht="19.5" hidden="false" customHeight="true" outlineLevel="0" collapsed="false">
      <c r="A10" s="29" t="n">
        <v>2</v>
      </c>
      <c r="B10" s="54" t="s">
        <v>60</v>
      </c>
      <c r="C10" s="37" t="n">
        <f aca="false">IF(OR($B10="",C$4=""),"",SUMIFS(CSV貼付!$C$5:$C$2004,CSV貼付!$A$5:$A$2004,"&gt;="&amp;C$4,CSV貼付!$A$5:$A$2004,"&lt;"&amp;C$4+1,CSV貼付!$B$5:$B$2004,$B10))</f>
        <v>251</v>
      </c>
      <c r="D10" s="37" t="n">
        <f aca="false">IF(OR($B10="",D$4=""),"",SUMIFS(CSV貼付!$C$5:$C$2004,CSV貼付!$A$5:$A$2004,"&gt;="&amp;D$4,CSV貼付!$A$5:$A$2004,"&lt;"&amp;D$4+1,CSV貼付!$B$5:$B$2004,$B10))</f>
        <v>219</v>
      </c>
      <c r="E10" s="37" t="n">
        <f aca="false">IF(OR($B10="",E$4=""),"",SUMIFS(CSV貼付!$C$5:$C$2004,CSV貼付!$A$5:$A$2004,"&gt;="&amp;E$4,CSV貼付!$A$5:$A$2004,"&lt;"&amp;E$4+1,CSV貼付!$B$5:$B$2004,$B10))</f>
        <v>316</v>
      </c>
      <c r="F10" s="37" t="n">
        <f aca="false">IF(OR($B10="",F$4=""),"",SUMIFS(CSV貼付!$C$5:$C$2004,CSV貼付!$A$5:$A$2004,"&gt;="&amp;F$4,CSV貼付!$A$5:$A$2004,"&lt;"&amp;F$4+1,CSV貼付!$B$5:$B$2004,$B10))</f>
        <v>514</v>
      </c>
      <c r="G10" s="37" t="n">
        <f aca="false">IF(OR($B10="",G$4=""),"",SUMIFS(CSV貼付!$C$5:$C$2004,CSV貼付!$A$5:$A$2004,"&gt;="&amp;G$4,CSV貼付!$A$5:$A$2004,"&lt;"&amp;G$4+1,CSV貼付!$B$5:$B$2004,$B10))</f>
        <v>500</v>
      </c>
      <c r="H10" s="37" t="n">
        <f aca="false">IF(OR($B10="",H$4=""),"",SUMIFS(CSV貼付!$C$5:$C$2004,CSV貼付!$A$5:$A$2004,"&gt;="&amp;H$4,CSV貼付!$A$5:$A$2004,"&lt;"&amp;H$4+1,CSV貼付!$B$5:$B$2004,$B10))</f>
        <v>196</v>
      </c>
      <c r="I10" s="37" t="n">
        <f aca="false">IF(OR($B10="",I$4=""),"",SUMIFS(CSV貼付!$C$5:$C$2004,CSV貼付!$A$5:$A$2004,"&gt;="&amp;I$4,CSV貼付!$A$5:$A$2004,"&lt;"&amp;I$4+1,CSV貼付!$B$5:$B$2004,$B10))</f>
        <v>264</v>
      </c>
      <c r="J10" s="56" t="n">
        <f aca="false">IF($B10="","",SUM(C10:I10))</f>
        <v>2260</v>
      </c>
      <c r="K10" s="57"/>
    </row>
    <row r="11" customFormat="false" ht="19.5" hidden="false" customHeight="true" outlineLevel="0" collapsed="false">
      <c r="A11" s="29" t="n">
        <v>3</v>
      </c>
      <c r="B11" s="54" t="s">
        <v>61</v>
      </c>
      <c r="C11" s="55" t="n">
        <f aca="false">IF(OR($B11="",C$4=""),"",SUMIFS(CSV貼付!$C$5:$C$2004,CSV貼付!$A$5:$A$2004,"&gt;="&amp;C$4,CSV貼付!$A$5:$A$2004,"&lt;"&amp;C$4+1,CSV貼付!$B$5:$B$2004,$B11))</f>
        <v>185</v>
      </c>
      <c r="D11" s="55" t="n">
        <f aca="false">IF(OR($B11="",D$4=""),"",SUMIFS(CSV貼付!$C$5:$C$2004,CSV貼付!$A$5:$A$2004,"&gt;="&amp;D$4,CSV貼付!$A$5:$A$2004,"&lt;"&amp;D$4+1,CSV貼付!$B$5:$B$2004,$B11))</f>
        <v>143</v>
      </c>
      <c r="E11" s="55" t="n">
        <f aca="false">IF(OR($B11="",E$4=""),"",SUMIFS(CSV貼付!$C$5:$C$2004,CSV貼付!$A$5:$A$2004,"&gt;="&amp;E$4,CSV貼付!$A$5:$A$2004,"&lt;"&amp;E$4+1,CSV貼付!$B$5:$B$2004,$B11))</f>
        <v>209</v>
      </c>
      <c r="F11" s="55" t="n">
        <f aca="false">IF(OR($B11="",F$4=""),"",SUMIFS(CSV貼付!$C$5:$C$2004,CSV貼付!$A$5:$A$2004,"&gt;="&amp;F$4,CSV貼付!$A$5:$A$2004,"&lt;"&amp;F$4+1,CSV貼付!$B$5:$B$2004,$B11))</f>
        <v>394</v>
      </c>
      <c r="G11" s="55" t="n">
        <f aca="false">IF(OR($B11="",G$4=""),"",SUMIFS(CSV貼付!$C$5:$C$2004,CSV貼付!$A$5:$A$2004,"&gt;="&amp;G$4,CSV貼付!$A$5:$A$2004,"&lt;"&amp;G$4+1,CSV貼付!$B$5:$B$2004,$B11))</f>
        <v>350</v>
      </c>
      <c r="H11" s="55" t="n">
        <f aca="false">IF(OR($B11="",H$4=""),"",SUMIFS(CSV貼付!$C$5:$C$2004,CSV貼付!$A$5:$A$2004,"&gt;="&amp;H$4,CSV貼付!$A$5:$A$2004,"&lt;"&amp;H$4+1,CSV貼付!$B$5:$B$2004,$B11))</f>
        <v>156</v>
      </c>
      <c r="I11" s="55" t="n">
        <f aca="false">IF(OR($B11="",I$4=""),"",SUMIFS(CSV貼付!$C$5:$C$2004,CSV貼付!$A$5:$A$2004,"&gt;="&amp;I$4,CSV貼付!$A$5:$A$2004,"&lt;"&amp;I$4+1,CSV貼付!$B$5:$B$2004,$B11))</f>
        <v>160</v>
      </c>
      <c r="J11" s="56" t="n">
        <f aca="false">IF($B11="","",SUM(C11:I11))</f>
        <v>1597</v>
      </c>
      <c r="K11" s="57"/>
    </row>
    <row r="12" customFormat="false" ht="19.5" hidden="false" customHeight="true" outlineLevel="0" collapsed="false">
      <c r="A12" s="29" t="n">
        <v>4</v>
      </c>
      <c r="B12" s="54" t="s">
        <v>62</v>
      </c>
      <c r="C12" s="37" t="n">
        <f aca="false">IF(OR($B12="",C$4=""),"",SUMIFS(CSV貼付!$C$5:$C$2004,CSV貼付!$A$5:$A$2004,"&gt;="&amp;C$4,CSV貼付!$A$5:$A$2004,"&lt;"&amp;C$4+1,CSV貼付!$B$5:$B$2004,$B12))</f>
        <v>196</v>
      </c>
      <c r="D12" s="37" t="n">
        <f aca="false">IF(OR($B12="",D$4=""),"",SUMIFS(CSV貼付!$C$5:$C$2004,CSV貼付!$A$5:$A$2004,"&gt;="&amp;D$4,CSV貼付!$A$5:$A$2004,"&lt;"&amp;D$4+1,CSV貼付!$B$5:$B$2004,$B12))</f>
        <v>156</v>
      </c>
      <c r="E12" s="37" t="n">
        <f aca="false">IF(OR($B12="",E$4=""),"",SUMIFS(CSV貼付!$C$5:$C$2004,CSV貼付!$A$5:$A$2004,"&gt;="&amp;E$4,CSV貼付!$A$5:$A$2004,"&lt;"&amp;E$4+1,CSV貼付!$B$5:$B$2004,$B12))</f>
        <v>213</v>
      </c>
      <c r="F12" s="37" t="n">
        <f aca="false">IF(OR($B12="",F$4=""),"",SUMIFS(CSV貼付!$C$5:$C$2004,CSV貼付!$A$5:$A$2004,"&gt;="&amp;F$4,CSV貼付!$A$5:$A$2004,"&lt;"&amp;F$4+1,CSV貼付!$B$5:$B$2004,$B12))</f>
        <v>439</v>
      </c>
      <c r="G12" s="37" t="n">
        <f aca="false">IF(OR($B12="",G$4=""),"",SUMIFS(CSV貼付!$C$5:$C$2004,CSV貼付!$A$5:$A$2004,"&gt;="&amp;G$4,CSV貼付!$A$5:$A$2004,"&lt;"&amp;G$4+1,CSV貼付!$B$5:$B$2004,$B12))</f>
        <v>331</v>
      </c>
      <c r="H12" s="37" t="n">
        <f aca="false">IF(OR($B12="",H$4=""),"",SUMIFS(CSV貼付!$C$5:$C$2004,CSV貼付!$A$5:$A$2004,"&gt;="&amp;H$4,CSV貼付!$A$5:$A$2004,"&lt;"&amp;H$4+1,CSV貼付!$B$5:$B$2004,$B12))</f>
        <v>177</v>
      </c>
      <c r="I12" s="37" t="n">
        <f aca="false">IF(OR($B12="",I$4=""),"",SUMIFS(CSV貼付!$C$5:$C$2004,CSV貼付!$A$5:$A$2004,"&gt;="&amp;I$4,CSV貼付!$A$5:$A$2004,"&lt;"&amp;I$4+1,CSV貼付!$B$5:$B$2004,$B12))</f>
        <v>203</v>
      </c>
      <c r="J12" s="56" t="n">
        <f aca="false">IF($B12="","",SUM(C12:I12))</f>
        <v>1715</v>
      </c>
      <c r="K12" s="57"/>
    </row>
    <row r="13" customFormat="false" ht="19.5" hidden="false" customHeight="true" outlineLevel="0" collapsed="false">
      <c r="A13" s="29" t="n">
        <v>5</v>
      </c>
      <c r="B13" s="54" t="s">
        <v>63</v>
      </c>
      <c r="C13" s="55" t="n">
        <f aca="false">IF(OR($B13="",C$4=""),"",SUMIFS(CSV貼付!$C$5:$C$2004,CSV貼付!$A$5:$A$2004,"&gt;="&amp;C$4,CSV貼付!$A$5:$A$2004,"&lt;"&amp;C$4+1,CSV貼付!$B$5:$B$2004,$B13))</f>
        <v>346</v>
      </c>
      <c r="D13" s="55" t="n">
        <f aca="false">IF(OR($B13="",D$4=""),"",SUMIFS(CSV貼付!$C$5:$C$2004,CSV貼付!$A$5:$A$2004,"&gt;="&amp;D$4,CSV貼付!$A$5:$A$2004,"&lt;"&amp;D$4+1,CSV貼付!$B$5:$B$2004,$B13))</f>
        <v>399</v>
      </c>
      <c r="E13" s="55" t="n">
        <f aca="false">IF(OR($B13="",E$4=""),"",SUMIFS(CSV貼付!$C$5:$C$2004,CSV貼付!$A$5:$A$2004,"&gt;="&amp;E$4,CSV貼付!$A$5:$A$2004,"&lt;"&amp;E$4+1,CSV貼付!$B$5:$B$2004,$B13))</f>
        <v>538</v>
      </c>
      <c r="F13" s="55" t="n">
        <f aca="false">IF(OR($B13="",F$4=""),"",SUMIFS(CSV貼付!$C$5:$C$2004,CSV貼付!$A$5:$A$2004,"&gt;="&amp;F$4,CSV貼付!$A$5:$A$2004,"&lt;"&amp;F$4+1,CSV貼付!$B$5:$B$2004,$B13))</f>
        <v>930</v>
      </c>
      <c r="G13" s="55" t="n">
        <f aca="false">IF(OR($B13="",G$4=""),"",SUMIFS(CSV貼付!$C$5:$C$2004,CSV貼付!$A$5:$A$2004,"&gt;="&amp;G$4,CSV貼付!$A$5:$A$2004,"&lt;"&amp;G$4+1,CSV貼付!$B$5:$B$2004,$B13))</f>
        <v>688</v>
      </c>
      <c r="H13" s="55" t="n">
        <f aca="false">IF(OR($B13="",H$4=""),"",SUMIFS(CSV貼付!$C$5:$C$2004,CSV貼付!$A$5:$A$2004,"&gt;="&amp;H$4,CSV貼付!$A$5:$A$2004,"&lt;"&amp;H$4+1,CSV貼付!$B$5:$B$2004,$B13))</f>
        <v>299</v>
      </c>
      <c r="I13" s="55" t="n">
        <f aca="false">IF(OR($B13="",I$4=""),"",SUMIFS(CSV貼付!$C$5:$C$2004,CSV貼付!$A$5:$A$2004,"&gt;="&amp;I$4,CSV貼付!$A$5:$A$2004,"&lt;"&amp;I$4+1,CSV貼付!$B$5:$B$2004,$B13))</f>
        <v>349</v>
      </c>
      <c r="J13" s="56" t="n">
        <f aca="false">IF($B13="","",SUM(C13:I13))</f>
        <v>3549</v>
      </c>
      <c r="K13" s="57"/>
    </row>
    <row r="14" customFormat="false" ht="19.5" hidden="false" customHeight="true" outlineLevel="0" collapsed="false">
      <c r="A14" s="29" t="n">
        <v>6</v>
      </c>
      <c r="B14" s="54" t="s">
        <v>64</v>
      </c>
      <c r="C14" s="37" t="n">
        <f aca="false">IF(OR($B14="",C$4=""),"",SUMIFS(CSV貼付!$C$5:$C$2004,CSV貼付!$A$5:$A$2004,"&gt;="&amp;C$4,CSV貼付!$A$5:$A$2004,"&lt;"&amp;C$4+1,CSV貼付!$B$5:$B$2004,$B14))</f>
        <v>126</v>
      </c>
      <c r="D14" s="37" t="n">
        <f aca="false">IF(OR($B14="",D$4=""),"",SUMIFS(CSV貼付!$C$5:$C$2004,CSV貼付!$A$5:$A$2004,"&gt;="&amp;D$4,CSV貼付!$A$5:$A$2004,"&lt;"&amp;D$4+1,CSV貼付!$B$5:$B$2004,$B14))</f>
        <v>135</v>
      </c>
      <c r="E14" s="37" t="n">
        <f aca="false">IF(OR($B14="",E$4=""),"",SUMIFS(CSV貼付!$C$5:$C$2004,CSV貼付!$A$5:$A$2004,"&gt;="&amp;E$4,CSV貼付!$A$5:$A$2004,"&lt;"&amp;E$4+1,CSV貼付!$B$5:$B$2004,$B14))</f>
        <v>181</v>
      </c>
      <c r="F14" s="37" t="n">
        <f aca="false">IF(OR($B14="",F$4=""),"",SUMIFS(CSV貼付!$C$5:$C$2004,CSV貼付!$A$5:$A$2004,"&gt;="&amp;F$4,CSV貼付!$A$5:$A$2004,"&lt;"&amp;F$4+1,CSV貼付!$B$5:$B$2004,$B14))</f>
        <v>289</v>
      </c>
      <c r="G14" s="37" t="n">
        <f aca="false">IF(OR($B14="",G$4=""),"",SUMIFS(CSV貼付!$C$5:$C$2004,CSV貼付!$A$5:$A$2004,"&gt;="&amp;G$4,CSV貼付!$A$5:$A$2004,"&lt;"&amp;G$4+1,CSV貼付!$B$5:$B$2004,$B14))</f>
        <v>294</v>
      </c>
      <c r="H14" s="37" t="n">
        <f aca="false">IF(OR($B14="",H$4=""),"",SUMIFS(CSV貼付!$C$5:$C$2004,CSV貼付!$A$5:$A$2004,"&gt;="&amp;H$4,CSV貼付!$A$5:$A$2004,"&lt;"&amp;H$4+1,CSV貼付!$B$5:$B$2004,$B14))</f>
        <v>121</v>
      </c>
      <c r="I14" s="37" t="n">
        <f aca="false">IF(OR($B14="",I$4=""),"",SUMIFS(CSV貼付!$C$5:$C$2004,CSV貼付!$A$5:$A$2004,"&gt;="&amp;I$4,CSV貼付!$A$5:$A$2004,"&lt;"&amp;I$4+1,CSV貼付!$B$5:$B$2004,$B14))</f>
        <v>120</v>
      </c>
      <c r="J14" s="56" t="n">
        <f aca="false">IF($B14="","",SUM(C14:I14))</f>
        <v>1266</v>
      </c>
      <c r="K14" s="57"/>
    </row>
    <row r="15" customFormat="false" ht="19.5" hidden="false" customHeight="true" outlineLevel="0" collapsed="false">
      <c r="A15" s="29" t="n">
        <v>7</v>
      </c>
      <c r="B15" s="54" t="s">
        <v>65</v>
      </c>
      <c r="C15" s="55" t="n">
        <f aca="false">IF(OR($B15="",C$4=""),"",SUMIFS(CSV貼付!$C$5:$C$2004,CSV貼付!$A$5:$A$2004,"&gt;="&amp;C$4,CSV貼付!$A$5:$A$2004,"&lt;"&amp;C$4+1,CSV貼付!$B$5:$B$2004,$B15))</f>
        <v>104</v>
      </c>
      <c r="D15" s="55" t="n">
        <f aca="false">IF(OR($B15="",D$4=""),"",SUMIFS(CSV貼付!$C$5:$C$2004,CSV貼付!$A$5:$A$2004,"&gt;="&amp;D$4,CSV貼付!$A$5:$A$2004,"&lt;"&amp;D$4+1,CSV貼付!$B$5:$B$2004,$B15))</f>
        <v>118</v>
      </c>
      <c r="E15" s="55" t="n">
        <f aca="false">IF(OR($B15="",E$4=""),"",SUMIFS(CSV貼付!$C$5:$C$2004,CSV貼付!$A$5:$A$2004,"&gt;="&amp;E$4,CSV貼付!$A$5:$A$2004,"&lt;"&amp;E$4+1,CSV貼付!$B$5:$B$2004,$B15))</f>
        <v>155</v>
      </c>
      <c r="F15" s="55" t="n">
        <f aca="false">IF(OR($B15="",F$4=""),"",SUMIFS(CSV貼付!$C$5:$C$2004,CSV貼付!$A$5:$A$2004,"&gt;="&amp;F$4,CSV貼付!$A$5:$A$2004,"&lt;"&amp;F$4+1,CSV貼付!$B$5:$B$2004,$B15))</f>
        <v>271</v>
      </c>
      <c r="G15" s="55" t="n">
        <f aca="false">IF(OR($B15="",G$4=""),"",SUMIFS(CSV貼付!$C$5:$C$2004,CSV貼付!$A$5:$A$2004,"&gt;="&amp;G$4,CSV貼付!$A$5:$A$2004,"&lt;"&amp;G$4+1,CSV貼付!$B$5:$B$2004,$B15))</f>
        <v>230</v>
      </c>
      <c r="H15" s="55" t="n">
        <f aca="false">IF(OR($B15="",H$4=""),"",SUMIFS(CSV貼付!$C$5:$C$2004,CSV貼付!$A$5:$A$2004,"&gt;="&amp;H$4,CSV貼付!$A$5:$A$2004,"&lt;"&amp;H$4+1,CSV貼付!$B$5:$B$2004,$B15))</f>
        <v>107</v>
      </c>
      <c r="I15" s="55" t="n">
        <f aca="false">IF(OR($B15="",I$4=""),"",SUMIFS(CSV貼付!$C$5:$C$2004,CSV貼付!$A$5:$A$2004,"&gt;="&amp;I$4,CSV貼付!$A$5:$A$2004,"&lt;"&amp;I$4+1,CSV貼付!$B$5:$B$2004,$B15))</f>
        <v>107</v>
      </c>
      <c r="J15" s="56" t="n">
        <f aca="false">IF($B15="","",SUM(C15:I15))</f>
        <v>1092</v>
      </c>
      <c r="K15" s="57"/>
    </row>
    <row r="16" customFormat="false" ht="19.5" hidden="false" customHeight="true" outlineLevel="0" collapsed="false">
      <c r="A16" s="29" t="n">
        <v>8</v>
      </c>
      <c r="B16" s="54" t="s">
        <v>66</v>
      </c>
      <c r="C16" s="37" t="n">
        <f aca="false">IF(OR($B16="",C$4=""),"",SUMIFS(CSV貼付!$C$5:$C$2004,CSV貼付!$A$5:$A$2004,"&gt;="&amp;C$4,CSV貼付!$A$5:$A$2004,"&lt;"&amp;C$4+1,CSV貼付!$B$5:$B$2004,$B16))</f>
        <v>80</v>
      </c>
      <c r="D16" s="37" t="n">
        <f aca="false">IF(OR($B16="",D$4=""),"",SUMIFS(CSV貼付!$C$5:$C$2004,CSV貼付!$A$5:$A$2004,"&gt;="&amp;D$4,CSV貼付!$A$5:$A$2004,"&lt;"&amp;D$4+1,CSV貼付!$B$5:$B$2004,$B16))</f>
        <v>86</v>
      </c>
      <c r="E16" s="37" t="n">
        <f aca="false">IF(OR($B16="",E$4=""),"",SUMIFS(CSV貼付!$C$5:$C$2004,CSV貼付!$A$5:$A$2004,"&gt;="&amp;E$4,CSV貼付!$A$5:$A$2004,"&lt;"&amp;E$4+1,CSV貼付!$B$5:$B$2004,$B16))</f>
        <v>105</v>
      </c>
      <c r="F16" s="37" t="n">
        <f aca="false">IF(OR($B16="",F$4=""),"",SUMIFS(CSV貼付!$C$5:$C$2004,CSV貼付!$A$5:$A$2004,"&gt;="&amp;F$4,CSV貼付!$A$5:$A$2004,"&lt;"&amp;F$4+1,CSV貼付!$B$5:$B$2004,$B16))</f>
        <v>182</v>
      </c>
      <c r="G16" s="37" t="n">
        <f aca="false">IF(OR($B16="",G$4=""),"",SUMIFS(CSV貼付!$C$5:$C$2004,CSV貼付!$A$5:$A$2004,"&gt;="&amp;G$4,CSV貼付!$A$5:$A$2004,"&lt;"&amp;G$4+1,CSV貼付!$B$5:$B$2004,$B16))</f>
        <v>170</v>
      </c>
      <c r="H16" s="37" t="n">
        <f aca="false">IF(OR($B16="",H$4=""),"",SUMIFS(CSV貼付!$C$5:$C$2004,CSV貼付!$A$5:$A$2004,"&gt;="&amp;H$4,CSV貼付!$A$5:$A$2004,"&lt;"&amp;H$4+1,CSV貼付!$B$5:$B$2004,$B16))</f>
        <v>79</v>
      </c>
      <c r="I16" s="37" t="n">
        <f aca="false">IF(OR($B16="",I$4=""),"",SUMIFS(CSV貼付!$C$5:$C$2004,CSV貼付!$A$5:$A$2004,"&gt;="&amp;I$4,CSV貼付!$A$5:$A$2004,"&lt;"&amp;I$4+1,CSV貼付!$B$5:$B$2004,$B16))</f>
        <v>100</v>
      </c>
      <c r="J16" s="56" t="n">
        <f aca="false">IF($B16="","",SUM(C16:I16))</f>
        <v>802</v>
      </c>
      <c r="K16" s="57"/>
    </row>
    <row r="17" customFormat="false" ht="19.5" hidden="false" customHeight="true" outlineLevel="0" collapsed="false">
      <c r="A17" s="29" t="n">
        <v>9</v>
      </c>
      <c r="B17" s="54" t="s">
        <v>67</v>
      </c>
      <c r="C17" s="55" t="n">
        <f aca="false">IF(OR($B17="",C$4=""),"",SUMIFS(CSV貼付!$C$5:$C$2004,CSV貼付!$A$5:$A$2004,"&gt;="&amp;C$4,CSV貼付!$A$5:$A$2004,"&lt;"&amp;C$4+1,CSV貼付!$B$5:$B$2004,$B17))</f>
        <v>59</v>
      </c>
      <c r="D17" s="55" t="n">
        <f aca="false">IF(OR($B17="",D$4=""),"",SUMIFS(CSV貼付!$C$5:$C$2004,CSV貼付!$A$5:$A$2004,"&gt;="&amp;D$4,CSV貼付!$A$5:$A$2004,"&lt;"&amp;D$4+1,CSV貼付!$B$5:$B$2004,$B17))</f>
        <v>55</v>
      </c>
      <c r="E17" s="55" t="n">
        <f aca="false">IF(OR($B17="",E$4=""),"",SUMIFS(CSV貼付!$C$5:$C$2004,CSV貼付!$A$5:$A$2004,"&gt;="&amp;E$4,CSV貼付!$A$5:$A$2004,"&lt;"&amp;E$4+1,CSV貼付!$B$5:$B$2004,$B17))</f>
        <v>83</v>
      </c>
      <c r="F17" s="55" t="n">
        <f aca="false">IF(OR($B17="",F$4=""),"",SUMIFS(CSV貼付!$C$5:$C$2004,CSV貼付!$A$5:$A$2004,"&gt;="&amp;F$4,CSV貼付!$A$5:$A$2004,"&lt;"&amp;F$4+1,CSV貼付!$B$5:$B$2004,$B17))</f>
        <v>158</v>
      </c>
      <c r="G17" s="55" t="n">
        <f aca="false">IF(OR($B17="",G$4=""),"",SUMIFS(CSV貼付!$C$5:$C$2004,CSV貼付!$A$5:$A$2004,"&gt;="&amp;G$4,CSV貼付!$A$5:$A$2004,"&lt;"&amp;G$4+1,CSV貼付!$B$5:$B$2004,$B17))</f>
        <v>143</v>
      </c>
      <c r="H17" s="55" t="n">
        <f aca="false">IF(OR($B17="",H$4=""),"",SUMIFS(CSV貼付!$C$5:$C$2004,CSV貼付!$A$5:$A$2004,"&gt;="&amp;H$4,CSV貼付!$A$5:$A$2004,"&lt;"&amp;H$4+1,CSV貼付!$B$5:$B$2004,$B17))</f>
        <v>52</v>
      </c>
      <c r="I17" s="55" t="n">
        <f aca="false">IF(OR($B17="",I$4=""),"",SUMIFS(CSV貼付!$C$5:$C$2004,CSV貼付!$A$5:$A$2004,"&gt;="&amp;I$4,CSV貼付!$A$5:$A$2004,"&lt;"&amp;I$4+1,CSV貼付!$B$5:$B$2004,$B17))</f>
        <v>66</v>
      </c>
      <c r="J17" s="56" t="n">
        <f aca="false">IF($B17="","",SUM(C17:I17))</f>
        <v>616</v>
      </c>
      <c r="K17" s="57"/>
    </row>
    <row r="18" customFormat="false" ht="19.5" hidden="false" customHeight="true" outlineLevel="0" collapsed="false">
      <c r="A18" s="29" t="n">
        <v>10</v>
      </c>
      <c r="B18" s="54" t="s">
        <v>68</v>
      </c>
      <c r="C18" s="37" t="n">
        <f aca="false">IF(OR($B18="",C$4=""),"",SUMIFS(CSV貼付!$C$5:$C$2004,CSV貼付!$A$5:$A$2004,"&gt;="&amp;C$4,CSV貼付!$A$5:$A$2004,"&lt;"&amp;C$4+1,CSV貼付!$B$5:$B$2004,$B18))</f>
        <v>121</v>
      </c>
      <c r="D18" s="37" t="n">
        <f aca="false">IF(OR($B18="",D$4=""),"",SUMIFS(CSV貼付!$C$5:$C$2004,CSV貼付!$A$5:$A$2004,"&gt;="&amp;D$4,CSV貼付!$A$5:$A$2004,"&lt;"&amp;D$4+1,CSV貼付!$B$5:$B$2004,$B18))</f>
        <v>111</v>
      </c>
      <c r="E18" s="37" t="n">
        <f aca="false">IF(OR($B18="",E$4=""),"",SUMIFS(CSV貼付!$C$5:$C$2004,CSV貼付!$A$5:$A$2004,"&gt;="&amp;E$4,CSV貼付!$A$5:$A$2004,"&lt;"&amp;E$4+1,CSV貼付!$B$5:$B$2004,$B18))</f>
        <v>151</v>
      </c>
      <c r="F18" s="37" t="n">
        <f aca="false">IF(OR($B18="",F$4=""),"",SUMIFS(CSV貼付!$C$5:$C$2004,CSV貼付!$A$5:$A$2004,"&gt;="&amp;F$4,CSV貼付!$A$5:$A$2004,"&lt;"&amp;F$4+1,CSV貼付!$B$5:$B$2004,$B18))</f>
        <v>223</v>
      </c>
      <c r="G18" s="37" t="n">
        <f aca="false">IF(OR($B18="",G$4=""),"",SUMIFS(CSV貼付!$C$5:$C$2004,CSV貼付!$A$5:$A$2004,"&gt;="&amp;G$4,CSV貼付!$A$5:$A$2004,"&lt;"&amp;G$4+1,CSV貼付!$B$5:$B$2004,$B18))</f>
        <v>218</v>
      </c>
      <c r="H18" s="37" t="n">
        <f aca="false">IF(OR($B18="",H$4=""),"",SUMIFS(CSV貼付!$C$5:$C$2004,CSV貼付!$A$5:$A$2004,"&gt;="&amp;H$4,CSV貼付!$A$5:$A$2004,"&lt;"&amp;H$4+1,CSV貼付!$B$5:$B$2004,$B18))</f>
        <v>96</v>
      </c>
      <c r="I18" s="37" t="n">
        <f aca="false">IF(OR($B18="",I$4=""),"",SUMIFS(CSV貼付!$C$5:$C$2004,CSV貼付!$A$5:$A$2004,"&gt;="&amp;I$4,CSV貼付!$A$5:$A$2004,"&lt;"&amp;I$4+1,CSV貼付!$B$5:$B$2004,$B18))</f>
        <v>93</v>
      </c>
      <c r="J18" s="56" t="n">
        <f aca="false">IF($B18="","",SUM(C18:I18))</f>
        <v>1013</v>
      </c>
      <c r="K18" s="57"/>
    </row>
    <row r="19" customFormat="false" ht="19.5" hidden="false" customHeight="true" outlineLevel="0" collapsed="false">
      <c r="A19" s="29" t="n">
        <v>11</v>
      </c>
      <c r="B19" s="54" t="s">
        <v>69</v>
      </c>
      <c r="C19" s="55" t="n">
        <f aca="false">IF(OR($B19="",C$4=""),"",SUMIFS(CSV貼付!$C$5:$C$2004,CSV貼付!$A$5:$A$2004,"&gt;="&amp;C$4,CSV貼付!$A$5:$A$2004,"&lt;"&amp;C$4+1,CSV貼付!$B$5:$B$2004,$B19))</f>
        <v>58</v>
      </c>
      <c r="D19" s="55" t="n">
        <f aca="false">IF(OR($B19="",D$4=""),"",SUMIFS(CSV貼付!$C$5:$C$2004,CSV貼付!$A$5:$A$2004,"&gt;="&amp;D$4,CSV貼付!$A$5:$A$2004,"&lt;"&amp;D$4+1,CSV貼付!$B$5:$B$2004,$B19))</f>
        <v>63</v>
      </c>
      <c r="E19" s="55" t="n">
        <f aca="false">IF(OR($B19="",E$4=""),"",SUMIFS(CSV貼付!$C$5:$C$2004,CSV貼付!$A$5:$A$2004,"&gt;="&amp;E$4,CSV貼付!$A$5:$A$2004,"&lt;"&amp;E$4+1,CSV貼付!$B$5:$B$2004,$B19))</f>
        <v>72</v>
      </c>
      <c r="F19" s="55" t="n">
        <f aca="false">IF(OR($B19="",F$4=""),"",SUMIFS(CSV貼付!$C$5:$C$2004,CSV貼付!$A$5:$A$2004,"&gt;="&amp;F$4,CSV貼付!$A$5:$A$2004,"&lt;"&amp;F$4+1,CSV貼付!$B$5:$B$2004,$B19))</f>
        <v>154</v>
      </c>
      <c r="G19" s="55" t="n">
        <f aca="false">IF(OR($B19="",G$4=""),"",SUMIFS(CSV貼付!$C$5:$C$2004,CSV貼付!$A$5:$A$2004,"&gt;="&amp;G$4,CSV貼付!$A$5:$A$2004,"&lt;"&amp;G$4+1,CSV貼付!$B$5:$B$2004,$B19))</f>
        <v>108</v>
      </c>
      <c r="H19" s="55" t="n">
        <f aca="false">IF(OR($B19="",H$4=""),"",SUMIFS(CSV貼付!$C$5:$C$2004,CSV貼付!$A$5:$A$2004,"&gt;="&amp;H$4,CSV貼付!$A$5:$A$2004,"&lt;"&amp;H$4+1,CSV貼付!$B$5:$B$2004,$B19))</f>
        <v>51</v>
      </c>
      <c r="I19" s="55" t="n">
        <f aca="false">IF(OR($B19="",I$4=""),"",SUMIFS(CSV貼付!$C$5:$C$2004,CSV貼付!$A$5:$A$2004,"&gt;="&amp;I$4,CSV貼付!$A$5:$A$2004,"&lt;"&amp;I$4+1,CSV貼付!$B$5:$B$2004,$B19))</f>
        <v>55</v>
      </c>
      <c r="J19" s="56" t="n">
        <f aca="false">IF($B19="","",SUM(C19:I19))</f>
        <v>561</v>
      </c>
      <c r="K19" s="57"/>
    </row>
    <row r="20" customFormat="false" ht="19.5" hidden="false" customHeight="true" outlineLevel="0" collapsed="false">
      <c r="A20" s="29" t="n">
        <v>12</v>
      </c>
      <c r="B20" s="54" t="s">
        <v>70</v>
      </c>
      <c r="C20" s="37" t="n">
        <f aca="false">IF(OR($B20="",C$4=""),"",SUMIFS(CSV貼付!$C$5:$C$2004,CSV貼付!$A$5:$A$2004,"&gt;="&amp;C$4,CSV貼付!$A$5:$A$2004,"&lt;"&amp;C$4+1,CSV貼付!$B$5:$B$2004,$B20))</f>
        <v>48</v>
      </c>
      <c r="D20" s="37" t="n">
        <f aca="false">IF(OR($B20="",D$4=""),"",SUMIFS(CSV貼付!$C$5:$C$2004,CSV貼付!$A$5:$A$2004,"&gt;="&amp;D$4,CSV貼付!$A$5:$A$2004,"&lt;"&amp;D$4+1,CSV貼付!$B$5:$B$2004,$B20))</f>
        <v>44</v>
      </c>
      <c r="E20" s="37" t="n">
        <f aca="false">IF(OR($B20="",E$4=""),"",SUMIFS(CSV貼付!$C$5:$C$2004,CSV貼付!$A$5:$A$2004,"&gt;="&amp;E$4,CSV貼付!$A$5:$A$2004,"&lt;"&amp;E$4+1,CSV貼付!$B$5:$B$2004,$B20))</f>
        <v>63</v>
      </c>
      <c r="F20" s="37" t="n">
        <f aca="false">IF(OR($B20="",F$4=""),"",SUMIFS(CSV貼付!$C$5:$C$2004,CSV貼付!$A$5:$A$2004,"&gt;="&amp;F$4,CSV貼付!$A$5:$A$2004,"&lt;"&amp;F$4+1,CSV貼付!$B$5:$B$2004,$B20))</f>
        <v>103</v>
      </c>
      <c r="G20" s="37" t="n">
        <f aca="false">IF(OR($B20="",G$4=""),"",SUMIFS(CSV貼付!$C$5:$C$2004,CSV貼付!$A$5:$A$2004,"&gt;="&amp;G$4,CSV貼付!$A$5:$A$2004,"&lt;"&amp;G$4+1,CSV貼付!$B$5:$B$2004,$B20))</f>
        <v>121</v>
      </c>
      <c r="H20" s="37" t="n">
        <f aca="false">IF(OR($B20="",H$4=""),"",SUMIFS(CSV貼付!$C$5:$C$2004,CSV貼付!$A$5:$A$2004,"&gt;="&amp;H$4,CSV貼付!$A$5:$A$2004,"&lt;"&amp;H$4+1,CSV貼付!$B$5:$B$2004,$B20))</f>
        <v>52</v>
      </c>
      <c r="I20" s="37" t="n">
        <f aca="false">IF(OR($B20="",I$4=""),"",SUMIFS(CSV貼付!$C$5:$C$2004,CSV貼付!$A$5:$A$2004,"&gt;="&amp;I$4,CSV貼付!$A$5:$A$2004,"&lt;"&amp;I$4+1,CSV貼付!$B$5:$B$2004,$B20))</f>
        <v>50</v>
      </c>
      <c r="J20" s="56" t="n">
        <f aca="false">IF($B20="","",SUM(C20:I20))</f>
        <v>481</v>
      </c>
      <c r="K20" s="57"/>
    </row>
    <row r="21" customFormat="false" ht="19.5" hidden="false" customHeight="true" outlineLevel="0" collapsed="false">
      <c r="A21" s="29" t="n">
        <v>13</v>
      </c>
      <c r="B21" s="54"/>
      <c r="C21" s="55" t="str">
        <f aca="false">IF(OR($B21="",C$4=""),"",SUMIFS(CSV貼付!$C$5:$C$2004,CSV貼付!$A$5:$A$2004,"&gt;="&amp;C$4,CSV貼付!$A$5:$A$2004,"&lt;"&amp;C$4+1,CSV貼付!$B$5:$B$2004,$B21))</f>
        <v/>
      </c>
      <c r="D21" s="55" t="str">
        <f aca="false">IF(OR($B21="",D$4=""),"",SUMIFS(CSV貼付!$C$5:$C$2004,CSV貼付!$A$5:$A$2004,"&gt;="&amp;D$4,CSV貼付!$A$5:$A$2004,"&lt;"&amp;D$4+1,CSV貼付!$B$5:$B$2004,$B21))</f>
        <v/>
      </c>
      <c r="E21" s="55" t="str">
        <f aca="false">IF(OR($B21="",E$4=""),"",SUMIFS(CSV貼付!$C$5:$C$2004,CSV貼付!$A$5:$A$2004,"&gt;="&amp;E$4,CSV貼付!$A$5:$A$2004,"&lt;"&amp;E$4+1,CSV貼付!$B$5:$B$2004,$B21))</f>
        <v/>
      </c>
      <c r="F21" s="55" t="str">
        <f aca="false">IF(OR($B21="",F$4=""),"",SUMIFS(CSV貼付!$C$5:$C$2004,CSV貼付!$A$5:$A$2004,"&gt;="&amp;F$4,CSV貼付!$A$5:$A$2004,"&lt;"&amp;F$4+1,CSV貼付!$B$5:$B$2004,$B21))</f>
        <v/>
      </c>
      <c r="G21" s="55" t="str">
        <f aca="false">IF(OR($B21="",G$4=""),"",SUMIFS(CSV貼付!$C$5:$C$2004,CSV貼付!$A$5:$A$2004,"&gt;="&amp;G$4,CSV貼付!$A$5:$A$2004,"&lt;"&amp;G$4+1,CSV貼付!$B$5:$B$2004,$B21))</f>
        <v/>
      </c>
      <c r="H21" s="55" t="str">
        <f aca="false">IF(OR($B21="",H$4=""),"",SUMIFS(CSV貼付!$C$5:$C$2004,CSV貼付!$A$5:$A$2004,"&gt;="&amp;H$4,CSV貼付!$A$5:$A$2004,"&lt;"&amp;H$4+1,CSV貼付!$B$5:$B$2004,$B21))</f>
        <v/>
      </c>
      <c r="I21" s="55" t="str">
        <f aca="false">IF(OR($B21="",I$4=""),"",SUMIFS(CSV貼付!$C$5:$C$2004,CSV貼付!$A$5:$A$2004,"&gt;="&amp;I$4,CSV貼付!$A$5:$A$2004,"&lt;"&amp;I$4+1,CSV貼付!$B$5:$B$2004,$B21))</f>
        <v/>
      </c>
      <c r="J21" s="56" t="str">
        <f aca="false">IF($B21="","",SUM(C21:I21))</f>
        <v/>
      </c>
      <c r="K21" s="57"/>
    </row>
    <row r="22" customFormat="false" ht="19.5" hidden="false" customHeight="true" outlineLevel="0" collapsed="false">
      <c r="A22" s="29" t="n">
        <v>14</v>
      </c>
      <c r="B22" s="54"/>
      <c r="C22" s="37" t="str">
        <f aca="false">IF(OR($B22="",C$4=""),"",SUMIFS(CSV貼付!$C$5:$C$2004,CSV貼付!$A$5:$A$2004,"&gt;="&amp;C$4,CSV貼付!$A$5:$A$2004,"&lt;"&amp;C$4+1,CSV貼付!$B$5:$B$2004,$B22))</f>
        <v/>
      </c>
      <c r="D22" s="37" t="str">
        <f aca="false">IF(OR($B22="",D$4=""),"",SUMIFS(CSV貼付!$C$5:$C$2004,CSV貼付!$A$5:$A$2004,"&gt;="&amp;D$4,CSV貼付!$A$5:$A$2004,"&lt;"&amp;D$4+1,CSV貼付!$B$5:$B$2004,$B22))</f>
        <v/>
      </c>
      <c r="E22" s="37" t="str">
        <f aca="false">IF(OR($B22="",E$4=""),"",SUMIFS(CSV貼付!$C$5:$C$2004,CSV貼付!$A$5:$A$2004,"&gt;="&amp;E$4,CSV貼付!$A$5:$A$2004,"&lt;"&amp;E$4+1,CSV貼付!$B$5:$B$2004,$B22))</f>
        <v/>
      </c>
      <c r="F22" s="37" t="str">
        <f aca="false">IF(OR($B22="",F$4=""),"",SUMIFS(CSV貼付!$C$5:$C$2004,CSV貼付!$A$5:$A$2004,"&gt;="&amp;F$4,CSV貼付!$A$5:$A$2004,"&lt;"&amp;F$4+1,CSV貼付!$B$5:$B$2004,$B22))</f>
        <v/>
      </c>
      <c r="G22" s="37" t="str">
        <f aca="false">IF(OR($B22="",G$4=""),"",SUMIFS(CSV貼付!$C$5:$C$2004,CSV貼付!$A$5:$A$2004,"&gt;="&amp;G$4,CSV貼付!$A$5:$A$2004,"&lt;"&amp;G$4+1,CSV貼付!$B$5:$B$2004,$B22))</f>
        <v/>
      </c>
      <c r="H22" s="37" t="str">
        <f aca="false">IF(OR($B22="",H$4=""),"",SUMIFS(CSV貼付!$C$5:$C$2004,CSV貼付!$A$5:$A$2004,"&gt;="&amp;H$4,CSV貼付!$A$5:$A$2004,"&lt;"&amp;H$4+1,CSV貼付!$B$5:$B$2004,$B22))</f>
        <v/>
      </c>
      <c r="I22" s="37" t="str">
        <f aca="false">IF(OR($B22="",I$4=""),"",SUMIFS(CSV貼付!$C$5:$C$2004,CSV貼付!$A$5:$A$2004,"&gt;="&amp;I$4,CSV貼付!$A$5:$A$2004,"&lt;"&amp;I$4+1,CSV貼付!$B$5:$B$2004,$B22))</f>
        <v/>
      </c>
      <c r="J22" s="56" t="str">
        <f aca="false">IF($B22="","",SUM(C22:I22))</f>
        <v/>
      </c>
      <c r="K22" s="57"/>
    </row>
    <row r="23" customFormat="false" ht="19.5" hidden="false" customHeight="true" outlineLevel="0" collapsed="false">
      <c r="A23" s="29" t="n">
        <v>15</v>
      </c>
      <c r="B23" s="54"/>
      <c r="C23" s="55" t="str">
        <f aca="false">IF(OR($B23="",C$4=""),"",SUMIFS(CSV貼付!$C$5:$C$2004,CSV貼付!$A$5:$A$2004,"&gt;="&amp;C$4,CSV貼付!$A$5:$A$2004,"&lt;"&amp;C$4+1,CSV貼付!$B$5:$B$2004,$B23))</f>
        <v/>
      </c>
      <c r="D23" s="55" t="str">
        <f aca="false">IF(OR($B23="",D$4=""),"",SUMIFS(CSV貼付!$C$5:$C$2004,CSV貼付!$A$5:$A$2004,"&gt;="&amp;D$4,CSV貼付!$A$5:$A$2004,"&lt;"&amp;D$4+1,CSV貼付!$B$5:$B$2004,$B23))</f>
        <v/>
      </c>
      <c r="E23" s="55" t="str">
        <f aca="false">IF(OR($B23="",E$4=""),"",SUMIFS(CSV貼付!$C$5:$C$2004,CSV貼付!$A$5:$A$2004,"&gt;="&amp;E$4,CSV貼付!$A$5:$A$2004,"&lt;"&amp;E$4+1,CSV貼付!$B$5:$B$2004,$B23))</f>
        <v/>
      </c>
      <c r="F23" s="55" t="str">
        <f aca="false">IF(OR($B23="",F$4=""),"",SUMIFS(CSV貼付!$C$5:$C$2004,CSV貼付!$A$5:$A$2004,"&gt;="&amp;F$4,CSV貼付!$A$5:$A$2004,"&lt;"&amp;F$4+1,CSV貼付!$B$5:$B$2004,$B23))</f>
        <v/>
      </c>
      <c r="G23" s="55" t="str">
        <f aca="false">IF(OR($B23="",G$4=""),"",SUMIFS(CSV貼付!$C$5:$C$2004,CSV貼付!$A$5:$A$2004,"&gt;="&amp;G$4,CSV貼付!$A$5:$A$2004,"&lt;"&amp;G$4+1,CSV貼付!$B$5:$B$2004,$B23))</f>
        <v/>
      </c>
      <c r="H23" s="55" t="str">
        <f aca="false">IF(OR($B23="",H$4=""),"",SUMIFS(CSV貼付!$C$5:$C$2004,CSV貼付!$A$5:$A$2004,"&gt;="&amp;H$4,CSV貼付!$A$5:$A$2004,"&lt;"&amp;H$4+1,CSV貼付!$B$5:$B$2004,$B23))</f>
        <v/>
      </c>
      <c r="I23" s="55" t="str">
        <f aca="false">IF(OR($B23="",I$4=""),"",SUMIFS(CSV貼付!$C$5:$C$2004,CSV貼付!$A$5:$A$2004,"&gt;="&amp;I$4,CSV貼付!$A$5:$A$2004,"&lt;"&amp;I$4+1,CSV貼付!$B$5:$B$2004,$B23))</f>
        <v/>
      </c>
      <c r="J23" s="56" t="str">
        <f aca="false">IF($B23="","",SUM(C23:I23))</f>
        <v/>
      </c>
      <c r="K23" s="57"/>
    </row>
    <row r="24" customFormat="false" ht="19.5" hidden="false" customHeight="true" outlineLevel="0" collapsed="false">
      <c r="A24" s="29" t="n">
        <v>16</v>
      </c>
      <c r="B24" s="54"/>
      <c r="C24" s="37" t="str">
        <f aca="false">IF(OR($B24="",C$4=""),"",SUMIFS(CSV貼付!$C$5:$C$2004,CSV貼付!$A$5:$A$2004,"&gt;="&amp;C$4,CSV貼付!$A$5:$A$2004,"&lt;"&amp;C$4+1,CSV貼付!$B$5:$B$2004,$B24))</f>
        <v/>
      </c>
      <c r="D24" s="37" t="str">
        <f aca="false">IF(OR($B24="",D$4=""),"",SUMIFS(CSV貼付!$C$5:$C$2004,CSV貼付!$A$5:$A$2004,"&gt;="&amp;D$4,CSV貼付!$A$5:$A$2004,"&lt;"&amp;D$4+1,CSV貼付!$B$5:$B$2004,$B24))</f>
        <v/>
      </c>
      <c r="E24" s="37" t="str">
        <f aca="false">IF(OR($B24="",E$4=""),"",SUMIFS(CSV貼付!$C$5:$C$2004,CSV貼付!$A$5:$A$2004,"&gt;="&amp;E$4,CSV貼付!$A$5:$A$2004,"&lt;"&amp;E$4+1,CSV貼付!$B$5:$B$2004,$B24))</f>
        <v/>
      </c>
      <c r="F24" s="37" t="str">
        <f aca="false">IF(OR($B24="",F$4=""),"",SUMIFS(CSV貼付!$C$5:$C$2004,CSV貼付!$A$5:$A$2004,"&gt;="&amp;F$4,CSV貼付!$A$5:$A$2004,"&lt;"&amp;F$4+1,CSV貼付!$B$5:$B$2004,$B24))</f>
        <v/>
      </c>
      <c r="G24" s="37" t="str">
        <f aca="false">IF(OR($B24="",G$4=""),"",SUMIFS(CSV貼付!$C$5:$C$2004,CSV貼付!$A$5:$A$2004,"&gt;="&amp;G$4,CSV貼付!$A$5:$A$2004,"&lt;"&amp;G$4+1,CSV貼付!$B$5:$B$2004,$B24))</f>
        <v/>
      </c>
      <c r="H24" s="37" t="str">
        <f aca="false">IF(OR($B24="",H$4=""),"",SUMIFS(CSV貼付!$C$5:$C$2004,CSV貼付!$A$5:$A$2004,"&gt;="&amp;H$4,CSV貼付!$A$5:$A$2004,"&lt;"&amp;H$4+1,CSV貼付!$B$5:$B$2004,$B24))</f>
        <v/>
      </c>
      <c r="I24" s="37" t="str">
        <f aca="false">IF(OR($B24="",I$4=""),"",SUMIFS(CSV貼付!$C$5:$C$2004,CSV貼付!$A$5:$A$2004,"&gt;="&amp;I$4,CSV貼付!$A$5:$A$2004,"&lt;"&amp;I$4+1,CSV貼付!$B$5:$B$2004,$B24))</f>
        <v/>
      </c>
      <c r="J24" s="56" t="str">
        <f aca="false">IF($B24="","",SUM(C24:I24))</f>
        <v/>
      </c>
      <c r="K24" s="57"/>
    </row>
    <row r="25" customFormat="false" ht="19.5" hidden="false" customHeight="true" outlineLevel="0" collapsed="false">
      <c r="A25" s="29" t="n">
        <v>17</v>
      </c>
      <c r="B25" s="54"/>
      <c r="C25" s="55" t="str">
        <f aca="false">IF(OR($B25="",C$4=""),"",SUMIFS(CSV貼付!$C$5:$C$2004,CSV貼付!$A$5:$A$2004,"&gt;="&amp;C$4,CSV貼付!$A$5:$A$2004,"&lt;"&amp;C$4+1,CSV貼付!$B$5:$B$2004,$B25))</f>
        <v/>
      </c>
      <c r="D25" s="55" t="str">
        <f aca="false">IF(OR($B25="",D$4=""),"",SUMIFS(CSV貼付!$C$5:$C$2004,CSV貼付!$A$5:$A$2004,"&gt;="&amp;D$4,CSV貼付!$A$5:$A$2004,"&lt;"&amp;D$4+1,CSV貼付!$B$5:$B$2004,$B25))</f>
        <v/>
      </c>
      <c r="E25" s="55" t="str">
        <f aca="false">IF(OR($B25="",E$4=""),"",SUMIFS(CSV貼付!$C$5:$C$2004,CSV貼付!$A$5:$A$2004,"&gt;="&amp;E$4,CSV貼付!$A$5:$A$2004,"&lt;"&amp;E$4+1,CSV貼付!$B$5:$B$2004,$B25))</f>
        <v/>
      </c>
      <c r="F25" s="55" t="str">
        <f aca="false">IF(OR($B25="",F$4=""),"",SUMIFS(CSV貼付!$C$5:$C$2004,CSV貼付!$A$5:$A$2004,"&gt;="&amp;F$4,CSV貼付!$A$5:$A$2004,"&lt;"&amp;F$4+1,CSV貼付!$B$5:$B$2004,$B25))</f>
        <v/>
      </c>
      <c r="G25" s="55" t="str">
        <f aca="false">IF(OR($B25="",G$4=""),"",SUMIFS(CSV貼付!$C$5:$C$2004,CSV貼付!$A$5:$A$2004,"&gt;="&amp;G$4,CSV貼付!$A$5:$A$2004,"&lt;"&amp;G$4+1,CSV貼付!$B$5:$B$2004,$B25))</f>
        <v/>
      </c>
      <c r="H25" s="55" t="str">
        <f aca="false">IF(OR($B25="",H$4=""),"",SUMIFS(CSV貼付!$C$5:$C$2004,CSV貼付!$A$5:$A$2004,"&gt;="&amp;H$4,CSV貼付!$A$5:$A$2004,"&lt;"&amp;H$4+1,CSV貼付!$B$5:$B$2004,$B25))</f>
        <v/>
      </c>
      <c r="I25" s="55" t="str">
        <f aca="false">IF(OR($B25="",I$4=""),"",SUMIFS(CSV貼付!$C$5:$C$2004,CSV貼付!$A$5:$A$2004,"&gt;="&amp;I$4,CSV貼付!$A$5:$A$2004,"&lt;"&amp;I$4+1,CSV貼付!$B$5:$B$2004,$B25))</f>
        <v/>
      </c>
      <c r="J25" s="56" t="str">
        <f aca="false">IF($B25="","",SUM(C25:I25))</f>
        <v/>
      </c>
      <c r="K25" s="57"/>
    </row>
    <row r="26" customFormat="false" ht="19.5" hidden="false" customHeight="true" outlineLevel="0" collapsed="false">
      <c r="A26" s="29" t="n">
        <v>18</v>
      </c>
      <c r="B26" s="54"/>
      <c r="C26" s="37" t="str">
        <f aca="false">IF(OR($B26="",C$4=""),"",SUMIFS(CSV貼付!$C$5:$C$2004,CSV貼付!$A$5:$A$2004,"&gt;="&amp;C$4,CSV貼付!$A$5:$A$2004,"&lt;"&amp;C$4+1,CSV貼付!$B$5:$B$2004,$B26))</f>
        <v/>
      </c>
      <c r="D26" s="37" t="str">
        <f aca="false">IF(OR($B26="",D$4=""),"",SUMIFS(CSV貼付!$C$5:$C$2004,CSV貼付!$A$5:$A$2004,"&gt;="&amp;D$4,CSV貼付!$A$5:$A$2004,"&lt;"&amp;D$4+1,CSV貼付!$B$5:$B$2004,$B26))</f>
        <v/>
      </c>
      <c r="E26" s="37" t="str">
        <f aca="false">IF(OR($B26="",E$4=""),"",SUMIFS(CSV貼付!$C$5:$C$2004,CSV貼付!$A$5:$A$2004,"&gt;="&amp;E$4,CSV貼付!$A$5:$A$2004,"&lt;"&amp;E$4+1,CSV貼付!$B$5:$B$2004,$B26))</f>
        <v/>
      </c>
      <c r="F26" s="37" t="str">
        <f aca="false">IF(OR($B26="",F$4=""),"",SUMIFS(CSV貼付!$C$5:$C$2004,CSV貼付!$A$5:$A$2004,"&gt;="&amp;F$4,CSV貼付!$A$5:$A$2004,"&lt;"&amp;F$4+1,CSV貼付!$B$5:$B$2004,$B26))</f>
        <v/>
      </c>
      <c r="G26" s="37" t="str">
        <f aca="false">IF(OR($B26="",G$4=""),"",SUMIFS(CSV貼付!$C$5:$C$2004,CSV貼付!$A$5:$A$2004,"&gt;="&amp;G$4,CSV貼付!$A$5:$A$2004,"&lt;"&amp;G$4+1,CSV貼付!$B$5:$B$2004,$B26))</f>
        <v/>
      </c>
      <c r="H26" s="37" t="str">
        <f aca="false">IF(OR($B26="",H$4=""),"",SUMIFS(CSV貼付!$C$5:$C$2004,CSV貼付!$A$5:$A$2004,"&gt;="&amp;H$4,CSV貼付!$A$5:$A$2004,"&lt;"&amp;H$4+1,CSV貼付!$B$5:$B$2004,$B26))</f>
        <v/>
      </c>
      <c r="I26" s="37" t="str">
        <f aca="false">IF(OR($B26="",I$4=""),"",SUMIFS(CSV貼付!$C$5:$C$2004,CSV貼付!$A$5:$A$2004,"&gt;="&amp;I$4,CSV貼付!$A$5:$A$2004,"&lt;"&amp;I$4+1,CSV貼付!$B$5:$B$2004,$B26))</f>
        <v/>
      </c>
      <c r="J26" s="56" t="str">
        <f aca="false">IF($B26="","",SUM(C26:I26))</f>
        <v/>
      </c>
      <c r="K26" s="57"/>
    </row>
    <row r="27" customFormat="false" ht="19.5" hidden="false" customHeight="true" outlineLevel="0" collapsed="false">
      <c r="A27" s="29" t="n">
        <v>19</v>
      </c>
      <c r="B27" s="54"/>
      <c r="C27" s="55" t="str">
        <f aca="false">IF(OR($B27="",C$4=""),"",SUMIFS(CSV貼付!$C$5:$C$2004,CSV貼付!$A$5:$A$2004,"&gt;="&amp;C$4,CSV貼付!$A$5:$A$2004,"&lt;"&amp;C$4+1,CSV貼付!$B$5:$B$2004,$B27))</f>
        <v/>
      </c>
      <c r="D27" s="55" t="str">
        <f aca="false">IF(OR($B27="",D$4=""),"",SUMIFS(CSV貼付!$C$5:$C$2004,CSV貼付!$A$5:$A$2004,"&gt;="&amp;D$4,CSV貼付!$A$5:$A$2004,"&lt;"&amp;D$4+1,CSV貼付!$B$5:$B$2004,$B27))</f>
        <v/>
      </c>
      <c r="E27" s="55" t="str">
        <f aca="false">IF(OR($B27="",E$4=""),"",SUMIFS(CSV貼付!$C$5:$C$2004,CSV貼付!$A$5:$A$2004,"&gt;="&amp;E$4,CSV貼付!$A$5:$A$2004,"&lt;"&amp;E$4+1,CSV貼付!$B$5:$B$2004,$B27))</f>
        <v/>
      </c>
      <c r="F27" s="55" t="str">
        <f aca="false">IF(OR($B27="",F$4=""),"",SUMIFS(CSV貼付!$C$5:$C$2004,CSV貼付!$A$5:$A$2004,"&gt;="&amp;F$4,CSV貼付!$A$5:$A$2004,"&lt;"&amp;F$4+1,CSV貼付!$B$5:$B$2004,$B27))</f>
        <v/>
      </c>
      <c r="G27" s="55" t="str">
        <f aca="false">IF(OR($B27="",G$4=""),"",SUMIFS(CSV貼付!$C$5:$C$2004,CSV貼付!$A$5:$A$2004,"&gt;="&amp;G$4,CSV貼付!$A$5:$A$2004,"&lt;"&amp;G$4+1,CSV貼付!$B$5:$B$2004,$B27))</f>
        <v/>
      </c>
      <c r="H27" s="55" t="str">
        <f aca="false">IF(OR($B27="",H$4=""),"",SUMIFS(CSV貼付!$C$5:$C$2004,CSV貼付!$A$5:$A$2004,"&gt;="&amp;H$4,CSV貼付!$A$5:$A$2004,"&lt;"&amp;H$4+1,CSV貼付!$B$5:$B$2004,$B27))</f>
        <v/>
      </c>
      <c r="I27" s="55" t="str">
        <f aca="false">IF(OR($B27="",I$4=""),"",SUMIFS(CSV貼付!$C$5:$C$2004,CSV貼付!$A$5:$A$2004,"&gt;="&amp;I$4,CSV貼付!$A$5:$A$2004,"&lt;"&amp;I$4+1,CSV貼付!$B$5:$B$2004,$B27))</f>
        <v/>
      </c>
      <c r="J27" s="56" t="str">
        <f aca="false">IF($B27="","",SUM(C27:I27))</f>
        <v/>
      </c>
      <c r="K27" s="57"/>
    </row>
    <row r="28" customFormat="false" ht="19.5" hidden="false" customHeight="true" outlineLevel="0" collapsed="false">
      <c r="A28" s="29" t="n">
        <v>20</v>
      </c>
      <c r="B28" s="54"/>
      <c r="C28" s="37" t="str">
        <f aca="false">IF(OR($B28="",C$4=""),"",SUMIFS(CSV貼付!$C$5:$C$2004,CSV貼付!$A$5:$A$2004,"&gt;="&amp;C$4,CSV貼付!$A$5:$A$2004,"&lt;"&amp;C$4+1,CSV貼付!$B$5:$B$2004,$B28))</f>
        <v/>
      </c>
      <c r="D28" s="37" t="str">
        <f aca="false">IF(OR($B28="",D$4=""),"",SUMIFS(CSV貼付!$C$5:$C$2004,CSV貼付!$A$5:$A$2004,"&gt;="&amp;D$4,CSV貼付!$A$5:$A$2004,"&lt;"&amp;D$4+1,CSV貼付!$B$5:$B$2004,$B28))</f>
        <v/>
      </c>
      <c r="E28" s="37" t="str">
        <f aca="false">IF(OR($B28="",E$4=""),"",SUMIFS(CSV貼付!$C$5:$C$2004,CSV貼付!$A$5:$A$2004,"&gt;="&amp;E$4,CSV貼付!$A$5:$A$2004,"&lt;"&amp;E$4+1,CSV貼付!$B$5:$B$2004,$B28))</f>
        <v/>
      </c>
      <c r="F28" s="37" t="str">
        <f aca="false">IF(OR($B28="",F$4=""),"",SUMIFS(CSV貼付!$C$5:$C$2004,CSV貼付!$A$5:$A$2004,"&gt;="&amp;F$4,CSV貼付!$A$5:$A$2004,"&lt;"&amp;F$4+1,CSV貼付!$B$5:$B$2004,$B28))</f>
        <v/>
      </c>
      <c r="G28" s="37" t="str">
        <f aca="false">IF(OR($B28="",G$4=""),"",SUMIFS(CSV貼付!$C$5:$C$2004,CSV貼付!$A$5:$A$2004,"&gt;="&amp;G$4,CSV貼付!$A$5:$A$2004,"&lt;"&amp;G$4+1,CSV貼付!$B$5:$B$2004,$B28))</f>
        <v/>
      </c>
      <c r="H28" s="37" t="str">
        <f aca="false">IF(OR($B28="",H$4=""),"",SUMIFS(CSV貼付!$C$5:$C$2004,CSV貼付!$A$5:$A$2004,"&gt;="&amp;H$4,CSV貼付!$A$5:$A$2004,"&lt;"&amp;H$4+1,CSV貼付!$B$5:$B$2004,$B28))</f>
        <v/>
      </c>
      <c r="I28" s="37" t="str">
        <f aca="false">IF(OR($B28="",I$4=""),"",SUMIFS(CSV貼付!$C$5:$C$2004,CSV貼付!$A$5:$A$2004,"&gt;="&amp;I$4,CSV貼付!$A$5:$A$2004,"&lt;"&amp;I$4+1,CSV貼付!$B$5:$B$2004,$B28))</f>
        <v/>
      </c>
      <c r="J28" s="56" t="str">
        <f aca="false">IF($B28="","",SUM(C28:I28))</f>
        <v/>
      </c>
      <c r="K28" s="57"/>
    </row>
    <row r="29" customFormat="false" ht="25.5" hidden="false" customHeight="true" outlineLevel="0" collapsed="false">
      <c r="A29" s="58" t="s">
        <v>71</v>
      </c>
      <c r="B29" s="58"/>
      <c r="C29" s="58"/>
      <c r="D29" s="58"/>
      <c r="E29" s="58"/>
      <c r="F29" s="58"/>
      <c r="G29" s="58"/>
      <c r="H29" s="58"/>
      <c r="I29" s="58"/>
      <c r="J29" s="58"/>
      <c r="K29" s="58"/>
    </row>
  </sheetData>
  <mergeCells count="4">
    <mergeCell ref="A1:K1"/>
    <mergeCell ref="C2:D2"/>
    <mergeCell ref="F2:K2"/>
    <mergeCell ref="A29:K29"/>
  </mergeCells>
  <conditionalFormatting sqref="C4:I5">
    <cfRule type="expression" priority="2" aboveAverage="0" equalAverage="0" bottom="0" percent="0" rank="0" text="" dxfId="1">
      <formula>WEEKDAY(C$4)=1</formula>
    </cfRule>
    <cfRule type="expression" priority="3" aboveAverage="0" equalAverage="0" bottom="0" percent="0" rank="0" text="" dxfId="2">
      <formula>WEEKDAY(C$4)=7</formula>
    </cfRule>
  </conditionalFormatting>
  <conditionalFormatting sqref="C7:I7">
    <cfRule type="expression" priority="4" aboveAverage="0" equalAverage="0" bottom="0" percent="0" rank="0" text="" dxfId="3">
      <formula>C$7="✔"</formula>
    </cfRule>
    <cfRule type="expression" priority="5" aboveAverage="0" equalAverage="0" bottom="0" percent="0" rank="0" text="" dxfId="4">
      <formula>ISNUMBER(SEARCH("⚠",C$7))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E9A13B"/>
    <pageSetUpPr fitToPage="true"/>
  </sheetPr>
  <dimension ref="A1:J200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28"/>
    <col collapsed="false" customWidth="true" hidden="false" outlineLevel="0" max="3" min="3" style="0" width="10"/>
    <col collapsed="false" customWidth="true" hidden="false" outlineLevel="0" max="4" min="4" style="0" width="13"/>
    <col collapsed="false" customWidth="true" hidden="false" outlineLevel="0" max="7" min="5" style="0" width="10"/>
    <col collapsed="false" customWidth="true" hidden="false" outlineLevel="0" max="8" min="8" style="0" width="2.5"/>
    <col collapsed="false" customWidth="true" hidden="false" outlineLevel="0" max="9" min="9" style="0" width="15"/>
    <col collapsed="false" customWidth="true" hidden="false" outlineLevel="0" max="10" min="10" style="0" width="9"/>
  </cols>
  <sheetData>
    <row r="1" customFormat="false" ht="33.75" hidden="false" customHeight="true" outlineLevel="0" collapsed="false">
      <c r="A1" s="1" t="s">
        <v>72</v>
      </c>
      <c r="B1" s="1"/>
      <c r="C1" s="1"/>
      <c r="D1" s="1"/>
      <c r="E1" s="1"/>
      <c r="F1" s="1"/>
      <c r="G1" s="1"/>
      <c r="H1" s="1"/>
      <c r="I1" s="1"/>
      <c r="J1" s="1"/>
    </row>
    <row r="2" customFormat="false" ht="30" hidden="false" customHeight="true" outlineLevel="0" collapsed="false">
      <c r="A2" s="6" t="s">
        <v>73</v>
      </c>
      <c r="B2" s="6"/>
      <c r="C2" s="6"/>
      <c r="D2" s="6"/>
      <c r="E2" s="6"/>
      <c r="F2" s="6"/>
      <c r="G2" s="6"/>
      <c r="I2" s="59" t="s">
        <v>74</v>
      </c>
      <c r="J2" s="60" t="n">
        <f aca="false">COUNTA($A$5:$A$2004)</f>
        <v>84</v>
      </c>
    </row>
    <row r="3" customFormat="false" ht="18" hidden="false" customHeight="true" outlineLevel="0" collapsed="false">
      <c r="I3" s="59" t="s">
        <v>75</v>
      </c>
      <c r="J3" s="60" t="n">
        <f aca="false">SUMPRODUCT(($B$5:$B$2004&lt;&gt;"")*ISNA(MATCH($B$5:$B$2004,日別データ!$B$9:$B$28,0)))</f>
        <v>0</v>
      </c>
    </row>
    <row r="4" customFormat="false" ht="21.75" hidden="false" customHeight="true" outlineLevel="0" collapsed="false">
      <c r="A4" s="52" t="s">
        <v>76</v>
      </c>
      <c r="B4" s="52" t="s">
        <v>38</v>
      </c>
      <c r="C4" s="52" t="s">
        <v>77</v>
      </c>
      <c r="D4" s="52" t="s">
        <v>78</v>
      </c>
      <c r="E4" s="52" t="s">
        <v>79</v>
      </c>
      <c r="F4" s="52" t="s">
        <v>79</v>
      </c>
      <c r="G4" s="52" t="s">
        <v>79</v>
      </c>
      <c r="I4" s="52" t="s">
        <v>80</v>
      </c>
    </row>
    <row r="5" customFormat="false" ht="15" hidden="false" customHeight="false" outlineLevel="0" collapsed="false">
      <c r="A5" s="61" t="n">
        <v>46253</v>
      </c>
      <c r="B5" s="62" t="s">
        <v>81</v>
      </c>
      <c r="C5" s="63" t="n">
        <v>313</v>
      </c>
      <c r="D5" s="63" t="n">
        <v>172150</v>
      </c>
      <c r="E5" s="62"/>
      <c r="F5" s="62"/>
      <c r="G5" s="62"/>
      <c r="I5" s="64" t="str">
        <f aca="false">IF($B5="","",IF(ISNUMBER(MATCH($B5,日別データ!$B$9:$B$28,0)),"✔ OK","⚠ 未登録"))</f>
        <v>✔ OK</v>
      </c>
    </row>
    <row r="6" customFormat="false" ht="15" hidden="false" customHeight="false" outlineLevel="0" collapsed="false">
      <c r="A6" s="61" t="n">
        <v>46253</v>
      </c>
      <c r="B6" s="62" t="s">
        <v>82</v>
      </c>
      <c r="C6" s="63" t="n">
        <v>251</v>
      </c>
      <c r="D6" s="63" t="n">
        <v>143070</v>
      </c>
      <c r="E6" s="62"/>
      <c r="F6" s="62"/>
      <c r="G6" s="62"/>
      <c r="I6" s="64" t="str">
        <f aca="false">IF($B6="","",IF(ISNUMBER(MATCH($B6,日別データ!$B$9:$B$28,0)),"✔ OK","⚠ 未登録"))</f>
        <v>✔ OK</v>
      </c>
    </row>
    <row r="7" customFormat="false" ht="15" hidden="false" customHeight="false" outlineLevel="0" collapsed="false">
      <c r="A7" s="61" t="n">
        <v>46253</v>
      </c>
      <c r="B7" s="62" t="s">
        <v>61</v>
      </c>
      <c r="C7" s="63" t="n">
        <v>185</v>
      </c>
      <c r="D7" s="63" t="n">
        <v>111000</v>
      </c>
      <c r="E7" s="62"/>
      <c r="F7" s="62"/>
      <c r="G7" s="62"/>
      <c r="I7" s="64" t="str">
        <f aca="false">IF($B7="","",IF(ISNUMBER(MATCH($B7,日別データ!$B$9:$B$28,0)),"✔ OK","⚠ 未登録"))</f>
        <v>✔ OK</v>
      </c>
    </row>
    <row r="8" customFormat="false" ht="15" hidden="false" customHeight="false" outlineLevel="0" collapsed="false">
      <c r="A8" s="61" t="n">
        <v>46253</v>
      </c>
      <c r="B8" s="62" t="s">
        <v>83</v>
      </c>
      <c r="C8" s="63" t="n">
        <v>196</v>
      </c>
      <c r="D8" s="63" t="n">
        <v>66640</v>
      </c>
      <c r="E8" s="62"/>
      <c r="F8" s="62"/>
      <c r="G8" s="62"/>
      <c r="I8" s="64" t="str">
        <f aca="false">IF($B8="","",IF(ISNUMBER(MATCH($B8,日別データ!$B$9:$B$28,0)),"✔ OK","⚠ 未登録"))</f>
        <v>✔ OK</v>
      </c>
    </row>
    <row r="9" customFormat="false" ht="15" hidden="false" customHeight="false" outlineLevel="0" collapsed="false">
      <c r="A9" s="61" t="n">
        <v>46253</v>
      </c>
      <c r="B9" s="62" t="s">
        <v>84</v>
      </c>
      <c r="C9" s="63" t="n">
        <v>346</v>
      </c>
      <c r="D9" s="63" t="n">
        <v>138400</v>
      </c>
      <c r="E9" s="62"/>
      <c r="F9" s="62"/>
      <c r="G9" s="62"/>
      <c r="I9" s="64" t="str">
        <f aca="false">IF($B9="","",IF(ISNUMBER(MATCH($B9,日別データ!$B$9:$B$28,0)),"✔ OK","⚠ 未登録"))</f>
        <v>✔ OK</v>
      </c>
    </row>
    <row r="10" customFormat="false" ht="15" hidden="false" customHeight="false" outlineLevel="0" collapsed="false">
      <c r="A10" s="61" t="n">
        <v>46253</v>
      </c>
      <c r="B10" s="62" t="s">
        <v>85</v>
      </c>
      <c r="C10" s="63" t="n">
        <v>126</v>
      </c>
      <c r="D10" s="63" t="n">
        <v>57960</v>
      </c>
      <c r="E10" s="62"/>
      <c r="F10" s="62"/>
      <c r="G10" s="62"/>
      <c r="I10" s="64" t="str">
        <f aca="false">IF($B10="","",IF(ISNUMBER(MATCH($B10,日別データ!$B$9:$B$28,0)),"✔ OK","⚠ 未登録"))</f>
        <v>✔ OK</v>
      </c>
    </row>
    <row r="11" customFormat="false" ht="15" hidden="false" customHeight="false" outlineLevel="0" collapsed="false">
      <c r="A11" s="61" t="n">
        <v>46253</v>
      </c>
      <c r="B11" s="62" t="s">
        <v>65</v>
      </c>
      <c r="C11" s="63" t="n">
        <v>104</v>
      </c>
      <c r="D11" s="63" t="n">
        <v>39520</v>
      </c>
      <c r="E11" s="62"/>
      <c r="F11" s="62"/>
      <c r="G11" s="62"/>
      <c r="I11" s="64" t="str">
        <f aca="false">IF($B11="","",IF(ISNUMBER(MATCH($B11,日別データ!$B$9:$B$28,0)),"✔ OK","⚠ 未登録"))</f>
        <v>✔ OK</v>
      </c>
    </row>
    <row r="12" customFormat="false" ht="15" hidden="false" customHeight="false" outlineLevel="0" collapsed="false">
      <c r="A12" s="61" t="n">
        <v>46253</v>
      </c>
      <c r="B12" s="62" t="s">
        <v>66</v>
      </c>
      <c r="C12" s="63" t="n">
        <v>80</v>
      </c>
      <c r="D12" s="63" t="n">
        <v>40000</v>
      </c>
      <c r="E12" s="62"/>
      <c r="F12" s="62"/>
      <c r="G12" s="62"/>
      <c r="I12" s="64" t="str">
        <f aca="false">IF($B12="","",IF(ISNUMBER(MATCH($B12,日別データ!$B$9:$B$28,0)),"✔ OK","⚠ 未登録"))</f>
        <v>✔ OK</v>
      </c>
    </row>
    <row r="13" customFormat="false" ht="15" hidden="false" customHeight="false" outlineLevel="0" collapsed="false">
      <c r="A13" s="61" t="n">
        <v>46253</v>
      </c>
      <c r="B13" s="62" t="s">
        <v>67</v>
      </c>
      <c r="C13" s="63" t="n">
        <v>59</v>
      </c>
      <c r="D13" s="63" t="n">
        <v>28320</v>
      </c>
      <c r="E13" s="62"/>
      <c r="F13" s="62"/>
      <c r="G13" s="62"/>
      <c r="I13" s="64" t="str">
        <f aca="false">IF($B13="","",IF(ISNUMBER(MATCH($B13,日別データ!$B$9:$B$28,0)),"✔ OK","⚠ 未登録"))</f>
        <v>✔ OK</v>
      </c>
    </row>
    <row r="14" customFormat="false" ht="15" hidden="false" customHeight="false" outlineLevel="0" collapsed="false">
      <c r="A14" s="61" t="n">
        <v>46253</v>
      </c>
      <c r="B14" s="62" t="s">
        <v>68</v>
      </c>
      <c r="C14" s="63" t="n">
        <v>121</v>
      </c>
      <c r="D14" s="63" t="n">
        <v>50820</v>
      </c>
      <c r="E14" s="62"/>
      <c r="F14" s="62"/>
      <c r="G14" s="62"/>
      <c r="I14" s="64" t="str">
        <f aca="false">IF($B14="","",IF(ISNUMBER(MATCH($B14,日別データ!$B$9:$B$28,0)),"✔ OK","⚠ 未登録"))</f>
        <v>✔ OK</v>
      </c>
    </row>
    <row r="15" customFormat="false" ht="15" hidden="false" customHeight="false" outlineLevel="0" collapsed="false">
      <c r="A15" s="61" t="n">
        <v>46253</v>
      </c>
      <c r="B15" s="62" t="s">
        <v>69</v>
      </c>
      <c r="C15" s="63" t="n">
        <v>58</v>
      </c>
      <c r="D15" s="63" t="n">
        <v>26100</v>
      </c>
      <c r="E15" s="62"/>
      <c r="F15" s="62"/>
      <c r="G15" s="62"/>
      <c r="I15" s="64" t="str">
        <f aca="false">IF($B15="","",IF(ISNUMBER(MATCH($B15,日別データ!$B$9:$B$28,0)),"✔ OK","⚠ 未登録"))</f>
        <v>✔ OK</v>
      </c>
    </row>
    <row r="16" customFormat="false" ht="15" hidden="false" customHeight="false" outlineLevel="0" collapsed="false">
      <c r="A16" s="61" t="n">
        <v>46253</v>
      </c>
      <c r="B16" s="62" t="s">
        <v>70</v>
      </c>
      <c r="C16" s="63" t="n">
        <v>48</v>
      </c>
      <c r="D16" s="63" t="n">
        <v>16800</v>
      </c>
      <c r="E16" s="62"/>
      <c r="F16" s="62"/>
      <c r="G16" s="62"/>
      <c r="I16" s="64" t="str">
        <f aca="false">IF($B16="","",IF(ISNUMBER(MATCH($B16,日別データ!$B$9:$B$28,0)),"✔ OK","⚠ 未登録"))</f>
        <v>✔ OK</v>
      </c>
    </row>
    <row r="17" customFormat="false" ht="15" hidden="false" customHeight="false" outlineLevel="0" collapsed="false">
      <c r="A17" s="61" t="n">
        <v>46254</v>
      </c>
      <c r="B17" s="62" t="s">
        <v>81</v>
      </c>
      <c r="C17" s="63" t="n">
        <v>251</v>
      </c>
      <c r="D17" s="63" t="n">
        <v>138050</v>
      </c>
      <c r="E17" s="62"/>
      <c r="F17" s="62"/>
      <c r="G17" s="62"/>
      <c r="I17" s="64" t="str">
        <f aca="false">IF($B17="","",IF(ISNUMBER(MATCH($B17,日別データ!$B$9:$B$28,0)),"✔ OK","⚠ 未登録"))</f>
        <v>✔ OK</v>
      </c>
    </row>
    <row r="18" customFormat="false" ht="15" hidden="false" customHeight="false" outlineLevel="0" collapsed="false">
      <c r="A18" s="61" t="n">
        <v>46254</v>
      </c>
      <c r="B18" s="62" t="s">
        <v>82</v>
      </c>
      <c r="C18" s="63" t="n">
        <v>219</v>
      </c>
      <c r="D18" s="63" t="n">
        <v>124830</v>
      </c>
      <c r="E18" s="62"/>
      <c r="F18" s="62"/>
      <c r="G18" s="62"/>
      <c r="I18" s="64" t="str">
        <f aca="false">IF($B18="","",IF(ISNUMBER(MATCH($B18,日別データ!$B$9:$B$28,0)),"✔ OK","⚠ 未登録"))</f>
        <v>✔ OK</v>
      </c>
    </row>
    <row r="19" customFormat="false" ht="15" hidden="false" customHeight="false" outlineLevel="0" collapsed="false">
      <c r="A19" s="61" t="n">
        <v>46254</v>
      </c>
      <c r="B19" s="62" t="s">
        <v>61</v>
      </c>
      <c r="C19" s="63" t="n">
        <v>143</v>
      </c>
      <c r="D19" s="63" t="n">
        <v>85800</v>
      </c>
      <c r="E19" s="62"/>
      <c r="F19" s="62"/>
      <c r="G19" s="62"/>
      <c r="I19" s="64" t="str">
        <f aca="false">IF($B19="","",IF(ISNUMBER(MATCH($B19,日別データ!$B$9:$B$28,0)),"✔ OK","⚠ 未登録"))</f>
        <v>✔ OK</v>
      </c>
    </row>
    <row r="20" customFormat="false" ht="15" hidden="false" customHeight="false" outlineLevel="0" collapsed="false">
      <c r="A20" s="61" t="n">
        <v>46254</v>
      </c>
      <c r="B20" s="62" t="s">
        <v>83</v>
      </c>
      <c r="C20" s="63" t="n">
        <v>156</v>
      </c>
      <c r="D20" s="63" t="n">
        <v>53040</v>
      </c>
      <c r="E20" s="62"/>
      <c r="F20" s="62"/>
      <c r="G20" s="62"/>
      <c r="I20" s="64" t="str">
        <f aca="false">IF($B20="","",IF(ISNUMBER(MATCH($B20,日別データ!$B$9:$B$28,0)),"✔ OK","⚠ 未登録"))</f>
        <v>✔ OK</v>
      </c>
    </row>
    <row r="21" customFormat="false" ht="15" hidden="false" customHeight="false" outlineLevel="0" collapsed="false">
      <c r="A21" s="61" t="n">
        <v>46254</v>
      </c>
      <c r="B21" s="62" t="s">
        <v>84</v>
      </c>
      <c r="C21" s="63" t="n">
        <v>399</v>
      </c>
      <c r="D21" s="63" t="n">
        <v>159600</v>
      </c>
      <c r="E21" s="62"/>
      <c r="F21" s="62"/>
      <c r="G21" s="62"/>
      <c r="I21" s="64" t="str">
        <f aca="false">IF($B21="","",IF(ISNUMBER(MATCH($B21,日別データ!$B$9:$B$28,0)),"✔ OK","⚠ 未登録"))</f>
        <v>✔ OK</v>
      </c>
    </row>
    <row r="22" customFormat="false" ht="15" hidden="false" customHeight="false" outlineLevel="0" collapsed="false">
      <c r="A22" s="61" t="n">
        <v>46254</v>
      </c>
      <c r="B22" s="62" t="s">
        <v>85</v>
      </c>
      <c r="C22" s="63" t="n">
        <v>135</v>
      </c>
      <c r="D22" s="63" t="n">
        <v>62100</v>
      </c>
      <c r="E22" s="62"/>
      <c r="F22" s="62"/>
      <c r="G22" s="62"/>
      <c r="I22" s="64" t="str">
        <f aca="false">IF($B22="","",IF(ISNUMBER(MATCH($B22,日別データ!$B$9:$B$28,0)),"✔ OK","⚠ 未登録"))</f>
        <v>✔ OK</v>
      </c>
    </row>
    <row r="23" customFormat="false" ht="15" hidden="false" customHeight="false" outlineLevel="0" collapsed="false">
      <c r="A23" s="61" t="n">
        <v>46254</v>
      </c>
      <c r="B23" s="62" t="s">
        <v>65</v>
      </c>
      <c r="C23" s="63" t="n">
        <v>118</v>
      </c>
      <c r="D23" s="63" t="n">
        <v>44840</v>
      </c>
      <c r="E23" s="62"/>
      <c r="F23" s="62"/>
      <c r="G23" s="62"/>
      <c r="I23" s="64" t="str">
        <f aca="false">IF($B23="","",IF(ISNUMBER(MATCH($B23,日別データ!$B$9:$B$28,0)),"✔ OK","⚠ 未登録"))</f>
        <v>✔ OK</v>
      </c>
    </row>
    <row r="24" customFormat="false" ht="15" hidden="false" customHeight="false" outlineLevel="0" collapsed="false">
      <c r="A24" s="61" t="n">
        <v>46254</v>
      </c>
      <c r="B24" s="62" t="s">
        <v>66</v>
      </c>
      <c r="C24" s="63" t="n">
        <v>86</v>
      </c>
      <c r="D24" s="63" t="n">
        <v>43000</v>
      </c>
      <c r="E24" s="62"/>
      <c r="F24" s="62"/>
      <c r="G24" s="62"/>
      <c r="I24" s="64" t="str">
        <f aca="false">IF($B24="","",IF(ISNUMBER(MATCH($B24,日別データ!$B$9:$B$28,0)),"✔ OK","⚠ 未登録"))</f>
        <v>✔ OK</v>
      </c>
    </row>
    <row r="25" customFormat="false" ht="15" hidden="false" customHeight="false" outlineLevel="0" collapsed="false">
      <c r="A25" s="61" t="n">
        <v>46254</v>
      </c>
      <c r="B25" s="62" t="s">
        <v>67</v>
      </c>
      <c r="C25" s="63" t="n">
        <v>55</v>
      </c>
      <c r="D25" s="63" t="n">
        <v>26400</v>
      </c>
      <c r="E25" s="62"/>
      <c r="F25" s="62"/>
      <c r="G25" s="62"/>
      <c r="I25" s="64" t="str">
        <f aca="false">IF($B25="","",IF(ISNUMBER(MATCH($B25,日別データ!$B$9:$B$28,0)),"✔ OK","⚠ 未登録"))</f>
        <v>✔ OK</v>
      </c>
    </row>
    <row r="26" customFormat="false" ht="15" hidden="false" customHeight="false" outlineLevel="0" collapsed="false">
      <c r="A26" s="61" t="n">
        <v>46254</v>
      </c>
      <c r="B26" s="62" t="s">
        <v>68</v>
      </c>
      <c r="C26" s="63" t="n">
        <v>111</v>
      </c>
      <c r="D26" s="63" t="n">
        <v>46620</v>
      </c>
      <c r="E26" s="62"/>
      <c r="F26" s="62"/>
      <c r="G26" s="62"/>
      <c r="I26" s="64" t="str">
        <f aca="false">IF($B26="","",IF(ISNUMBER(MATCH($B26,日別データ!$B$9:$B$28,0)),"✔ OK","⚠ 未登録"))</f>
        <v>✔ OK</v>
      </c>
    </row>
    <row r="27" customFormat="false" ht="15" hidden="false" customHeight="false" outlineLevel="0" collapsed="false">
      <c r="A27" s="61" t="n">
        <v>46254</v>
      </c>
      <c r="B27" s="62" t="s">
        <v>69</v>
      </c>
      <c r="C27" s="63" t="n">
        <v>63</v>
      </c>
      <c r="D27" s="63" t="n">
        <v>28350</v>
      </c>
      <c r="E27" s="62"/>
      <c r="F27" s="62"/>
      <c r="G27" s="62"/>
      <c r="I27" s="64" t="str">
        <f aca="false">IF($B27="","",IF(ISNUMBER(MATCH($B27,日別データ!$B$9:$B$28,0)),"✔ OK","⚠ 未登録"))</f>
        <v>✔ OK</v>
      </c>
    </row>
    <row r="28" customFormat="false" ht="15" hidden="false" customHeight="false" outlineLevel="0" collapsed="false">
      <c r="A28" s="61" t="n">
        <v>46254</v>
      </c>
      <c r="B28" s="62" t="s">
        <v>70</v>
      </c>
      <c r="C28" s="63" t="n">
        <v>44</v>
      </c>
      <c r="D28" s="63" t="n">
        <v>15400</v>
      </c>
      <c r="E28" s="62"/>
      <c r="F28" s="62"/>
      <c r="G28" s="62"/>
      <c r="I28" s="64" t="str">
        <f aca="false">IF($B28="","",IF(ISNUMBER(MATCH($B28,日別データ!$B$9:$B$28,0)),"✔ OK","⚠ 未登録"))</f>
        <v>✔ OK</v>
      </c>
    </row>
    <row r="29" customFormat="false" ht="15" hidden="false" customHeight="false" outlineLevel="0" collapsed="false">
      <c r="A29" s="61" t="n">
        <v>46255</v>
      </c>
      <c r="B29" s="62" t="s">
        <v>81</v>
      </c>
      <c r="C29" s="63" t="n">
        <v>414</v>
      </c>
      <c r="D29" s="63" t="n">
        <v>227700</v>
      </c>
      <c r="E29" s="62"/>
      <c r="F29" s="62"/>
      <c r="G29" s="62"/>
      <c r="I29" s="64" t="str">
        <f aca="false">IF($B29="","",IF(ISNUMBER(MATCH($B29,日別データ!$B$9:$B$28,0)),"✔ OK","⚠ 未登録"))</f>
        <v>✔ OK</v>
      </c>
    </row>
    <row r="30" customFormat="false" ht="15" hidden="false" customHeight="false" outlineLevel="0" collapsed="false">
      <c r="A30" s="61" t="n">
        <v>46255</v>
      </c>
      <c r="B30" s="62" t="s">
        <v>82</v>
      </c>
      <c r="C30" s="63" t="n">
        <v>316</v>
      </c>
      <c r="D30" s="63" t="n">
        <v>180120</v>
      </c>
      <c r="E30" s="62"/>
      <c r="F30" s="62"/>
      <c r="G30" s="62"/>
      <c r="I30" s="64" t="str">
        <f aca="false">IF($B30="","",IF(ISNUMBER(MATCH($B30,日別データ!$B$9:$B$28,0)),"✔ OK","⚠ 未登録"))</f>
        <v>✔ OK</v>
      </c>
    </row>
    <row r="31" customFormat="false" ht="15" hidden="false" customHeight="false" outlineLevel="0" collapsed="false">
      <c r="A31" s="61" t="n">
        <v>46255</v>
      </c>
      <c r="B31" s="62" t="s">
        <v>61</v>
      </c>
      <c r="C31" s="63" t="n">
        <v>209</v>
      </c>
      <c r="D31" s="63" t="n">
        <v>125400</v>
      </c>
      <c r="E31" s="62"/>
      <c r="F31" s="62"/>
      <c r="G31" s="62"/>
      <c r="I31" s="64" t="str">
        <f aca="false">IF($B31="","",IF(ISNUMBER(MATCH($B31,日別データ!$B$9:$B$28,0)),"✔ OK","⚠ 未登録"))</f>
        <v>✔ OK</v>
      </c>
    </row>
    <row r="32" customFormat="false" ht="15" hidden="false" customHeight="false" outlineLevel="0" collapsed="false">
      <c r="A32" s="61" t="n">
        <v>46255</v>
      </c>
      <c r="B32" s="62" t="s">
        <v>83</v>
      </c>
      <c r="C32" s="63" t="n">
        <v>213</v>
      </c>
      <c r="D32" s="63" t="n">
        <v>72420</v>
      </c>
      <c r="E32" s="62"/>
      <c r="F32" s="62"/>
      <c r="G32" s="62"/>
      <c r="I32" s="64" t="str">
        <f aca="false">IF($B32="","",IF(ISNUMBER(MATCH($B32,日別データ!$B$9:$B$28,0)),"✔ OK","⚠ 未登録"))</f>
        <v>✔ OK</v>
      </c>
    </row>
    <row r="33" customFormat="false" ht="15" hidden="false" customHeight="false" outlineLevel="0" collapsed="false">
      <c r="A33" s="61" t="n">
        <v>46255</v>
      </c>
      <c r="B33" s="62" t="s">
        <v>84</v>
      </c>
      <c r="C33" s="63" t="n">
        <v>538</v>
      </c>
      <c r="D33" s="63" t="n">
        <v>215200</v>
      </c>
      <c r="E33" s="62"/>
      <c r="F33" s="62"/>
      <c r="G33" s="62"/>
      <c r="I33" s="64" t="str">
        <f aca="false">IF($B33="","",IF(ISNUMBER(MATCH($B33,日別データ!$B$9:$B$28,0)),"✔ OK","⚠ 未登録"))</f>
        <v>✔ OK</v>
      </c>
    </row>
    <row r="34" customFormat="false" ht="15" hidden="false" customHeight="false" outlineLevel="0" collapsed="false">
      <c r="A34" s="61" t="n">
        <v>46255</v>
      </c>
      <c r="B34" s="62" t="s">
        <v>85</v>
      </c>
      <c r="C34" s="63" t="n">
        <v>181</v>
      </c>
      <c r="D34" s="63" t="n">
        <v>83260</v>
      </c>
      <c r="E34" s="62"/>
      <c r="F34" s="62"/>
      <c r="G34" s="62"/>
      <c r="I34" s="64" t="str">
        <f aca="false">IF($B34="","",IF(ISNUMBER(MATCH($B34,日別データ!$B$9:$B$28,0)),"✔ OK","⚠ 未登録"))</f>
        <v>✔ OK</v>
      </c>
    </row>
    <row r="35" customFormat="false" ht="15" hidden="false" customHeight="false" outlineLevel="0" collapsed="false">
      <c r="A35" s="61" t="n">
        <v>46255</v>
      </c>
      <c r="B35" s="62" t="s">
        <v>65</v>
      </c>
      <c r="C35" s="63" t="n">
        <v>155</v>
      </c>
      <c r="D35" s="63" t="n">
        <v>58900</v>
      </c>
      <c r="E35" s="62"/>
      <c r="F35" s="62"/>
      <c r="G35" s="62"/>
      <c r="I35" s="64" t="str">
        <f aca="false">IF($B35="","",IF(ISNUMBER(MATCH($B35,日別データ!$B$9:$B$28,0)),"✔ OK","⚠ 未登録"))</f>
        <v>✔ OK</v>
      </c>
    </row>
    <row r="36" customFormat="false" ht="15" hidden="false" customHeight="false" outlineLevel="0" collapsed="false">
      <c r="A36" s="61" t="n">
        <v>46255</v>
      </c>
      <c r="B36" s="62" t="s">
        <v>66</v>
      </c>
      <c r="C36" s="63" t="n">
        <v>105</v>
      </c>
      <c r="D36" s="63" t="n">
        <v>52500</v>
      </c>
      <c r="E36" s="62"/>
      <c r="F36" s="62"/>
      <c r="G36" s="62"/>
      <c r="I36" s="64" t="str">
        <f aca="false">IF($B36="","",IF(ISNUMBER(MATCH($B36,日別データ!$B$9:$B$28,0)),"✔ OK","⚠ 未登録"))</f>
        <v>✔ OK</v>
      </c>
    </row>
    <row r="37" customFormat="false" ht="15" hidden="false" customHeight="false" outlineLevel="0" collapsed="false">
      <c r="A37" s="61" t="n">
        <v>46255</v>
      </c>
      <c r="B37" s="62" t="s">
        <v>67</v>
      </c>
      <c r="C37" s="63" t="n">
        <v>83</v>
      </c>
      <c r="D37" s="63" t="n">
        <v>39840</v>
      </c>
      <c r="E37" s="62"/>
      <c r="F37" s="62"/>
      <c r="G37" s="62"/>
      <c r="I37" s="64" t="str">
        <f aca="false">IF($B37="","",IF(ISNUMBER(MATCH($B37,日別データ!$B$9:$B$28,0)),"✔ OK","⚠ 未登録"))</f>
        <v>✔ OK</v>
      </c>
    </row>
    <row r="38" customFormat="false" ht="15" hidden="false" customHeight="false" outlineLevel="0" collapsed="false">
      <c r="A38" s="61" t="n">
        <v>46255</v>
      </c>
      <c r="B38" s="62" t="s">
        <v>68</v>
      </c>
      <c r="C38" s="63" t="n">
        <v>151</v>
      </c>
      <c r="D38" s="63" t="n">
        <v>63420</v>
      </c>
      <c r="E38" s="62"/>
      <c r="F38" s="62"/>
      <c r="G38" s="62"/>
      <c r="I38" s="64" t="str">
        <f aca="false">IF($B38="","",IF(ISNUMBER(MATCH($B38,日別データ!$B$9:$B$28,0)),"✔ OK","⚠ 未登録"))</f>
        <v>✔ OK</v>
      </c>
    </row>
    <row r="39" customFormat="false" ht="15" hidden="false" customHeight="false" outlineLevel="0" collapsed="false">
      <c r="A39" s="61" t="n">
        <v>46255</v>
      </c>
      <c r="B39" s="62" t="s">
        <v>69</v>
      </c>
      <c r="C39" s="63" t="n">
        <v>72</v>
      </c>
      <c r="D39" s="63" t="n">
        <v>32400</v>
      </c>
      <c r="E39" s="62"/>
      <c r="F39" s="62"/>
      <c r="G39" s="62"/>
      <c r="I39" s="64" t="str">
        <f aca="false">IF($B39="","",IF(ISNUMBER(MATCH($B39,日別データ!$B$9:$B$28,0)),"✔ OK","⚠ 未登録"))</f>
        <v>✔ OK</v>
      </c>
    </row>
    <row r="40" customFormat="false" ht="15" hidden="false" customHeight="false" outlineLevel="0" collapsed="false">
      <c r="A40" s="61" t="n">
        <v>46255</v>
      </c>
      <c r="B40" s="62" t="s">
        <v>70</v>
      </c>
      <c r="C40" s="63" t="n">
        <v>63</v>
      </c>
      <c r="D40" s="63" t="n">
        <v>22050</v>
      </c>
      <c r="E40" s="62"/>
      <c r="F40" s="62"/>
      <c r="G40" s="62"/>
      <c r="I40" s="64" t="str">
        <f aca="false">IF($B40="","",IF(ISNUMBER(MATCH($B40,日別データ!$B$9:$B$28,0)),"✔ OK","⚠ 未登録"))</f>
        <v>✔ OK</v>
      </c>
    </row>
    <row r="41" customFormat="false" ht="15" hidden="false" customHeight="false" outlineLevel="0" collapsed="false">
      <c r="A41" s="61" t="n">
        <v>46256</v>
      </c>
      <c r="B41" s="62" t="s">
        <v>81</v>
      </c>
      <c r="C41" s="63" t="n">
        <v>677</v>
      </c>
      <c r="D41" s="63" t="n">
        <v>372350</v>
      </c>
      <c r="E41" s="62"/>
      <c r="F41" s="62"/>
      <c r="G41" s="62"/>
      <c r="I41" s="64" t="str">
        <f aca="false">IF($B41="","",IF(ISNUMBER(MATCH($B41,日別データ!$B$9:$B$28,0)),"✔ OK","⚠ 未登録"))</f>
        <v>✔ OK</v>
      </c>
    </row>
    <row r="42" customFormat="false" ht="15" hidden="false" customHeight="false" outlineLevel="0" collapsed="false">
      <c r="A42" s="61" t="n">
        <v>46256</v>
      </c>
      <c r="B42" s="62" t="s">
        <v>82</v>
      </c>
      <c r="C42" s="63" t="n">
        <v>514</v>
      </c>
      <c r="D42" s="63" t="n">
        <v>292980</v>
      </c>
      <c r="E42" s="62"/>
      <c r="F42" s="62"/>
      <c r="G42" s="62"/>
      <c r="I42" s="64" t="str">
        <f aca="false">IF($B42="","",IF(ISNUMBER(MATCH($B42,日別データ!$B$9:$B$28,0)),"✔ OK","⚠ 未登録"))</f>
        <v>✔ OK</v>
      </c>
    </row>
    <row r="43" customFormat="false" ht="15" hidden="false" customHeight="false" outlineLevel="0" collapsed="false">
      <c r="A43" s="61" t="n">
        <v>46256</v>
      </c>
      <c r="B43" s="62" t="s">
        <v>61</v>
      </c>
      <c r="C43" s="63" t="n">
        <v>394</v>
      </c>
      <c r="D43" s="63" t="n">
        <v>236400</v>
      </c>
      <c r="E43" s="62"/>
      <c r="F43" s="62"/>
      <c r="G43" s="62"/>
      <c r="I43" s="64" t="str">
        <f aca="false">IF($B43="","",IF(ISNUMBER(MATCH($B43,日別データ!$B$9:$B$28,0)),"✔ OK","⚠ 未登録"))</f>
        <v>✔ OK</v>
      </c>
    </row>
    <row r="44" customFormat="false" ht="15" hidden="false" customHeight="false" outlineLevel="0" collapsed="false">
      <c r="A44" s="61" t="n">
        <v>46256</v>
      </c>
      <c r="B44" s="62" t="s">
        <v>83</v>
      </c>
      <c r="C44" s="63" t="n">
        <v>439</v>
      </c>
      <c r="D44" s="63" t="n">
        <v>149260</v>
      </c>
      <c r="E44" s="62"/>
      <c r="F44" s="62"/>
      <c r="G44" s="62"/>
      <c r="I44" s="64" t="str">
        <f aca="false">IF($B44="","",IF(ISNUMBER(MATCH($B44,日別データ!$B$9:$B$28,0)),"✔ OK","⚠ 未登録"))</f>
        <v>✔ OK</v>
      </c>
    </row>
    <row r="45" customFormat="false" ht="15" hidden="false" customHeight="false" outlineLevel="0" collapsed="false">
      <c r="A45" s="61" t="n">
        <v>46256</v>
      </c>
      <c r="B45" s="62" t="s">
        <v>84</v>
      </c>
      <c r="C45" s="63" t="n">
        <v>930</v>
      </c>
      <c r="D45" s="63" t="n">
        <v>372000</v>
      </c>
      <c r="E45" s="62"/>
      <c r="F45" s="62"/>
      <c r="G45" s="62"/>
      <c r="I45" s="64" t="str">
        <f aca="false">IF($B45="","",IF(ISNUMBER(MATCH($B45,日別データ!$B$9:$B$28,0)),"✔ OK","⚠ 未登録"))</f>
        <v>✔ OK</v>
      </c>
    </row>
    <row r="46" customFormat="false" ht="15" hidden="false" customHeight="false" outlineLevel="0" collapsed="false">
      <c r="A46" s="61" t="n">
        <v>46256</v>
      </c>
      <c r="B46" s="62" t="s">
        <v>85</v>
      </c>
      <c r="C46" s="63" t="n">
        <v>289</v>
      </c>
      <c r="D46" s="63" t="n">
        <v>132940</v>
      </c>
      <c r="E46" s="62"/>
      <c r="F46" s="62"/>
      <c r="G46" s="62"/>
      <c r="I46" s="64" t="str">
        <f aca="false">IF($B46="","",IF(ISNUMBER(MATCH($B46,日別データ!$B$9:$B$28,0)),"✔ OK","⚠ 未登録"))</f>
        <v>✔ OK</v>
      </c>
    </row>
    <row r="47" customFormat="false" ht="15" hidden="false" customHeight="false" outlineLevel="0" collapsed="false">
      <c r="A47" s="61" t="n">
        <v>46256</v>
      </c>
      <c r="B47" s="62" t="s">
        <v>65</v>
      </c>
      <c r="C47" s="63" t="n">
        <v>271</v>
      </c>
      <c r="D47" s="63" t="n">
        <v>102980</v>
      </c>
      <c r="E47" s="62"/>
      <c r="F47" s="62"/>
      <c r="G47" s="62"/>
      <c r="I47" s="64" t="str">
        <f aca="false">IF($B47="","",IF(ISNUMBER(MATCH($B47,日別データ!$B$9:$B$28,0)),"✔ OK","⚠ 未登録"))</f>
        <v>✔ OK</v>
      </c>
    </row>
    <row r="48" customFormat="false" ht="15" hidden="false" customHeight="false" outlineLevel="0" collapsed="false">
      <c r="A48" s="61" t="n">
        <v>46256</v>
      </c>
      <c r="B48" s="62" t="s">
        <v>66</v>
      </c>
      <c r="C48" s="63" t="n">
        <v>182</v>
      </c>
      <c r="D48" s="63" t="n">
        <v>91000</v>
      </c>
      <c r="E48" s="62"/>
      <c r="F48" s="62"/>
      <c r="G48" s="62"/>
      <c r="I48" s="64" t="str">
        <f aca="false">IF($B48="","",IF(ISNUMBER(MATCH($B48,日別データ!$B$9:$B$28,0)),"✔ OK","⚠ 未登録"))</f>
        <v>✔ OK</v>
      </c>
    </row>
    <row r="49" customFormat="false" ht="15" hidden="false" customHeight="false" outlineLevel="0" collapsed="false">
      <c r="A49" s="61" t="n">
        <v>46256</v>
      </c>
      <c r="B49" s="62" t="s">
        <v>67</v>
      </c>
      <c r="C49" s="63" t="n">
        <v>158</v>
      </c>
      <c r="D49" s="63" t="n">
        <v>75840</v>
      </c>
      <c r="E49" s="62"/>
      <c r="F49" s="62"/>
      <c r="G49" s="62"/>
      <c r="I49" s="64" t="str">
        <f aca="false">IF($B49="","",IF(ISNUMBER(MATCH($B49,日別データ!$B$9:$B$28,0)),"✔ OK","⚠ 未登録"))</f>
        <v>✔ OK</v>
      </c>
    </row>
    <row r="50" customFormat="false" ht="15" hidden="false" customHeight="false" outlineLevel="0" collapsed="false">
      <c r="A50" s="61" t="n">
        <v>46256</v>
      </c>
      <c r="B50" s="62" t="s">
        <v>68</v>
      </c>
      <c r="C50" s="63" t="n">
        <v>223</v>
      </c>
      <c r="D50" s="63" t="n">
        <v>93660</v>
      </c>
      <c r="E50" s="62"/>
      <c r="F50" s="62"/>
      <c r="G50" s="62"/>
      <c r="I50" s="64" t="str">
        <f aca="false">IF($B50="","",IF(ISNUMBER(MATCH($B50,日別データ!$B$9:$B$28,0)),"✔ OK","⚠ 未登録"))</f>
        <v>✔ OK</v>
      </c>
    </row>
    <row r="51" customFormat="false" ht="15" hidden="false" customHeight="false" outlineLevel="0" collapsed="false">
      <c r="A51" s="61" t="n">
        <v>46256</v>
      </c>
      <c r="B51" s="62" t="s">
        <v>69</v>
      </c>
      <c r="C51" s="63" t="n">
        <v>154</v>
      </c>
      <c r="D51" s="63" t="n">
        <v>69300</v>
      </c>
      <c r="E51" s="62"/>
      <c r="F51" s="62"/>
      <c r="G51" s="62"/>
      <c r="I51" s="64" t="str">
        <f aca="false">IF($B51="","",IF(ISNUMBER(MATCH($B51,日別データ!$B$9:$B$28,0)),"✔ OK","⚠ 未登録"))</f>
        <v>✔ OK</v>
      </c>
    </row>
    <row r="52" customFormat="false" ht="15" hidden="false" customHeight="false" outlineLevel="0" collapsed="false">
      <c r="A52" s="61" t="n">
        <v>46256</v>
      </c>
      <c r="B52" s="62" t="s">
        <v>70</v>
      </c>
      <c r="C52" s="63" t="n">
        <v>103</v>
      </c>
      <c r="D52" s="63" t="n">
        <v>36050</v>
      </c>
      <c r="E52" s="62"/>
      <c r="F52" s="62"/>
      <c r="G52" s="62"/>
      <c r="I52" s="64" t="str">
        <f aca="false">IF($B52="","",IF(ISNUMBER(MATCH($B52,日別データ!$B$9:$B$28,0)),"✔ OK","⚠ 未登録"))</f>
        <v>✔ OK</v>
      </c>
    </row>
    <row r="53" customFormat="false" ht="15" hidden="false" customHeight="false" outlineLevel="0" collapsed="false">
      <c r="A53" s="61" t="n">
        <v>46257</v>
      </c>
      <c r="B53" s="62" t="s">
        <v>81</v>
      </c>
      <c r="C53" s="63" t="n">
        <v>611</v>
      </c>
      <c r="D53" s="63" t="n">
        <v>336050</v>
      </c>
      <c r="E53" s="62"/>
      <c r="F53" s="62"/>
      <c r="G53" s="62"/>
      <c r="I53" s="64" t="str">
        <f aca="false">IF($B53="","",IF(ISNUMBER(MATCH($B53,日別データ!$B$9:$B$28,0)),"✔ OK","⚠ 未登録"))</f>
        <v>✔ OK</v>
      </c>
    </row>
    <row r="54" customFormat="false" ht="15" hidden="false" customHeight="false" outlineLevel="0" collapsed="false">
      <c r="A54" s="61" t="n">
        <v>46257</v>
      </c>
      <c r="B54" s="62" t="s">
        <v>82</v>
      </c>
      <c r="C54" s="63" t="n">
        <v>500</v>
      </c>
      <c r="D54" s="63" t="n">
        <v>285000</v>
      </c>
      <c r="E54" s="62"/>
      <c r="F54" s="62"/>
      <c r="G54" s="62"/>
      <c r="I54" s="64" t="str">
        <f aca="false">IF($B54="","",IF(ISNUMBER(MATCH($B54,日別データ!$B$9:$B$28,0)),"✔ OK","⚠ 未登録"))</f>
        <v>✔ OK</v>
      </c>
    </row>
    <row r="55" customFormat="false" ht="15" hidden="false" customHeight="false" outlineLevel="0" collapsed="false">
      <c r="A55" s="61" t="n">
        <v>46257</v>
      </c>
      <c r="B55" s="62" t="s">
        <v>61</v>
      </c>
      <c r="C55" s="63" t="n">
        <v>350</v>
      </c>
      <c r="D55" s="63" t="n">
        <v>210000</v>
      </c>
      <c r="E55" s="62"/>
      <c r="F55" s="62"/>
      <c r="G55" s="62"/>
      <c r="I55" s="64" t="str">
        <f aca="false">IF($B55="","",IF(ISNUMBER(MATCH($B55,日別データ!$B$9:$B$28,0)),"✔ OK","⚠ 未登録"))</f>
        <v>✔ OK</v>
      </c>
    </row>
    <row r="56" customFormat="false" ht="15" hidden="false" customHeight="false" outlineLevel="0" collapsed="false">
      <c r="A56" s="61" t="n">
        <v>46257</v>
      </c>
      <c r="B56" s="62" t="s">
        <v>83</v>
      </c>
      <c r="C56" s="63" t="n">
        <v>331</v>
      </c>
      <c r="D56" s="63" t="n">
        <v>112540</v>
      </c>
      <c r="E56" s="62"/>
      <c r="F56" s="62"/>
      <c r="G56" s="62"/>
      <c r="I56" s="64" t="str">
        <f aca="false">IF($B56="","",IF(ISNUMBER(MATCH($B56,日別データ!$B$9:$B$28,0)),"✔ OK","⚠ 未登録"))</f>
        <v>✔ OK</v>
      </c>
    </row>
    <row r="57" customFormat="false" ht="15" hidden="false" customHeight="false" outlineLevel="0" collapsed="false">
      <c r="A57" s="61" t="n">
        <v>46257</v>
      </c>
      <c r="B57" s="62" t="s">
        <v>84</v>
      </c>
      <c r="C57" s="63" t="n">
        <v>688</v>
      </c>
      <c r="D57" s="63" t="n">
        <v>275200</v>
      </c>
      <c r="E57" s="62"/>
      <c r="F57" s="62"/>
      <c r="G57" s="62"/>
      <c r="I57" s="64" t="str">
        <f aca="false">IF($B57="","",IF(ISNUMBER(MATCH($B57,日別データ!$B$9:$B$28,0)),"✔ OK","⚠ 未登録"))</f>
        <v>✔ OK</v>
      </c>
    </row>
    <row r="58" customFormat="false" ht="15" hidden="false" customHeight="false" outlineLevel="0" collapsed="false">
      <c r="A58" s="61" t="n">
        <v>46257</v>
      </c>
      <c r="B58" s="62" t="s">
        <v>85</v>
      </c>
      <c r="C58" s="63" t="n">
        <v>294</v>
      </c>
      <c r="D58" s="63" t="n">
        <v>135240</v>
      </c>
      <c r="E58" s="62"/>
      <c r="F58" s="62"/>
      <c r="G58" s="62"/>
      <c r="I58" s="64" t="str">
        <f aca="false">IF($B58="","",IF(ISNUMBER(MATCH($B58,日別データ!$B$9:$B$28,0)),"✔ OK","⚠ 未登録"))</f>
        <v>✔ OK</v>
      </c>
    </row>
    <row r="59" customFormat="false" ht="15" hidden="false" customHeight="false" outlineLevel="0" collapsed="false">
      <c r="A59" s="61" t="n">
        <v>46257</v>
      </c>
      <c r="B59" s="62" t="s">
        <v>65</v>
      </c>
      <c r="C59" s="63" t="n">
        <v>230</v>
      </c>
      <c r="D59" s="63" t="n">
        <v>87400</v>
      </c>
      <c r="E59" s="62"/>
      <c r="F59" s="62"/>
      <c r="G59" s="62"/>
      <c r="I59" s="64" t="str">
        <f aca="false">IF($B59="","",IF(ISNUMBER(MATCH($B59,日別データ!$B$9:$B$28,0)),"✔ OK","⚠ 未登録"))</f>
        <v>✔ OK</v>
      </c>
    </row>
    <row r="60" customFormat="false" ht="15" hidden="false" customHeight="false" outlineLevel="0" collapsed="false">
      <c r="A60" s="61" t="n">
        <v>46257</v>
      </c>
      <c r="B60" s="62" t="s">
        <v>66</v>
      </c>
      <c r="C60" s="63" t="n">
        <v>170</v>
      </c>
      <c r="D60" s="63" t="n">
        <v>85000</v>
      </c>
      <c r="E60" s="62"/>
      <c r="F60" s="62"/>
      <c r="G60" s="62"/>
      <c r="I60" s="64" t="str">
        <f aca="false">IF($B60="","",IF(ISNUMBER(MATCH($B60,日別データ!$B$9:$B$28,0)),"✔ OK","⚠ 未登録"))</f>
        <v>✔ OK</v>
      </c>
    </row>
    <row r="61" customFormat="false" ht="15" hidden="false" customHeight="false" outlineLevel="0" collapsed="false">
      <c r="A61" s="61" t="n">
        <v>46257</v>
      </c>
      <c r="B61" s="62" t="s">
        <v>67</v>
      </c>
      <c r="C61" s="63" t="n">
        <v>143</v>
      </c>
      <c r="D61" s="63" t="n">
        <v>68640</v>
      </c>
      <c r="E61" s="62"/>
      <c r="F61" s="62"/>
      <c r="G61" s="62"/>
      <c r="I61" s="64" t="str">
        <f aca="false">IF($B61="","",IF(ISNUMBER(MATCH($B61,日別データ!$B$9:$B$28,0)),"✔ OK","⚠ 未登録"))</f>
        <v>✔ OK</v>
      </c>
    </row>
    <row r="62" customFormat="false" ht="15" hidden="false" customHeight="false" outlineLevel="0" collapsed="false">
      <c r="A62" s="61" t="n">
        <v>46257</v>
      </c>
      <c r="B62" s="62" t="s">
        <v>68</v>
      </c>
      <c r="C62" s="63" t="n">
        <v>218</v>
      </c>
      <c r="D62" s="63" t="n">
        <v>91560</v>
      </c>
      <c r="E62" s="62"/>
      <c r="F62" s="62"/>
      <c r="G62" s="62"/>
      <c r="I62" s="64" t="str">
        <f aca="false">IF($B62="","",IF(ISNUMBER(MATCH($B62,日別データ!$B$9:$B$28,0)),"✔ OK","⚠ 未登録"))</f>
        <v>✔ OK</v>
      </c>
    </row>
    <row r="63" customFormat="false" ht="15" hidden="false" customHeight="false" outlineLevel="0" collapsed="false">
      <c r="A63" s="61" t="n">
        <v>46257</v>
      </c>
      <c r="B63" s="62" t="s">
        <v>69</v>
      </c>
      <c r="C63" s="63" t="n">
        <v>108</v>
      </c>
      <c r="D63" s="63" t="n">
        <v>48600</v>
      </c>
      <c r="E63" s="62"/>
      <c r="F63" s="62"/>
      <c r="G63" s="62"/>
      <c r="I63" s="64" t="str">
        <f aca="false">IF($B63="","",IF(ISNUMBER(MATCH($B63,日別データ!$B$9:$B$28,0)),"✔ OK","⚠ 未登録"))</f>
        <v>✔ OK</v>
      </c>
    </row>
    <row r="64" customFormat="false" ht="15" hidden="false" customHeight="false" outlineLevel="0" collapsed="false">
      <c r="A64" s="61" t="n">
        <v>46257</v>
      </c>
      <c r="B64" s="62" t="s">
        <v>70</v>
      </c>
      <c r="C64" s="63" t="n">
        <v>121</v>
      </c>
      <c r="D64" s="63" t="n">
        <v>42350</v>
      </c>
      <c r="E64" s="62"/>
      <c r="F64" s="62"/>
      <c r="G64" s="62"/>
      <c r="I64" s="64" t="str">
        <f aca="false">IF($B64="","",IF(ISNUMBER(MATCH($B64,日別データ!$B$9:$B$28,0)),"✔ OK","⚠ 未登録"))</f>
        <v>✔ OK</v>
      </c>
    </row>
    <row r="65" customFormat="false" ht="15" hidden="false" customHeight="false" outlineLevel="0" collapsed="false">
      <c r="A65" s="61" t="n">
        <v>46258</v>
      </c>
      <c r="B65" s="62" t="s">
        <v>81</v>
      </c>
      <c r="C65" s="63" t="n">
        <v>268</v>
      </c>
      <c r="D65" s="63" t="n">
        <v>147400</v>
      </c>
      <c r="E65" s="62"/>
      <c r="F65" s="62"/>
      <c r="G65" s="62"/>
      <c r="I65" s="64" t="str">
        <f aca="false">IF($B65="","",IF(ISNUMBER(MATCH($B65,日別データ!$B$9:$B$28,0)),"✔ OK","⚠ 未登録"))</f>
        <v>✔ OK</v>
      </c>
    </row>
    <row r="66" customFormat="false" ht="15" hidden="false" customHeight="false" outlineLevel="0" collapsed="false">
      <c r="A66" s="61" t="n">
        <v>46258</v>
      </c>
      <c r="B66" s="62" t="s">
        <v>82</v>
      </c>
      <c r="C66" s="63" t="n">
        <v>196</v>
      </c>
      <c r="D66" s="63" t="n">
        <v>111720</v>
      </c>
      <c r="E66" s="62"/>
      <c r="F66" s="62"/>
      <c r="G66" s="62"/>
      <c r="I66" s="64" t="str">
        <f aca="false">IF($B66="","",IF(ISNUMBER(MATCH($B66,日別データ!$B$9:$B$28,0)),"✔ OK","⚠ 未登録"))</f>
        <v>✔ OK</v>
      </c>
    </row>
    <row r="67" customFormat="false" ht="15" hidden="false" customHeight="false" outlineLevel="0" collapsed="false">
      <c r="A67" s="61" t="n">
        <v>46258</v>
      </c>
      <c r="B67" s="62" t="s">
        <v>61</v>
      </c>
      <c r="C67" s="63" t="n">
        <v>156</v>
      </c>
      <c r="D67" s="63" t="n">
        <v>93600</v>
      </c>
      <c r="E67" s="62"/>
      <c r="F67" s="62"/>
      <c r="G67" s="62"/>
      <c r="I67" s="64" t="str">
        <f aca="false">IF($B67="","",IF(ISNUMBER(MATCH($B67,日別データ!$B$9:$B$28,0)),"✔ OK","⚠ 未登録"))</f>
        <v>✔ OK</v>
      </c>
    </row>
    <row r="68" customFormat="false" ht="15" hidden="false" customHeight="false" outlineLevel="0" collapsed="false">
      <c r="A68" s="61" t="n">
        <v>46258</v>
      </c>
      <c r="B68" s="62" t="s">
        <v>83</v>
      </c>
      <c r="C68" s="63" t="n">
        <v>177</v>
      </c>
      <c r="D68" s="63" t="n">
        <v>60180</v>
      </c>
      <c r="E68" s="62"/>
      <c r="F68" s="62"/>
      <c r="G68" s="62"/>
      <c r="I68" s="64" t="str">
        <f aca="false">IF($B68="","",IF(ISNUMBER(MATCH($B68,日別データ!$B$9:$B$28,0)),"✔ OK","⚠ 未登録"))</f>
        <v>✔ OK</v>
      </c>
    </row>
    <row r="69" customFormat="false" ht="15" hidden="false" customHeight="false" outlineLevel="0" collapsed="false">
      <c r="A69" s="61" t="n">
        <v>46258</v>
      </c>
      <c r="B69" s="62" t="s">
        <v>84</v>
      </c>
      <c r="C69" s="63" t="n">
        <v>299</v>
      </c>
      <c r="D69" s="63" t="n">
        <v>119600</v>
      </c>
      <c r="E69" s="62"/>
      <c r="F69" s="62"/>
      <c r="G69" s="62"/>
      <c r="I69" s="64" t="str">
        <f aca="false">IF($B69="","",IF(ISNUMBER(MATCH($B69,日別データ!$B$9:$B$28,0)),"✔ OK","⚠ 未登録"))</f>
        <v>✔ OK</v>
      </c>
    </row>
    <row r="70" customFormat="false" ht="15" hidden="false" customHeight="false" outlineLevel="0" collapsed="false">
      <c r="A70" s="61" t="n">
        <v>46258</v>
      </c>
      <c r="B70" s="62" t="s">
        <v>85</v>
      </c>
      <c r="C70" s="63" t="n">
        <v>121</v>
      </c>
      <c r="D70" s="63" t="n">
        <v>55660</v>
      </c>
      <c r="E70" s="62"/>
      <c r="F70" s="62"/>
      <c r="G70" s="62"/>
      <c r="I70" s="64" t="str">
        <f aca="false">IF($B70="","",IF(ISNUMBER(MATCH($B70,日別データ!$B$9:$B$28,0)),"✔ OK","⚠ 未登録"))</f>
        <v>✔ OK</v>
      </c>
    </row>
    <row r="71" customFormat="false" ht="15" hidden="false" customHeight="false" outlineLevel="0" collapsed="false">
      <c r="A71" s="61" t="n">
        <v>46258</v>
      </c>
      <c r="B71" s="62" t="s">
        <v>65</v>
      </c>
      <c r="C71" s="63" t="n">
        <v>107</v>
      </c>
      <c r="D71" s="63" t="n">
        <v>40660</v>
      </c>
      <c r="E71" s="62"/>
      <c r="F71" s="62"/>
      <c r="G71" s="62"/>
      <c r="I71" s="64" t="str">
        <f aca="false">IF($B71="","",IF(ISNUMBER(MATCH($B71,日別データ!$B$9:$B$28,0)),"✔ OK","⚠ 未登録"))</f>
        <v>✔ OK</v>
      </c>
    </row>
    <row r="72" customFormat="false" ht="15" hidden="false" customHeight="false" outlineLevel="0" collapsed="false">
      <c r="A72" s="61" t="n">
        <v>46258</v>
      </c>
      <c r="B72" s="62" t="s">
        <v>66</v>
      </c>
      <c r="C72" s="63" t="n">
        <v>79</v>
      </c>
      <c r="D72" s="63" t="n">
        <v>39500</v>
      </c>
      <c r="E72" s="62"/>
      <c r="F72" s="62"/>
      <c r="G72" s="62"/>
      <c r="I72" s="64" t="str">
        <f aca="false">IF($B72="","",IF(ISNUMBER(MATCH($B72,日別データ!$B$9:$B$28,0)),"✔ OK","⚠ 未登録"))</f>
        <v>✔ OK</v>
      </c>
    </row>
    <row r="73" customFormat="false" ht="15" hidden="false" customHeight="false" outlineLevel="0" collapsed="false">
      <c r="A73" s="61" t="n">
        <v>46258</v>
      </c>
      <c r="B73" s="62" t="s">
        <v>67</v>
      </c>
      <c r="C73" s="63" t="n">
        <v>52</v>
      </c>
      <c r="D73" s="63" t="n">
        <v>24960</v>
      </c>
      <c r="E73" s="62"/>
      <c r="F73" s="62"/>
      <c r="G73" s="62"/>
      <c r="I73" s="64" t="str">
        <f aca="false">IF($B73="","",IF(ISNUMBER(MATCH($B73,日別データ!$B$9:$B$28,0)),"✔ OK","⚠ 未登録"))</f>
        <v>✔ OK</v>
      </c>
    </row>
    <row r="74" customFormat="false" ht="15" hidden="false" customHeight="false" outlineLevel="0" collapsed="false">
      <c r="A74" s="61" t="n">
        <v>46258</v>
      </c>
      <c r="B74" s="62" t="s">
        <v>68</v>
      </c>
      <c r="C74" s="63" t="n">
        <v>96</v>
      </c>
      <c r="D74" s="63" t="n">
        <v>40320</v>
      </c>
      <c r="E74" s="62"/>
      <c r="F74" s="62"/>
      <c r="G74" s="62"/>
      <c r="I74" s="64" t="str">
        <f aca="false">IF($B74="","",IF(ISNUMBER(MATCH($B74,日別データ!$B$9:$B$28,0)),"✔ OK","⚠ 未登録"))</f>
        <v>✔ OK</v>
      </c>
    </row>
    <row r="75" customFormat="false" ht="15" hidden="false" customHeight="false" outlineLevel="0" collapsed="false">
      <c r="A75" s="61" t="n">
        <v>46258</v>
      </c>
      <c r="B75" s="62" t="s">
        <v>69</v>
      </c>
      <c r="C75" s="63" t="n">
        <v>51</v>
      </c>
      <c r="D75" s="63" t="n">
        <v>22950</v>
      </c>
      <c r="E75" s="62"/>
      <c r="F75" s="62"/>
      <c r="G75" s="62"/>
      <c r="I75" s="64" t="str">
        <f aca="false">IF($B75="","",IF(ISNUMBER(MATCH($B75,日別データ!$B$9:$B$28,0)),"✔ OK","⚠ 未登録"))</f>
        <v>✔ OK</v>
      </c>
    </row>
    <row r="76" customFormat="false" ht="15" hidden="false" customHeight="false" outlineLevel="0" collapsed="false">
      <c r="A76" s="61" t="n">
        <v>46258</v>
      </c>
      <c r="B76" s="62" t="s">
        <v>70</v>
      </c>
      <c r="C76" s="63" t="n">
        <v>52</v>
      </c>
      <c r="D76" s="63" t="n">
        <v>18200</v>
      </c>
      <c r="E76" s="62"/>
      <c r="F76" s="62"/>
      <c r="G76" s="62"/>
      <c r="I76" s="64" t="str">
        <f aca="false">IF($B76="","",IF(ISNUMBER(MATCH($B76,日別データ!$B$9:$B$28,0)),"✔ OK","⚠ 未登録"))</f>
        <v>✔ OK</v>
      </c>
    </row>
    <row r="77" customFormat="false" ht="15" hidden="false" customHeight="false" outlineLevel="0" collapsed="false">
      <c r="A77" s="61" t="n">
        <v>46259</v>
      </c>
      <c r="B77" s="62" t="s">
        <v>81</v>
      </c>
      <c r="C77" s="63" t="n">
        <v>264</v>
      </c>
      <c r="D77" s="63" t="n">
        <v>145200</v>
      </c>
      <c r="E77" s="62"/>
      <c r="F77" s="62"/>
      <c r="G77" s="62"/>
      <c r="I77" s="64" t="str">
        <f aca="false">IF($B77="","",IF(ISNUMBER(MATCH($B77,日別データ!$B$9:$B$28,0)),"✔ OK","⚠ 未登録"))</f>
        <v>✔ OK</v>
      </c>
    </row>
    <row r="78" customFormat="false" ht="15" hidden="false" customHeight="false" outlineLevel="0" collapsed="false">
      <c r="A78" s="61" t="n">
        <v>46259</v>
      </c>
      <c r="B78" s="62" t="s">
        <v>82</v>
      </c>
      <c r="C78" s="63" t="n">
        <v>264</v>
      </c>
      <c r="D78" s="63" t="n">
        <v>150480</v>
      </c>
      <c r="E78" s="62"/>
      <c r="F78" s="62"/>
      <c r="G78" s="62"/>
      <c r="I78" s="64" t="str">
        <f aca="false">IF($B78="","",IF(ISNUMBER(MATCH($B78,日別データ!$B$9:$B$28,0)),"✔ OK","⚠ 未登録"))</f>
        <v>✔ OK</v>
      </c>
    </row>
    <row r="79" customFormat="false" ht="15" hidden="false" customHeight="false" outlineLevel="0" collapsed="false">
      <c r="A79" s="61" t="n">
        <v>46259</v>
      </c>
      <c r="B79" s="62" t="s">
        <v>61</v>
      </c>
      <c r="C79" s="63" t="n">
        <v>160</v>
      </c>
      <c r="D79" s="63" t="n">
        <v>96000</v>
      </c>
      <c r="E79" s="62"/>
      <c r="F79" s="62"/>
      <c r="G79" s="62"/>
      <c r="I79" s="64" t="str">
        <f aca="false">IF($B79="","",IF(ISNUMBER(MATCH($B79,日別データ!$B$9:$B$28,0)),"✔ OK","⚠ 未登録"))</f>
        <v>✔ OK</v>
      </c>
    </row>
    <row r="80" customFormat="false" ht="15" hidden="false" customHeight="false" outlineLevel="0" collapsed="false">
      <c r="A80" s="61" t="n">
        <v>46259</v>
      </c>
      <c r="B80" s="62" t="s">
        <v>83</v>
      </c>
      <c r="C80" s="63" t="n">
        <v>203</v>
      </c>
      <c r="D80" s="63" t="n">
        <v>69020</v>
      </c>
      <c r="E80" s="62"/>
      <c r="F80" s="62"/>
      <c r="G80" s="62"/>
      <c r="I80" s="64" t="str">
        <f aca="false">IF($B80="","",IF(ISNUMBER(MATCH($B80,日別データ!$B$9:$B$28,0)),"✔ OK","⚠ 未登録"))</f>
        <v>✔ OK</v>
      </c>
    </row>
    <row r="81" customFormat="false" ht="15" hidden="false" customHeight="false" outlineLevel="0" collapsed="false">
      <c r="A81" s="61" t="n">
        <v>46259</v>
      </c>
      <c r="B81" s="62" t="s">
        <v>84</v>
      </c>
      <c r="C81" s="63" t="n">
        <v>349</v>
      </c>
      <c r="D81" s="63" t="n">
        <v>139600</v>
      </c>
      <c r="E81" s="62"/>
      <c r="F81" s="62"/>
      <c r="G81" s="62"/>
      <c r="I81" s="64" t="str">
        <f aca="false">IF($B81="","",IF(ISNUMBER(MATCH($B81,日別データ!$B$9:$B$28,0)),"✔ OK","⚠ 未登録"))</f>
        <v>✔ OK</v>
      </c>
    </row>
    <row r="82" customFormat="false" ht="15" hidden="false" customHeight="false" outlineLevel="0" collapsed="false">
      <c r="A82" s="61" t="n">
        <v>46259</v>
      </c>
      <c r="B82" s="62" t="s">
        <v>85</v>
      </c>
      <c r="C82" s="63" t="n">
        <v>120</v>
      </c>
      <c r="D82" s="63" t="n">
        <v>55200</v>
      </c>
      <c r="E82" s="62"/>
      <c r="F82" s="62"/>
      <c r="G82" s="62"/>
      <c r="I82" s="64" t="str">
        <f aca="false">IF($B82="","",IF(ISNUMBER(MATCH($B82,日別データ!$B$9:$B$28,0)),"✔ OK","⚠ 未登録"))</f>
        <v>✔ OK</v>
      </c>
    </row>
    <row r="83" customFormat="false" ht="15" hidden="false" customHeight="false" outlineLevel="0" collapsed="false">
      <c r="A83" s="61" t="n">
        <v>46259</v>
      </c>
      <c r="B83" s="62" t="s">
        <v>65</v>
      </c>
      <c r="C83" s="63" t="n">
        <v>107</v>
      </c>
      <c r="D83" s="63" t="n">
        <v>40660</v>
      </c>
      <c r="E83" s="62"/>
      <c r="F83" s="62"/>
      <c r="G83" s="62"/>
      <c r="I83" s="64" t="str">
        <f aca="false">IF($B83="","",IF(ISNUMBER(MATCH($B83,日別データ!$B$9:$B$28,0)),"✔ OK","⚠ 未登録"))</f>
        <v>✔ OK</v>
      </c>
    </row>
    <row r="84" customFormat="false" ht="15" hidden="false" customHeight="false" outlineLevel="0" collapsed="false">
      <c r="A84" s="61" t="n">
        <v>46259</v>
      </c>
      <c r="B84" s="62" t="s">
        <v>66</v>
      </c>
      <c r="C84" s="63" t="n">
        <v>100</v>
      </c>
      <c r="D84" s="63" t="n">
        <v>50000</v>
      </c>
      <c r="E84" s="62"/>
      <c r="F84" s="62"/>
      <c r="G84" s="62"/>
      <c r="I84" s="64" t="str">
        <f aca="false">IF($B84="","",IF(ISNUMBER(MATCH($B84,日別データ!$B$9:$B$28,0)),"✔ OK","⚠ 未登録"))</f>
        <v>✔ OK</v>
      </c>
    </row>
    <row r="85" customFormat="false" ht="15" hidden="false" customHeight="false" outlineLevel="0" collapsed="false">
      <c r="A85" s="61" t="n">
        <v>46259</v>
      </c>
      <c r="B85" s="62" t="s">
        <v>67</v>
      </c>
      <c r="C85" s="63" t="n">
        <v>66</v>
      </c>
      <c r="D85" s="63" t="n">
        <v>31680</v>
      </c>
      <c r="E85" s="62"/>
      <c r="F85" s="62"/>
      <c r="G85" s="62"/>
      <c r="I85" s="64" t="str">
        <f aca="false">IF($B85="","",IF(ISNUMBER(MATCH($B85,日別データ!$B$9:$B$28,0)),"✔ OK","⚠ 未登録"))</f>
        <v>✔ OK</v>
      </c>
    </row>
    <row r="86" customFormat="false" ht="15" hidden="false" customHeight="false" outlineLevel="0" collapsed="false">
      <c r="A86" s="61" t="n">
        <v>46259</v>
      </c>
      <c r="B86" s="62" t="s">
        <v>68</v>
      </c>
      <c r="C86" s="63" t="n">
        <v>93</v>
      </c>
      <c r="D86" s="63" t="n">
        <v>39060</v>
      </c>
      <c r="E86" s="62"/>
      <c r="F86" s="62"/>
      <c r="G86" s="62"/>
      <c r="I86" s="64" t="str">
        <f aca="false">IF($B86="","",IF(ISNUMBER(MATCH($B86,日別データ!$B$9:$B$28,0)),"✔ OK","⚠ 未登録"))</f>
        <v>✔ OK</v>
      </c>
    </row>
    <row r="87" customFormat="false" ht="15" hidden="false" customHeight="false" outlineLevel="0" collapsed="false">
      <c r="A87" s="61" t="n">
        <v>46259</v>
      </c>
      <c r="B87" s="62" t="s">
        <v>69</v>
      </c>
      <c r="C87" s="63" t="n">
        <v>55</v>
      </c>
      <c r="D87" s="63" t="n">
        <v>24750</v>
      </c>
      <c r="E87" s="62"/>
      <c r="F87" s="62"/>
      <c r="G87" s="62"/>
      <c r="I87" s="64" t="str">
        <f aca="false">IF($B87="","",IF(ISNUMBER(MATCH($B87,日別データ!$B$9:$B$28,0)),"✔ OK","⚠ 未登録"))</f>
        <v>✔ OK</v>
      </c>
    </row>
    <row r="88" customFormat="false" ht="15" hidden="false" customHeight="false" outlineLevel="0" collapsed="false">
      <c r="A88" s="61" t="n">
        <v>46259</v>
      </c>
      <c r="B88" s="62" t="s">
        <v>70</v>
      </c>
      <c r="C88" s="63" t="n">
        <v>50</v>
      </c>
      <c r="D88" s="63" t="n">
        <v>17500</v>
      </c>
      <c r="E88" s="62"/>
      <c r="F88" s="62"/>
      <c r="G88" s="62"/>
      <c r="I88" s="64" t="str">
        <f aca="false">IF($B88="","",IF(ISNUMBER(MATCH($B88,日別データ!$B$9:$B$28,0)),"✔ OK","⚠ 未登録"))</f>
        <v>✔ OK</v>
      </c>
    </row>
    <row r="89" customFormat="false" ht="15" hidden="false" customHeight="false" outlineLevel="0" collapsed="false">
      <c r="A89" s="61"/>
      <c r="B89" s="62"/>
      <c r="C89" s="63"/>
      <c r="D89" s="63"/>
      <c r="E89" s="62"/>
      <c r="F89" s="62"/>
      <c r="G89" s="62"/>
      <c r="I89" s="64" t="str">
        <f aca="false">IF($B89="","",IF(ISNUMBER(MATCH($B89,日別データ!$B$9:$B$28,0)),"✔ OK","⚠ 未登録"))</f>
        <v/>
      </c>
    </row>
    <row r="90" customFormat="false" ht="15" hidden="false" customHeight="false" outlineLevel="0" collapsed="false">
      <c r="A90" s="61"/>
      <c r="B90" s="62"/>
      <c r="C90" s="63"/>
      <c r="D90" s="63"/>
      <c r="E90" s="62"/>
      <c r="F90" s="62"/>
      <c r="G90" s="62"/>
      <c r="I90" s="64" t="str">
        <f aca="false">IF($B90="","",IF(ISNUMBER(MATCH($B90,日別データ!$B$9:$B$28,0)),"✔ OK","⚠ 未登録"))</f>
        <v/>
      </c>
    </row>
    <row r="91" customFormat="false" ht="15" hidden="false" customHeight="false" outlineLevel="0" collapsed="false">
      <c r="A91" s="61"/>
      <c r="B91" s="62"/>
      <c r="C91" s="63"/>
      <c r="D91" s="63"/>
      <c r="E91" s="62"/>
      <c r="F91" s="62"/>
      <c r="G91" s="62"/>
      <c r="I91" s="64" t="str">
        <f aca="false">IF($B91="","",IF(ISNUMBER(MATCH($B91,日別データ!$B$9:$B$28,0)),"✔ OK","⚠ 未登録"))</f>
        <v/>
      </c>
    </row>
    <row r="92" customFormat="false" ht="15" hidden="false" customHeight="false" outlineLevel="0" collapsed="false">
      <c r="A92" s="61"/>
      <c r="B92" s="62"/>
      <c r="C92" s="63"/>
      <c r="D92" s="63"/>
      <c r="E92" s="62"/>
      <c r="F92" s="62"/>
      <c r="G92" s="62"/>
      <c r="I92" s="64" t="str">
        <f aca="false">IF($B92="","",IF(ISNUMBER(MATCH($B92,日別データ!$B$9:$B$28,0)),"✔ OK","⚠ 未登録"))</f>
        <v/>
      </c>
    </row>
    <row r="93" customFormat="false" ht="15" hidden="false" customHeight="false" outlineLevel="0" collapsed="false">
      <c r="A93" s="61"/>
      <c r="B93" s="62"/>
      <c r="C93" s="63"/>
      <c r="D93" s="63"/>
      <c r="E93" s="62"/>
      <c r="F93" s="62"/>
      <c r="G93" s="62"/>
      <c r="I93" s="64" t="str">
        <f aca="false">IF($B93="","",IF(ISNUMBER(MATCH($B93,日別データ!$B$9:$B$28,0)),"✔ OK","⚠ 未登録"))</f>
        <v/>
      </c>
    </row>
    <row r="94" customFormat="false" ht="15" hidden="false" customHeight="false" outlineLevel="0" collapsed="false">
      <c r="A94" s="61"/>
      <c r="B94" s="62"/>
      <c r="C94" s="63"/>
      <c r="D94" s="63"/>
      <c r="E94" s="62"/>
      <c r="F94" s="62"/>
      <c r="G94" s="62"/>
      <c r="I94" s="64" t="str">
        <f aca="false">IF($B94="","",IF(ISNUMBER(MATCH($B94,日別データ!$B$9:$B$28,0)),"✔ OK","⚠ 未登録"))</f>
        <v/>
      </c>
    </row>
    <row r="95" customFormat="false" ht="15" hidden="false" customHeight="false" outlineLevel="0" collapsed="false">
      <c r="A95" s="61"/>
      <c r="B95" s="62"/>
      <c r="C95" s="63"/>
      <c r="D95" s="63"/>
      <c r="E95" s="62"/>
      <c r="F95" s="62"/>
      <c r="G95" s="62"/>
      <c r="I95" s="64" t="str">
        <f aca="false">IF($B95="","",IF(ISNUMBER(MATCH($B95,日別データ!$B$9:$B$28,0)),"✔ OK","⚠ 未登録"))</f>
        <v/>
      </c>
    </row>
    <row r="96" customFormat="false" ht="15" hidden="false" customHeight="false" outlineLevel="0" collapsed="false">
      <c r="A96" s="61"/>
      <c r="B96" s="62"/>
      <c r="C96" s="63"/>
      <c r="D96" s="63"/>
      <c r="E96" s="62"/>
      <c r="F96" s="62"/>
      <c r="G96" s="62"/>
      <c r="I96" s="64" t="str">
        <f aca="false">IF($B96="","",IF(ISNUMBER(MATCH($B96,日別データ!$B$9:$B$28,0)),"✔ OK","⚠ 未登録"))</f>
        <v/>
      </c>
    </row>
    <row r="97" customFormat="false" ht="15" hidden="false" customHeight="false" outlineLevel="0" collapsed="false">
      <c r="A97" s="61"/>
      <c r="B97" s="62"/>
      <c r="C97" s="63"/>
      <c r="D97" s="63"/>
      <c r="E97" s="62"/>
      <c r="F97" s="62"/>
      <c r="G97" s="62"/>
      <c r="I97" s="64" t="str">
        <f aca="false">IF($B97="","",IF(ISNUMBER(MATCH($B97,日別データ!$B$9:$B$28,0)),"✔ OK","⚠ 未登録"))</f>
        <v/>
      </c>
    </row>
    <row r="98" customFormat="false" ht="15" hidden="false" customHeight="false" outlineLevel="0" collapsed="false">
      <c r="A98" s="61"/>
      <c r="B98" s="62"/>
      <c r="C98" s="63"/>
      <c r="D98" s="63"/>
      <c r="E98" s="62"/>
      <c r="F98" s="62"/>
      <c r="G98" s="62"/>
      <c r="I98" s="64" t="str">
        <f aca="false">IF($B98="","",IF(ISNUMBER(MATCH($B98,日別データ!$B$9:$B$28,0)),"✔ OK","⚠ 未登録"))</f>
        <v/>
      </c>
    </row>
    <row r="99" customFormat="false" ht="15" hidden="false" customHeight="false" outlineLevel="0" collapsed="false">
      <c r="A99" s="61"/>
      <c r="B99" s="62"/>
      <c r="C99" s="63"/>
      <c r="D99" s="63"/>
      <c r="E99" s="62"/>
      <c r="F99" s="62"/>
      <c r="G99" s="62"/>
      <c r="I99" s="64" t="str">
        <f aca="false">IF($B99="","",IF(ISNUMBER(MATCH($B99,日別データ!$B$9:$B$28,0)),"✔ OK","⚠ 未登録"))</f>
        <v/>
      </c>
    </row>
    <row r="100" customFormat="false" ht="15" hidden="false" customHeight="false" outlineLevel="0" collapsed="false">
      <c r="A100" s="61"/>
      <c r="B100" s="62"/>
      <c r="C100" s="63"/>
      <c r="D100" s="63"/>
      <c r="E100" s="62"/>
      <c r="F100" s="62"/>
      <c r="G100" s="62"/>
      <c r="I100" s="64" t="str">
        <f aca="false">IF($B100="","",IF(ISNUMBER(MATCH($B100,日別データ!$B$9:$B$28,0)),"✔ OK","⚠ 未登録"))</f>
        <v/>
      </c>
    </row>
    <row r="101" customFormat="false" ht="15" hidden="false" customHeight="false" outlineLevel="0" collapsed="false">
      <c r="A101" s="61"/>
      <c r="B101" s="62"/>
      <c r="C101" s="63"/>
      <c r="D101" s="63"/>
      <c r="E101" s="62"/>
      <c r="F101" s="62"/>
      <c r="G101" s="62"/>
      <c r="I101" s="64" t="str">
        <f aca="false">IF($B101="","",IF(ISNUMBER(MATCH($B101,日別データ!$B$9:$B$28,0)),"✔ OK","⚠ 未登録"))</f>
        <v/>
      </c>
    </row>
    <row r="102" customFormat="false" ht="15" hidden="false" customHeight="false" outlineLevel="0" collapsed="false">
      <c r="A102" s="61"/>
      <c r="B102" s="62"/>
      <c r="C102" s="63"/>
      <c r="D102" s="63"/>
      <c r="E102" s="62"/>
      <c r="F102" s="62"/>
      <c r="G102" s="62"/>
      <c r="I102" s="64" t="str">
        <f aca="false">IF($B102="","",IF(ISNUMBER(MATCH($B102,日別データ!$B$9:$B$28,0)),"✔ OK","⚠ 未登録"))</f>
        <v/>
      </c>
    </row>
    <row r="103" customFormat="false" ht="15" hidden="false" customHeight="false" outlineLevel="0" collapsed="false">
      <c r="A103" s="61"/>
      <c r="B103" s="62"/>
      <c r="C103" s="63"/>
      <c r="D103" s="63"/>
      <c r="E103" s="62"/>
      <c r="F103" s="62"/>
      <c r="G103" s="62"/>
      <c r="I103" s="64" t="str">
        <f aca="false">IF($B103="","",IF(ISNUMBER(MATCH($B103,日別データ!$B$9:$B$28,0)),"✔ OK","⚠ 未登録"))</f>
        <v/>
      </c>
    </row>
    <row r="104" customFormat="false" ht="15" hidden="false" customHeight="false" outlineLevel="0" collapsed="false">
      <c r="A104" s="61"/>
      <c r="B104" s="62"/>
      <c r="C104" s="63"/>
      <c r="D104" s="63"/>
      <c r="E104" s="62"/>
      <c r="F104" s="62"/>
      <c r="G104" s="62"/>
      <c r="I104" s="64" t="str">
        <f aca="false">IF($B104="","",IF(ISNUMBER(MATCH($B104,日別データ!$B$9:$B$28,0)),"✔ OK","⚠ 未登録"))</f>
        <v/>
      </c>
    </row>
    <row r="105" customFormat="false" ht="15" hidden="false" customHeight="false" outlineLevel="0" collapsed="false">
      <c r="A105" s="61"/>
      <c r="B105" s="62"/>
      <c r="C105" s="63"/>
      <c r="D105" s="63"/>
      <c r="E105" s="62"/>
      <c r="F105" s="62"/>
      <c r="G105" s="62"/>
      <c r="I105" s="64" t="str">
        <f aca="false">IF($B105="","",IF(ISNUMBER(MATCH($B105,日別データ!$B$9:$B$28,0)),"✔ OK","⚠ 未登録"))</f>
        <v/>
      </c>
    </row>
    <row r="106" customFormat="false" ht="15" hidden="false" customHeight="false" outlineLevel="0" collapsed="false">
      <c r="A106" s="61"/>
      <c r="B106" s="62"/>
      <c r="C106" s="63"/>
      <c r="D106" s="63"/>
      <c r="E106" s="62"/>
      <c r="F106" s="62"/>
      <c r="G106" s="62"/>
      <c r="I106" s="64" t="str">
        <f aca="false">IF($B106="","",IF(ISNUMBER(MATCH($B106,日別データ!$B$9:$B$28,0)),"✔ OK","⚠ 未登録"))</f>
        <v/>
      </c>
    </row>
    <row r="107" customFormat="false" ht="15" hidden="false" customHeight="false" outlineLevel="0" collapsed="false">
      <c r="A107" s="61"/>
      <c r="B107" s="62"/>
      <c r="C107" s="63"/>
      <c r="D107" s="63"/>
      <c r="E107" s="62"/>
      <c r="F107" s="62"/>
      <c r="G107" s="62"/>
      <c r="I107" s="64" t="str">
        <f aca="false">IF($B107="","",IF(ISNUMBER(MATCH($B107,日別データ!$B$9:$B$28,0)),"✔ OK","⚠ 未登録"))</f>
        <v/>
      </c>
    </row>
    <row r="108" customFormat="false" ht="15" hidden="false" customHeight="false" outlineLevel="0" collapsed="false">
      <c r="A108" s="61"/>
      <c r="B108" s="62"/>
      <c r="C108" s="63"/>
      <c r="D108" s="63"/>
      <c r="E108" s="62"/>
      <c r="F108" s="62"/>
      <c r="G108" s="62"/>
      <c r="I108" s="64" t="str">
        <f aca="false">IF($B108="","",IF(ISNUMBER(MATCH($B108,日別データ!$B$9:$B$28,0)),"✔ OK","⚠ 未登録"))</f>
        <v/>
      </c>
    </row>
    <row r="109" customFormat="false" ht="15" hidden="false" customHeight="false" outlineLevel="0" collapsed="false">
      <c r="A109" s="61"/>
      <c r="B109" s="62"/>
      <c r="C109" s="63"/>
      <c r="D109" s="63"/>
      <c r="E109" s="62"/>
      <c r="F109" s="62"/>
      <c r="G109" s="62"/>
      <c r="I109" s="64" t="str">
        <f aca="false">IF($B109="","",IF(ISNUMBER(MATCH($B109,日別データ!$B$9:$B$28,0)),"✔ OK","⚠ 未登録"))</f>
        <v/>
      </c>
    </row>
    <row r="110" customFormat="false" ht="15" hidden="false" customHeight="false" outlineLevel="0" collapsed="false">
      <c r="A110" s="61"/>
      <c r="B110" s="62"/>
      <c r="C110" s="63"/>
      <c r="D110" s="63"/>
      <c r="E110" s="62"/>
      <c r="F110" s="62"/>
      <c r="G110" s="62"/>
      <c r="I110" s="64" t="str">
        <f aca="false">IF($B110="","",IF(ISNUMBER(MATCH($B110,日別データ!$B$9:$B$28,0)),"✔ OK","⚠ 未登録"))</f>
        <v/>
      </c>
    </row>
    <row r="111" customFormat="false" ht="15" hidden="false" customHeight="false" outlineLevel="0" collapsed="false">
      <c r="A111" s="61"/>
      <c r="B111" s="62"/>
      <c r="C111" s="63"/>
      <c r="D111" s="63"/>
      <c r="E111" s="62"/>
      <c r="F111" s="62"/>
      <c r="G111" s="62"/>
      <c r="I111" s="64" t="str">
        <f aca="false">IF($B111="","",IF(ISNUMBER(MATCH($B111,日別データ!$B$9:$B$28,0)),"✔ OK","⚠ 未登録"))</f>
        <v/>
      </c>
    </row>
    <row r="112" customFormat="false" ht="15" hidden="false" customHeight="false" outlineLevel="0" collapsed="false">
      <c r="A112" s="61"/>
      <c r="B112" s="62"/>
      <c r="C112" s="63"/>
      <c r="D112" s="63"/>
      <c r="E112" s="62"/>
      <c r="F112" s="62"/>
      <c r="G112" s="62"/>
      <c r="I112" s="64" t="str">
        <f aca="false">IF($B112="","",IF(ISNUMBER(MATCH($B112,日別データ!$B$9:$B$28,0)),"✔ OK","⚠ 未登録"))</f>
        <v/>
      </c>
    </row>
    <row r="113" customFormat="false" ht="15" hidden="false" customHeight="false" outlineLevel="0" collapsed="false">
      <c r="A113" s="61"/>
      <c r="B113" s="62"/>
      <c r="C113" s="63"/>
      <c r="D113" s="63"/>
      <c r="E113" s="62"/>
      <c r="F113" s="62"/>
      <c r="G113" s="62"/>
      <c r="I113" s="64" t="str">
        <f aca="false">IF($B113="","",IF(ISNUMBER(MATCH($B113,日別データ!$B$9:$B$28,0)),"✔ OK","⚠ 未登録"))</f>
        <v/>
      </c>
    </row>
    <row r="114" customFormat="false" ht="15" hidden="false" customHeight="false" outlineLevel="0" collapsed="false">
      <c r="A114" s="61"/>
      <c r="B114" s="62"/>
      <c r="C114" s="63"/>
      <c r="D114" s="63"/>
      <c r="E114" s="62"/>
      <c r="F114" s="62"/>
      <c r="G114" s="62"/>
      <c r="I114" s="64" t="str">
        <f aca="false">IF($B114="","",IF(ISNUMBER(MATCH($B114,日別データ!$B$9:$B$28,0)),"✔ OK","⚠ 未登録"))</f>
        <v/>
      </c>
    </row>
    <row r="115" customFormat="false" ht="15" hidden="false" customHeight="false" outlineLevel="0" collapsed="false">
      <c r="A115" s="61"/>
      <c r="B115" s="62"/>
      <c r="C115" s="63"/>
      <c r="D115" s="63"/>
      <c r="E115" s="62"/>
      <c r="F115" s="62"/>
      <c r="G115" s="62"/>
      <c r="I115" s="64" t="str">
        <f aca="false">IF($B115="","",IF(ISNUMBER(MATCH($B115,日別データ!$B$9:$B$28,0)),"✔ OK","⚠ 未登録"))</f>
        <v/>
      </c>
    </row>
    <row r="116" customFormat="false" ht="15" hidden="false" customHeight="false" outlineLevel="0" collapsed="false">
      <c r="A116" s="61"/>
      <c r="B116" s="62"/>
      <c r="C116" s="63"/>
      <c r="D116" s="63"/>
      <c r="E116" s="62"/>
      <c r="F116" s="62"/>
      <c r="G116" s="62"/>
      <c r="I116" s="64" t="str">
        <f aca="false">IF($B116="","",IF(ISNUMBER(MATCH($B116,日別データ!$B$9:$B$28,0)),"✔ OK","⚠ 未登録"))</f>
        <v/>
      </c>
    </row>
    <row r="117" customFormat="false" ht="15" hidden="false" customHeight="false" outlineLevel="0" collapsed="false">
      <c r="A117" s="61"/>
      <c r="B117" s="62"/>
      <c r="C117" s="63"/>
      <c r="D117" s="63"/>
      <c r="E117" s="62"/>
      <c r="F117" s="62"/>
      <c r="G117" s="62"/>
      <c r="I117" s="64" t="str">
        <f aca="false">IF($B117="","",IF(ISNUMBER(MATCH($B117,日別データ!$B$9:$B$28,0)),"✔ OK","⚠ 未登録"))</f>
        <v/>
      </c>
    </row>
    <row r="118" customFormat="false" ht="15" hidden="false" customHeight="false" outlineLevel="0" collapsed="false">
      <c r="A118" s="61"/>
      <c r="B118" s="62"/>
      <c r="C118" s="63"/>
      <c r="D118" s="63"/>
      <c r="E118" s="62"/>
      <c r="F118" s="62"/>
      <c r="G118" s="62"/>
      <c r="I118" s="64" t="str">
        <f aca="false">IF($B118="","",IF(ISNUMBER(MATCH($B118,日別データ!$B$9:$B$28,0)),"✔ OK","⚠ 未登録"))</f>
        <v/>
      </c>
    </row>
    <row r="119" customFormat="false" ht="15" hidden="false" customHeight="false" outlineLevel="0" collapsed="false">
      <c r="A119" s="61"/>
      <c r="B119" s="62"/>
      <c r="C119" s="63"/>
      <c r="D119" s="63"/>
      <c r="E119" s="62"/>
      <c r="F119" s="62"/>
      <c r="G119" s="62"/>
      <c r="I119" s="64" t="str">
        <f aca="false">IF($B119="","",IF(ISNUMBER(MATCH($B119,日別データ!$B$9:$B$28,0)),"✔ OK","⚠ 未登録"))</f>
        <v/>
      </c>
    </row>
    <row r="120" customFormat="false" ht="15" hidden="false" customHeight="false" outlineLevel="0" collapsed="false">
      <c r="A120" s="61"/>
      <c r="B120" s="62"/>
      <c r="C120" s="63"/>
      <c r="D120" s="63"/>
      <c r="E120" s="62"/>
      <c r="F120" s="62"/>
      <c r="G120" s="62"/>
      <c r="I120" s="64" t="str">
        <f aca="false">IF($B120="","",IF(ISNUMBER(MATCH($B120,日別データ!$B$9:$B$28,0)),"✔ OK","⚠ 未登録"))</f>
        <v/>
      </c>
    </row>
    <row r="121" customFormat="false" ht="15" hidden="false" customHeight="false" outlineLevel="0" collapsed="false">
      <c r="A121" s="61"/>
      <c r="B121" s="62"/>
      <c r="C121" s="63"/>
      <c r="D121" s="63"/>
      <c r="E121" s="62"/>
      <c r="F121" s="62"/>
      <c r="G121" s="62"/>
      <c r="I121" s="64" t="str">
        <f aca="false">IF($B121="","",IF(ISNUMBER(MATCH($B121,日別データ!$B$9:$B$28,0)),"✔ OK","⚠ 未登録"))</f>
        <v/>
      </c>
    </row>
    <row r="122" customFormat="false" ht="15" hidden="false" customHeight="false" outlineLevel="0" collapsed="false">
      <c r="A122" s="61"/>
      <c r="B122" s="62"/>
      <c r="C122" s="63"/>
      <c r="D122" s="63"/>
      <c r="E122" s="62"/>
      <c r="F122" s="62"/>
      <c r="G122" s="62"/>
      <c r="I122" s="64" t="str">
        <f aca="false">IF($B122="","",IF(ISNUMBER(MATCH($B122,日別データ!$B$9:$B$28,0)),"✔ OK","⚠ 未登録"))</f>
        <v/>
      </c>
    </row>
    <row r="123" customFormat="false" ht="15" hidden="false" customHeight="false" outlineLevel="0" collapsed="false">
      <c r="A123" s="61"/>
      <c r="B123" s="62"/>
      <c r="C123" s="63"/>
      <c r="D123" s="63"/>
      <c r="E123" s="62"/>
      <c r="F123" s="62"/>
      <c r="G123" s="62"/>
      <c r="I123" s="64" t="str">
        <f aca="false">IF($B123="","",IF(ISNUMBER(MATCH($B123,日別データ!$B$9:$B$28,0)),"✔ OK","⚠ 未登録"))</f>
        <v/>
      </c>
    </row>
    <row r="124" customFormat="false" ht="15" hidden="false" customHeight="false" outlineLevel="0" collapsed="false">
      <c r="A124" s="61"/>
      <c r="B124" s="62"/>
      <c r="C124" s="63"/>
      <c r="D124" s="63"/>
      <c r="E124" s="62"/>
      <c r="F124" s="62"/>
      <c r="G124" s="62"/>
      <c r="I124" s="64" t="str">
        <f aca="false">IF($B124="","",IF(ISNUMBER(MATCH($B124,日別データ!$B$9:$B$28,0)),"✔ OK","⚠ 未登録"))</f>
        <v/>
      </c>
    </row>
    <row r="125" customFormat="false" ht="15" hidden="false" customHeight="false" outlineLevel="0" collapsed="false">
      <c r="A125" s="61"/>
      <c r="B125" s="62"/>
      <c r="C125" s="63"/>
      <c r="D125" s="63"/>
      <c r="E125" s="62"/>
      <c r="F125" s="62"/>
      <c r="G125" s="62"/>
      <c r="I125" s="64" t="str">
        <f aca="false">IF($B125="","",IF(ISNUMBER(MATCH($B125,日別データ!$B$9:$B$28,0)),"✔ OK","⚠ 未登録"))</f>
        <v/>
      </c>
    </row>
    <row r="126" customFormat="false" ht="15" hidden="false" customHeight="false" outlineLevel="0" collapsed="false">
      <c r="A126" s="61"/>
      <c r="B126" s="62"/>
      <c r="C126" s="63"/>
      <c r="D126" s="63"/>
      <c r="E126" s="62"/>
      <c r="F126" s="62"/>
      <c r="G126" s="62"/>
      <c r="I126" s="64" t="str">
        <f aca="false">IF($B126="","",IF(ISNUMBER(MATCH($B126,日別データ!$B$9:$B$28,0)),"✔ OK","⚠ 未登録"))</f>
        <v/>
      </c>
    </row>
    <row r="127" customFormat="false" ht="15" hidden="false" customHeight="false" outlineLevel="0" collapsed="false">
      <c r="A127" s="61"/>
      <c r="B127" s="62"/>
      <c r="C127" s="63"/>
      <c r="D127" s="63"/>
      <c r="E127" s="62"/>
      <c r="F127" s="62"/>
      <c r="G127" s="62"/>
      <c r="I127" s="64" t="str">
        <f aca="false">IF($B127="","",IF(ISNUMBER(MATCH($B127,日別データ!$B$9:$B$28,0)),"✔ OK","⚠ 未登録"))</f>
        <v/>
      </c>
    </row>
    <row r="128" customFormat="false" ht="15" hidden="false" customHeight="false" outlineLevel="0" collapsed="false">
      <c r="A128" s="61"/>
      <c r="B128" s="62"/>
      <c r="C128" s="63"/>
      <c r="D128" s="63"/>
      <c r="E128" s="62"/>
      <c r="F128" s="62"/>
      <c r="G128" s="62"/>
      <c r="I128" s="64" t="str">
        <f aca="false">IF($B128="","",IF(ISNUMBER(MATCH($B128,日別データ!$B$9:$B$28,0)),"✔ OK","⚠ 未登録"))</f>
        <v/>
      </c>
    </row>
    <row r="129" customFormat="false" ht="15" hidden="false" customHeight="false" outlineLevel="0" collapsed="false">
      <c r="A129" s="61"/>
      <c r="B129" s="62"/>
      <c r="C129" s="63"/>
      <c r="D129" s="63"/>
      <c r="E129" s="62"/>
      <c r="F129" s="62"/>
      <c r="G129" s="62"/>
      <c r="I129" s="64" t="str">
        <f aca="false">IF($B129="","",IF(ISNUMBER(MATCH($B129,日別データ!$B$9:$B$28,0)),"✔ OK","⚠ 未登録"))</f>
        <v/>
      </c>
    </row>
    <row r="130" customFormat="false" ht="15" hidden="false" customHeight="false" outlineLevel="0" collapsed="false">
      <c r="A130" s="61"/>
      <c r="B130" s="62"/>
      <c r="C130" s="63"/>
      <c r="D130" s="63"/>
      <c r="E130" s="62"/>
      <c r="F130" s="62"/>
      <c r="G130" s="62"/>
      <c r="I130" s="64" t="str">
        <f aca="false">IF($B130="","",IF(ISNUMBER(MATCH($B130,日別データ!$B$9:$B$28,0)),"✔ OK","⚠ 未登録"))</f>
        <v/>
      </c>
    </row>
    <row r="131" customFormat="false" ht="15" hidden="false" customHeight="false" outlineLevel="0" collapsed="false">
      <c r="A131" s="61"/>
      <c r="B131" s="62"/>
      <c r="C131" s="63"/>
      <c r="D131" s="63"/>
      <c r="E131" s="62"/>
      <c r="F131" s="62"/>
      <c r="G131" s="62"/>
      <c r="I131" s="64" t="str">
        <f aca="false">IF($B131="","",IF(ISNUMBER(MATCH($B131,日別データ!$B$9:$B$28,0)),"✔ OK","⚠ 未登録"))</f>
        <v/>
      </c>
    </row>
    <row r="132" customFormat="false" ht="15" hidden="false" customHeight="false" outlineLevel="0" collapsed="false">
      <c r="A132" s="61"/>
      <c r="B132" s="62"/>
      <c r="C132" s="63"/>
      <c r="D132" s="63"/>
      <c r="E132" s="62"/>
      <c r="F132" s="62"/>
      <c r="G132" s="62"/>
      <c r="I132" s="64" t="str">
        <f aca="false">IF($B132="","",IF(ISNUMBER(MATCH($B132,日別データ!$B$9:$B$28,0)),"✔ OK","⚠ 未登録"))</f>
        <v/>
      </c>
    </row>
    <row r="133" customFormat="false" ht="15" hidden="false" customHeight="false" outlineLevel="0" collapsed="false">
      <c r="A133" s="61"/>
      <c r="B133" s="62"/>
      <c r="C133" s="63"/>
      <c r="D133" s="63"/>
      <c r="E133" s="62"/>
      <c r="F133" s="62"/>
      <c r="G133" s="62"/>
      <c r="I133" s="64" t="str">
        <f aca="false">IF($B133="","",IF(ISNUMBER(MATCH($B133,日別データ!$B$9:$B$28,0)),"✔ OK","⚠ 未登録"))</f>
        <v/>
      </c>
    </row>
    <row r="134" customFormat="false" ht="15" hidden="false" customHeight="false" outlineLevel="0" collapsed="false">
      <c r="A134" s="61"/>
      <c r="B134" s="62"/>
      <c r="C134" s="63"/>
      <c r="D134" s="63"/>
      <c r="E134" s="62"/>
      <c r="F134" s="62"/>
      <c r="G134" s="62"/>
      <c r="I134" s="64" t="str">
        <f aca="false">IF($B134="","",IF(ISNUMBER(MATCH($B134,日別データ!$B$9:$B$28,0)),"✔ OK","⚠ 未登録"))</f>
        <v/>
      </c>
    </row>
    <row r="135" customFormat="false" ht="15" hidden="false" customHeight="false" outlineLevel="0" collapsed="false">
      <c r="A135" s="61"/>
      <c r="B135" s="62"/>
      <c r="C135" s="63"/>
      <c r="D135" s="63"/>
      <c r="E135" s="62"/>
      <c r="F135" s="62"/>
      <c r="G135" s="62"/>
      <c r="I135" s="64" t="str">
        <f aca="false">IF($B135="","",IF(ISNUMBER(MATCH($B135,日別データ!$B$9:$B$28,0)),"✔ OK","⚠ 未登録"))</f>
        <v/>
      </c>
    </row>
    <row r="136" customFormat="false" ht="15" hidden="false" customHeight="false" outlineLevel="0" collapsed="false">
      <c r="A136" s="61"/>
      <c r="B136" s="62"/>
      <c r="C136" s="63"/>
      <c r="D136" s="63"/>
      <c r="E136" s="62"/>
      <c r="F136" s="62"/>
      <c r="G136" s="62"/>
      <c r="I136" s="64" t="str">
        <f aca="false">IF($B136="","",IF(ISNUMBER(MATCH($B136,日別データ!$B$9:$B$28,0)),"✔ OK","⚠ 未登録"))</f>
        <v/>
      </c>
    </row>
    <row r="137" customFormat="false" ht="15" hidden="false" customHeight="false" outlineLevel="0" collapsed="false">
      <c r="A137" s="61"/>
      <c r="B137" s="62"/>
      <c r="C137" s="63"/>
      <c r="D137" s="63"/>
      <c r="E137" s="62"/>
      <c r="F137" s="62"/>
      <c r="G137" s="62"/>
      <c r="I137" s="64" t="str">
        <f aca="false">IF($B137="","",IF(ISNUMBER(MATCH($B137,日別データ!$B$9:$B$28,0)),"✔ OK","⚠ 未登録"))</f>
        <v/>
      </c>
    </row>
    <row r="138" customFormat="false" ht="15" hidden="false" customHeight="false" outlineLevel="0" collapsed="false">
      <c r="A138" s="61"/>
      <c r="B138" s="62"/>
      <c r="C138" s="63"/>
      <c r="D138" s="63"/>
      <c r="E138" s="62"/>
      <c r="F138" s="62"/>
      <c r="G138" s="62"/>
      <c r="I138" s="64" t="str">
        <f aca="false">IF($B138="","",IF(ISNUMBER(MATCH($B138,日別データ!$B$9:$B$28,0)),"✔ OK","⚠ 未登録"))</f>
        <v/>
      </c>
    </row>
    <row r="139" customFormat="false" ht="15" hidden="false" customHeight="false" outlineLevel="0" collapsed="false">
      <c r="A139" s="61"/>
      <c r="B139" s="62"/>
      <c r="C139" s="63"/>
      <c r="D139" s="63"/>
      <c r="E139" s="62"/>
      <c r="F139" s="62"/>
      <c r="G139" s="62"/>
      <c r="I139" s="64" t="str">
        <f aca="false">IF($B139="","",IF(ISNUMBER(MATCH($B139,日別データ!$B$9:$B$28,0)),"✔ OK","⚠ 未登録"))</f>
        <v/>
      </c>
    </row>
    <row r="140" customFormat="false" ht="15" hidden="false" customHeight="false" outlineLevel="0" collapsed="false">
      <c r="A140" s="61"/>
      <c r="B140" s="62"/>
      <c r="C140" s="63"/>
      <c r="D140" s="63"/>
      <c r="E140" s="62"/>
      <c r="F140" s="62"/>
      <c r="G140" s="62"/>
      <c r="I140" s="64" t="str">
        <f aca="false">IF($B140="","",IF(ISNUMBER(MATCH($B140,日別データ!$B$9:$B$28,0)),"✔ OK","⚠ 未登録"))</f>
        <v/>
      </c>
    </row>
    <row r="141" customFormat="false" ht="15" hidden="false" customHeight="false" outlineLevel="0" collapsed="false">
      <c r="A141" s="61"/>
      <c r="B141" s="62"/>
      <c r="C141" s="63"/>
      <c r="D141" s="63"/>
      <c r="E141" s="62"/>
      <c r="F141" s="62"/>
      <c r="G141" s="62"/>
      <c r="I141" s="64" t="str">
        <f aca="false">IF($B141="","",IF(ISNUMBER(MATCH($B141,日別データ!$B$9:$B$28,0)),"✔ OK","⚠ 未登録"))</f>
        <v/>
      </c>
    </row>
    <row r="142" customFormat="false" ht="15" hidden="false" customHeight="false" outlineLevel="0" collapsed="false">
      <c r="A142" s="61"/>
      <c r="B142" s="62"/>
      <c r="C142" s="63"/>
      <c r="D142" s="63"/>
      <c r="E142" s="62"/>
      <c r="F142" s="62"/>
      <c r="G142" s="62"/>
      <c r="I142" s="64" t="str">
        <f aca="false">IF($B142="","",IF(ISNUMBER(MATCH($B142,日別データ!$B$9:$B$28,0)),"✔ OK","⚠ 未登録"))</f>
        <v/>
      </c>
    </row>
    <row r="143" customFormat="false" ht="15" hidden="false" customHeight="false" outlineLevel="0" collapsed="false">
      <c r="A143" s="61"/>
      <c r="B143" s="62"/>
      <c r="C143" s="63"/>
      <c r="D143" s="63"/>
      <c r="E143" s="62"/>
      <c r="F143" s="62"/>
      <c r="G143" s="62"/>
      <c r="I143" s="64" t="str">
        <f aca="false">IF($B143="","",IF(ISNUMBER(MATCH($B143,日別データ!$B$9:$B$28,0)),"✔ OK","⚠ 未登録"))</f>
        <v/>
      </c>
    </row>
    <row r="144" customFormat="false" ht="15" hidden="false" customHeight="false" outlineLevel="0" collapsed="false">
      <c r="A144" s="61"/>
      <c r="B144" s="62"/>
      <c r="C144" s="63"/>
      <c r="D144" s="63"/>
      <c r="E144" s="62"/>
      <c r="F144" s="62"/>
      <c r="G144" s="62"/>
      <c r="I144" s="64" t="str">
        <f aca="false">IF($B144="","",IF(ISNUMBER(MATCH($B144,日別データ!$B$9:$B$28,0)),"✔ OK","⚠ 未登録"))</f>
        <v/>
      </c>
    </row>
    <row r="145" customFormat="false" ht="15" hidden="false" customHeight="false" outlineLevel="0" collapsed="false">
      <c r="A145" s="61"/>
      <c r="B145" s="62"/>
      <c r="C145" s="63"/>
      <c r="D145" s="63"/>
      <c r="E145" s="62"/>
      <c r="F145" s="62"/>
      <c r="G145" s="62"/>
      <c r="I145" s="64" t="str">
        <f aca="false">IF($B145="","",IF(ISNUMBER(MATCH($B145,日別データ!$B$9:$B$28,0)),"✔ OK","⚠ 未登録"))</f>
        <v/>
      </c>
    </row>
    <row r="146" customFormat="false" ht="15" hidden="false" customHeight="false" outlineLevel="0" collapsed="false">
      <c r="A146" s="61"/>
      <c r="B146" s="62"/>
      <c r="C146" s="63"/>
      <c r="D146" s="63"/>
      <c r="E146" s="62"/>
      <c r="F146" s="62"/>
      <c r="G146" s="62"/>
      <c r="I146" s="64" t="str">
        <f aca="false">IF($B146="","",IF(ISNUMBER(MATCH($B146,日別データ!$B$9:$B$28,0)),"✔ OK","⚠ 未登録"))</f>
        <v/>
      </c>
    </row>
    <row r="147" customFormat="false" ht="15" hidden="false" customHeight="false" outlineLevel="0" collapsed="false">
      <c r="A147" s="61"/>
      <c r="B147" s="62"/>
      <c r="C147" s="63"/>
      <c r="D147" s="63"/>
      <c r="E147" s="62"/>
      <c r="F147" s="62"/>
      <c r="G147" s="62"/>
      <c r="I147" s="64" t="str">
        <f aca="false">IF($B147="","",IF(ISNUMBER(MATCH($B147,日別データ!$B$9:$B$28,0)),"✔ OK","⚠ 未登録"))</f>
        <v/>
      </c>
    </row>
    <row r="148" customFormat="false" ht="15" hidden="false" customHeight="false" outlineLevel="0" collapsed="false">
      <c r="A148" s="61"/>
      <c r="B148" s="62"/>
      <c r="C148" s="63"/>
      <c r="D148" s="63"/>
      <c r="E148" s="62"/>
      <c r="F148" s="62"/>
      <c r="G148" s="62"/>
      <c r="I148" s="64" t="str">
        <f aca="false">IF($B148="","",IF(ISNUMBER(MATCH($B148,日別データ!$B$9:$B$28,0)),"✔ OK","⚠ 未登録"))</f>
        <v/>
      </c>
    </row>
    <row r="149" customFormat="false" ht="15" hidden="false" customHeight="false" outlineLevel="0" collapsed="false">
      <c r="A149" s="61"/>
      <c r="B149" s="62"/>
      <c r="C149" s="63"/>
      <c r="D149" s="63"/>
      <c r="E149" s="62"/>
      <c r="F149" s="62"/>
      <c r="G149" s="62"/>
      <c r="I149" s="64" t="str">
        <f aca="false">IF($B149="","",IF(ISNUMBER(MATCH($B149,日別データ!$B$9:$B$28,0)),"✔ OK","⚠ 未登録"))</f>
        <v/>
      </c>
    </row>
    <row r="150" customFormat="false" ht="15" hidden="false" customHeight="false" outlineLevel="0" collapsed="false">
      <c r="A150" s="61"/>
      <c r="B150" s="62"/>
      <c r="C150" s="63"/>
      <c r="D150" s="63"/>
      <c r="E150" s="62"/>
      <c r="F150" s="62"/>
      <c r="G150" s="62"/>
      <c r="I150" s="64" t="str">
        <f aca="false">IF($B150="","",IF(ISNUMBER(MATCH($B150,日別データ!$B$9:$B$28,0)),"✔ OK","⚠ 未登録"))</f>
        <v/>
      </c>
    </row>
    <row r="151" customFormat="false" ht="15" hidden="false" customHeight="false" outlineLevel="0" collapsed="false">
      <c r="A151" s="61"/>
      <c r="B151" s="62"/>
      <c r="C151" s="63"/>
      <c r="D151" s="63"/>
      <c r="E151" s="62"/>
      <c r="F151" s="62"/>
      <c r="G151" s="62"/>
      <c r="I151" s="64" t="str">
        <f aca="false">IF($B151="","",IF(ISNUMBER(MATCH($B151,日別データ!$B$9:$B$28,0)),"✔ OK","⚠ 未登録"))</f>
        <v/>
      </c>
    </row>
    <row r="152" customFormat="false" ht="15" hidden="false" customHeight="false" outlineLevel="0" collapsed="false">
      <c r="A152" s="61"/>
      <c r="B152" s="62"/>
      <c r="C152" s="63"/>
      <c r="D152" s="63"/>
      <c r="E152" s="62"/>
      <c r="F152" s="62"/>
      <c r="G152" s="62"/>
      <c r="I152" s="64" t="str">
        <f aca="false">IF($B152="","",IF(ISNUMBER(MATCH($B152,日別データ!$B$9:$B$28,0)),"✔ OK","⚠ 未登録"))</f>
        <v/>
      </c>
    </row>
    <row r="153" customFormat="false" ht="15" hidden="false" customHeight="false" outlineLevel="0" collapsed="false">
      <c r="A153" s="61"/>
      <c r="B153" s="62"/>
      <c r="C153" s="63"/>
      <c r="D153" s="63"/>
      <c r="E153" s="62"/>
      <c r="F153" s="62"/>
      <c r="G153" s="62"/>
      <c r="I153" s="64" t="str">
        <f aca="false">IF($B153="","",IF(ISNUMBER(MATCH($B153,日別データ!$B$9:$B$28,0)),"✔ OK","⚠ 未登録"))</f>
        <v/>
      </c>
    </row>
    <row r="154" customFormat="false" ht="15" hidden="false" customHeight="false" outlineLevel="0" collapsed="false">
      <c r="A154" s="61"/>
      <c r="B154" s="62"/>
      <c r="C154" s="63"/>
      <c r="D154" s="63"/>
      <c r="E154" s="62"/>
      <c r="F154" s="62"/>
      <c r="G154" s="62"/>
      <c r="I154" s="64" t="str">
        <f aca="false">IF($B154="","",IF(ISNUMBER(MATCH($B154,日別データ!$B$9:$B$28,0)),"✔ OK","⚠ 未登録"))</f>
        <v/>
      </c>
    </row>
    <row r="155" customFormat="false" ht="15" hidden="false" customHeight="false" outlineLevel="0" collapsed="false">
      <c r="A155" s="61"/>
      <c r="B155" s="62"/>
      <c r="C155" s="63"/>
      <c r="D155" s="63"/>
      <c r="E155" s="62"/>
      <c r="F155" s="62"/>
      <c r="G155" s="62"/>
      <c r="I155" s="64" t="str">
        <f aca="false">IF($B155="","",IF(ISNUMBER(MATCH($B155,日別データ!$B$9:$B$28,0)),"✔ OK","⚠ 未登録"))</f>
        <v/>
      </c>
    </row>
    <row r="156" customFormat="false" ht="15" hidden="false" customHeight="false" outlineLevel="0" collapsed="false">
      <c r="A156" s="61"/>
      <c r="B156" s="62"/>
      <c r="C156" s="63"/>
      <c r="D156" s="63"/>
      <c r="E156" s="62"/>
      <c r="F156" s="62"/>
      <c r="G156" s="62"/>
      <c r="I156" s="64" t="str">
        <f aca="false">IF($B156="","",IF(ISNUMBER(MATCH($B156,日別データ!$B$9:$B$28,0)),"✔ OK","⚠ 未登録"))</f>
        <v/>
      </c>
    </row>
    <row r="157" customFormat="false" ht="15" hidden="false" customHeight="false" outlineLevel="0" collapsed="false">
      <c r="A157" s="61"/>
      <c r="B157" s="62"/>
      <c r="C157" s="63"/>
      <c r="D157" s="63"/>
      <c r="E157" s="62"/>
      <c r="F157" s="62"/>
      <c r="G157" s="62"/>
      <c r="I157" s="64" t="str">
        <f aca="false">IF($B157="","",IF(ISNUMBER(MATCH($B157,日別データ!$B$9:$B$28,0)),"✔ OK","⚠ 未登録"))</f>
        <v/>
      </c>
    </row>
    <row r="158" customFormat="false" ht="15" hidden="false" customHeight="false" outlineLevel="0" collapsed="false">
      <c r="A158" s="61"/>
      <c r="B158" s="62"/>
      <c r="C158" s="63"/>
      <c r="D158" s="63"/>
      <c r="E158" s="62"/>
      <c r="F158" s="62"/>
      <c r="G158" s="62"/>
      <c r="I158" s="64" t="str">
        <f aca="false">IF($B158="","",IF(ISNUMBER(MATCH($B158,日別データ!$B$9:$B$28,0)),"✔ OK","⚠ 未登録"))</f>
        <v/>
      </c>
    </row>
    <row r="159" customFormat="false" ht="15" hidden="false" customHeight="false" outlineLevel="0" collapsed="false">
      <c r="A159" s="61"/>
      <c r="B159" s="62"/>
      <c r="C159" s="63"/>
      <c r="D159" s="63"/>
      <c r="E159" s="62"/>
      <c r="F159" s="62"/>
      <c r="G159" s="62"/>
      <c r="I159" s="64" t="str">
        <f aca="false">IF($B159="","",IF(ISNUMBER(MATCH($B159,日別データ!$B$9:$B$28,0)),"✔ OK","⚠ 未登録"))</f>
        <v/>
      </c>
    </row>
    <row r="160" customFormat="false" ht="15" hidden="false" customHeight="false" outlineLevel="0" collapsed="false">
      <c r="A160" s="61"/>
      <c r="B160" s="62"/>
      <c r="C160" s="63"/>
      <c r="D160" s="63"/>
      <c r="E160" s="62"/>
      <c r="F160" s="62"/>
      <c r="G160" s="62"/>
      <c r="I160" s="64" t="str">
        <f aca="false">IF($B160="","",IF(ISNUMBER(MATCH($B160,日別データ!$B$9:$B$28,0)),"✔ OK","⚠ 未登録"))</f>
        <v/>
      </c>
    </row>
    <row r="161" customFormat="false" ht="15" hidden="false" customHeight="false" outlineLevel="0" collapsed="false">
      <c r="A161" s="61"/>
      <c r="B161" s="62"/>
      <c r="C161" s="63"/>
      <c r="D161" s="63"/>
      <c r="E161" s="62"/>
      <c r="F161" s="62"/>
      <c r="G161" s="62"/>
      <c r="I161" s="64" t="str">
        <f aca="false">IF($B161="","",IF(ISNUMBER(MATCH($B161,日別データ!$B$9:$B$28,0)),"✔ OK","⚠ 未登録"))</f>
        <v/>
      </c>
    </row>
    <row r="162" customFormat="false" ht="15" hidden="false" customHeight="false" outlineLevel="0" collapsed="false">
      <c r="A162" s="61"/>
      <c r="B162" s="62"/>
      <c r="C162" s="63"/>
      <c r="D162" s="63"/>
      <c r="E162" s="62"/>
      <c r="F162" s="62"/>
      <c r="G162" s="62"/>
      <c r="I162" s="64" t="str">
        <f aca="false">IF($B162="","",IF(ISNUMBER(MATCH($B162,日別データ!$B$9:$B$28,0)),"✔ OK","⚠ 未登録"))</f>
        <v/>
      </c>
    </row>
    <row r="163" customFormat="false" ht="15" hidden="false" customHeight="false" outlineLevel="0" collapsed="false">
      <c r="A163" s="61"/>
      <c r="B163" s="62"/>
      <c r="C163" s="63"/>
      <c r="D163" s="63"/>
      <c r="E163" s="62"/>
      <c r="F163" s="62"/>
      <c r="G163" s="62"/>
      <c r="I163" s="64" t="str">
        <f aca="false">IF($B163="","",IF(ISNUMBER(MATCH($B163,日別データ!$B$9:$B$28,0)),"✔ OK","⚠ 未登録"))</f>
        <v/>
      </c>
    </row>
    <row r="164" customFormat="false" ht="15" hidden="false" customHeight="false" outlineLevel="0" collapsed="false">
      <c r="A164" s="61"/>
      <c r="B164" s="62"/>
      <c r="C164" s="63"/>
      <c r="D164" s="63"/>
      <c r="E164" s="62"/>
      <c r="F164" s="62"/>
      <c r="G164" s="62"/>
      <c r="I164" s="64" t="str">
        <f aca="false">IF($B164="","",IF(ISNUMBER(MATCH($B164,日別データ!$B$9:$B$28,0)),"✔ OK","⚠ 未登録"))</f>
        <v/>
      </c>
    </row>
    <row r="165" customFormat="false" ht="15" hidden="false" customHeight="false" outlineLevel="0" collapsed="false">
      <c r="A165" s="61"/>
      <c r="B165" s="62"/>
      <c r="C165" s="63"/>
      <c r="D165" s="63"/>
      <c r="E165" s="62"/>
      <c r="F165" s="62"/>
      <c r="G165" s="62"/>
      <c r="I165" s="64" t="str">
        <f aca="false">IF($B165="","",IF(ISNUMBER(MATCH($B165,日別データ!$B$9:$B$28,0)),"✔ OK","⚠ 未登録"))</f>
        <v/>
      </c>
    </row>
    <row r="166" customFormat="false" ht="15" hidden="false" customHeight="false" outlineLevel="0" collapsed="false">
      <c r="A166" s="61"/>
      <c r="B166" s="62"/>
      <c r="C166" s="63"/>
      <c r="D166" s="63"/>
      <c r="E166" s="62"/>
      <c r="F166" s="62"/>
      <c r="G166" s="62"/>
      <c r="I166" s="64" t="str">
        <f aca="false">IF($B166="","",IF(ISNUMBER(MATCH($B166,日別データ!$B$9:$B$28,0)),"✔ OK","⚠ 未登録"))</f>
        <v/>
      </c>
    </row>
    <row r="167" customFormat="false" ht="15" hidden="false" customHeight="false" outlineLevel="0" collapsed="false">
      <c r="A167" s="61"/>
      <c r="B167" s="62"/>
      <c r="C167" s="63"/>
      <c r="D167" s="63"/>
      <c r="E167" s="62"/>
      <c r="F167" s="62"/>
      <c r="G167" s="62"/>
      <c r="I167" s="64" t="str">
        <f aca="false">IF($B167="","",IF(ISNUMBER(MATCH($B167,日別データ!$B$9:$B$28,0)),"✔ OK","⚠ 未登録"))</f>
        <v/>
      </c>
    </row>
    <row r="168" customFormat="false" ht="15" hidden="false" customHeight="false" outlineLevel="0" collapsed="false">
      <c r="A168" s="61"/>
      <c r="B168" s="62"/>
      <c r="C168" s="63"/>
      <c r="D168" s="63"/>
      <c r="E168" s="62"/>
      <c r="F168" s="62"/>
      <c r="G168" s="62"/>
      <c r="I168" s="64" t="str">
        <f aca="false">IF($B168="","",IF(ISNUMBER(MATCH($B168,日別データ!$B$9:$B$28,0)),"✔ OK","⚠ 未登録"))</f>
        <v/>
      </c>
    </row>
    <row r="169" customFormat="false" ht="15" hidden="false" customHeight="false" outlineLevel="0" collapsed="false">
      <c r="A169" s="61"/>
      <c r="B169" s="62"/>
      <c r="C169" s="63"/>
      <c r="D169" s="63"/>
      <c r="E169" s="62"/>
      <c r="F169" s="62"/>
      <c r="G169" s="62"/>
      <c r="I169" s="64" t="str">
        <f aca="false">IF($B169="","",IF(ISNUMBER(MATCH($B169,日別データ!$B$9:$B$28,0)),"✔ OK","⚠ 未登録"))</f>
        <v/>
      </c>
    </row>
    <row r="170" customFormat="false" ht="15" hidden="false" customHeight="false" outlineLevel="0" collapsed="false">
      <c r="A170" s="61"/>
      <c r="B170" s="62"/>
      <c r="C170" s="63"/>
      <c r="D170" s="63"/>
      <c r="E170" s="62"/>
      <c r="F170" s="62"/>
      <c r="G170" s="62"/>
      <c r="I170" s="64" t="str">
        <f aca="false">IF($B170="","",IF(ISNUMBER(MATCH($B170,日別データ!$B$9:$B$28,0)),"✔ OK","⚠ 未登録"))</f>
        <v/>
      </c>
    </row>
    <row r="171" customFormat="false" ht="15" hidden="false" customHeight="false" outlineLevel="0" collapsed="false">
      <c r="A171" s="61"/>
      <c r="B171" s="62"/>
      <c r="C171" s="63"/>
      <c r="D171" s="63"/>
      <c r="E171" s="62"/>
      <c r="F171" s="62"/>
      <c r="G171" s="62"/>
      <c r="I171" s="64" t="str">
        <f aca="false">IF($B171="","",IF(ISNUMBER(MATCH($B171,日別データ!$B$9:$B$28,0)),"✔ OK","⚠ 未登録"))</f>
        <v/>
      </c>
    </row>
    <row r="172" customFormat="false" ht="15" hidden="false" customHeight="false" outlineLevel="0" collapsed="false">
      <c r="A172" s="61"/>
      <c r="B172" s="62"/>
      <c r="C172" s="63"/>
      <c r="D172" s="63"/>
      <c r="E172" s="62"/>
      <c r="F172" s="62"/>
      <c r="G172" s="62"/>
      <c r="I172" s="64" t="str">
        <f aca="false">IF($B172="","",IF(ISNUMBER(MATCH($B172,日別データ!$B$9:$B$28,0)),"✔ OK","⚠ 未登録"))</f>
        <v/>
      </c>
    </row>
    <row r="173" customFormat="false" ht="15" hidden="false" customHeight="false" outlineLevel="0" collapsed="false">
      <c r="A173" s="61"/>
      <c r="B173" s="62"/>
      <c r="C173" s="63"/>
      <c r="D173" s="63"/>
      <c r="E173" s="62"/>
      <c r="F173" s="62"/>
      <c r="G173" s="62"/>
      <c r="I173" s="64" t="str">
        <f aca="false">IF($B173="","",IF(ISNUMBER(MATCH($B173,日別データ!$B$9:$B$28,0)),"✔ OK","⚠ 未登録"))</f>
        <v/>
      </c>
    </row>
    <row r="174" customFormat="false" ht="15" hidden="false" customHeight="false" outlineLevel="0" collapsed="false">
      <c r="A174" s="61"/>
      <c r="B174" s="62"/>
      <c r="C174" s="63"/>
      <c r="D174" s="63"/>
      <c r="E174" s="62"/>
      <c r="F174" s="62"/>
      <c r="G174" s="62"/>
      <c r="I174" s="64" t="str">
        <f aca="false">IF($B174="","",IF(ISNUMBER(MATCH($B174,日別データ!$B$9:$B$28,0)),"✔ OK","⚠ 未登録"))</f>
        <v/>
      </c>
    </row>
    <row r="175" customFormat="false" ht="15" hidden="false" customHeight="false" outlineLevel="0" collapsed="false">
      <c r="A175" s="61"/>
      <c r="B175" s="62"/>
      <c r="C175" s="63"/>
      <c r="D175" s="63"/>
      <c r="E175" s="62"/>
      <c r="F175" s="62"/>
      <c r="G175" s="62"/>
      <c r="I175" s="64" t="str">
        <f aca="false">IF($B175="","",IF(ISNUMBER(MATCH($B175,日別データ!$B$9:$B$28,0)),"✔ OK","⚠ 未登録"))</f>
        <v/>
      </c>
    </row>
    <row r="176" customFormat="false" ht="15" hidden="false" customHeight="false" outlineLevel="0" collapsed="false">
      <c r="A176" s="61"/>
      <c r="B176" s="62"/>
      <c r="C176" s="63"/>
      <c r="D176" s="63"/>
      <c r="E176" s="62"/>
      <c r="F176" s="62"/>
      <c r="G176" s="62"/>
      <c r="I176" s="64" t="str">
        <f aca="false">IF($B176="","",IF(ISNUMBER(MATCH($B176,日別データ!$B$9:$B$28,0)),"✔ OK","⚠ 未登録"))</f>
        <v/>
      </c>
    </row>
    <row r="177" customFormat="false" ht="15" hidden="false" customHeight="false" outlineLevel="0" collapsed="false">
      <c r="A177" s="61"/>
      <c r="B177" s="62"/>
      <c r="C177" s="63"/>
      <c r="D177" s="63"/>
      <c r="E177" s="62"/>
      <c r="F177" s="62"/>
      <c r="G177" s="62"/>
      <c r="I177" s="64" t="str">
        <f aca="false">IF($B177="","",IF(ISNUMBER(MATCH($B177,日別データ!$B$9:$B$28,0)),"✔ OK","⚠ 未登録"))</f>
        <v/>
      </c>
    </row>
    <row r="178" customFormat="false" ht="15" hidden="false" customHeight="false" outlineLevel="0" collapsed="false">
      <c r="A178" s="61"/>
      <c r="B178" s="62"/>
      <c r="C178" s="63"/>
      <c r="D178" s="63"/>
      <c r="E178" s="62"/>
      <c r="F178" s="62"/>
      <c r="G178" s="62"/>
      <c r="I178" s="64" t="str">
        <f aca="false">IF($B178="","",IF(ISNUMBER(MATCH($B178,日別データ!$B$9:$B$28,0)),"✔ OK","⚠ 未登録"))</f>
        <v/>
      </c>
    </row>
    <row r="179" customFormat="false" ht="15" hidden="false" customHeight="false" outlineLevel="0" collapsed="false">
      <c r="A179" s="61"/>
      <c r="B179" s="62"/>
      <c r="C179" s="63"/>
      <c r="D179" s="63"/>
      <c r="E179" s="62"/>
      <c r="F179" s="62"/>
      <c r="G179" s="62"/>
      <c r="I179" s="64" t="str">
        <f aca="false">IF($B179="","",IF(ISNUMBER(MATCH($B179,日別データ!$B$9:$B$28,0)),"✔ OK","⚠ 未登録"))</f>
        <v/>
      </c>
    </row>
    <row r="180" customFormat="false" ht="15" hidden="false" customHeight="false" outlineLevel="0" collapsed="false">
      <c r="A180" s="61"/>
      <c r="B180" s="62"/>
      <c r="C180" s="63"/>
      <c r="D180" s="63"/>
      <c r="E180" s="62"/>
      <c r="F180" s="62"/>
      <c r="G180" s="62"/>
      <c r="I180" s="64" t="str">
        <f aca="false">IF($B180="","",IF(ISNUMBER(MATCH($B180,日別データ!$B$9:$B$28,0)),"✔ OK","⚠ 未登録"))</f>
        <v/>
      </c>
    </row>
    <row r="181" customFormat="false" ht="15" hidden="false" customHeight="false" outlineLevel="0" collapsed="false">
      <c r="A181" s="61"/>
      <c r="B181" s="62"/>
      <c r="C181" s="63"/>
      <c r="D181" s="63"/>
      <c r="E181" s="62"/>
      <c r="F181" s="62"/>
      <c r="G181" s="62"/>
      <c r="I181" s="64" t="str">
        <f aca="false">IF($B181="","",IF(ISNUMBER(MATCH($B181,日別データ!$B$9:$B$28,0)),"✔ OK","⚠ 未登録"))</f>
        <v/>
      </c>
    </row>
    <row r="182" customFormat="false" ht="15" hidden="false" customHeight="false" outlineLevel="0" collapsed="false">
      <c r="A182" s="61"/>
      <c r="B182" s="62"/>
      <c r="C182" s="63"/>
      <c r="D182" s="63"/>
      <c r="E182" s="62"/>
      <c r="F182" s="62"/>
      <c r="G182" s="62"/>
      <c r="I182" s="64" t="str">
        <f aca="false">IF($B182="","",IF(ISNUMBER(MATCH($B182,日別データ!$B$9:$B$28,0)),"✔ OK","⚠ 未登録"))</f>
        <v/>
      </c>
    </row>
    <row r="183" customFormat="false" ht="15" hidden="false" customHeight="false" outlineLevel="0" collapsed="false">
      <c r="A183" s="61"/>
      <c r="B183" s="62"/>
      <c r="C183" s="63"/>
      <c r="D183" s="63"/>
      <c r="E183" s="62"/>
      <c r="F183" s="62"/>
      <c r="G183" s="62"/>
      <c r="I183" s="64" t="str">
        <f aca="false">IF($B183="","",IF(ISNUMBER(MATCH($B183,日別データ!$B$9:$B$28,0)),"✔ OK","⚠ 未登録"))</f>
        <v/>
      </c>
    </row>
    <row r="184" customFormat="false" ht="15" hidden="false" customHeight="false" outlineLevel="0" collapsed="false">
      <c r="A184" s="61"/>
      <c r="B184" s="62"/>
      <c r="C184" s="63"/>
      <c r="D184" s="63"/>
      <c r="E184" s="62"/>
      <c r="F184" s="62"/>
      <c r="G184" s="62"/>
      <c r="I184" s="64" t="str">
        <f aca="false">IF($B184="","",IF(ISNUMBER(MATCH($B184,日別データ!$B$9:$B$28,0)),"✔ OK","⚠ 未登録"))</f>
        <v/>
      </c>
    </row>
    <row r="185" customFormat="false" ht="15" hidden="false" customHeight="false" outlineLevel="0" collapsed="false">
      <c r="A185" s="61"/>
      <c r="B185" s="62"/>
      <c r="C185" s="63"/>
      <c r="D185" s="63"/>
      <c r="E185" s="62"/>
      <c r="F185" s="62"/>
      <c r="G185" s="62"/>
      <c r="I185" s="64" t="str">
        <f aca="false">IF($B185="","",IF(ISNUMBER(MATCH($B185,日別データ!$B$9:$B$28,0)),"✔ OK","⚠ 未登録"))</f>
        <v/>
      </c>
    </row>
    <row r="186" customFormat="false" ht="15" hidden="false" customHeight="false" outlineLevel="0" collapsed="false">
      <c r="A186" s="61"/>
      <c r="B186" s="62"/>
      <c r="C186" s="63"/>
      <c r="D186" s="63"/>
      <c r="E186" s="62"/>
      <c r="F186" s="62"/>
      <c r="G186" s="62"/>
      <c r="I186" s="64" t="str">
        <f aca="false">IF($B186="","",IF(ISNUMBER(MATCH($B186,日別データ!$B$9:$B$28,0)),"✔ OK","⚠ 未登録"))</f>
        <v/>
      </c>
    </row>
    <row r="187" customFormat="false" ht="15" hidden="false" customHeight="false" outlineLevel="0" collapsed="false">
      <c r="A187" s="61"/>
      <c r="B187" s="62"/>
      <c r="C187" s="63"/>
      <c r="D187" s="63"/>
      <c r="E187" s="62"/>
      <c r="F187" s="62"/>
      <c r="G187" s="62"/>
      <c r="I187" s="64" t="str">
        <f aca="false">IF($B187="","",IF(ISNUMBER(MATCH($B187,日別データ!$B$9:$B$28,0)),"✔ OK","⚠ 未登録"))</f>
        <v/>
      </c>
    </row>
    <row r="188" customFormat="false" ht="15" hidden="false" customHeight="false" outlineLevel="0" collapsed="false">
      <c r="A188" s="61"/>
      <c r="B188" s="62"/>
      <c r="C188" s="63"/>
      <c r="D188" s="63"/>
      <c r="E188" s="62"/>
      <c r="F188" s="62"/>
      <c r="G188" s="62"/>
      <c r="I188" s="64" t="str">
        <f aca="false">IF($B188="","",IF(ISNUMBER(MATCH($B188,日別データ!$B$9:$B$28,0)),"✔ OK","⚠ 未登録"))</f>
        <v/>
      </c>
    </row>
    <row r="189" customFormat="false" ht="15" hidden="false" customHeight="false" outlineLevel="0" collapsed="false">
      <c r="A189" s="61"/>
      <c r="B189" s="62"/>
      <c r="C189" s="63"/>
      <c r="D189" s="63"/>
      <c r="E189" s="62"/>
      <c r="F189" s="62"/>
      <c r="G189" s="62"/>
      <c r="I189" s="64" t="str">
        <f aca="false">IF($B189="","",IF(ISNUMBER(MATCH($B189,日別データ!$B$9:$B$28,0)),"✔ OK","⚠ 未登録"))</f>
        <v/>
      </c>
    </row>
    <row r="190" customFormat="false" ht="15" hidden="false" customHeight="false" outlineLevel="0" collapsed="false">
      <c r="A190" s="61"/>
      <c r="B190" s="62"/>
      <c r="C190" s="63"/>
      <c r="D190" s="63"/>
      <c r="E190" s="62"/>
      <c r="F190" s="62"/>
      <c r="G190" s="62"/>
      <c r="I190" s="64" t="str">
        <f aca="false">IF($B190="","",IF(ISNUMBER(MATCH($B190,日別データ!$B$9:$B$28,0)),"✔ OK","⚠ 未登録"))</f>
        <v/>
      </c>
    </row>
    <row r="191" customFormat="false" ht="15" hidden="false" customHeight="false" outlineLevel="0" collapsed="false">
      <c r="A191" s="61"/>
      <c r="B191" s="62"/>
      <c r="C191" s="63"/>
      <c r="D191" s="63"/>
      <c r="E191" s="62"/>
      <c r="F191" s="62"/>
      <c r="G191" s="62"/>
      <c r="I191" s="64" t="str">
        <f aca="false">IF($B191="","",IF(ISNUMBER(MATCH($B191,日別データ!$B$9:$B$28,0)),"✔ OK","⚠ 未登録"))</f>
        <v/>
      </c>
    </row>
    <row r="192" customFormat="false" ht="15" hidden="false" customHeight="false" outlineLevel="0" collapsed="false">
      <c r="A192" s="61"/>
      <c r="B192" s="62"/>
      <c r="C192" s="63"/>
      <c r="D192" s="63"/>
      <c r="E192" s="62"/>
      <c r="F192" s="62"/>
      <c r="G192" s="62"/>
      <c r="I192" s="64" t="str">
        <f aca="false">IF($B192="","",IF(ISNUMBER(MATCH($B192,日別データ!$B$9:$B$28,0)),"✔ OK","⚠ 未登録"))</f>
        <v/>
      </c>
    </row>
    <row r="193" customFormat="false" ht="15" hidden="false" customHeight="false" outlineLevel="0" collapsed="false">
      <c r="A193" s="61"/>
      <c r="B193" s="62"/>
      <c r="C193" s="63"/>
      <c r="D193" s="63"/>
      <c r="E193" s="62"/>
      <c r="F193" s="62"/>
      <c r="G193" s="62"/>
      <c r="I193" s="64" t="str">
        <f aca="false">IF($B193="","",IF(ISNUMBER(MATCH($B193,日別データ!$B$9:$B$28,0)),"✔ OK","⚠ 未登録"))</f>
        <v/>
      </c>
    </row>
    <row r="194" customFormat="false" ht="15" hidden="false" customHeight="false" outlineLevel="0" collapsed="false">
      <c r="A194" s="61"/>
      <c r="B194" s="62"/>
      <c r="C194" s="63"/>
      <c r="D194" s="63"/>
      <c r="E194" s="62"/>
      <c r="F194" s="62"/>
      <c r="G194" s="62"/>
      <c r="I194" s="64" t="str">
        <f aca="false">IF($B194="","",IF(ISNUMBER(MATCH($B194,日別データ!$B$9:$B$28,0)),"✔ OK","⚠ 未登録"))</f>
        <v/>
      </c>
    </row>
    <row r="195" customFormat="false" ht="15" hidden="false" customHeight="false" outlineLevel="0" collapsed="false">
      <c r="A195" s="61"/>
      <c r="B195" s="62"/>
      <c r="C195" s="63"/>
      <c r="D195" s="63"/>
      <c r="E195" s="62"/>
      <c r="F195" s="62"/>
      <c r="G195" s="62"/>
      <c r="I195" s="64" t="str">
        <f aca="false">IF($B195="","",IF(ISNUMBER(MATCH($B195,日別データ!$B$9:$B$28,0)),"✔ OK","⚠ 未登録"))</f>
        <v/>
      </c>
    </row>
    <row r="196" customFormat="false" ht="15" hidden="false" customHeight="false" outlineLevel="0" collapsed="false">
      <c r="A196" s="61"/>
      <c r="B196" s="62"/>
      <c r="C196" s="63"/>
      <c r="D196" s="63"/>
      <c r="E196" s="62"/>
      <c r="F196" s="62"/>
      <c r="G196" s="62"/>
      <c r="I196" s="64" t="str">
        <f aca="false">IF($B196="","",IF(ISNUMBER(MATCH($B196,日別データ!$B$9:$B$28,0)),"✔ OK","⚠ 未登録"))</f>
        <v/>
      </c>
    </row>
    <row r="197" customFormat="false" ht="15" hidden="false" customHeight="false" outlineLevel="0" collapsed="false">
      <c r="A197" s="61"/>
      <c r="B197" s="62"/>
      <c r="C197" s="63"/>
      <c r="D197" s="63"/>
      <c r="E197" s="62"/>
      <c r="F197" s="62"/>
      <c r="G197" s="62"/>
      <c r="I197" s="64" t="str">
        <f aca="false">IF($B197="","",IF(ISNUMBER(MATCH($B197,日別データ!$B$9:$B$28,0)),"✔ OK","⚠ 未登録"))</f>
        <v/>
      </c>
    </row>
    <row r="198" customFormat="false" ht="15" hidden="false" customHeight="false" outlineLevel="0" collapsed="false">
      <c r="A198" s="61"/>
      <c r="B198" s="62"/>
      <c r="C198" s="63"/>
      <c r="D198" s="63"/>
      <c r="E198" s="62"/>
      <c r="F198" s="62"/>
      <c r="G198" s="62"/>
      <c r="I198" s="64" t="str">
        <f aca="false">IF($B198="","",IF(ISNUMBER(MATCH($B198,日別データ!$B$9:$B$28,0)),"✔ OK","⚠ 未登録"))</f>
        <v/>
      </c>
    </row>
    <row r="199" customFormat="false" ht="15" hidden="false" customHeight="false" outlineLevel="0" collapsed="false">
      <c r="A199" s="61"/>
      <c r="B199" s="62"/>
      <c r="C199" s="63"/>
      <c r="D199" s="63"/>
      <c r="E199" s="62"/>
      <c r="F199" s="62"/>
      <c r="G199" s="62"/>
      <c r="I199" s="64" t="str">
        <f aca="false">IF($B199="","",IF(ISNUMBER(MATCH($B199,日別データ!$B$9:$B$28,0)),"✔ OK","⚠ 未登録"))</f>
        <v/>
      </c>
    </row>
    <row r="200" customFormat="false" ht="15" hidden="false" customHeight="false" outlineLevel="0" collapsed="false">
      <c r="A200" s="61"/>
      <c r="B200" s="62"/>
      <c r="C200" s="63"/>
      <c r="D200" s="63"/>
      <c r="E200" s="62"/>
      <c r="F200" s="62"/>
      <c r="G200" s="62"/>
      <c r="I200" s="64" t="str">
        <f aca="false">IF($B200="","",IF(ISNUMBER(MATCH($B200,日別データ!$B$9:$B$28,0)),"✔ OK","⚠ 未登録"))</f>
        <v/>
      </c>
    </row>
    <row r="201" customFormat="false" ht="15" hidden="false" customHeight="false" outlineLevel="0" collapsed="false">
      <c r="A201" s="61"/>
      <c r="B201" s="62"/>
      <c r="C201" s="63"/>
      <c r="D201" s="63"/>
      <c r="E201" s="62"/>
      <c r="F201" s="62"/>
      <c r="G201" s="62"/>
      <c r="I201" s="64" t="str">
        <f aca="false">IF($B201="","",IF(ISNUMBER(MATCH($B201,日別データ!$B$9:$B$28,0)),"✔ OK","⚠ 未登録"))</f>
        <v/>
      </c>
    </row>
    <row r="202" customFormat="false" ht="15" hidden="false" customHeight="false" outlineLevel="0" collapsed="false">
      <c r="A202" s="61"/>
      <c r="B202" s="62"/>
      <c r="C202" s="63"/>
      <c r="D202" s="63"/>
      <c r="E202" s="62"/>
      <c r="F202" s="62"/>
      <c r="G202" s="62"/>
      <c r="I202" s="64" t="str">
        <f aca="false">IF($B202="","",IF(ISNUMBER(MATCH($B202,日別データ!$B$9:$B$28,0)),"✔ OK","⚠ 未登録"))</f>
        <v/>
      </c>
    </row>
    <row r="203" customFormat="false" ht="15" hidden="false" customHeight="false" outlineLevel="0" collapsed="false">
      <c r="A203" s="61"/>
      <c r="B203" s="62"/>
      <c r="C203" s="63"/>
      <c r="D203" s="63"/>
      <c r="E203" s="62"/>
      <c r="F203" s="62"/>
      <c r="G203" s="62"/>
      <c r="I203" s="64" t="str">
        <f aca="false">IF($B203="","",IF(ISNUMBER(MATCH($B203,日別データ!$B$9:$B$28,0)),"✔ OK","⚠ 未登録"))</f>
        <v/>
      </c>
    </row>
    <row r="204" customFormat="false" ht="15" hidden="false" customHeight="false" outlineLevel="0" collapsed="false">
      <c r="A204" s="61"/>
      <c r="B204" s="62"/>
      <c r="C204" s="63"/>
      <c r="D204" s="63"/>
      <c r="E204" s="62"/>
      <c r="F204" s="62"/>
      <c r="G204" s="62"/>
      <c r="I204" s="64" t="str">
        <f aca="false">IF($B204="","",IF(ISNUMBER(MATCH($B204,日別データ!$B$9:$B$28,0)),"✔ OK","⚠ 未登録"))</f>
        <v/>
      </c>
    </row>
    <row r="205" customFormat="false" ht="15" hidden="false" customHeight="false" outlineLevel="0" collapsed="false">
      <c r="A205" s="61"/>
      <c r="B205" s="62"/>
      <c r="C205" s="63"/>
      <c r="D205" s="63"/>
      <c r="E205" s="62"/>
      <c r="F205" s="62"/>
      <c r="G205" s="62"/>
      <c r="I205" s="64" t="str">
        <f aca="false">IF($B205="","",IF(ISNUMBER(MATCH($B205,日別データ!$B$9:$B$28,0)),"✔ OK","⚠ 未登録"))</f>
        <v/>
      </c>
    </row>
    <row r="206" customFormat="false" ht="15" hidden="false" customHeight="false" outlineLevel="0" collapsed="false">
      <c r="A206" s="61"/>
      <c r="B206" s="62"/>
      <c r="C206" s="63"/>
      <c r="D206" s="63"/>
      <c r="E206" s="62"/>
      <c r="F206" s="62"/>
      <c r="G206" s="62"/>
      <c r="I206" s="64" t="str">
        <f aca="false">IF($B206="","",IF(ISNUMBER(MATCH($B206,日別データ!$B$9:$B$28,0)),"✔ OK","⚠ 未登録"))</f>
        <v/>
      </c>
    </row>
    <row r="207" customFormat="false" ht="15" hidden="false" customHeight="false" outlineLevel="0" collapsed="false">
      <c r="A207" s="61"/>
      <c r="B207" s="62"/>
      <c r="C207" s="63"/>
      <c r="D207" s="63"/>
      <c r="E207" s="62"/>
      <c r="F207" s="62"/>
      <c r="G207" s="62"/>
      <c r="I207" s="64" t="str">
        <f aca="false">IF($B207="","",IF(ISNUMBER(MATCH($B207,日別データ!$B$9:$B$28,0)),"✔ OK","⚠ 未登録"))</f>
        <v/>
      </c>
    </row>
    <row r="208" customFormat="false" ht="15" hidden="false" customHeight="false" outlineLevel="0" collapsed="false">
      <c r="A208" s="61"/>
      <c r="B208" s="62"/>
      <c r="C208" s="63"/>
      <c r="D208" s="63"/>
      <c r="E208" s="62"/>
      <c r="F208" s="62"/>
      <c r="G208" s="62"/>
      <c r="I208" s="64" t="str">
        <f aca="false">IF($B208="","",IF(ISNUMBER(MATCH($B208,日別データ!$B$9:$B$28,0)),"✔ OK","⚠ 未登録"))</f>
        <v/>
      </c>
    </row>
    <row r="209" customFormat="false" ht="15" hidden="false" customHeight="false" outlineLevel="0" collapsed="false">
      <c r="A209" s="61"/>
      <c r="B209" s="62"/>
      <c r="C209" s="63"/>
      <c r="D209" s="63"/>
      <c r="E209" s="62"/>
      <c r="F209" s="62"/>
      <c r="G209" s="62"/>
      <c r="I209" s="64" t="str">
        <f aca="false">IF($B209="","",IF(ISNUMBER(MATCH($B209,日別データ!$B$9:$B$28,0)),"✔ OK","⚠ 未登録"))</f>
        <v/>
      </c>
    </row>
    <row r="210" customFormat="false" ht="15" hidden="false" customHeight="false" outlineLevel="0" collapsed="false">
      <c r="A210" s="61"/>
      <c r="B210" s="62"/>
      <c r="C210" s="63"/>
      <c r="D210" s="63"/>
      <c r="E210" s="62"/>
      <c r="F210" s="62"/>
      <c r="G210" s="62"/>
      <c r="I210" s="64" t="str">
        <f aca="false">IF($B210="","",IF(ISNUMBER(MATCH($B210,日別データ!$B$9:$B$28,0)),"✔ OK","⚠ 未登録"))</f>
        <v/>
      </c>
    </row>
    <row r="211" customFormat="false" ht="15" hidden="false" customHeight="false" outlineLevel="0" collapsed="false">
      <c r="A211" s="61"/>
      <c r="B211" s="62"/>
      <c r="C211" s="63"/>
      <c r="D211" s="63"/>
      <c r="E211" s="62"/>
      <c r="F211" s="62"/>
      <c r="G211" s="62"/>
      <c r="I211" s="64" t="str">
        <f aca="false">IF($B211="","",IF(ISNUMBER(MATCH($B211,日別データ!$B$9:$B$28,0)),"✔ OK","⚠ 未登録"))</f>
        <v/>
      </c>
    </row>
    <row r="212" customFormat="false" ht="15" hidden="false" customHeight="false" outlineLevel="0" collapsed="false">
      <c r="A212" s="61"/>
      <c r="B212" s="62"/>
      <c r="C212" s="63"/>
      <c r="D212" s="63"/>
      <c r="E212" s="62"/>
      <c r="F212" s="62"/>
      <c r="G212" s="62"/>
      <c r="I212" s="64" t="str">
        <f aca="false">IF($B212="","",IF(ISNUMBER(MATCH($B212,日別データ!$B$9:$B$28,0)),"✔ OK","⚠ 未登録"))</f>
        <v/>
      </c>
    </row>
    <row r="213" customFormat="false" ht="15" hidden="false" customHeight="false" outlineLevel="0" collapsed="false">
      <c r="A213" s="61"/>
      <c r="B213" s="62"/>
      <c r="C213" s="63"/>
      <c r="D213" s="63"/>
      <c r="E213" s="62"/>
      <c r="F213" s="62"/>
      <c r="G213" s="62"/>
      <c r="I213" s="64" t="str">
        <f aca="false">IF($B213="","",IF(ISNUMBER(MATCH($B213,日別データ!$B$9:$B$28,0)),"✔ OK","⚠ 未登録"))</f>
        <v/>
      </c>
    </row>
    <row r="214" customFormat="false" ht="15" hidden="false" customHeight="false" outlineLevel="0" collapsed="false">
      <c r="A214" s="61"/>
      <c r="B214" s="62"/>
      <c r="C214" s="63"/>
      <c r="D214" s="63"/>
      <c r="E214" s="62"/>
      <c r="F214" s="62"/>
      <c r="G214" s="62"/>
      <c r="I214" s="64" t="str">
        <f aca="false">IF($B214="","",IF(ISNUMBER(MATCH($B214,日別データ!$B$9:$B$28,0)),"✔ OK","⚠ 未登録"))</f>
        <v/>
      </c>
    </row>
    <row r="215" customFormat="false" ht="15" hidden="false" customHeight="false" outlineLevel="0" collapsed="false">
      <c r="A215" s="61"/>
      <c r="B215" s="62"/>
      <c r="C215" s="63"/>
      <c r="D215" s="63"/>
      <c r="E215" s="62"/>
      <c r="F215" s="62"/>
      <c r="G215" s="62"/>
      <c r="I215" s="64" t="str">
        <f aca="false">IF($B215="","",IF(ISNUMBER(MATCH($B215,日別データ!$B$9:$B$28,0)),"✔ OK","⚠ 未登録"))</f>
        <v/>
      </c>
    </row>
    <row r="216" customFormat="false" ht="15" hidden="false" customHeight="false" outlineLevel="0" collapsed="false">
      <c r="A216" s="61"/>
      <c r="B216" s="62"/>
      <c r="C216" s="63"/>
      <c r="D216" s="63"/>
      <c r="E216" s="62"/>
      <c r="F216" s="62"/>
      <c r="G216" s="62"/>
      <c r="I216" s="64" t="str">
        <f aca="false">IF($B216="","",IF(ISNUMBER(MATCH($B216,日別データ!$B$9:$B$28,0)),"✔ OK","⚠ 未登録"))</f>
        <v/>
      </c>
    </row>
    <row r="217" customFormat="false" ht="15" hidden="false" customHeight="false" outlineLevel="0" collapsed="false">
      <c r="A217" s="61"/>
      <c r="B217" s="62"/>
      <c r="C217" s="63"/>
      <c r="D217" s="63"/>
      <c r="E217" s="62"/>
      <c r="F217" s="62"/>
      <c r="G217" s="62"/>
      <c r="I217" s="64" t="str">
        <f aca="false">IF($B217="","",IF(ISNUMBER(MATCH($B217,日別データ!$B$9:$B$28,0)),"✔ OK","⚠ 未登録"))</f>
        <v/>
      </c>
    </row>
    <row r="218" customFormat="false" ht="15" hidden="false" customHeight="false" outlineLevel="0" collapsed="false">
      <c r="A218" s="61"/>
      <c r="B218" s="62"/>
      <c r="C218" s="63"/>
      <c r="D218" s="63"/>
      <c r="E218" s="62"/>
      <c r="F218" s="62"/>
      <c r="G218" s="62"/>
      <c r="I218" s="64" t="str">
        <f aca="false">IF($B218="","",IF(ISNUMBER(MATCH($B218,日別データ!$B$9:$B$28,0)),"✔ OK","⚠ 未登録"))</f>
        <v/>
      </c>
    </row>
    <row r="219" customFormat="false" ht="15" hidden="false" customHeight="false" outlineLevel="0" collapsed="false">
      <c r="A219" s="61"/>
      <c r="B219" s="62"/>
      <c r="C219" s="63"/>
      <c r="D219" s="63"/>
      <c r="E219" s="62"/>
      <c r="F219" s="62"/>
      <c r="G219" s="62"/>
      <c r="I219" s="64" t="str">
        <f aca="false">IF($B219="","",IF(ISNUMBER(MATCH($B219,日別データ!$B$9:$B$28,0)),"✔ OK","⚠ 未登録"))</f>
        <v/>
      </c>
    </row>
    <row r="220" customFormat="false" ht="15" hidden="false" customHeight="false" outlineLevel="0" collapsed="false">
      <c r="A220" s="61"/>
      <c r="B220" s="62"/>
      <c r="C220" s="63"/>
      <c r="D220" s="63"/>
      <c r="E220" s="62"/>
      <c r="F220" s="62"/>
      <c r="G220" s="62"/>
      <c r="I220" s="64" t="str">
        <f aca="false">IF($B220="","",IF(ISNUMBER(MATCH($B220,日別データ!$B$9:$B$28,0)),"✔ OK","⚠ 未登録"))</f>
        <v/>
      </c>
    </row>
    <row r="221" customFormat="false" ht="15" hidden="false" customHeight="false" outlineLevel="0" collapsed="false">
      <c r="A221" s="61"/>
      <c r="B221" s="62"/>
      <c r="C221" s="63"/>
      <c r="D221" s="63"/>
      <c r="E221" s="62"/>
      <c r="F221" s="62"/>
      <c r="G221" s="62"/>
      <c r="I221" s="64" t="str">
        <f aca="false">IF($B221="","",IF(ISNUMBER(MATCH($B221,日別データ!$B$9:$B$28,0)),"✔ OK","⚠ 未登録"))</f>
        <v/>
      </c>
    </row>
    <row r="222" customFormat="false" ht="15" hidden="false" customHeight="false" outlineLevel="0" collapsed="false">
      <c r="A222" s="61"/>
      <c r="B222" s="62"/>
      <c r="C222" s="63"/>
      <c r="D222" s="63"/>
      <c r="E222" s="62"/>
      <c r="F222" s="62"/>
      <c r="G222" s="62"/>
      <c r="I222" s="64" t="str">
        <f aca="false">IF($B222="","",IF(ISNUMBER(MATCH($B222,日別データ!$B$9:$B$28,0)),"✔ OK","⚠ 未登録"))</f>
        <v/>
      </c>
    </row>
    <row r="223" customFormat="false" ht="15" hidden="false" customHeight="false" outlineLevel="0" collapsed="false">
      <c r="A223" s="61"/>
      <c r="B223" s="62"/>
      <c r="C223" s="63"/>
      <c r="D223" s="63"/>
      <c r="E223" s="62"/>
      <c r="F223" s="62"/>
      <c r="G223" s="62"/>
      <c r="I223" s="64" t="str">
        <f aca="false">IF($B223="","",IF(ISNUMBER(MATCH($B223,日別データ!$B$9:$B$28,0)),"✔ OK","⚠ 未登録"))</f>
        <v/>
      </c>
    </row>
    <row r="224" customFormat="false" ht="15" hidden="false" customHeight="false" outlineLevel="0" collapsed="false">
      <c r="A224" s="61"/>
      <c r="B224" s="62"/>
      <c r="C224" s="63"/>
      <c r="D224" s="63"/>
      <c r="E224" s="62"/>
      <c r="F224" s="62"/>
      <c r="G224" s="62"/>
      <c r="I224" s="64" t="str">
        <f aca="false">IF($B224="","",IF(ISNUMBER(MATCH($B224,日別データ!$B$9:$B$28,0)),"✔ OK","⚠ 未登録"))</f>
        <v/>
      </c>
    </row>
    <row r="225" customFormat="false" ht="15" hidden="false" customHeight="false" outlineLevel="0" collapsed="false">
      <c r="A225" s="61"/>
      <c r="B225" s="62"/>
      <c r="C225" s="63"/>
      <c r="D225" s="63"/>
      <c r="E225" s="62"/>
      <c r="F225" s="62"/>
      <c r="G225" s="62"/>
      <c r="I225" s="64" t="str">
        <f aca="false">IF($B225="","",IF(ISNUMBER(MATCH($B225,日別データ!$B$9:$B$28,0)),"✔ OK","⚠ 未登録"))</f>
        <v/>
      </c>
    </row>
    <row r="226" customFormat="false" ht="15" hidden="false" customHeight="false" outlineLevel="0" collapsed="false">
      <c r="A226" s="61"/>
      <c r="B226" s="62"/>
      <c r="C226" s="63"/>
      <c r="D226" s="63"/>
      <c r="E226" s="62"/>
      <c r="F226" s="62"/>
      <c r="G226" s="62"/>
      <c r="I226" s="64" t="str">
        <f aca="false">IF($B226="","",IF(ISNUMBER(MATCH($B226,日別データ!$B$9:$B$28,0)),"✔ OK","⚠ 未登録"))</f>
        <v/>
      </c>
    </row>
    <row r="227" customFormat="false" ht="15" hidden="false" customHeight="false" outlineLevel="0" collapsed="false">
      <c r="A227" s="61"/>
      <c r="B227" s="62"/>
      <c r="C227" s="63"/>
      <c r="D227" s="63"/>
      <c r="E227" s="62"/>
      <c r="F227" s="62"/>
      <c r="G227" s="62"/>
      <c r="I227" s="64" t="str">
        <f aca="false">IF($B227="","",IF(ISNUMBER(MATCH($B227,日別データ!$B$9:$B$28,0)),"✔ OK","⚠ 未登録"))</f>
        <v/>
      </c>
    </row>
    <row r="228" customFormat="false" ht="15" hidden="false" customHeight="false" outlineLevel="0" collapsed="false">
      <c r="A228" s="61"/>
      <c r="B228" s="62"/>
      <c r="C228" s="63"/>
      <c r="D228" s="63"/>
      <c r="E228" s="62"/>
      <c r="F228" s="62"/>
      <c r="G228" s="62"/>
      <c r="I228" s="64" t="str">
        <f aca="false">IF($B228="","",IF(ISNUMBER(MATCH($B228,日別データ!$B$9:$B$28,0)),"✔ OK","⚠ 未登録"))</f>
        <v/>
      </c>
    </row>
    <row r="229" customFormat="false" ht="15" hidden="false" customHeight="false" outlineLevel="0" collapsed="false">
      <c r="A229" s="61"/>
      <c r="B229" s="62"/>
      <c r="C229" s="63"/>
      <c r="D229" s="63"/>
      <c r="E229" s="62"/>
      <c r="F229" s="62"/>
      <c r="G229" s="62"/>
      <c r="I229" s="64" t="str">
        <f aca="false">IF($B229="","",IF(ISNUMBER(MATCH($B229,日別データ!$B$9:$B$28,0)),"✔ OK","⚠ 未登録"))</f>
        <v/>
      </c>
    </row>
    <row r="230" customFormat="false" ht="15" hidden="false" customHeight="false" outlineLevel="0" collapsed="false">
      <c r="A230" s="61"/>
      <c r="B230" s="62"/>
      <c r="C230" s="63"/>
      <c r="D230" s="63"/>
      <c r="E230" s="62"/>
      <c r="F230" s="62"/>
      <c r="G230" s="62"/>
      <c r="I230" s="64" t="str">
        <f aca="false">IF($B230="","",IF(ISNUMBER(MATCH($B230,日別データ!$B$9:$B$28,0)),"✔ OK","⚠ 未登録"))</f>
        <v/>
      </c>
    </row>
    <row r="231" customFormat="false" ht="15" hidden="false" customHeight="false" outlineLevel="0" collapsed="false">
      <c r="A231" s="61"/>
      <c r="B231" s="62"/>
      <c r="C231" s="63"/>
      <c r="D231" s="63"/>
      <c r="E231" s="62"/>
      <c r="F231" s="62"/>
      <c r="G231" s="62"/>
      <c r="I231" s="64" t="str">
        <f aca="false">IF($B231="","",IF(ISNUMBER(MATCH($B231,日別データ!$B$9:$B$28,0)),"✔ OK","⚠ 未登録"))</f>
        <v/>
      </c>
    </row>
    <row r="232" customFormat="false" ht="15" hidden="false" customHeight="false" outlineLevel="0" collapsed="false">
      <c r="A232" s="61"/>
      <c r="B232" s="62"/>
      <c r="C232" s="63"/>
      <c r="D232" s="63"/>
      <c r="E232" s="62"/>
      <c r="F232" s="62"/>
      <c r="G232" s="62"/>
      <c r="I232" s="64" t="str">
        <f aca="false">IF($B232="","",IF(ISNUMBER(MATCH($B232,日別データ!$B$9:$B$28,0)),"✔ OK","⚠ 未登録"))</f>
        <v/>
      </c>
    </row>
    <row r="233" customFormat="false" ht="15" hidden="false" customHeight="false" outlineLevel="0" collapsed="false">
      <c r="A233" s="61"/>
      <c r="B233" s="62"/>
      <c r="C233" s="63"/>
      <c r="D233" s="63"/>
      <c r="E233" s="62"/>
      <c r="F233" s="62"/>
      <c r="G233" s="62"/>
      <c r="I233" s="64" t="str">
        <f aca="false">IF($B233="","",IF(ISNUMBER(MATCH($B233,日別データ!$B$9:$B$28,0)),"✔ OK","⚠ 未登録"))</f>
        <v/>
      </c>
    </row>
    <row r="234" customFormat="false" ht="15" hidden="false" customHeight="false" outlineLevel="0" collapsed="false">
      <c r="A234" s="61"/>
      <c r="B234" s="62"/>
      <c r="C234" s="63"/>
      <c r="D234" s="63"/>
      <c r="E234" s="62"/>
      <c r="F234" s="62"/>
      <c r="G234" s="62"/>
      <c r="I234" s="64" t="str">
        <f aca="false">IF($B234="","",IF(ISNUMBER(MATCH($B234,日別データ!$B$9:$B$28,0)),"✔ OK","⚠ 未登録"))</f>
        <v/>
      </c>
    </row>
    <row r="235" customFormat="false" ht="15" hidden="false" customHeight="false" outlineLevel="0" collapsed="false">
      <c r="A235" s="61"/>
      <c r="B235" s="62"/>
      <c r="C235" s="63"/>
      <c r="D235" s="63"/>
      <c r="E235" s="62"/>
      <c r="F235" s="62"/>
      <c r="G235" s="62"/>
      <c r="I235" s="64" t="str">
        <f aca="false">IF($B235="","",IF(ISNUMBER(MATCH($B235,日別データ!$B$9:$B$28,0)),"✔ OK","⚠ 未登録"))</f>
        <v/>
      </c>
    </row>
    <row r="236" customFormat="false" ht="15" hidden="false" customHeight="false" outlineLevel="0" collapsed="false">
      <c r="A236" s="61"/>
      <c r="B236" s="62"/>
      <c r="C236" s="63"/>
      <c r="D236" s="63"/>
      <c r="E236" s="62"/>
      <c r="F236" s="62"/>
      <c r="G236" s="62"/>
      <c r="I236" s="64" t="str">
        <f aca="false">IF($B236="","",IF(ISNUMBER(MATCH($B236,日別データ!$B$9:$B$28,0)),"✔ OK","⚠ 未登録"))</f>
        <v/>
      </c>
    </row>
    <row r="237" customFormat="false" ht="15" hidden="false" customHeight="false" outlineLevel="0" collapsed="false">
      <c r="A237" s="61"/>
      <c r="B237" s="62"/>
      <c r="C237" s="63"/>
      <c r="D237" s="63"/>
      <c r="E237" s="62"/>
      <c r="F237" s="62"/>
      <c r="G237" s="62"/>
      <c r="I237" s="64" t="str">
        <f aca="false">IF($B237="","",IF(ISNUMBER(MATCH($B237,日別データ!$B$9:$B$28,0)),"✔ OK","⚠ 未登録"))</f>
        <v/>
      </c>
    </row>
    <row r="238" customFormat="false" ht="15" hidden="false" customHeight="false" outlineLevel="0" collapsed="false">
      <c r="A238" s="61"/>
      <c r="B238" s="62"/>
      <c r="C238" s="63"/>
      <c r="D238" s="63"/>
      <c r="E238" s="62"/>
      <c r="F238" s="62"/>
      <c r="G238" s="62"/>
      <c r="I238" s="64" t="str">
        <f aca="false">IF($B238="","",IF(ISNUMBER(MATCH($B238,日別データ!$B$9:$B$28,0)),"✔ OK","⚠ 未登録"))</f>
        <v/>
      </c>
    </row>
    <row r="239" customFormat="false" ht="15" hidden="false" customHeight="false" outlineLevel="0" collapsed="false">
      <c r="A239" s="61"/>
      <c r="B239" s="62"/>
      <c r="C239" s="63"/>
      <c r="D239" s="63"/>
      <c r="E239" s="62"/>
      <c r="F239" s="62"/>
      <c r="G239" s="62"/>
      <c r="I239" s="64" t="str">
        <f aca="false">IF($B239="","",IF(ISNUMBER(MATCH($B239,日別データ!$B$9:$B$28,0)),"✔ OK","⚠ 未登録"))</f>
        <v/>
      </c>
    </row>
    <row r="240" customFormat="false" ht="15" hidden="false" customHeight="false" outlineLevel="0" collapsed="false">
      <c r="A240" s="61"/>
      <c r="B240" s="62"/>
      <c r="C240" s="63"/>
      <c r="D240" s="63"/>
      <c r="E240" s="62"/>
      <c r="F240" s="62"/>
      <c r="G240" s="62"/>
      <c r="I240" s="64" t="str">
        <f aca="false">IF($B240="","",IF(ISNUMBER(MATCH($B240,日別データ!$B$9:$B$28,0)),"✔ OK","⚠ 未登録"))</f>
        <v/>
      </c>
    </row>
    <row r="241" customFormat="false" ht="15" hidden="false" customHeight="false" outlineLevel="0" collapsed="false">
      <c r="A241" s="61"/>
      <c r="B241" s="62"/>
      <c r="C241" s="63"/>
      <c r="D241" s="63"/>
      <c r="E241" s="62"/>
      <c r="F241" s="62"/>
      <c r="G241" s="62"/>
      <c r="I241" s="64" t="str">
        <f aca="false">IF($B241="","",IF(ISNUMBER(MATCH($B241,日別データ!$B$9:$B$28,0)),"✔ OK","⚠ 未登録"))</f>
        <v/>
      </c>
    </row>
    <row r="242" customFormat="false" ht="15" hidden="false" customHeight="false" outlineLevel="0" collapsed="false">
      <c r="A242" s="61"/>
      <c r="B242" s="62"/>
      <c r="C242" s="63"/>
      <c r="D242" s="63"/>
      <c r="E242" s="62"/>
      <c r="F242" s="62"/>
      <c r="G242" s="62"/>
      <c r="I242" s="64" t="str">
        <f aca="false">IF($B242="","",IF(ISNUMBER(MATCH($B242,日別データ!$B$9:$B$28,0)),"✔ OK","⚠ 未登録"))</f>
        <v/>
      </c>
    </row>
    <row r="243" customFormat="false" ht="15" hidden="false" customHeight="false" outlineLevel="0" collapsed="false">
      <c r="A243" s="61"/>
      <c r="B243" s="62"/>
      <c r="C243" s="63"/>
      <c r="D243" s="63"/>
      <c r="E243" s="62"/>
      <c r="F243" s="62"/>
      <c r="G243" s="62"/>
      <c r="I243" s="64" t="str">
        <f aca="false">IF($B243="","",IF(ISNUMBER(MATCH($B243,日別データ!$B$9:$B$28,0)),"✔ OK","⚠ 未登録"))</f>
        <v/>
      </c>
    </row>
    <row r="244" customFormat="false" ht="15" hidden="false" customHeight="false" outlineLevel="0" collapsed="false">
      <c r="A244" s="61"/>
      <c r="B244" s="62"/>
      <c r="C244" s="63"/>
      <c r="D244" s="63"/>
      <c r="E244" s="62"/>
      <c r="F244" s="62"/>
      <c r="G244" s="62"/>
      <c r="I244" s="64" t="str">
        <f aca="false">IF($B244="","",IF(ISNUMBER(MATCH($B244,日別データ!$B$9:$B$28,0)),"✔ OK","⚠ 未登録"))</f>
        <v/>
      </c>
    </row>
    <row r="245" customFormat="false" ht="15" hidden="false" customHeight="false" outlineLevel="0" collapsed="false">
      <c r="A245" s="61"/>
      <c r="B245" s="62"/>
      <c r="C245" s="63"/>
      <c r="D245" s="63"/>
      <c r="E245" s="62"/>
      <c r="F245" s="62"/>
      <c r="G245" s="62"/>
      <c r="I245" s="64" t="str">
        <f aca="false">IF($B245="","",IF(ISNUMBER(MATCH($B245,日別データ!$B$9:$B$28,0)),"✔ OK","⚠ 未登録"))</f>
        <v/>
      </c>
    </row>
    <row r="246" customFormat="false" ht="15" hidden="false" customHeight="false" outlineLevel="0" collapsed="false">
      <c r="A246" s="61"/>
      <c r="B246" s="62"/>
      <c r="C246" s="63"/>
      <c r="D246" s="63"/>
      <c r="E246" s="62"/>
      <c r="F246" s="62"/>
      <c r="G246" s="62"/>
      <c r="I246" s="64" t="str">
        <f aca="false">IF($B246="","",IF(ISNUMBER(MATCH($B246,日別データ!$B$9:$B$28,0)),"✔ OK","⚠ 未登録"))</f>
        <v/>
      </c>
    </row>
    <row r="247" customFormat="false" ht="15" hidden="false" customHeight="false" outlineLevel="0" collapsed="false">
      <c r="A247" s="61"/>
      <c r="B247" s="62"/>
      <c r="C247" s="63"/>
      <c r="D247" s="63"/>
      <c r="E247" s="62"/>
      <c r="F247" s="62"/>
      <c r="G247" s="62"/>
      <c r="I247" s="64" t="str">
        <f aca="false">IF($B247="","",IF(ISNUMBER(MATCH($B247,日別データ!$B$9:$B$28,0)),"✔ OK","⚠ 未登録"))</f>
        <v/>
      </c>
    </row>
    <row r="248" customFormat="false" ht="15" hidden="false" customHeight="false" outlineLevel="0" collapsed="false">
      <c r="A248" s="61"/>
      <c r="B248" s="62"/>
      <c r="C248" s="63"/>
      <c r="D248" s="63"/>
      <c r="E248" s="62"/>
      <c r="F248" s="62"/>
      <c r="G248" s="62"/>
      <c r="I248" s="64" t="str">
        <f aca="false">IF($B248="","",IF(ISNUMBER(MATCH($B248,日別データ!$B$9:$B$28,0)),"✔ OK","⚠ 未登録"))</f>
        <v/>
      </c>
    </row>
    <row r="249" customFormat="false" ht="15" hidden="false" customHeight="false" outlineLevel="0" collapsed="false">
      <c r="A249" s="61"/>
      <c r="B249" s="62"/>
      <c r="C249" s="63"/>
      <c r="D249" s="63"/>
      <c r="E249" s="62"/>
      <c r="F249" s="62"/>
      <c r="G249" s="62"/>
      <c r="I249" s="64" t="str">
        <f aca="false">IF($B249="","",IF(ISNUMBER(MATCH($B249,日別データ!$B$9:$B$28,0)),"✔ OK","⚠ 未登録"))</f>
        <v/>
      </c>
    </row>
    <row r="250" customFormat="false" ht="15" hidden="false" customHeight="false" outlineLevel="0" collapsed="false">
      <c r="A250" s="61"/>
      <c r="B250" s="62"/>
      <c r="C250" s="63"/>
      <c r="D250" s="63"/>
      <c r="E250" s="62"/>
      <c r="F250" s="62"/>
      <c r="G250" s="62"/>
      <c r="I250" s="64" t="str">
        <f aca="false">IF($B250="","",IF(ISNUMBER(MATCH($B250,日別データ!$B$9:$B$28,0)),"✔ OK","⚠ 未登録"))</f>
        <v/>
      </c>
    </row>
    <row r="251" customFormat="false" ht="15" hidden="false" customHeight="false" outlineLevel="0" collapsed="false">
      <c r="A251" s="61"/>
      <c r="B251" s="62"/>
      <c r="C251" s="63"/>
      <c r="D251" s="63"/>
      <c r="E251" s="62"/>
      <c r="F251" s="62"/>
      <c r="G251" s="62"/>
      <c r="I251" s="64" t="str">
        <f aca="false">IF($B251="","",IF(ISNUMBER(MATCH($B251,日別データ!$B$9:$B$28,0)),"✔ OK","⚠ 未登録"))</f>
        <v/>
      </c>
    </row>
    <row r="252" customFormat="false" ht="15" hidden="false" customHeight="false" outlineLevel="0" collapsed="false">
      <c r="A252" s="61"/>
      <c r="B252" s="62"/>
      <c r="C252" s="63"/>
      <c r="D252" s="63"/>
      <c r="E252" s="62"/>
      <c r="F252" s="62"/>
      <c r="G252" s="62"/>
      <c r="I252" s="64" t="str">
        <f aca="false">IF($B252="","",IF(ISNUMBER(MATCH($B252,日別データ!$B$9:$B$28,0)),"✔ OK","⚠ 未登録"))</f>
        <v/>
      </c>
    </row>
    <row r="253" customFormat="false" ht="15" hidden="false" customHeight="false" outlineLevel="0" collapsed="false">
      <c r="A253" s="61"/>
      <c r="B253" s="62"/>
      <c r="C253" s="63"/>
      <c r="D253" s="63"/>
      <c r="E253" s="62"/>
      <c r="F253" s="62"/>
      <c r="G253" s="62"/>
      <c r="I253" s="64" t="str">
        <f aca="false">IF($B253="","",IF(ISNUMBER(MATCH($B253,日別データ!$B$9:$B$28,0)),"✔ OK","⚠ 未登録"))</f>
        <v/>
      </c>
    </row>
    <row r="254" customFormat="false" ht="15" hidden="false" customHeight="false" outlineLevel="0" collapsed="false">
      <c r="A254" s="61"/>
      <c r="B254" s="62"/>
      <c r="C254" s="63"/>
      <c r="D254" s="63"/>
      <c r="E254" s="62"/>
      <c r="F254" s="62"/>
      <c r="G254" s="62"/>
      <c r="I254" s="64" t="str">
        <f aca="false">IF($B254="","",IF(ISNUMBER(MATCH($B254,日別データ!$B$9:$B$28,0)),"✔ OK","⚠ 未登録"))</f>
        <v/>
      </c>
    </row>
    <row r="255" customFormat="false" ht="15" hidden="false" customHeight="false" outlineLevel="0" collapsed="false">
      <c r="A255" s="61"/>
      <c r="B255" s="62"/>
      <c r="C255" s="63"/>
      <c r="D255" s="63"/>
      <c r="E255" s="62"/>
      <c r="F255" s="62"/>
      <c r="G255" s="62"/>
      <c r="I255" s="64" t="str">
        <f aca="false">IF($B255="","",IF(ISNUMBER(MATCH($B255,日別データ!$B$9:$B$28,0)),"✔ OK","⚠ 未登録"))</f>
        <v/>
      </c>
    </row>
    <row r="256" customFormat="false" ht="15" hidden="false" customHeight="false" outlineLevel="0" collapsed="false">
      <c r="A256" s="61"/>
      <c r="B256" s="62"/>
      <c r="C256" s="63"/>
      <c r="D256" s="63"/>
      <c r="E256" s="62"/>
      <c r="F256" s="62"/>
      <c r="G256" s="62"/>
      <c r="I256" s="64" t="str">
        <f aca="false">IF($B256="","",IF(ISNUMBER(MATCH($B256,日別データ!$B$9:$B$28,0)),"✔ OK","⚠ 未登録"))</f>
        <v/>
      </c>
    </row>
    <row r="257" customFormat="false" ht="15" hidden="false" customHeight="false" outlineLevel="0" collapsed="false">
      <c r="A257" s="61"/>
      <c r="B257" s="62"/>
      <c r="C257" s="63"/>
      <c r="D257" s="63"/>
      <c r="E257" s="62"/>
      <c r="F257" s="62"/>
      <c r="G257" s="62"/>
      <c r="I257" s="64" t="str">
        <f aca="false">IF($B257="","",IF(ISNUMBER(MATCH($B257,日別データ!$B$9:$B$28,0)),"✔ OK","⚠ 未登録"))</f>
        <v/>
      </c>
    </row>
    <row r="258" customFormat="false" ht="15" hidden="false" customHeight="false" outlineLevel="0" collapsed="false">
      <c r="A258" s="61"/>
      <c r="B258" s="62"/>
      <c r="C258" s="63"/>
      <c r="D258" s="63"/>
      <c r="E258" s="62"/>
      <c r="F258" s="62"/>
      <c r="G258" s="62"/>
      <c r="I258" s="64" t="str">
        <f aca="false">IF($B258="","",IF(ISNUMBER(MATCH($B258,日別データ!$B$9:$B$28,0)),"✔ OK","⚠ 未登録"))</f>
        <v/>
      </c>
    </row>
    <row r="259" customFormat="false" ht="15" hidden="false" customHeight="false" outlineLevel="0" collapsed="false">
      <c r="A259" s="61"/>
      <c r="B259" s="62"/>
      <c r="C259" s="63"/>
      <c r="D259" s="63"/>
      <c r="E259" s="62"/>
      <c r="F259" s="62"/>
      <c r="G259" s="62"/>
      <c r="I259" s="64" t="str">
        <f aca="false">IF($B259="","",IF(ISNUMBER(MATCH($B259,日別データ!$B$9:$B$28,0)),"✔ OK","⚠ 未登録"))</f>
        <v/>
      </c>
    </row>
    <row r="260" customFormat="false" ht="15" hidden="false" customHeight="false" outlineLevel="0" collapsed="false">
      <c r="A260" s="61"/>
      <c r="B260" s="62"/>
      <c r="C260" s="63"/>
      <c r="D260" s="63"/>
      <c r="E260" s="62"/>
      <c r="F260" s="62"/>
      <c r="G260" s="62"/>
      <c r="I260" s="64" t="str">
        <f aca="false">IF($B260="","",IF(ISNUMBER(MATCH($B260,日別データ!$B$9:$B$28,0)),"✔ OK","⚠ 未登録"))</f>
        <v/>
      </c>
    </row>
    <row r="261" customFormat="false" ht="15" hidden="false" customHeight="false" outlineLevel="0" collapsed="false">
      <c r="A261" s="61"/>
      <c r="B261" s="62"/>
      <c r="C261" s="63"/>
      <c r="D261" s="63"/>
      <c r="E261" s="62"/>
      <c r="F261" s="62"/>
      <c r="G261" s="62"/>
      <c r="I261" s="64" t="str">
        <f aca="false">IF($B261="","",IF(ISNUMBER(MATCH($B261,日別データ!$B$9:$B$28,0)),"✔ OK","⚠ 未登録"))</f>
        <v/>
      </c>
    </row>
    <row r="262" customFormat="false" ht="15" hidden="false" customHeight="false" outlineLevel="0" collapsed="false">
      <c r="A262" s="61"/>
      <c r="B262" s="62"/>
      <c r="C262" s="63"/>
      <c r="D262" s="63"/>
      <c r="E262" s="62"/>
      <c r="F262" s="62"/>
      <c r="G262" s="62"/>
      <c r="I262" s="64" t="str">
        <f aca="false">IF($B262="","",IF(ISNUMBER(MATCH($B262,日別データ!$B$9:$B$28,0)),"✔ OK","⚠ 未登録"))</f>
        <v/>
      </c>
    </row>
    <row r="263" customFormat="false" ht="15" hidden="false" customHeight="false" outlineLevel="0" collapsed="false">
      <c r="A263" s="61"/>
      <c r="B263" s="62"/>
      <c r="C263" s="63"/>
      <c r="D263" s="63"/>
      <c r="E263" s="62"/>
      <c r="F263" s="62"/>
      <c r="G263" s="62"/>
      <c r="I263" s="64" t="str">
        <f aca="false">IF($B263="","",IF(ISNUMBER(MATCH($B263,日別データ!$B$9:$B$28,0)),"✔ OK","⚠ 未登録"))</f>
        <v/>
      </c>
    </row>
    <row r="264" customFormat="false" ht="15" hidden="false" customHeight="false" outlineLevel="0" collapsed="false">
      <c r="A264" s="61"/>
      <c r="B264" s="62"/>
      <c r="C264" s="63"/>
      <c r="D264" s="63"/>
      <c r="E264" s="62"/>
      <c r="F264" s="62"/>
      <c r="G264" s="62"/>
      <c r="I264" s="64" t="str">
        <f aca="false">IF($B264="","",IF(ISNUMBER(MATCH($B264,日別データ!$B$9:$B$28,0)),"✔ OK","⚠ 未登録"))</f>
        <v/>
      </c>
    </row>
    <row r="265" customFormat="false" ht="15" hidden="false" customHeight="false" outlineLevel="0" collapsed="false">
      <c r="A265" s="61"/>
      <c r="B265" s="62"/>
      <c r="C265" s="63"/>
      <c r="D265" s="63"/>
      <c r="E265" s="62"/>
      <c r="F265" s="62"/>
      <c r="G265" s="62"/>
      <c r="I265" s="64" t="str">
        <f aca="false">IF($B265="","",IF(ISNUMBER(MATCH($B265,日別データ!$B$9:$B$28,0)),"✔ OK","⚠ 未登録"))</f>
        <v/>
      </c>
    </row>
    <row r="266" customFormat="false" ht="15" hidden="false" customHeight="false" outlineLevel="0" collapsed="false">
      <c r="A266" s="61"/>
      <c r="B266" s="62"/>
      <c r="C266" s="63"/>
      <c r="D266" s="63"/>
      <c r="E266" s="62"/>
      <c r="F266" s="62"/>
      <c r="G266" s="62"/>
      <c r="I266" s="64" t="str">
        <f aca="false">IF($B266="","",IF(ISNUMBER(MATCH($B266,日別データ!$B$9:$B$28,0)),"✔ OK","⚠ 未登録"))</f>
        <v/>
      </c>
    </row>
    <row r="267" customFormat="false" ht="15" hidden="false" customHeight="false" outlineLevel="0" collapsed="false">
      <c r="A267" s="61"/>
      <c r="B267" s="62"/>
      <c r="C267" s="63"/>
      <c r="D267" s="63"/>
      <c r="E267" s="62"/>
      <c r="F267" s="62"/>
      <c r="G267" s="62"/>
      <c r="I267" s="64" t="str">
        <f aca="false">IF($B267="","",IF(ISNUMBER(MATCH($B267,日別データ!$B$9:$B$28,0)),"✔ OK","⚠ 未登録"))</f>
        <v/>
      </c>
    </row>
    <row r="268" customFormat="false" ht="15" hidden="false" customHeight="false" outlineLevel="0" collapsed="false">
      <c r="A268" s="61"/>
      <c r="B268" s="62"/>
      <c r="C268" s="63"/>
      <c r="D268" s="63"/>
      <c r="E268" s="62"/>
      <c r="F268" s="62"/>
      <c r="G268" s="62"/>
      <c r="I268" s="64" t="str">
        <f aca="false">IF($B268="","",IF(ISNUMBER(MATCH($B268,日別データ!$B$9:$B$28,0)),"✔ OK","⚠ 未登録"))</f>
        <v/>
      </c>
    </row>
    <row r="269" customFormat="false" ht="15" hidden="false" customHeight="false" outlineLevel="0" collapsed="false">
      <c r="A269" s="61"/>
      <c r="B269" s="62"/>
      <c r="C269" s="63"/>
      <c r="D269" s="63"/>
      <c r="E269" s="62"/>
      <c r="F269" s="62"/>
      <c r="G269" s="62"/>
      <c r="I269" s="64" t="str">
        <f aca="false">IF($B269="","",IF(ISNUMBER(MATCH($B269,日別データ!$B$9:$B$28,0)),"✔ OK","⚠ 未登録"))</f>
        <v/>
      </c>
    </row>
    <row r="270" customFormat="false" ht="15" hidden="false" customHeight="false" outlineLevel="0" collapsed="false">
      <c r="A270" s="61"/>
      <c r="B270" s="62"/>
      <c r="C270" s="63"/>
      <c r="D270" s="63"/>
      <c r="E270" s="62"/>
      <c r="F270" s="62"/>
      <c r="G270" s="62"/>
      <c r="I270" s="64" t="str">
        <f aca="false">IF($B270="","",IF(ISNUMBER(MATCH($B270,日別データ!$B$9:$B$28,0)),"✔ OK","⚠ 未登録"))</f>
        <v/>
      </c>
    </row>
    <row r="271" customFormat="false" ht="15" hidden="false" customHeight="false" outlineLevel="0" collapsed="false">
      <c r="A271" s="61"/>
      <c r="B271" s="62"/>
      <c r="C271" s="63"/>
      <c r="D271" s="63"/>
      <c r="E271" s="62"/>
      <c r="F271" s="62"/>
      <c r="G271" s="62"/>
      <c r="I271" s="64" t="str">
        <f aca="false">IF($B271="","",IF(ISNUMBER(MATCH($B271,日別データ!$B$9:$B$28,0)),"✔ OK","⚠ 未登録"))</f>
        <v/>
      </c>
    </row>
    <row r="272" customFormat="false" ht="15" hidden="false" customHeight="false" outlineLevel="0" collapsed="false">
      <c r="A272" s="61"/>
      <c r="B272" s="62"/>
      <c r="C272" s="63"/>
      <c r="D272" s="63"/>
      <c r="E272" s="62"/>
      <c r="F272" s="62"/>
      <c r="G272" s="62"/>
      <c r="I272" s="64" t="str">
        <f aca="false">IF($B272="","",IF(ISNUMBER(MATCH($B272,日別データ!$B$9:$B$28,0)),"✔ OK","⚠ 未登録"))</f>
        <v/>
      </c>
    </row>
    <row r="273" customFormat="false" ht="15" hidden="false" customHeight="false" outlineLevel="0" collapsed="false">
      <c r="A273" s="61"/>
      <c r="B273" s="62"/>
      <c r="C273" s="63"/>
      <c r="D273" s="63"/>
      <c r="E273" s="62"/>
      <c r="F273" s="62"/>
      <c r="G273" s="62"/>
      <c r="I273" s="64" t="str">
        <f aca="false">IF($B273="","",IF(ISNUMBER(MATCH($B273,日別データ!$B$9:$B$28,0)),"✔ OK","⚠ 未登録"))</f>
        <v/>
      </c>
    </row>
    <row r="274" customFormat="false" ht="15" hidden="false" customHeight="false" outlineLevel="0" collapsed="false">
      <c r="A274" s="61"/>
      <c r="B274" s="62"/>
      <c r="C274" s="63"/>
      <c r="D274" s="63"/>
      <c r="E274" s="62"/>
      <c r="F274" s="62"/>
      <c r="G274" s="62"/>
      <c r="I274" s="64" t="str">
        <f aca="false">IF($B274="","",IF(ISNUMBER(MATCH($B274,日別データ!$B$9:$B$28,0)),"✔ OK","⚠ 未登録"))</f>
        <v/>
      </c>
    </row>
    <row r="275" customFormat="false" ht="15" hidden="false" customHeight="false" outlineLevel="0" collapsed="false">
      <c r="A275" s="61"/>
      <c r="B275" s="62"/>
      <c r="C275" s="63"/>
      <c r="D275" s="63"/>
      <c r="E275" s="62"/>
      <c r="F275" s="62"/>
      <c r="G275" s="62"/>
      <c r="I275" s="64" t="str">
        <f aca="false">IF($B275="","",IF(ISNUMBER(MATCH($B275,日別データ!$B$9:$B$28,0)),"✔ OK","⚠ 未登録"))</f>
        <v/>
      </c>
    </row>
    <row r="276" customFormat="false" ht="15" hidden="false" customHeight="false" outlineLevel="0" collapsed="false">
      <c r="A276" s="61"/>
      <c r="B276" s="62"/>
      <c r="C276" s="63"/>
      <c r="D276" s="63"/>
      <c r="E276" s="62"/>
      <c r="F276" s="62"/>
      <c r="G276" s="62"/>
      <c r="I276" s="64" t="str">
        <f aca="false">IF($B276="","",IF(ISNUMBER(MATCH($B276,日別データ!$B$9:$B$28,0)),"✔ OK","⚠ 未登録"))</f>
        <v/>
      </c>
    </row>
    <row r="277" customFormat="false" ht="15" hidden="false" customHeight="false" outlineLevel="0" collapsed="false">
      <c r="A277" s="61"/>
      <c r="B277" s="62"/>
      <c r="C277" s="63"/>
      <c r="D277" s="63"/>
      <c r="E277" s="62"/>
      <c r="F277" s="62"/>
      <c r="G277" s="62"/>
      <c r="I277" s="64" t="str">
        <f aca="false">IF($B277="","",IF(ISNUMBER(MATCH($B277,日別データ!$B$9:$B$28,0)),"✔ OK","⚠ 未登録"))</f>
        <v/>
      </c>
    </row>
    <row r="278" customFormat="false" ht="15" hidden="false" customHeight="false" outlineLevel="0" collapsed="false">
      <c r="A278" s="61"/>
      <c r="B278" s="62"/>
      <c r="C278" s="63"/>
      <c r="D278" s="63"/>
      <c r="E278" s="62"/>
      <c r="F278" s="62"/>
      <c r="G278" s="62"/>
      <c r="I278" s="64" t="str">
        <f aca="false">IF($B278="","",IF(ISNUMBER(MATCH($B278,日別データ!$B$9:$B$28,0)),"✔ OK","⚠ 未登録"))</f>
        <v/>
      </c>
    </row>
    <row r="279" customFormat="false" ht="15" hidden="false" customHeight="false" outlineLevel="0" collapsed="false">
      <c r="A279" s="61"/>
      <c r="B279" s="62"/>
      <c r="C279" s="63"/>
      <c r="D279" s="63"/>
      <c r="E279" s="62"/>
      <c r="F279" s="62"/>
      <c r="G279" s="62"/>
      <c r="I279" s="64" t="str">
        <f aca="false">IF($B279="","",IF(ISNUMBER(MATCH($B279,日別データ!$B$9:$B$28,0)),"✔ OK","⚠ 未登録"))</f>
        <v/>
      </c>
    </row>
    <row r="280" customFormat="false" ht="15" hidden="false" customHeight="false" outlineLevel="0" collapsed="false">
      <c r="A280" s="61"/>
      <c r="B280" s="62"/>
      <c r="C280" s="63"/>
      <c r="D280" s="63"/>
      <c r="E280" s="62"/>
      <c r="F280" s="62"/>
      <c r="G280" s="62"/>
      <c r="I280" s="64" t="str">
        <f aca="false">IF($B280="","",IF(ISNUMBER(MATCH($B280,日別データ!$B$9:$B$28,0)),"✔ OK","⚠ 未登録"))</f>
        <v/>
      </c>
    </row>
    <row r="281" customFormat="false" ht="15" hidden="false" customHeight="false" outlineLevel="0" collapsed="false">
      <c r="A281" s="61"/>
      <c r="B281" s="62"/>
      <c r="C281" s="63"/>
      <c r="D281" s="63"/>
      <c r="E281" s="62"/>
      <c r="F281" s="62"/>
      <c r="G281" s="62"/>
      <c r="I281" s="64" t="str">
        <f aca="false">IF($B281="","",IF(ISNUMBER(MATCH($B281,日別データ!$B$9:$B$28,0)),"✔ OK","⚠ 未登録"))</f>
        <v/>
      </c>
    </row>
    <row r="282" customFormat="false" ht="15" hidden="false" customHeight="false" outlineLevel="0" collapsed="false">
      <c r="A282" s="61"/>
      <c r="B282" s="62"/>
      <c r="C282" s="63"/>
      <c r="D282" s="63"/>
      <c r="E282" s="62"/>
      <c r="F282" s="62"/>
      <c r="G282" s="62"/>
      <c r="I282" s="64" t="str">
        <f aca="false">IF($B282="","",IF(ISNUMBER(MATCH($B282,日別データ!$B$9:$B$28,0)),"✔ OK","⚠ 未登録"))</f>
        <v/>
      </c>
    </row>
    <row r="283" customFormat="false" ht="15" hidden="false" customHeight="false" outlineLevel="0" collapsed="false">
      <c r="A283" s="61"/>
      <c r="B283" s="62"/>
      <c r="C283" s="63"/>
      <c r="D283" s="63"/>
      <c r="E283" s="62"/>
      <c r="F283" s="62"/>
      <c r="G283" s="62"/>
      <c r="I283" s="64" t="str">
        <f aca="false">IF($B283="","",IF(ISNUMBER(MATCH($B283,日別データ!$B$9:$B$28,0)),"✔ OK","⚠ 未登録"))</f>
        <v/>
      </c>
    </row>
    <row r="284" customFormat="false" ht="15" hidden="false" customHeight="false" outlineLevel="0" collapsed="false">
      <c r="A284" s="61"/>
      <c r="B284" s="62"/>
      <c r="C284" s="63"/>
      <c r="D284" s="63"/>
      <c r="E284" s="62"/>
      <c r="F284" s="62"/>
      <c r="G284" s="62"/>
      <c r="I284" s="64" t="str">
        <f aca="false">IF($B284="","",IF(ISNUMBER(MATCH($B284,日別データ!$B$9:$B$28,0)),"✔ OK","⚠ 未登録"))</f>
        <v/>
      </c>
    </row>
    <row r="285" customFormat="false" ht="15" hidden="false" customHeight="false" outlineLevel="0" collapsed="false">
      <c r="A285" s="61"/>
      <c r="B285" s="62"/>
      <c r="C285" s="63"/>
      <c r="D285" s="63"/>
      <c r="E285" s="62"/>
      <c r="F285" s="62"/>
      <c r="G285" s="62"/>
      <c r="I285" s="64" t="str">
        <f aca="false">IF($B285="","",IF(ISNUMBER(MATCH($B285,日別データ!$B$9:$B$28,0)),"✔ OK","⚠ 未登録"))</f>
        <v/>
      </c>
    </row>
    <row r="286" customFormat="false" ht="15" hidden="false" customHeight="false" outlineLevel="0" collapsed="false">
      <c r="A286" s="61"/>
      <c r="B286" s="62"/>
      <c r="C286" s="63"/>
      <c r="D286" s="63"/>
      <c r="E286" s="62"/>
      <c r="F286" s="62"/>
      <c r="G286" s="62"/>
      <c r="I286" s="64" t="str">
        <f aca="false">IF($B286="","",IF(ISNUMBER(MATCH($B286,日別データ!$B$9:$B$28,0)),"✔ OK","⚠ 未登録"))</f>
        <v/>
      </c>
    </row>
    <row r="287" customFormat="false" ht="15" hidden="false" customHeight="false" outlineLevel="0" collapsed="false">
      <c r="A287" s="61"/>
      <c r="B287" s="62"/>
      <c r="C287" s="63"/>
      <c r="D287" s="63"/>
      <c r="E287" s="62"/>
      <c r="F287" s="62"/>
      <c r="G287" s="62"/>
      <c r="I287" s="64" t="str">
        <f aca="false">IF($B287="","",IF(ISNUMBER(MATCH($B287,日別データ!$B$9:$B$28,0)),"✔ OK","⚠ 未登録"))</f>
        <v/>
      </c>
    </row>
    <row r="288" customFormat="false" ht="15" hidden="false" customHeight="false" outlineLevel="0" collapsed="false">
      <c r="A288" s="61"/>
      <c r="B288" s="62"/>
      <c r="C288" s="63"/>
      <c r="D288" s="63"/>
      <c r="E288" s="62"/>
      <c r="F288" s="62"/>
      <c r="G288" s="62"/>
      <c r="I288" s="64" t="str">
        <f aca="false">IF($B288="","",IF(ISNUMBER(MATCH($B288,日別データ!$B$9:$B$28,0)),"✔ OK","⚠ 未登録"))</f>
        <v/>
      </c>
    </row>
    <row r="289" customFormat="false" ht="15" hidden="false" customHeight="false" outlineLevel="0" collapsed="false">
      <c r="A289" s="61"/>
      <c r="B289" s="62"/>
      <c r="C289" s="63"/>
      <c r="D289" s="63"/>
      <c r="E289" s="62"/>
      <c r="F289" s="62"/>
      <c r="G289" s="62"/>
      <c r="I289" s="64" t="str">
        <f aca="false">IF($B289="","",IF(ISNUMBER(MATCH($B289,日別データ!$B$9:$B$28,0)),"✔ OK","⚠ 未登録"))</f>
        <v/>
      </c>
    </row>
    <row r="290" customFormat="false" ht="15" hidden="false" customHeight="false" outlineLevel="0" collapsed="false">
      <c r="A290" s="61"/>
      <c r="B290" s="62"/>
      <c r="C290" s="63"/>
      <c r="D290" s="63"/>
      <c r="E290" s="62"/>
      <c r="F290" s="62"/>
      <c r="G290" s="62"/>
      <c r="I290" s="64" t="str">
        <f aca="false">IF($B290="","",IF(ISNUMBER(MATCH($B290,日別データ!$B$9:$B$28,0)),"✔ OK","⚠ 未登録"))</f>
        <v/>
      </c>
    </row>
    <row r="291" customFormat="false" ht="15" hidden="false" customHeight="false" outlineLevel="0" collapsed="false">
      <c r="A291" s="61"/>
      <c r="B291" s="62"/>
      <c r="C291" s="63"/>
      <c r="D291" s="63"/>
      <c r="E291" s="62"/>
      <c r="F291" s="62"/>
      <c r="G291" s="62"/>
      <c r="I291" s="64" t="str">
        <f aca="false">IF($B291="","",IF(ISNUMBER(MATCH($B291,日別データ!$B$9:$B$28,0)),"✔ OK","⚠ 未登録"))</f>
        <v/>
      </c>
    </row>
    <row r="292" customFormat="false" ht="15" hidden="false" customHeight="false" outlineLevel="0" collapsed="false">
      <c r="A292" s="61"/>
      <c r="B292" s="62"/>
      <c r="C292" s="63"/>
      <c r="D292" s="63"/>
      <c r="E292" s="62"/>
      <c r="F292" s="62"/>
      <c r="G292" s="62"/>
      <c r="I292" s="64" t="str">
        <f aca="false">IF($B292="","",IF(ISNUMBER(MATCH($B292,日別データ!$B$9:$B$28,0)),"✔ OK","⚠ 未登録"))</f>
        <v/>
      </c>
    </row>
    <row r="293" customFormat="false" ht="15" hidden="false" customHeight="false" outlineLevel="0" collapsed="false">
      <c r="A293" s="61"/>
      <c r="B293" s="62"/>
      <c r="C293" s="63"/>
      <c r="D293" s="63"/>
      <c r="E293" s="62"/>
      <c r="F293" s="62"/>
      <c r="G293" s="62"/>
      <c r="I293" s="64" t="str">
        <f aca="false">IF($B293="","",IF(ISNUMBER(MATCH($B293,日別データ!$B$9:$B$28,0)),"✔ OK","⚠ 未登録"))</f>
        <v/>
      </c>
    </row>
    <row r="294" customFormat="false" ht="15" hidden="false" customHeight="false" outlineLevel="0" collapsed="false">
      <c r="A294" s="61"/>
      <c r="B294" s="62"/>
      <c r="C294" s="63"/>
      <c r="D294" s="63"/>
      <c r="E294" s="62"/>
      <c r="F294" s="62"/>
      <c r="G294" s="62"/>
      <c r="I294" s="64" t="str">
        <f aca="false">IF($B294="","",IF(ISNUMBER(MATCH($B294,日別データ!$B$9:$B$28,0)),"✔ OK","⚠ 未登録"))</f>
        <v/>
      </c>
    </row>
    <row r="295" customFormat="false" ht="15" hidden="false" customHeight="false" outlineLevel="0" collapsed="false">
      <c r="A295" s="61"/>
      <c r="B295" s="62"/>
      <c r="C295" s="63"/>
      <c r="D295" s="63"/>
      <c r="E295" s="62"/>
      <c r="F295" s="62"/>
      <c r="G295" s="62"/>
      <c r="I295" s="64" t="str">
        <f aca="false">IF($B295="","",IF(ISNUMBER(MATCH($B295,日別データ!$B$9:$B$28,0)),"✔ OK","⚠ 未登録"))</f>
        <v/>
      </c>
    </row>
    <row r="296" customFormat="false" ht="15" hidden="false" customHeight="false" outlineLevel="0" collapsed="false">
      <c r="A296" s="61"/>
      <c r="B296" s="62"/>
      <c r="C296" s="63"/>
      <c r="D296" s="63"/>
      <c r="E296" s="62"/>
      <c r="F296" s="62"/>
      <c r="G296" s="62"/>
      <c r="I296" s="64" t="str">
        <f aca="false">IF($B296="","",IF(ISNUMBER(MATCH($B296,日別データ!$B$9:$B$28,0)),"✔ OK","⚠ 未登録"))</f>
        <v/>
      </c>
    </row>
    <row r="297" customFormat="false" ht="15" hidden="false" customHeight="false" outlineLevel="0" collapsed="false">
      <c r="A297" s="61"/>
      <c r="B297" s="62"/>
      <c r="C297" s="63"/>
      <c r="D297" s="63"/>
      <c r="E297" s="62"/>
      <c r="F297" s="62"/>
      <c r="G297" s="62"/>
      <c r="I297" s="64" t="str">
        <f aca="false">IF($B297="","",IF(ISNUMBER(MATCH($B297,日別データ!$B$9:$B$28,0)),"✔ OK","⚠ 未登録"))</f>
        <v/>
      </c>
    </row>
    <row r="298" customFormat="false" ht="15" hidden="false" customHeight="false" outlineLevel="0" collapsed="false">
      <c r="A298" s="61"/>
      <c r="B298" s="62"/>
      <c r="C298" s="63"/>
      <c r="D298" s="63"/>
      <c r="E298" s="62"/>
      <c r="F298" s="62"/>
      <c r="G298" s="62"/>
      <c r="I298" s="64" t="str">
        <f aca="false">IF($B298="","",IF(ISNUMBER(MATCH($B298,日別データ!$B$9:$B$28,0)),"✔ OK","⚠ 未登録"))</f>
        <v/>
      </c>
    </row>
    <row r="299" customFormat="false" ht="15" hidden="false" customHeight="false" outlineLevel="0" collapsed="false">
      <c r="A299" s="61"/>
      <c r="B299" s="62"/>
      <c r="C299" s="63"/>
      <c r="D299" s="63"/>
      <c r="E299" s="62"/>
      <c r="F299" s="62"/>
      <c r="G299" s="62"/>
      <c r="I299" s="64" t="str">
        <f aca="false">IF($B299="","",IF(ISNUMBER(MATCH($B299,日別データ!$B$9:$B$28,0)),"✔ OK","⚠ 未登録"))</f>
        <v/>
      </c>
    </row>
    <row r="300" customFormat="false" ht="15" hidden="false" customHeight="false" outlineLevel="0" collapsed="false">
      <c r="A300" s="61"/>
      <c r="B300" s="62"/>
      <c r="C300" s="63"/>
      <c r="D300" s="63"/>
      <c r="E300" s="62"/>
      <c r="F300" s="62"/>
      <c r="G300" s="62"/>
      <c r="I300" s="64" t="str">
        <f aca="false">IF($B300="","",IF(ISNUMBER(MATCH($B300,日別データ!$B$9:$B$28,0)),"✔ OK","⚠ 未登録"))</f>
        <v/>
      </c>
    </row>
    <row r="301" customFormat="false" ht="15" hidden="false" customHeight="false" outlineLevel="0" collapsed="false">
      <c r="A301" s="61"/>
      <c r="B301" s="62"/>
      <c r="C301" s="63"/>
      <c r="D301" s="63"/>
      <c r="E301" s="62"/>
      <c r="F301" s="62"/>
      <c r="G301" s="62"/>
      <c r="I301" s="64" t="str">
        <f aca="false">IF($B301="","",IF(ISNUMBER(MATCH($B301,日別データ!$B$9:$B$28,0)),"✔ OK","⚠ 未登録"))</f>
        <v/>
      </c>
    </row>
    <row r="302" customFormat="false" ht="15" hidden="false" customHeight="false" outlineLevel="0" collapsed="false">
      <c r="A302" s="61"/>
      <c r="B302" s="62"/>
      <c r="C302" s="63"/>
      <c r="D302" s="63"/>
      <c r="E302" s="62"/>
      <c r="F302" s="62"/>
      <c r="G302" s="62"/>
      <c r="I302" s="64" t="str">
        <f aca="false">IF($B302="","",IF(ISNUMBER(MATCH($B302,日別データ!$B$9:$B$28,0)),"✔ OK","⚠ 未登録"))</f>
        <v/>
      </c>
    </row>
    <row r="303" customFormat="false" ht="15" hidden="false" customHeight="false" outlineLevel="0" collapsed="false">
      <c r="A303" s="61"/>
      <c r="B303" s="62"/>
      <c r="C303" s="63"/>
      <c r="D303" s="63"/>
      <c r="E303" s="62"/>
      <c r="F303" s="62"/>
      <c r="G303" s="62"/>
      <c r="I303" s="64" t="str">
        <f aca="false">IF($B303="","",IF(ISNUMBER(MATCH($B303,日別データ!$B$9:$B$28,0)),"✔ OK","⚠ 未登録"))</f>
        <v/>
      </c>
    </row>
    <row r="304" customFormat="false" ht="15" hidden="false" customHeight="false" outlineLevel="0" collapsed="false">
      <c r="A304" s="61"/>
      <c r="B304" s="62"/>
      <c r="C304" s="63"/>
      <c r="D304" s="63"/>
      <c r="E304" s="62"/>
      <c r="F304" s="62"/>
      <c r="G304" s="62"/>
      <c r="I304" s="64" t="str">
        <f aca="false">IF($B304="","",IF(ISNUMBER(MATCH($B304,日別データ!$B$9:$B$28,0)),"✔ OK","⚠ 未登録"))</f>
        <v/>
      </c>
    </row>
    <row r="305" customFormat="false" ht="15" hidden="false" customHeight="false" outlineLevel="0" collapsed="false">
      <c r="A305" s="61"/>
      <c r="B305" s="62"/>
      <c r="C305" s="63"/>
      <c r="D305" s="63"/>
      <c r="E305" s="62"/>
      <c r="F305" s="62"/>
      <c r="G305" s="62"/>
      <c r="I305" s="64" t="str">
        <f aca="false">IF($B305="","",IF(ISNUMBER(MATCH($B305,日別データ!$B$9:$B$28,0)),"✔ OK","⚠ 未登録"))</f>
        <v/>
      </c>
    </row>
    <row r="306" customFormat="false" ht="15" hidden="false" customHeight="false" outlineLevel="0" collapsed="false">
      <c r="A306" s="61"/>
      <c r="B306" s="62"/>
      <c r="C306" s="63"/>
      <c r="D306" s="63"/>
      <c r="E306" s="62"/>
      <c r="F306" s="62"/>
      <c r="G306" s="62"/>
      <c r="I306" s="64" t="str">
        <f aca="false">IF($B306="","",IF(ISNUMBER(MATCH($B306,日別データ!$B$9:$B$28,0)),"✔ OK","⚠ 未登録"))</f>
        <v/>
      </c>
    </row>
    <row r="307" customFormat="false" ht="15" hidden="false" customHeight="false" outlineLevel="0" collapsed="false">
      <c r="A307" s="61"/>
      <c r="B307" s="62"/>
      <c r="C307" s="63"/>
      <c r="D307" s="63"/>
      <c r="E307" s="62"/>
      <c r="F307" s="62"/>
      <c r="G307" s="62"/>
      <c r="I307" s="64" t="str">
        <f aca="false">IF($B307="","",IF(ISNUMBER(MATCH($B307,日別データ!$B$9:$B$28,0)),"✔ OK","⚠ 未登録"))</f>
        <v/>
      </c>
    </row>
    <row r="308" customFormat="false" ht="15" hidden="false" customHeight="false" outlineLevel="0" collapsed="false">
      <c r="A308" s="61"/>
      <c r="B308" s="62"/>
      <c r="C308" s="63"/>
      <c r="D308" s="63"/>
      <c r="E308" s="62"/>
      <c r="F308" s="62"/>
      <c r="G308" s="62"/>
      <c r="I308" s="64" t="str">
        <f aca="false">IF($B308="","",IF(ISNUMBER(MATCH($B308,日別データ!$B$9:$B$28,0)),"✔ OK","⚠ 未登録"))</f>
        <v/>
      </c>
    </row>
    <row r="309" customFormat="false" ht="15" hidden="false" customHeight="false" outlineLevel="0" collapsed="false">
      <c r="A309" s="61"/>
      <c r="B309" s="62"/>
      <c r="C309" s="63"/>
      <c r="D309" s="63"/>
      <c r="E309" s="62"/>
      <c r="F309" s="62"/>
      <c r="G309" s="62"/>
      <c r="I309" s="64" t="str">
        <f aca="false">IF($B309="","",IF(ISNUMBER(MATCH($B309,日別データ!$B$9:$B$28,0)),"✔ OK","⚠ 未登録"))</f>
        <v/>
      </c>
    </row>
    <row r="310" customFormat="false" ht="15" hidden="false" customHeight="false" outlineLevel="0" collapsed="false">
      <c r="A310" s="61"/>
      <c r="B310" s="62"/>
      <c r="C310" s="63"/>
      <c r="D310" s="63"/>
      <c r="E310" s="62"/>
      <c r="F310" s="62"/>
      <c r="G310" s="62"/>
      <c r="I310" s="64" t="str">
        <f aca="false">IF($B310="","",IF(ISNUMBER(MATCH($B310,日別データ!$B$9:$B$28,0)),"✔ OK","⚠ 未登録"))</f>
        <v/>
      </c>
    </row>
    <row r="311" customFormat="false" ht="15" hidden="false" customHeight="false" outlineLevel="0" collapsed="false">
      <c r="A311" s="61"/>
      <c r="B311" s="62"/>
      <c r="C311" s="63"/>
      <c r="D311" s="63"/>
      <c r="E311" s="62"/>
      <c r="F311" s="62"/>
      <c r="G311" s="62"/>
      <c r="I311" s="64" t="str">
        <f aca="false">IF($B311="","",IF(ISNUMBER(MATCH($B311,日別データ!$B$9:$B$28,0)),"✔ OK","⚠ 未登録"))</f>
        <v/>
      </c>
    </row>
    <row r="312" customFormat="false" ht="15" hidden="false" customHeight="false" outlineLevel="0" collapsed="false">
      <c r="A312" s="61"/>
      <c r="B312" s="62"/>
      <c r="C312" s="63"/>
      <c r="D312" s="63"/>
      <c r="E312" s="62"/>
      <c r="F312" s="62"/>
      <c r="G312" s="62"/>
      <c r="I312" s="64" t="str">
        <f aca="false">IF($B312="","",IF(ISNUMBER(MATCH($B312,日別データ!$B$9:$B$28,0)),"✔ OK","⚠ 未登録"))</f>
        <v/>
      </c>
    </row>
    <row r="313" customFormat="false" ht="15" hidden="false" customHeight="false" outlineLevel="0" collapsed="false">
      <c r="A313" s="61"/>
      <c r="B313" s="62"/>
      <c r="C313" s="63"/>
      <c r="D313" s="63"/>
      <c r="E313" s="62"/>
      <c r="F313" s="62"/>
      <c r="G313" s="62"/>
      <c r="I313" s="64" t="str">
        <f aca="false">IF($B313="","",IF(ISNUMBER(MATCH($B313,日別データ!$B$9:$B$28,0)),"✔ OK","⚠ 未登録"))</f>
        <v/>
      </c>
    </row>
    <row r="314" customFormat="false" ht="15" hidden="false" customHeight="false" outlineLevel="0" collapsed="false">
      <c r="A314" s="61"/>
      <c r="B314" s="62"/>
      <c r="C314" s="63"/>
      <c r="D314" s="63"/>
      <c r="E314" s="62"/>
      <c r="F314" s="62"/>
      <c r="G314" s="62"/>
      <c r="I314" s="64" t="str">
        <f aca="false">IF($B314="","",IF(ISNUMBER(MATCH($B314,日別データ!$B$9:$B$28,0)),"✔ OK","⚠ 未登録"))</f>
        <v/>
      </c>
    </row>
    <row r="315" customFormat="false" ht="15" hidden="false" customHeight="false" outlineLevel="0" collapsed="false">
      <c r="A315" s="61"/>
      <c r="B315" s="62"/>
      <c r="C315" s="63"/>
      <c r="D315" s="63"/>
      <c r="E315" s="62"/>
      <c r="F315" s="62"/>
      <c r="G315" s="62"/>
      <c r="I315" s="64" t="str">
        <f aca="false">IF($B315="","",IF(ISNUMBER(MATCH($B315,日別データ!$B$9:$B$28,0)),"✔ OK","⚠ 未登録"))</f>
        <v/>
      </c>
    </row>
    <row r="316" customFormat="false" ht="15" hidden="false" customHeight="false" outlineLevel="0" collapsed="false">
      <c r="A316" s="61"/>
      <c r="B316" s="62"/>
      <c r="C316" s="63"/>
      <c r="D316" s="63"/>
      <c r="E316" s="62"/>
      <c r="F316" s="62"/>
      <c r="G316" s="62"/>
      <c r="I316" s="64" t="str">
        <f aca="false">IF($B316="","",IF(ISNUMBER(MATCH($B316,日別データ!$B$9:$B$28,0)),"✔ OK","⚠ 未登録"))</f>
        <v/>
      </c>
    </row>
    <row r="317" customFormat="false" ht="15" hidden="false" customHeight="false" outlineLevel="0" collapsed="false">
      <c r="A317" s="61"/>
      <c r="B317" s="62"/>
      <c r="C317" s="63"/>
      <c r="D317" s="63"/>
      <c r="E317" s="62"/>
      <c r="F317" s="62"/>
      <c r="G317" s="62"/>
      <c r="I317" s="64" t="str">
        <f aca="false">IF($B317="","",IF(ISNUMBER(MATCH($B317,日別データ!$B$9:$B$28,0)),"✔ OK","⚠ 未登録"))</f>
        <v/>
      </c>
    </row>
    <row r="318" customFormat="false" ht="15" hidden="false" customHeight="false" outlineLevel="0" collapsed="false">
      <c r="A318" s="61"/>
      <c r="B318" s="62"/>
      <c r="C318" s="63"/>
      <c r="D318" s="63"/>
      <c r="E318" s="62"/>
      <c r="F318" s="62"/>
      <c r="G318" s="62"/>
      <c r="I318" s="64" t="str">
        <f aca="false">IF($B318="","",IF(ISNUMBER(MATCH($B318,日別データ!$B$9:$B$28,0)),"✔ OK","⚠ 未登録"))</f>
        <v/>
      </c>
    </row>
    <row r="319" customFormat="false" ht="15" hidden="false" customHeight="false" outlineLevel="0" collapsed="false">
      <c r="A319" s="61"/>
      <c r="B319" s="62"/>
      <c r="C319" s="63"/>
      <c r="D319" s="63"/>
      <c r="E319" s="62"/>
      <c r="F319" s="62"/>
      <c r="G319" s="62"/>
      <c r="I319" s="64" t="str">
        <f aca="false">IF($B319="","",IF(ISNUMBER(MATCH($B319,日別データ!$B$9:$B$28,0)),"✔ OK","⚠ 未登録"))</f>
        <v/>
      </c>
    </row>
    <row r="320" customFormat="false" ht="15" hidden="false" customHeight="false" outlineLevel="0" collapsed="false">
      <c r="A320" s="61"/>
      <c r="B320" s="62"/>
      <c r="C320" s="63"/>
      <c r="D320" s="63"/>
      <c r="E320" s="62"/>
      <c r="F320" s="62"/>
      <c r="G320" s="62"/>
      <c r="I320" s="64" t="str">
        <f aca="false">IF($B320="","",IF(ISNUMBER(MATCH($B320,日別データ!$B$9:$B$28,0)),"✔ OK","⚠ 未登録"))</f>
        <v/>
      </c>
    </row>
    <row r="321" customFormat="false" ht="15" hidden="false" customHeight="false" outlineLevel="0" collapsed="false">
      <c r="A321" s="61"/>
      <c r="B321" s="62"/>
      <c r="C321" s="63"/>
      <c r="D321" s="63"/>
      <c r="E321" s="62"/>
      <c r="F321" s="62"/>
      <c r="G321" s="62"/>
      <c r="I321" s="64" t="str">
        <f aca="false">IF($B321="","",IF(ISNUMBER(MATCH($B321,日別データ!$B$9:$B$28,0)),"✔ OK","⚠ 未登録"))</f>
        <v/>
      </c>
    </row>
    <row r="322" customFormat="false" ht="15" hidden="false" customHeight="false" outlineLevel="0" collapsed="false">
      <c r="A322" s="61"/>
      <c r="B322" s="62"/>
      <c r="C322" s="63"/>
      <c r="D322" s="63"/>
      <c r="E322" s="62"/>
      <c r="F322" s="62"/>
      <c r="G322" s="62"/>
      <c r="I322" s="64" t="str">
        <f aca="false">IF($B322="","",IF(ISNUMBER(MATCH($B322,日別データ!$B$9:$B$28,0)),"✔ OK","⚠ 未登録"))</f>
        <v/>
      </c>
    </row>
    <row r="323" customFormat="false" ht="15" hidden="false" customHeight="false" outlineLevel="0" collapsed="false">
      <c r="A323" s="61"/>
      <c r="B323" s="62"/>
      <c r="C323" s="63"/>
      <c r="D323" s="63"/>
      <c r="E323" s="62"/>
      <c r="F323" s="62"/>
      <c r="G323" s="62"/>
      <c r="I323" s="64" t="str">
        <f aca="false">IF($B323="","",IF(ISNUMBER(MATCH($B323,日別データ!$B$9:$B$28,0)),"✔ OK","⚠ 未登録"))</f>
        <v/>
      </c>
    </row>
    <row r="324" customFormat="false" ht="15" hidden="false" customHeight="false" outlineLevel="0" collapsed="false">
      <c r="A324" s="61"/>
      <c r="B324" s="62"/>
      <c r="C324" s="63"/>
      <c r="D324" s="63"/>
      <c r="E324" s="62"/>
      <c r="F324" s="62"/>
      <c r="G324" s="62"/>
      <c r="I324" s="64" t="str">
        <f aca="false">IF($B324="","",IF(ISNUMBER(MATCH($B324,日別データ!$B$9:$B$28,0)),"✔ OK","⚠ 未登録"))</f>
        <v/>
      </c>
    </row>
    <row r="325" customFormat="false" ht="15" hidden="false" customHeight="false" outlineLevel="0" collapsed="false">
      <c r="A325" s="61"/>
      <c r="B325" s="62"/>
      <c r="C325" s="63"/>
      <c r="D325" s="63"/>
      <c r="E325" s="62"/>
      <c r="F325" s="62"/>
      <c r="G325" s="62"/>
      <c r="I325" s="64" t="str">
        <f aca="false">IF($B325="","",IF(ISNUMBER(MATCH($B325,日別データ!$B$9:$B$28,0)),"✔ OK","⚠ 未登録"))</f>
        <v/>
      </c>
    </row>
    <row r="326" customFormat="false" ht="15" hidden="false" customHeight="false" outlineLevel="0" collapsed="false">
      <c r="A326" s="61"/>
      <c r="B326" s="62"/>
      <c r="C326" s="63"/>
      <c r="D326" s="63"/>
      <c r="E326" s="62"/>
      <c r="F326" s="62"/>
      <c r="G326" s="62"/>
      <c r="I326" s="64" t="str">
        <f aca="false">IF($B326="","",IF(ISNUMBER(MATCH($B326,日別データ!$B$9:$B$28,0)),"✔ OK","⚠ 未登録"))</f>
        <v/>
      </c>
    </row>
    <row r="327" customFormat="false" ht="15" hidden="false" customHeight="false" outlineLevel="0" collapsed="false">
      <c r="A327" s="61"/>
      <c r="B327" s="62"/>
      <c r="C327" s="63"/>
      <c r="D327" s="63"/>
      <c r="E327" s="62"/>
      <c r="F327" s="62"/>
      <c r="G327" s="62"/>
      <c r="I327" s="64" t="str">
        <f aca="false">IF($B327="","",IF(ISNUMBER(MATCH($B327,日別データ!$B$9:$B$28,0)),"✔ OK","⚠ 未登録"))</f>
        <v/>
      </c>
    </row>
    <row r="328" customFormat="false" ht="15" hidden="false" customHeight="false" outlineLevel="0" collapsed="false">
      <c r="A328" s="61"/>
      <c r="B328" s="62"/>
      <c r="C328" s="63"/>
      <c r="D328" s="63"/>
      <c r="E328" s="62"/>
      <c r="F328" s="62"/>
      <c r="G328" s="62"/>
      <c r="I328" s="64" t="str">
        <f aca="false">IF($B328="","",IF(ISNUMBER(MATCH($B328,日別データ!$B$9:$B$28,0)),"✔ OK","⚠ 未登録"))</f>
        <v/>
      </c>
    </row>
    <row r="329" customFormat="false" ht="15" hidden="false" customHeight="false" outlineLevel="0" collapsed="false">
      <c r="A329" s="61"/>
      <c r="B329" s="62"/>
      <c r="C329" s="63"/>
      <c r="D329" s="63"/>
      <c r="E329" s="62"/>
      <c r="F329" s="62"/>
      <c r="G329" s="62"/>
      <c r="I329" s="64" t="str">
        <f aca="false">IF($B329="","",IF(ISNUMBER(MATCH($B329,日別データ!$B$9:$B$28,0)),"✔ OK","⚠ 未登録"))</f>
        <v/>
      </c>
    </row>
    <row r="330" customFormat="false" ht="15" hidden="false" customHeight="false" outlineLevel="0" collapsed="false">
      <c r="A330" s="61"/>
      <c r="B330" s="62"/>
      <c r="C330" s="63"/>
      <c r="D330" s="63"/>
      <c r="E330" s="62"/>
      <c r="F330" s="62"/>
      <c r="G330" s="62"/>
      <c r="I330" s="64" t="str">
        <f aca="false">IF($B330="","",IF(ISNUMBER(MATCH($B330,日別データ!$B$9:$B$28,0)),"✔ OK","⚠ 未登録"))</f>
        <v/>
      </c>
    </row>
    <row r="331" customFormat="false" ht="15" hidden="false" customHeight="false" outlineLevel="0" collapsed="false">
      <c r="A331" s="61"/>
      <c r="B331" s="62"/>
      <c r="C331" s="63"/>
      <c r="D331" s="63"/>
      <c r="E331" s="62"/>
      <c r="F331" s="62"/>
      <c r="G331" s="62"/>
      <c r="I331" s="64" t="str">
        <f aca="false">IF($B331="","",IF(ISNUMBER(MATCH($B331,日別データ!$B$9:$B$28,0)),"✔ OK","⚠ 未登録"))</f>
        <v/>
      </c>
    </row>
    <row r="332" customFormat="false" ht="15" hidden="false" customHeight="false" outlineLevel="0" collapsed="false">
      <c r="A332" s="61"/>
      <c r="B332" s="62"/>
      <c r="C332" s="63"/>
      <c r="D332" s="63"/>
      <c r="E332" s="62"/>
      <c r="F332" s="62"/>
      <c r="G332" s="62"/>
      <c r="I332" s="64" t="str">
        <f aca="false">IF($B332="","",IF(ISNUMBER(MATCH($B332,日別データ!$B$9:$B$28,0)),"✔ OK","⚠ 未登録"))</f>
        <v/>
      </c>
    </row>
    <row r="333" customFormat="false" ht="15" hidden="false" customHeight="false" outlineLevel="0" collapsed="false">
      <c r="A333" s="61"/>
      <c r="B333" s="62"/>
      <c r="C333" s="63"/>
      <c r="D333" s="63"/>
      <c r="E333" s="62"/>
      <c r="F333" s="62"/>
      <c r="G333" s="62"/>
      <c r="I333" s="64" t="str">
        <f aca="false">IF($B333="","",IF(ISNUMBER(MATCH($B333,日別データ!$B$9:$B$28,0)),"✔ OK","⚠ 未登録"))</f>
        <v/>
      </c>
    </row>
    <row r="334" customFormat="false" ht="15" hidden="false" customHeight="false" outlineLevel="0" collapsed="false">
      <c r="A334" s="61"/>
      <c r="B334" s="62"/>
      <c r="C334" s="63"/>
      <c r="D334" s="63"/>
      <c r="E334" s="62"/>
      <c r="F334" s="62"/>
      <c r="G334" s="62"/>
      <c r="I334" s="64" t="str">
        <f aca="false">IF($B334="","",IF(ISNUMBER(MATCH($B334,日別データ!$B$9:$B$28,0)),"✔ OK","⚠ 未登録"))</f>
        <v/>
      </c>
    </row>
    <row r="335" customFormat="false" ht="15" hidden="false" customHeight="false" outlineLevel="0" collapsed="false">
      <c r="A335" s="61"/>
      <c r="B335" s="62"/>
      <c r="C335" s="63"/>
      <c r="D335" s="63"/>
      <c r="E335" s="62"/>
      <c r="F335" s="62"/>
      <c r="G335" s="62"/>
      <c r="I335" s="64" t="str">
        <f aca="false">IF($B335="","",IF(ISNUMBER(MATCH($B335,日別データ!$B$9:$B$28,0)),"✔ OK","⚠ 未登録"))</f>
        <v/>
      </c>
    </row>
    <row r="336" customFormat="false" ht="15" hidden="false" customHeight="false" outlineLevel="0" collapsed="false">
      <c r="A336" s="61"/>
      <c r="B336" s="62"/>
      <c r="C336" s="63"/>
      <c r="D336" s="63"/>
      <c r="E336" s="62"/>
      <c r="F336" s="62"/>
      <c r="G336" s="62"/>
      <c r="I336" s="64" t="str">
        <f aca="false">IF($B336="","",IF(ISNUMBER(MATCH($B336,日別データ!$B$9:$B$28,0)),"✔ OK","⚠ 未登録"))</f>
        <v/>
      </c>
    </row>
    <row r="337" customFormat="false" ht="15" hidden="false" customHeight="false" outlineLevel="0" collapsed="false">
      <c r="A337" s="61"/>
      <c r="B337" s="62"/>
      <c r="C337" s="63"/>
      <c r="D337" s="63"/>
      <c r="E337" s="62"/>
      <c r="F337" s="62"/>
      <c r="G337" s="62"/>
      <c r="I337" s="64" t="str">
        <f aca="false">IF($B337="","",IF(ISNUMBER(MATCH($B337,日別データ!$B$9:$B$28,0)),"✔ OK","⚠ 未登録"))</f>
        <v/>
      </c>
    </row>
    <row r="338" customFormat="false" ht="15" hidden="false" customHeight="false" outlineLevel="0" collapsed="false">
      <c r="A338" s="61"/>
      <c r="B338" s="62"/>
      <c r="C338" s="63"/>
      <c r="D338" s="63"/>
      <c r="E338" s="62"/>
      <c r="F338" s="62"/>
      <c r="G338" s="62"/>
      <c r="I338" s="64" t="str">
        <f aca="false">IF($B338="","",IF(ISNUMBER(MATCH($B338,日別データ!$B$9:$B$28,0)),"✔ OK","⚠ 未登録"))</f>
        <v/>
      </c>
    </row>
    <row r="339" customFormat="false" ht="15" hidden="false" customHeight="false" outlineLevel="0" collapsed="false">
      <c r="A339" s="61"/>
      <c r="B339" s="62"/>
      <c r="C339" s="63"/>
      <c r="D339" s="63"/>
      <c r="E339" s="62"/>
      <c r="F339" s="62"/>
      <c r="G339" s="62"/>
      <c r="I339" s="64" t="str">
        <f aca="false">IF($B339="","",IF(ISNUMBER(MATCH($B339,日別データ!$B$9:$B$28,0)),"✔ OK","⚠ 未登録"))</f>
        <v/>
      </c>
    </row>
    <row r="340" customFormat="false" ht="15" hidden="false" customHeight="false" outlineLevel="0" collapsed="false">
      <c r="A340" s="61"/>
      <c r="B340" s="62"/>
      <c r="C340" s="63"/>
      <c r="D340" s="63"/>
      <c r="E340" s="62"/>
      <c r="F340" s="62"/>
      <c r="G340" s="62"/>
      <c r="I340" s="64" t="str">
        <f aca="false">IF($B340="","",IF(ISNUMBER(MATCH($B340,日別データ!$B$9:$B$28,0)),"✔ OK","⚠ 未登録"))</f>
        <v/>
      </c>
    </row>
    <row r="341" customFormat="false" ht="15" hidden="false" customHeight="false" outlineLevel="0" collapsed="false">
      <c r="A341" s="61"/>
      <c r="B341" s="62"/>
      <c r="C341" s="63"/>
      <c r="D341" s="63"/>
      <c r="E341" s="62"/>
      <c r="F341" s="62"/>
      <c r="G341" s="62"/>
      <c r="I341" s="64" t="str">
        <f aca="false">IF($B341="","",IF(ISNUMBER(MATCH($B341,日別データ!$B$9:$B$28,0)),"✔ OK","⚠ 未登録"))</f>
        <v/>
      </c>
    </row>
    <row r="342" customFormat="false" ht="15" hidden="false" customHeight="false" outlineLevel="0" collapsed="false">
      <c r="A342" s="61"/>
      <c r="B342" s="62"/>
      <c r="C342" s="63"/>
      <c r="D342" s="63"/>
      <c r="E342" s="62"/>
      <c r="F342" s="62"/>
      <c r="G342" s="62"/>
      <c r="I342" s="64" t="str">
        <f aca="false">IF($B342="","",IF(ISNUMBER(MATCH($B342,日別データ!$B$9:$B$28,0)),"✔ OK","⚠ 未登録"))</f>
        <v/>
      </c>
    </row>
    <row r="343" customFormat="false" ht="15" hidden="false" customHeight="false" outlineLevel="0" collapsed="false">
      <c r="A343" s="61"/>
      <c r="B343" s="62"/>
      <c r="C343" s="63"/>
      <c r="D343" s="63"/>
      <c r="E343" s="62"/>
      <c r="F343" s="62"/>
      <c r="G343" s="62"/>
      <c r="I343" s="64" t="str">
        <f aca="false">IF($B343="","",IF(ISNUMBER(MATCH($B343,日別データ!$B$9:$B$28,0)),"✔ OK","⚠ 未登録"))</f>
        <v/>
      </c>
    </row>
    <row r="344" customFormat="false" ht="15" hidden="false" customHeight="false" outlineLevel="0" collapsed="false">
      <c r="A344" s="61"/>
      <c r="B344" s="62"/>
      <c r="C344" s="63"/>
      <c r="D344" s="63"/>
      <c r="E344" s="62"/>
      <c r="F344" s="62"/>
      <c r="G344" s="62"/>
      <c r="I344" s="64" t="str">
        <f aca="false">IF($B344="","",IF(ISNUMBER(MATCH($B344,日別データ!$B$9:$B$28,0)),"✔ OK","⚠ 未登録"))</f>
        <v/>
      </c>
    </row>
    <row r="345" customFormat="false" ht="15" hidden="false" customHeight="false" outlineLevel="0" collapsed="false">
      <c r="A345" s="61"/>
      <c r="B345" s="62"/>
      <c r="C345" s="63"/>
      <c r="D345" s="63"/>
      <c r="E345" s="62"/>
      <c r="F345" s="62"/>
      <c r="G345" s="62"/>
      <c r="I345" s="64" t="str">
        <f aca="false">IF($B345="","",IF(ISNUMBER(MATCH($B345,日別データ!$B$9:$B$28,0)),"✔ OK","⚠ 未登録"))</f>
        <v/>
      </c>
    </row>
    <row r="346" customFormat="false" ht="15" hidden="false" customHeight="false" outlineLevel="0" collapsed="false">
      <c r="A346" s="61"/>
      <c r="B346" s="62"/>
      <c r="C346" s="63"/>
      <c r="D346" s="63"/>
      <c r="E346" s="62"/>
      <c r="F346" s="62"/>
      <c r="G346" s="62"/>
      <c r="I346" s="64" t="str">
        <f aca="false">IF($B346="","",IF(ISNUMBER(MATCH($B346,日別データ!$B$9:$B$28,0)),"✔ OK","⚠ 未登録"))</f>
        <v/>
      </c>
    </row>
    <row r="347" customFormat="false" ht="15" hidden="false" customHeight="false" outlineLevel="0" collapsed="false">
      <c r="A347" s="61"/>
      <c r="B347" s="62"/>
      <c r="C347" s="63"/>
      <c r="D347" s="63"/>
      <c r="E347" s="62"/>
      <c r="F347" s="62"/>
      <c r="G347" s="62"/>
      <c r="I347" s="64" t="str">
        <f aca="false">IF($B347="","",IF(ISNUMBER(MATCH($B347,日別データ!$B$9:$B$28,0)),"✔ OK","⚠ 未登録"))</f>
        <v/>
      </c>
    </row>
    <row r="348" customFormat="false" ht="15" hidden="false" customHeight="false" outlineLevel="0" collapsed="false">
      <c r="A348" s="61"/>
      <c r="B348" s="62"/>
      <c r="C348" s="63"/>
      <c r="D348" s="63"/>
      <c r="E348" s="62"/>
      <c r="F348" s="62"/>
      <c r="G348" s="62"/>
      <c r="I348" s="64" t="str">
        <f aca="false">IF($B348="","",IF(ISNUMBER(MATCH($B348,日別データ!$B$9:$B$28,0)),"✔ OK","⚠ 未登録"))</f>
        <v/>
      </c>
    </row>
    <row r="349" customFormat="false" ht="15" hidden="false" customHeight="false" outlineLevel="0" collapsed="false">
      <c r="A349" s="61"/>
      <c r="B349" s="62"/>
      <c r="C349" s="63"/>
      <c r="D349" s="63"/>
      <c r="E349" s="62"/>
      <c r="F349" s="62"/>
      <c r="G349" s="62"/>
      <c r="I349" s="64" t="str">
        <f aca="false">IF($B349="","",IF(ISNUMBER(MATCH($B349,日別データ!$B$9:$B$28,0)),"✔ OK","⚠ 未登録"))</f>
        <v/>
      </c>
    </row>
    <row r="350" customFormat="false" ht="15" hidden="false" customHeight="false" outlineLevel="0" collapsed="false">
      <c r="A350" s="61"/>
      <c r="B350" s="62"/>
      <c r="C350" s="63"/>
      <c r="D350" s="63"/>
      <c r="E350" s="62"/>
      <c r="F350" s="62"/>
      <c r="G350" s="62"/>
      <c r="I350" s="64" t="str">
        <f aca="false">IF($B350="","",IF(ISNUMBER(MATCH($B350,日別データ!$B$9:$B$28,0)),"✔ OK","⚠ 未登録"))</f>
        <v/>
      </c>
    </row>
    <row r="351" customFormat="false" ht="15" hidden="false" customHeight="false" outlineLevel="0" collapsed="false">
      <c r="A351" s="61"/>
      <c r="B351" s="62"/>
      <c r="C351" s="63"/>
      <c r="D351" s="63"/>
      <c r="E351" s="62"/>
      <c r="F351" s="62"/>
      <c r="G351" s="62"/>
      <c r="I351" s="64" t="str">
        <f aca="false">IF($B351="","",IF(ISNUMBER(MATCH($B351,日別データ!$B$9:$B$28,0)),"✔ OK","⚠ 未登録"))</f>
        <v/>
      </c>
    </row>
    <row r="352" customFormat="false" ht="15" hidden="false" customHeight="false" outlineLevel="0" collapsed="false">
      <c r="A352" s="61"/>
      <c r="B352" s="62"/>
      <c r="C352" s="63"/>
      <c r="D352" s="63"/>
      <c r="E352" s="62"/>
      <c r="F352" s="62"/>
      <c r="G352" s="62"/>
      <c r="I352" s="64" t="str">
        <f aca="false">IF($B352="","",IF(ISNUMBER(MATCH($B352,日別データ!$B$9:$B$28,0)),"✔ OK","⚠ 未登録"))</f>
        <v/>
      </c>
    </row>
    <row r="353" customFormat="false" ht="15" hidden="false" customHeight="false" outlineLevel="0" collapsed="false">
      <c r="A353" s="61"/>
      <c r="B353" s="62"/>
      <c r="C353" s="63"/>
      <c r="D353" s="63"/>
      <c r="E353" s="62"/>
      <c r="F353" s="62"/>
      <c r="G353" s="62"/>
      <c r="I353" s="64" t="str">
        <f aca="false">IF($B353="","",IF(ISNUMBER(MATCH($B353,日別データ!$B$9:$B$28,0)),"✔ OK","⚠ 未登録"))</f>
        <v/>
      </c>
    </row>
    <row r="354" customFormat="false" ht="15" hidden="false" customHeight="false" outlineLevel="0" collapsed="false">
      <c r="A354" s="61"/>
      <c r="B354" s="62"/>
      <c r="C354" s="63"/>
      <c r="D354" s="63"/>
      <c r="E354" s="62"/>
      <c r="F354" s="62"/>
      <c r="G354" s="62"/>
      <c r="I354" s="64" t="str">
        <f aca="false">IF($B354="","",IF(ISNUMBER(MATCH($B354,日別データ!$B$9:$B$28,0)),"✔ OK","⚠ 未登録"))</f>
        <v/>
      </c>
    </row>
    <row r="355" customFormat="false" ht="15" hidden="false" customHeight="false" outlineLevel="0" collapsed="false">
      <c r="A355" s="61"/>
      <c r="B355" s="62"/>
      <c r="C355" s="63"/>
      <c r="D355" s="63"/>
      <c r="E355" s="62"/>
      <c r="F355" s="62"/>
      <c r="G355" s="62"/>
      <c r="I355" s="64" t="str">
        <f aca="false">IF($B355="","",IF(ISNUMBER(MATCH($B355,日別データ!$B$9:$B$28,0)),"✔ OK","⚠ 未登録"))</f>
        <v/>
      </c>
    </row>
    <row r="356" customFormat="false" ht="15" hidden="false" customHeight="false" outlineLevel="0" collapsed="false">
      <c r="A356" s="61"/>
      <c r="B356" s="62"/>
      <c r="C356" s="63"/>
      <c r="D356" s="63"/>
      <c r="E356" s="62"/>
      <c r="F356" s="62"/>
      <c r="G356" s="62"/>
      <c r="I356" s="64" t="str">
        <f aca="false">IF($B356="","",IF(ISNUMBER(MATCH($B356,日別データ!$B$9:$B$28,0)),"✔ OK","⚠ 未登録"))</f>
        <v/>
      </c>
    </row>
    <row r="357" customFormat="false" ht="15" hidden="false" customHeight="false" outlineLevel="0" collapsed="false">
      <c r="A357" s="61"/>
      <c r="B357" s="62"/>
      <c r="C357" s="63"/>
      <c r="D357" s="63"/>
      <c r="E357" s="62"/>
      <c r="F357" s="62"/>
      <c r="G357" s="62"/>
      <c r="I357" s="64" t="str">
        <f aca="false">IF($B357="","",IF(ISNUMBER(MATCH($B357,日別データ!$B$9:$B$28,0)),"✔ OK","⚠ 未登録"))</f>
        <v/>
      </c>
    </row>
    <row r="358" customFormat="false" ht="15" hidden="false" customHeight="false" outlineLevel="0" collapsed="false">
      <c r="A358" s="61"/>
      <c r="B358" s="62"/>
      <c r="C358" s="63"/>
      <c r="D358" s="63"/>
      <c r="E358" s="62"/>
      <c r="F358" s="62"/>
      <c r="G358" s="62"/>
      <c r="I358" s="64" t="str">
        <f aca="false">IF($B358="","",IF(ISNUMBER(MATCH($B358,日別データ!$B$9:$B$28,0)),"✔ OK","⚠ 未登録"))</f>
        <v/>
      </c>
    </row>
    <row r="359" customFormat="false" ht="15" hidden="false" customHeight="false" outlineLevel="0" collapsed="false">
      <c r="A359" s="61"/>
      <c r="B359" s="62"/>
      <c r="C359" s="63"/>
      <c r="D359" s="63"/>
      <c r="E359" s="62"/>
      <c r="F359" s="62"/>
      <c r="G359" s="62"/>
      <c r="I359" s="64" t="str">
        <f aca="false">IF($B359="","",IF(ISNUMBER(MATCH($B359,日別データ!$B$9:$B$28,0)),"✔ OK","⚠ 未登録"))</f>
        <v/>
      </c>
    </row>
    <row r="360" customFormat="false" ht="15" hidden="false" customHeight="false" outlineLevel="0" collapsed="false">
      <c r="A360" s="61"/>
      <c r="B360" s="62"/>
      <c r="C360" s="63"/>
      <c r="D360" s="63"/>
      <c r="E360" s="62"/>
      <c r="F360" s="62"/>
      <c r="G360" s="62"/>
      <c r="I360" s="64" t="str">
        <f aca="false">IF($B360="","",IF(ISNUMBER(MATCH($B360,日別データ!$B$9:$B$28,0)),"✔ OK","⚠ 未登録"))</f>
        <v/>
      </c>
    </row>
    <row r="361" customFormat="false" ht="15" hidden="false" customHeight="false" outlineLevel="0" collapsed="false">
      <c r="A361" s="61"/>
      <c r="B361" s="62"/>
      <c r="C361" s="63"/>
      <c r="D361" s="63"/>
      <c r="E361" s="62"/>
      <c r="F361" s="62"/>
      <c r="G361" s="62"/>
      <c r="I361" s="64" t="str">
        <f aca="false">IF($B361="","",IF(ISNUMBER(MATCH($B361,日別データ!$B$9:$B$28,0)),"✔ OK","⚠ 未登録"))</f>
        <v/>
      </c>
    </row>
    <row r="362" customFormat="false" ht="15" hidden="false" customHeight="false" outlineLevel="0" collapsed="false">
      <c r="A362" s="61"/>
      <c r="B362" s="62"/>
      <c r="C362" s="63"/>
      <c r="D362" s="63"/>
      <c r="E362" s="62"/>
      <c r="F362" s="62"/>
      <c r="G362" s="62"/>
      <c r="I362" s="64" t="str">
        <f aca="false">IF($B362="","",IF(ISNUMBER(MATCH($B362,日別データ!$B$9:$B$28,0)),"✔ OK","⚠ 未登録"))</f>
        <v/>
      </c>
    </row>
    <row r="363" customFormat="false" ht="15" hidden="false" customHeight="false" outlineLevel="0" collapsed="false">
      <c r="A363" s="61"/>
      <c r="B363" s="62"/>
      <c r="C363" s="63"/>
      <c r="D363" s="63"/>
      <c r="E363" s="62"/>
      <c r="F363" s="62"/>
      <c r="G363" s="62"/>
      <c r="I363" s="64" t="str">
        <f aca="false">IF($B363="","",IF(ISNUMBER(MATCH($B363,日別データ!$B$9:$B$28,0)),"✔ OK","⚠ 未登録"))</f>
        <v/>
      </c>
    </row>
    <row r="364" customFormat="false" ht="15" hidden="false" customHeight="false" outlineLevel="0" collapsed="false">
      <c r="A364" s="61"/>
      <c r="B364" s="62"/>
      <c r="C364" s="63"/>
      <c r="D364" s="63"/>
      <c r="E364" s="62"/>
      <c r="F364" s="62"/>
      <c r="G364" s="62"/>
      <c r="I364" s="64" t="str">
        <f aca="false">IF($B364="","",IF(ISNUMBER(MATCH($B364,日別データ!$B$9:$B$28,0)),"✔ OK","⚠ 未登録"))</f>
        <v/>
      </c>
    </row>
    <row r="365" customFormat="false" ht="15" hidden="false" customHeight="false" outlineLevel="0" collapsed="false">
      <c r="A365" s="61"/>
      <c r="B365" s="62"/>
      <c r="C365" s="63"/>
      <c r="D365" s="63"/>
      <c r="E365" s="62"/>
      <c r="F365" s="62"/>
      <c r="G365" s="62"/>
      <c r="I365" s="64" t="str">
        <f aca="false">IF($B365="","",IF(ISNUMBER(MATCH($B365,日別データ!$B$9:$B$28,0)),"✔ OK","⚠ 未登録"))</f>
        <v/>
      </c>
    </row>
    <row r="366" customFormat="false" ht="15" hidden="false" customHeight="false" outlineLevel="0" collapsed="false">
      <c r="A366" s="61"/>
      <c r="B366" s="62"/>
      <c r="C366" s="63"/>
      <c r="D366" s="63"/>
      <c r="E366" s="62"/>
      <c r="F366" s="62"/>
      <c r="G366" s="62"/>
      <c r="I366" s="64" t="str">
        <f aca="false">IF($B366="","",IF(ISNUMBER(MATCH($B366,日別データ!$B$9:$B$28,0)),"✔ OK","⚠ 未登録"))</f>
        <v/>
      </c>
    </row>
    <row r="367" customFormat="false" ht="15" hidden="false" customHeight="false" outlineLevel="0" collapsed="false">
      <c r="A367" s="61"/>
      <c r="B367" s="62"/>
      <c r="C367" s="63"/>
      <c r="D367" s="63"/>
      <c r="E367" s="62"/>
      <c r="F367" s="62"/>
      <c r="G367" s="62"/>
      <c r="I367" s="64" t="str">
        <f aca="false">IF($B367="","",IF(ISNUMBER(MATCH($B367,日別データ!$B$9:$B$28,0)),"✔ OK","⚠ 未登録"))</f>
        <v/>
      </c>
    </row>
    <row r="368" customFormat="false" ht="15" hidden="false" customHeight="false" outlineLevel="0" collapsed="false">
      <c r="A368" s="61"/>
      <c r="B368" s="62"/>
      <c r="C368" s="63"/>
      <c r="D368" s="63"/>
      <c r="E368" s="62"/>
      <c r="F368" s="62"/>
      <c r="G368" s="62"/>
      <c r="I368" s="64" t="str">
        <f aca="false">IF($B368="","",IF(ISNUMBER(MATCH($B368,日別データ!$B$9:$B$28,0)),"✔ OK","⚠ 未登録"))</f>
        <v/>
      </c>
    </row>
    <row r="369" customFormat="false" ht="15" hidden="false" customHeight="false" outlineLevel="0" collapsed="false">
      <c r="A369" s="61"/>
      <c r="B369" s="62"/>
      <c r="C369" s="63"/>
      <c r="D369" s="63"/>
      <c r="E369" s="62"/>
      <c r="F369" s="62"/>
      <c r="G369" s="62"/>
      <c r="I369" s="64" t="str">
        <f aca="false">IF($B369="","",IF(ISNUMBER(MATCH($B369,日別データ!$B$9:$B$28,0)),"✔ OK","⚠ 未登録"))</f>
        <v/>
      </c>
    </row>
    <row r="370" customFormat="false" ht="15" hidden="false" customHeight="false" outlineLevel="0" collapsed="false">
      <c r="A370" s="61"/>
      <c r="B370" s="62"/>
      <c r="C370" s="63"/>
      <c r="D370" s="63"/>
      <c r="E370" s="62"/>
      <c r="F370" s="62"/>
      <c r="G370" s="62"/>
      <c r="I370" s="64" t="str">
        <f aca="false">IF($B370="","",IF(ISNUMBER(MATCH($B370,日別データ!$B$9:$B$28,0)),"✔ OK","⚠ 未登録"))</f>
        <v/>
      </c>
    </row>
    <row r="371" customFormat="false" ht="15" hidden="false" customHeight="false" outlineLevel="0" collapsed="false">
      <c r="A371" s="61"/>
      <c r="B371" s="62"/>
      <c r="C371" s="63"/>
      <c r="D371" s="63"/>
      <c r="E371" s="62"/>
      <c r="F371" s="62"/>
      <c r="G371" s="62"/>
      <c r="I371" s="64" t="str">
        <f aca="false">IF($B371="","",IF(ISNUMBER(MATCH($B371,日別データ!$B$9:$B$28,0)),"✔ OK","⚠ 未登録"))</f>
        <v/>
      </c>
    </row>
    <row r="372" customFormat="false" ht="15" hidden="false" customHeight="false" outlineLevel="0" collapsed="false">
      <c r="A372" s="61"/>
      <c r="B372" s="62"/>
      <c r="C372" s="63"/>
      <c r="D372" s="63"/>
      <c r="E372" s="62"/>
      <c r="F372" s="62"/>
      <c r="G372" s="62"/>
      <c r="I372" s="64" t="str">
        <f aca="false">IF($B372="","",IF(ISNUMBER(MATCH($B372,日別データ!$B$9:$B$28,0)),"✔ OK","⚠ 未登録"))</f>
        <v/>
      </c>
    </row>
    <row r="373" customFormat="false" ht="15" hidden="false" customHeight="false" outlineLevel="0" collapsed="false">
      <c r="A373" s="61"/>
      <c r="B373" s="62"/>
      <c r="C373" s="63"/>
      <c r="D373" s="63"/>
      <c r="E373" s="62"/>
      <c r="F373" s="62"/>
      <c r="G373" s="62"/>
      <c r="I373" s="64" t="str">
        <f aca="false">IF($B373="","",IF(ISNUMBER(MATCH($B373,日別データ!$B$9:$B$28,0)),"✔ OK","⚠ 未登録"))</f>
        <v/>
      </c>
    </row>
    <row r="374" customFormat="false" ht="15" hidden="false" customHeight="false" outlineLevel="0" collapsed="false">
      <c r="A374" s="61"/>
      <c r="B374" s="62"/>
      <c r="C374" s="63"/>
      <c r="D374" s="63"/>
      <c r="E374" s="62"/>
      <c r="F374" s="62"/>
      <c r="G374" s="62"/>
      <c r="I374" s="64" t="str">
        <f aca="false">IF($B374="","",IF(ISNUMBER(MATCH($B374,日別データ!$B$9:$B$28,0)),"✔ OK","⚠ 未登録"))</f>
        <v/>
      </c>
    </row>
    <row r="375" customFormat="false" ht="15" hidden="false" customHeight="false" outlineLevel="0" collapsed="false">
      <c r="A375" s="61"/>
      <c r="B375" s="62"/>
      <c r="C375" s="63"/>
      <c r="D375" s="63"/>
      <c r="E375" s="62"/>
      <c r="F375" s="62"/>
      <c r="G375" s="62"/>
      <c r="I375" s="64" t="str">
        <f aca="false">IF($B375="","",IF(ISNUMBER(MATCH($B375,日別データ!$B$9:$B$28,0)),"✔ OK","⚠ 未登録"))</f>
        <v/>
      </c>
    </row>
    <row r="376" customFormat="false" ht="15" hidden="false" customHeight="false" outlineLevel="0" collapsed="false">
      <c r="A376" s="61"/>
      <c r="B376" s="62"/>
      <c r="C376" s="63"/>
      <c r="D376" s="63"/>
      <c r="E376" s="62"/>
      <c r="F376" s="62"/>
      <c r="G376" s="62"/>
      <c r="I376" s="64" t="str">
        <f aca="false">IF($B376="","",IF(ISNUMBER(MATCH($B376,日別データ!$B$9:$B$28,0)),"✔ OK","⚠ 未登録"))</f>
        <v/>
      </c>
    </row>
    <row r="377" customFormat="false" ht="15" hidden="false" customHeight="false" outlineLevel="0" collapsed="false">
      <c r="A377" s="61"/>
      <c r="B377" s="62"/>
      <c r="C377" s="63"/>
      <c r="D377" s="63"/>
      <c r="E377" s="62"/>
      <c r="F377" s="62"/>
      <c r="G377" s="62"/>
      <c r="I377" s="64" t="str">
        <f aca="false">IF($B377="","",IF(ISNUMBER(MATCH($B377,日別データ!$B$9:$B$28,0)),"✔ OK","⚠ 未登録"))</f>
        <v/>
      </c>
    </row>
    <row r="378" customFormat="false" ht="15" hidden="false" customHeight="false" outlineLevel="0" collapsed="false">
      <c r="A378" s="61"/>
      <c r="B378" s="62"/>
      <c r="C378" s="63"/>
      <c r="D378" s="63"/>
      <c r="E378" s="62"/>
      <c r="F378" s="62"/>
      <c r="G378" s="62"/>
      <c r="I378" s="64" t="str">
        <f aca="false">IF($B378="","",IF(ISNUMBER(MATCH($B378,日別データ!$B$9:$B$28,0)),"✔ OK","⚠ 未登録"))</f>
        <v/>
      </c>
    </row>
    <row r="379" customFormat="false" ht="15" hidden="false" customHeight="false" outlineLevel="0" collapsed="false">
      <c r="A379" s="61"/>
      <c r="B379" s="62"/>
      <c r="C379" s="63"/>
      <c r="D379" s="63"/>
      <c r="E379" s="62"/>
      <c r="F379" s="62"/>
      <c r="G379" s="62"/>
      <c r="I379" s="64" t="str">
        <f aca="false">IF($B379="","",IF(ISNUMBER(MATCH($B379,日別データ!$B$9:$B$28,0)),"✔ OK","⚠ 未登録"))</f>
        <v/>
      </c>
    </row>
    <row r="380" customFormat="false" ht="15" hidden="false" customHeight="false" outlineLevel="0" collapsed="false">
      <c r="A380" s="61"/>
      <c r="B380" s="62"/>
      <c r="C380" s="63"/>
      <c r="D380" s="63"/>
      <c r="E380" s="62"/>
      <c r="F380" s="62"/>
      <c r="G380" s="62"/>
      <c r="I380" s="64" t="str">
        <f aca="false">IF($B380="","",IF(ISNUMBER(MATCH($B380,日別データ!$B$9:$B$28,0)),"✔ OK","⚠ 未登録"))</f>
        <v/>
      </c>
    </row>
    <row r="381" customFormat="false" ht="15" hidden="false" customHeight="false" outlineLevel="0" collapsed="false">
      <c r="A381" s="61"/>
      <c r="B381" s="62"/>
      <c r="C381" s="63"/>
      <c r="D381" s="63"/>
      <c r="E381" s="62"/>
      <c r="F381" s="62"/>
      <c r="G381" s="62"/>
      <c r="I381" s="64" t="str">
        <f aca="false">IF($B381="","",IF(ISNUMBER(MATCH($B381,日別データ!$B$9:$B$28,0)),"✔ OK","⚠ 未登録"))</f>
        <v/>
      </c>
    </row>
    <row r="382" customFormat="false" ht="15" hidden="false" customHeight="false" outlineLevel="0" collapsed="false">
      <c r="A382" s="61"/>
      <c r="B382" s="62"/>
      <c r="C382" s="63"/>
      <c r="D382" s="63"/>
      <c r="E382" s="62"/>
      <c r="F382" s="62"/>
      <c r="G382" s="62"/>
      <c r="I382" s="64" t="str">
        <f aca="false">IF($B382="","",IF(ISNUMBER(MATCH($B382,日別データ!$B$9:$B$28,0)),"✔ OK","⚠ 未登録"))</f>
        <v/>
      </c>
    </row>
    <row r="383" customFormat="false" ht="15" hidden="false" customHeight="false" outlineLevel="0" collapsed="false">
      <c r="A383" s="61"/>
      <c r="B383" s="62"/>
      <c r="C383" s="63"/>
      <c r="D383" s="63"/>
      <c r="E383" s="62"/>
      <c r="F383" s="62"/>
      <c r="G383" s="62"/>
      <c r="I383" s="64" t="str">
        <f aca="false">IF($B383="","",IF(ISNUMBER(MATCH($B383,日別データ!$B$9:$B$28,0)),"✔ OK","⚠ 未登録"))</f>
        <v/>
      </c>
    </row>
    <row r="384" customFormat="false" ht="15" hidden="false" customHeight="false" outlineLevel="0" collapsed="false">
      <c r="A384" s="61"/>
      <c r="B384" s="62"/>
      <c r="C384" s="63"/>
      <c r="D384" s="63"/>
      <c r="E384" s="62"/>
      <c r="F384" s="62"/>
      <c r="G384" s="62"/>
      <c r="I384" s="64" t="str">
        <f aca="false">IF($B384="","",IF(ISNUMBER(MATCH($B384,日別データ!$B$9:$B$28,0)),"✔ OK","⚠ 未登録"))</f>
        <v/>
      </c>
    </row>
    <row r="385" customFormat="false" ht="15" hidden="false" customHeight="false" outlineLevel="0" collapsed="false">
      <c r="A385" s="61"/>
      <c r="B385" s="62"/>
      <c r="C385" s="63"/>
      <c r="D385" s="63"/>
      <c r="E385" s="62"/>
      <c r="F385" s="62"/>
      <c r="G385" s="62"/>
      <c r="I385" s="64" t="str">
        <f aca="false">IF($B385="","",IF(ISNUMBER(MATCH($B385,日別データ!$B$9:$B$28,0)),"✔ OK","⚠ 未登録"))</f>
        <v/>
      </c>
    </row>
    <row r="386" customFormat="false" ht="15" hidden="false" customHeight="false" outlineLevel="0" collapsed="false">
      <c r="A386" s="61"/>
      <c r="B386" s="62"/>
      <c r="C386" s="63"/>
      <c r="D386" s="63"/>
      <c r="E386" s="62"/>
      <c r="F386" s="62"/>
      <c r="G386" s="62"/>
      <c r="I386" s="64" t="str">
        <f aca="false">IF($B386="","",IF(ISNUMBER(MATCH($B386,日別データ!$B$9:$B$28,0)),"✔ OK","⚠ 未登録"))</f>
        <v/>
      </c>
    </row>
    <row r="387" customFormat="false" ht="15" hidden="false" customHeight="false" outlineLevel="0" collapsed="false">
      <c r="A387" s="61"/>
      <c r="B387" s="62"/>
      <c r="C387" s="63"/>
      <c r="D387" s="63"/>
      <c r="E387" s="62"/>
      <c r="F387" s="62"/>
      <c r="G387" s="62"/>
      <c r="I387" s="64" t="str">
        <f aca="false">IF($B387="","",IF(ISNUMBER(MATCH($B387,日別データ!$B$9:$B$28,0)),"✔ OK","⚠ 未登録"))</f>
        <v/>
      </c>
    </row>
    <row r="388" customFormat="false" ht="15" hidden="false" customHeight="false" outlineLevel="0" collapsed="false">
      <c r="A388" s="61"/>
      <c r="B388" s="62"/>
      <c r="C388" s="63"/>
      <c r="D388" s="63"/>
      <c r="E388" s="62"/>
      <c r="F388" s="62"/>
      <c r="G388" s="62"/>
      <c r="I388" s="64" t="str">
        <f aca="false">IF($B388="","",IF(ISNUMBER(MATCH($B388,日別データ!$B$9:$B$28,0)),"✔ OK","⚠ 未登録"))</f>
        <v/>
      </c>
    </row>
    <row r="389" customFormat="false" ht="15" hidden="false" customHeight="false" outlineLevel="0" collapsed="false">
      <c r="A389" s="61"/>
      <c r="B389" s="62"/>
      <c r="C389" s="63"/>
      <c r="D389" s="63"/>
      <c r="E389" s="62"/>
      <c r="F389" s="62"/>
      <c r="G389" s="62"/>
      <c r="I389" s="64" t="str">
        <f aca="false">IF($B389="","",IF(ISNUMBER(MATCH($B389,日別データ!$B$9:$B$28,0)),"✔ OK","⚠ 未登録"))</f>
        <v/>
      </c>
    </row>
    <row r="390" customFormat="false" ht="15" hidden="false" customHeight="false" outlineLevel="0" collapsed="false">
      <c r="A390" s="61"/>
      <c r="B390" s="62"/>
      <c r="C390" s="63"/>
      <c r="D390" s="63"/>
      <c r="E390" s="62"/>
      <c r="F390" s="62"/>
      <c r="G390" s="62"/>
      <c r="I390" s="64" t="str">
        <f aca="false">IF($B390="","",IF(ISNUMBER(MATCH($B390,日別データ!$B$9:$B$28,0)),"✔ OK","⚠ 未登録"))</f>
        <v/>
      </c>
    </row>
    <row r="391" customFormat="false" ht="15" hidden="false" customHeight="false" outlineLevel="0" collapsed="false">
      <c r="A391" s="61"/>
      <c r="B391" s="62"/>
      <c r="C391" s="63"/>
      <c r="D391" s="63"/>
      <c r="E391" s="62"/>
      <c r="F391" s="62"/>
      <c r="G391" s="62"/>
      <c r="I391" s="64" t="str">
        <f aca="false">IF($B391="","",IF(ISNUMBER(MATCH($B391,日別データ!$B$9:$B$28,0)),"✔ OK","⚠ 未登録"))</f>
        <v/>
      </c>
    </row>
    <row r="392" customFormat="false" ht="15" hidden="false" customHeight="false" outlineLevel="0" collapsed="false">
      <c r="A392" s="61"/>
      <c r="B392" s="62"/>
      <c r="C392" s="63"/>
      <c r="D392" s="63"/>
      <c r="E392" s="62"/>
      <c r="F392" s="62"/>
      <c r="G392" s="62"/>
      <c r="I392" s="64" t="str">
        <f aca="false">IF($B392="","",IF(ISNUMBER(MATCH($B392,日別データ!$B$9:$B$28,0)),"✔ OK","⚠ 未登録"))</f>
        <v/>
      </c>
    </row>
    <row r="393" customFormat="false" ht="15" hidden="false" customHeight="false" outlineLevel="0" collapsed="false">
      <c r="A393" s="61"/>
      <c r="B393" s="62"/>
      <c r="C393" s="63"/>
      <c r="D393" s="63"/>
      <c r="E393" s="62"/>
      <c r="F393" s="62"/>
      <c r="G393" s="62"/>
      <c r="I393" s="64" t="str">
        <f aca="false">IF($B393="","",IF(ISNUMBER(MATCH($B393,日別データ!$B$9:$B$28,0)),"✔ OK","⚠ 未登録"))</f>
        <v/>
      </c>
    </row>
    <row r="394" customFormat="false" ht="15" hidden="false" customHeight="false" outlineLevel="0" collapsed="false">
      <c r="A394" s="61"/>
      <c r="B394" s="62"/>
      <c r="C394" s="63"/>
      <c r="D394" s="63"/>
      <c r="E394" s="62"/>
      <c r="F394" s="62"/>
      <c r="G394" s="62"/>
      <c r="I394" s="64" t="str">
        <f aca="false">IF($B394="","",IF(ISNUMBER(MATCH($B394,日別データ!$B$9:$B$28,0)),"✔ OK","⚠ 未登録"))</f>
        <v/>
      </c>
    </row>
    <row r="395" customFormat="false" ht="15" hidden="false" customHeight="false" outlineLevel="0" collapsed="false">
      <c r="A395" s="61"/>
      <c r="B395" s="62"/>
      <c r="C395" s="63"/>
      <c r="D395" s="63"/>
      <c r="E395" s="62"/>
      <c r="F395" s="62"/>
      <c r="G395" s="62"/>
      <c r="I395" s="64" t="str">
        <f aca="false">IF($B395="","",IF(ISNUMBER(MATCH($B395,日別データ!$B$9:$B$28,0)),"✔ OK","⚠ 未登録"))</f>
        <v/>
      </c>
    </row>
    <row r="396" customFormat="false" ht="15" hidden="false" customHeight="false" outlineLevel="0" collapsed="false">
      <c r="A396" s="61"/>
      <c r="B396" s="62"/>
      <c r="C396" s="63"/>
      <c r="D396" s="63"/>
      <c r="E396" s="62"/>
      <c r="F396" s="62"/>
      <c r="G396" s="62"/>
      <c r="I396" s="64" t="str">
        <f aca="false">IF($B396="","",IF(ISNUMBER(MATCH($B396,日別データ!$B$9:$B$28,0)),"✔ OK","⚠ 未登録"))</f>
        <v/>
      </c>
    </row>
    <row r="397" customFormat="false" ht="15" hidden="false" customHeight="false" outlineLevel="0" collapsed="false">
      <c r="A397" s="61"/>
      <c r="B397" s="62"/>
      <c r="C397" s="63"/>
      <c r="D397" s="63"/>
      <c r="E397" s="62"/>
      <c r="F397" s="62"/>
      <c r="G397" s="62"/>
      <c r="I397" s="64" t="str">
        <f aca="false">IF($B397="","",IF(ISNUMBER(MATCH($B397,日別データ!$B$9:$B$28,0)),"✔ OK","⚠ 未登録"))</f>
        <v/>
      </c>
    </row>
    <row r="398" customFormat="false" ht="15" hidden="false" customHeight="false" outlineLevel="0" collapsed="false">
      <c r="A398" s="61"/>
      <c r="B398" s="62"/>
      <c r="C398" s="63"/>
      <c r="D398" s="63"/>
      <c r="E398" s="62"/>
      <c r="F398" s="62"/>
      <c r="G398" s="62"/>
      <c r="I398" s="64" t="str">
        <f aca="false">IF($B398="","",IF(ISNUMBER(MATCH($B398,日別データ!$B$9:$B$28,0)),"✔ OK","⚠ 未登録"))</f>
        <v/>
      </c>
    </row>
    <row r="399" customFormat="false" ht="15" hidden="false" customHeight="false" outlineLevel="0" collapsed="false">
      <c r="A399" s="61"/>
      <c r="B399" s="62"/>
      <c r="C399" s="63"/>
      <c r="D399" s="63"/>
      <c r="E399" s="62"/>
      <c r="F399" s="62"/>
      <c r="G399" s="62"/>
      <c r="I399" s="64" t="str">
        <f aca="false">IF($B399="","",IF(ISNUMBER(MATCH($B399,日別データ!$B$9:$B$28,0)),"✔ OK","⚠ 未登録"))</f>
        <v/>
      </c>
    </row>
    <row r="400" customFormat="false" ht="15" hidden="false" customHeight="false" outlineLevel="0" collapsed="false">
      <c r="A400" s="61"/>
      <c r="B400" s="62"/>
      <c r="C400" s="63"/>
      <c r="D400" s="63"/>
      <c r="E400" s="62"/>
      <c r="F400" s="62"/>
      <c r="G400" s="62"/>
      <c r="I400" s="64" t="str">
        <f aca="false">IF($B400="","",IF(ISNUMBER(MATCH($B400,日別データ!$B$9:$B$28,0)),"✔ OK","⚠ 未登録"))</f>
        <v/>
      </c>
    </row>
    <row r="401" customFormat="false" ht="15" hidden="false" customHeight="false" outlineLevel="0" collapsed="false">
      <c r="A401" s="61"/>
      <c r="B401" s="62"/>
      <c r="C401" s="63"/>
      <c r="D401" s="63"/>
      <c r="E401" s="62"/>
      <c r="F401" s="62"/>
      <c r="G401" s="62"/>
      <c r="I401" s="64" t="str">
        <f aca="false">IF($B401="","",IF(ISNUMBER(MATCH($B401,日別データ!$B$9:$B$28,0)),"✔ OK","⚠ 未登録"))</f>
        <v/>
      </c>
    </row>
    <row r="402" customFormat="false" ht="15" hidden="false" customHeight="false" outlineLevel="0" collapsed="false">
      <c r="A402" s="61"/>
      <c r="B402" s="62"/>
      <c r="C402" s="63"/>
      <c r="D402" s="63"/>
      <c r="E402" s="62"/>
      <c r="F402" s="62"/>
      <c r="G402" s="62"/>
      <c r="I402" s="64" t="str">
        <f aca="false">IF($B402="","",IF(ISNUMBER(MATCH($B402,日別データ!$B$9:$B$28,0)),"✔ OK","⚠ 未登録"))</f>
        <v/>
      </c>
    </row>
    <row r="403" customFormat="false" ht="15" hidden="false" customHeight="false" outlineLevel="0" collapsed="false">
      <c r="A403" s="61"/>
      <c r="B403" s="62"/>
      <c r="C403" s="63"/>
      <c r="D403" s="63"/>
      <c r="E403" s="62"/>
      <c r="F403" s="62"/>
      <c r="G403" s="62"/>
      <c r="I403" s="64" t="str">
        <f aca="false">IF($B403="","",IF(ISNUMBER(MATCH($B403,日別データ!$B$9:$B$28,0)),"✔ OK","⚠ 未登録"))</f>
        <v/>
      </c>
    </row>
    <row r="404" customFormat="false" ht="15" hidden="false" customHeight="false" outlineLevel="0" collapsed="false">
      <c r="A404" s="61"/>
      <c r="B404" s="62"/>
      <c r="C404" s="63"/>
      <c r="D404" s="63"/>
      <c r="E404" s="62"/>
      <c r="F404" s="62"/>
      <c r="G404" s="62"/>
      <c r="I404" s="64" t="str">
        <f aca="false">IF($B404="","",IF(ISNUMBER(MATCH($B404,日別データ!$B$9:$B$28,0)),"✔ OK","⚠ 未登録"))</f>
        <v/>
      </c>
    </row>
    <row r="405" customFormat="false" ht="15" hidden="false" customHeight="false" outlineLevel="0" collapsed="false">
      <c r="A405" s="61"/>
      <c r="B405" s="62"/>
      <c r="C405" s="63"/>
      <c r="D405" s="63"/>
      <c r="E405" s="62"/>
      <c r="F405" s="62"/>
      <c r="G405" s="62"/>
      <c r="I405" s="64" t="str">
        <f aca="false">IF($B405="","",IF(ISNUMBER(MATCH($B405,日別データ!$B$9:$B$28,0)),"✔ OK","⚠ 未登録"))</f>
        <v/>
      </c>
    </row>
    <row r="406" customFormat="false" ht="15" hidden="false" customHeight="false" outlineLevel="0" collapsed="false">
      <c r="A406" s="61"/>
      <c r="B406" s="62"/>
      <c r="C406" s="63"/>
      <c r="D406" s="63"/>
      <c r="E406" s="62"/>
      <c r="F406" s="62"/>
      <c r="G406" s="62"/>
      <c r="I406" s="64" t="str">
        <f aca="false">IF($B406="","",IF(ISNUMBER(MATCH($B406,日別データ!$B$9:$B$28,0)),"✔ OK","⚠ 未登録"))</f>
        <v/>
      </c>
    </row>
    <row r="407" customFormat="false" ht="15" hidden="false" customHeight="false" outlineLevel="0" collapsed="false">
      <c r="A407" s="61"/>
      <c r="B407" s="62"/>
      <c r="C407" s="63"/>
      <c r="D407" s="63"/>
      <c r="E407" s="62"/>
      <c r="F407" s="62"/>
      <c r="G407" s="62"/>
      <c r="I407" s="64" t="str">
        <f aca="false">IF($B407="","",IF(ISNUMBER(MATCH($B407,日別データ!$B$9:$B$28,0)),"✔ OK","⚠ 未登録"))</f>
        <v/>
      </c>
    </row>
    <row r="408" customFormat="false" ht="15" hidden="false" customHeight="false" outlineLevel="0" collapsed="false">
      <c r="A408" s="61"/>
      <c r="B408" s="62"/>
      <c r="C408" s="63"/>
      <c r="D408" s="63"/>
      <c r="E408" s="62"/>
      <c r="F408" s="62"/>
      <c r="G408" s="62"/>
      <c r="I408" s="64" t="str">
        <f aca="false">IF($B408="","",IF(ISNUMBER(MATCH($B408,日別データ!$B$9:$B$28,0)),"✔ OK","⚠ 未登録"))</f>
        <v/>
      </c>
    </row>
    <row r="409" customFormat="false" ht="15" hidden="false" customHeight="false" outlineLevel="0" collapsed="false">
      <c r="A409" s="61"/>
      <c r="B409" s="62"/>
      <c r="C409" s="63"/>
      <c r="D409" s="63"/>
      <c r="E409" s="62"/>
      <c r="F409" s="62"/>
      <c r="G409" s="62"/>
      <c r="I409" s="64" t="str">
        <f aca="false">IF($B409="","",IF(ISNUMBER(MATCH($B409,日別データ!$B$9:$B$28,0)),"✔ OK","⚠ 未登録"))</f>
        <v/>
      </c>
    </row>
    <row r="410" customFormat="false" ht="15" hidden="false" customHeight="false" outlineLevel="0" collapsed="false">
      <c r="A410" s="61"/>
      <c r="B410" s="62"/>
      <c r="C410" s="63"/>
      <c r="D410" s="63"/>
      <c r="E410" s="62"/>
      <c r="F410" s="62"/>
      <c r="G410" s="62"/>
      <c r="I410" s="64" t="str">
        <f aca="false">IF($B410="","",IF(ISNUMBER(MATCH($B410,日別データ!$B$9:$B$28,0)),"✔ OK","⚠ 未登録"))</f>
        <v/>
      </c>
    </row>
    <row r="411" customFormat="false" ht="15" hidden="false" customHeight="false" outlineLevel="0" collapsed="false">
      <c r="A411" s="61"/>
      <c r="B411" s="62"/>
      <c r="C411" s="63"/>
      <c r="D411" s="63"/>
      <c r="E411" s="62"/>
      <c r="F411" s="62"/>
      <c r="G411" s="62"/>
      <c r="I411" s="64" t="str">
        <f aca="false">IF($B411="","",IF(ISNUMBER(MATCH($B411,日別データ!$B$9:$B$28,0)),"✔ OK","⚠ 未登録"))</f>
        <v/>
      </c>
    </row>
    <row r="412" customFormat="false" ht="15" hidden="false" customHeight="false" outlineLevel="0" collapsed="false">
      <c r="A412" s="61"/>
      <c r="B412" s="62"/>
      <c r="C412" s="63"/>
      <c r="D412" s="63"/>
      <c r="E412" s="62"/>
      <c r="F412" s="62"/>
      <c r="G412" s="62"/>
      <c r="I412" s="64" t="str">
        <f aca="false">IF($B412="","",IF(ISNUMBER(MATCH($B412,日別データ!$B$9:$B$28,0)),"✔ OK","⚠ 未登録"))</f>
        <v/>
      </c>
    </row>
    <row r="413" customFormat="false" ht="15" hidden="false" customHeight="false" outlineLevel="0" collapsed="false">
      <c r="A413" s="61"/>
      <c r="B413" s="62"/>
      <c r="C413" s="63"/>
      <c r="D413" s="63"/>
      <c r="E413" s="62"/>
      <c r="F413" s="62"/>
      <c r="G413" s="62"/>
      <c r="I413" s="64" t="str">
        <f aca="false">IF($B413="","",IF(ISNUMBER(MATCH($B413,日別データ!$B$9:$B$28,0)),"✔ OK","⚠ 未登録"))</f>
        <v/>
      </c>
    </row>
    <row r="414" customFormat="false" ht="15" hidden="false" customHeight="false" outlineLevel="0" collapsed="false">
      <c r="A414" s="61"/>
      <c r="B414" s="62"/>
      <c r="C414" s="63"/>
      <c r="D414" s="63"/>
      <c r="E414" s="62"/>
      <c r="F414" s="62"/>
      <c r="G414" s="62"/>
      <c r="I414" s="64" t="str">
        <f aca="false">IF($B414="","",IF(ISNUMBER(MATCH($B414,日別データ!$B$9:$B$28,0)),"✔ OK","⚠ 未登録"))</f>
        <v/>
      </c>
    </row>
    <row r="415" customFormat="false" ht="15" hidden="false" customHeight="false" outlineLevel="0" collapsed="false">
      <c r="A415" s="61"/>
      <c r="B415" s="62"/>
      <c r="C415" s="63"/>
      <c r="D415" s="63"/>
      <c r="E415" s="62"/>
      <c r="F415" s="62"/>
      <c r="G415" s="62"/>
      <c r="I415" s="64" t="str">
        <f aca="false">IF($B415="","",IF(ISNUMBER(MATCH($B415,日別データ!$B$9:$B$28,0)),"✔ OK","⚠ 未登録"))</f>
        <v/>
      </c>
    </row>
    <row r="416" customFormat="false" ht="15" hidden="false" customHeight="false" outlineLevel="0" collapsed="false">
      <c r="A416" s="61"/>
      <c r="B416" s="62"/>
      <c r="C416" s="63"/>
      <c r="D416" s="63"/>
      <c r="E416" s="62"/>
      <c r="F416" s="62"/>
      <c r="G416" s="62"/>
      <c r="I416" s="64" t="str">
        <f aca="false">IF($B416="","",IF(ISNUMBER(MATCH($B416,日別データ!$B$9:$B$28,0)),"✔ OK","⚠ 未登録"))</f>
        <v/>
      </c>
    </row>
    <row r="417" customFormat="false" ht="15" hidden="false" customHeight="false" outlineLevel="0" collapsed="false">
      <c r="A417" s="61"/>
      <c r="B417" s="62"/>
      <c r="C417" s="63"/>
      <c r="D417" s="63"/>
      <c r="E417" s="62"/>
      <c r="F417" s="62"/>
      <c r="G417" s="62"/>
      <c r="I417" s="64" t="str">
        <f aca="false">IF($B417="","",IF(ISNUMBER(MATCH($B417,日別データ!$B$9:$B$28,0)),"✔ OK","⚠ 未登録"))</f>
        <v/>
      </c>
    </row>
    <row r="418" customFormat="false" ht="15" hidden="false" customHeight="false" outlineLevel="0" collapsed="false">
      <c r="A418" s="61"/>
      <c r="B418" s="62"/>
      <c r="C418" s="63"/>
      <c r="D418" s="63"/>
      <c r="E418" s="62"/>
      <c r="F418" s="62"/>
      <c r="G418" s="62"/>
      <c r="I418" s="64" t="str">
        <f aca="false">IF($B418="","",IF(ISNUMBER(MATCH($B418,日別データ!$B$9:$B$28,0)),"✔ OK","⚠ 未登録"))</f>
        <v/>
      </c>
    </row>
    <row r="419" customFormat="false" ht="15" hidden="false" customHeight="false" outlineLevel="0" collapsed="false">
      <c r="A419" s="61"/>
      <c r="B419" s="62"/>
      <c r="C419" s="63"/>
      <c r="D419" s="63"/>
      <c r="E419" s="62"/>
      <c r="F419" s="62"/>
      <c r="G419" s="62"/>
      <c r="I419" s="64" t="str">
        <f aca="false">IF($B419="","",IF(ISNUMBER(MATCH($B419,日別データ!$B$9:$B$28,0)),"✔ OK","⚠ 未登録"))</f>
        <v/>
      </c>
    </row>
    <row r="420" customFormat="false" ht="15" hidden="false" customHeight="false" outlineLevel="0" collapsed="false">
      <c r="A420" s="61"/>
      <c r="B420" s="62"/>
      <c r="C420" s="63"/>
      <c r="D420" s="63"/>
      <c r="E420" s="62"/>
      <c r="F420" s="62"/>
      <c r="G420" s="62"/>
      <c r="I420" s="64" t="str">
        <f aca="false">IF($B420="","",IF(ISNUMBER(MATCH($B420,日別データ!$B$9:$B$28,0)),"✔ OK","⚠ 未登録"))</f>
        <v/>
      </c>
    </row>
    <row r="421" customFormat="false" ht="15" hidden="false" customHeight="false" outlineLevel="0" collapsed="false">
      <c r="A421" s="61"/>
      <c r="B421" s="62"/>
      <c r="C421" s="63"/>
      <c r="D421" s="63"/>
      <c r="E421" s="62"/>
      <c r="F421" s="62"/>
      <c r="G421" s="62"/>
      <c r="I421" s="64" t="str">
        <f aca="false">IF($B421="","",IF(ISNUMBER(MATCH($B421,日別データ!$B$9:$B$28,0)),"✔ OK","⚠ 未登録"))</f>
        <v/>
      </c>
    </row>
    <row r="422" customFormat="false" ht="15" hidden="false" customHeight="false" outlineLevel="0" collapsed="false">
      <c r="A422" s="61"/>
      <c r="B422" s="62"/>
      <c r="C422" s="63"/>
      <c r="D422" s="63"/>
      <c r="E422" s="62"/>
      <c r="F422" s="62"/>
      <c r="G422" s="62"/>
      <c r="I422" s="64" t="str">
        <f aca="false">IF($B422="","",IF(ISNUMBER(MATCH($B422,日別データ!$B$9:$B$28,0)),"✔ OK","⚠ 未登録"))</f>
        <v/>
      </c>
    </row>
    <row r="423" customFormat="false" ht="15" hidden="false" customHeight="false" outlineLevel="0" collapsed="false">
      <c r="A423" s="61"/>
      <c r="B423" s="62"/>
      <c r="C423" s="63"/>
      <c r="D423" s="63"/>
      <c r="E423" s="62"/>
      <c r="F423" s="62"/>
      <c r="G423" s="62"/>
      <c r="I423" s="64" t="str">
        <f aca="false">IF($B423="","",IF(ISNUMBER(MATCH($B423,日別データ!$B$9:$B$28,0)),"✔ OK","⚠ 未登録"))</f>
        <v/>
      </c>
    </row>
    <row r="424" customFormat="false" ht="15" hidden="false" customHeight="false" outlineLevel="0" collapsed="false">
      <c r="A424" s="61"/>
      <c r="B424" s="62"/>
      <c r="C424" s="63"/>
      <c r="D424" s="63"/>
      <c r="E424" s="62"/>
      <c r="F424" s="62"/>
      <c r="G424" s="62"/>
      <c r="I424" s="64" t="str">
        <f aca="false">IF($B424="","",IF(ISNUMBER(MATCH($B424,日別データ!$B$9:$B$28,0)),"✔ OK","⚠ 未登録"))</f>
        <v/>
      </c>
    </row>
    <row r="425" customFormat="false" ht="15" hidden="false" customHeight="false" outlineLevel="0" collapsed="false">
      <c r="A425" s="61"/>
      <c r="B425" s="62"/>
      <c r="C425" s="63"/>
      <c r="D425" s="63"/>
      <c r="E425" s="62"/>
      <c r="F425" s="62"/>
      <c r="G425" s="62"/>
      <c r="I425" s="64" t="str">
        <f aca="false">IF($B425="","",IF(ISNUMBER(MATCH($B425,日別データ!$B$9:$B$28,0)),"✔ OK","⚠ 未登録"))</f>
        <v/>
      </c>
    </row>
    <row r="426" customFormat="false" ht="15" hidden="false" customHeight="false" outlineLevel="0" collapsed="false">
      <c r="A426" s="61"/>
      <c r="B426" s="62"/>
      <c r="C426" s="63"/>
      <c r="D426" s="63"/>
      <c r="E426" s="62"/>
      <c r="F426" s="62"/>
      <c r="G426" s="62"/>
      <c r="I426" s="64" t="str">
        <f aca="false">IF($B426="","",IF(ISNUMBER(MATCH($B426,日別データ!$B$9:$B$28,0)),"✔ OK","⚠ 未登録"))</f>
        <v/>
      </c>
    </row>
    <row r="427" customFormat="false" ht="15" hidden="false" customHeight="false" outlineLevel="0" collapsed="false">
      <c r="A427" s="61"/>
      <c r="B427" s="62"/>
      <c r="C427" s="63"/>
      <c r="D427" s="63"/>
      <c r="E427" s="62"/>
      <c r="F427" s="62"/>
      <c r="G427" s="62"/>
      <c r="I427" s="64" t="str">
        <f aca="false">IF($B427="","",IF(ISNUMBER(MATCH($B427,日別データ!$B$9:$B$28,0)),"✔ OK","⚠ 未登録"))</f>
        <v/>
      </c>
    </row>
    <row r="428" customFormat="false" ht="15" hidden="false" customHeight="false" outlineLevel="0" collapsed="false">
      <c r="A428" s="61"/>
      <c r="B428" s="62"/>
      <c r="C428" s="63"/>
      <c r="D428" s="63"/>
      <c r="E428" s="62"/>
      <c r="F428" s="62"/>
      <c r="G428" s="62"/>
      <c r="I428" s="64" t="str">
        <f aca="false">IF($B428="","",IF(ISNUMBER(MATCH($B428,日別データ!$B$9:$B$28,0)),"✔ OK","⚠ 未登録"))</f>
        <v/>
      </c>
    </row>
    <row r="429" customFormat="false" ht="15" hidden="false" customHeight="false" outlineLevel="0" collapsed="false">
      <c r="A429" s="61"/>
      <c r="B429" s="62"/>
      <c r="C429" s="63"/>
      <c r="D429" s="63"/>
      <c r="E429" s="62"/>
      <c r="F429" s="62"/>
      <c r="G429" s="62"/>
      <c r="I429" s="64" t="str">
        <f aca="false">IF($B429="","",IF(ISNUMBER(MATCH($B429,日別データ!$B$9:$B$28,0)),"✔ OK","⚠ 未登録"))</f>
        <v/>
      </c>
    </row>
    <row r="430" customFormat="false" ht="15" hidden="false" customHeight="false" outlineLevel="0" collapsed="false">
      <c r="A430" s="61"/>
      <c r="B430" s="62"/>
      <c r="C430" s="63"/>
      <c r="D430" s="63"/>
      <c r="E430" s="62"/>
      <c r="F430" s="62"/>
      <c r="G430" s="62"/>
      <c r="I430" s="64" t="str">
        <f aca="false">IF($B430="","",IF(ISNUMBER(MATCH($B430,日別データ!$B$9:$B$28,0)),"✔ OK","⚠ 未登録"))</f>
        <v/>
      </c>
    </row>
    <row r="431" customFormat="false" ht="15" hidden="false" customHeight="false" outlineLevel="0" collapsed="false">
      <c r="A431" s="61"/>
      <c r="B431" s="62"/>
      <c r="C431" s="63"/>
      <c r="D431" s="63"/>
      <c r="E431" s="62"/>
      <c r="F431" s="62"/>
      <c r="G431" s="62"/>
      <c r="I431" s="64" t="str">
        <f aca="false">IF($B431="","",IF(ISNUMBER(MATCH($B431,日別データ!$B$9:$B$28,0)),"✔ OK","⚠ 未登録"))</f>
        <v/>
      </c>
    </row>
    <row r="432" customFormat="false" ht="15" hidden="false" customHeight="false" outlineLevel="0" collapsed="false">
      <c r="A432" s="61"/>
      <c r="B432" s="62"/>
      <c r="C432" s="63"/>
      <c r="D432" s="63"/>
      <c r="E432" s="62"/>
      <c r="F432" s="62"/>
      <c r="G432" s="62"/>
      <c r="I432" s="64" t="str">
        <f aca="false">IF($B432="","",IF(ISNUMBER(MATCH($B432,日別データ!$B$9:$B$28,0)),"✔ OK","⚠ 未登録"))</f>
        <v/>
      </c>
    </row>
    <row r="433" customFormat="false" ht="15" hidden="false" customHeight="false" outlineLevel="0" collapsed="false">
      <c r="A433" s="61"/>
      <c r="B433" s="62"/>
      <c r="C433" s="63"/>
      <c r="D433" s="63"/>
      <c r="E433" s="62"/>
      <c r="F433" s="62"/>
      <c r="G433" s="62"/>
      <c r="I433" s="64" t="str">
        <f aca="false">IF($B433="","",IF(ISNUMBER(MATCH($B433,日別データ!$B$9:$B$28,0)),"✔ OK","⚠ 未登録"))</f>
        <v/>
      </c>
    </row>
    <row r="434" customFormat="false" ht="15" hidden="false" customHeight="false" outlineLevel="0" collapsed="false">
      <c r="A434" s="61"/>
      <c r="B434" s="62"/>
      <c r="C434" s="63"/>
      <c r="D434" s="63"/>
      <c r="E434" s="62"/>
      <c r="F434" s="62"/>
      <c r="G434" s="62"/>
      <c r="I434" s="64" t="str">
        <f aca="false">IF($B434="","",IF(ISNUMBER(MATCH($B434,日別データ!$B$9:$B$28,0)),"✔ OK","⚠ 未登録"))</f>
        <v/>
      </c>
    </row>
    <row r="435" customFormat="false" ht="15" hidden="false" customHeight="false" outlineLevel="0" collapsed="false">
      <c r="A435" s="61"/>
      <c r="B435" s="62"/>
      <c r="C435" s="63"/>
      <c r="D435" s="63"/>
      <c r="E435" s="62"/>
      <c r="F435" s="62"/>
      <c r="G435" s="62"/>
      <c r="I435" s="64" t="str">
        <f aca="false">IF($B435="","",IF(ISNUMBER(MATCH($B435,日別データ!$B$9:$B$28,0)),"✔ OK","⚠ 未登録"))</f>
        <v/>
      </c>
    </row>
    <row r="436" customFormat="false" ht="15" hidden="false" customHeight="false" outlineLevel="0" collapsed="false">
      <c r="A436" s="61"/>
      <c r="B436" s="62"/>
      <c r="C436" s="63"/>
      <c r="D436" s="63"/>
      <c r="E436" s="62"/>
      <c r="F436" s="62"/>
      <c r="G436" s="62"/>
      <c r="I436" s="64" t="str">
        <f aca="false">IF($B436="","",IF(ISNUMBER(MATCH($B436,日別データ!$B$9:$B$28,0)),"✔ OK","⚠ 未登録"))</f>
        <v/>
      </c>
    </row>
    <row r="437" customFormat="false" ht="15" hidden="false" customHeight="false" outlineLevel="0" collapsed="false">
      <c r="A437" s="61"/>
      <c r="B437" s="62"/>
      <c r="C437" s="63"/>
      <c r="D437" s="63"/>
      <c r="E437" s="62"/>
      <c r="F437" s="62"/>
      <c r="G437" s="62"/>
      <c r="I437" s="64" t="str">
        <f aca="false">IF($B437="","",IF(ISNUMBER(MATCH($B437,日別データ!$B$9:$B$28,0)),"✔ OK","⚠ 未登録"))</f>
        <v/>
      </c>
    </row>
    <row r="438" customFormat="false" ht="15" hidden="false" customHeight="false" outlineLevel="0" collapsed="false">
      <c r="A438" s="61"/>
      <c r="B438" s="62"/>
      <c r="C438" s="63"/>
      <c r="D438" s="63"/>
      <c r="E438" s="62"/>
      <c r="F438" s="62"/>
      <c r="G438" s="62"/>
      <c r="I438" s="64" t="str">
        <f aca="false">IF($B438="","",IF(ISNUMBER(MATCH($B438,日別データ!$B$9:$B$28,0)),"✔ OK","⚠ 未登録"))</f>
        <v/>
      </c>
    </row>
    <row r="439" customFormat="false" ht="15" hidden="false" customHeight="false" outlineLevel="0" collapsed="false">
      <c r="A439" s="61"/>
      <c r="B439" s="62"/>
      <c r="C439" s="63"/>
      <c r="D439" s="63"/>
      <c r="E439" s="62"/>
      <c r="F439" s="62"/>
      <c r="G439" s="62"/>
      <c r="I439" s="64" t="str">
        <f aca="false">IF($B439="","",IF(ISNUMBER(MATCH($B439,日別データ!$B$9:$B$28,0)),"✔ OK","⚠ 未登録"))</f>
        <v/>
      </c>
    </row>
    <row r="440" customFormat="false" ht="15" hidden="false" customHeight="false" outlineLevel="0" collapsed="false">
      <c r="A440" s="61"/>
      <c r="B440" s="62"/>
      <c r="C440" s="63"/>
      <c r="D440" s="63"/>
      <c r="E440" s="62"/>
      <c r="F440" s="62"/>
      <c r="G440" s="62"/>
      <c r="I440" s="64" t="str">
        <f aca="false">IF($B440="","",IF(ISNUMBER(MATCH($B440,日別データ!$B$9:$B$28,0)),"✔ OK","⚠ 未登録"))</f>
        <v/>
      </c>
    </row>
    <row r="441" customFormat="false" ht="15" hidden="false" customHeight="false" outlineLevel="0" collapsed="false">
      <c r="A441" s="61"/>
      <c r="B441" s="62"/>
      <c r="C441" s="63"/>
      <c r="D441" s="63"/>
      <c r="E441" s="62"/>
      <c r="F441" s="62"/>
      <c r="G441" s="62"/>
      <c r="I441" s="64" t="str">
        <f aca="false">IF($B441="","",IF(ISNUMBER(MATCH($B441,日別データ!$B$9:$B$28,0)),"✔ OK","⚠ 未登録"))</f>
        <v/>
      </c>
    </row>
    <row r="442" customFormat="false" ht="15" hidden="false" customHeight="false" outlineLevel="0" collapsed="false">
      <c r="A442" s="61"/>
      <c r="B442" s="62"/>
      <c r="C442" s="63"/>
      <c r="D442" s="63"/>
      <c r="E442" s="62"/>
      <c r="F442" s="62"/>
      <c r="G442" s="62"/>
      <c r="I442" s="64" t="str">
        <f aca="false">IF($B442="","",IF(ISNUMBER(MATCH($B442,日別データ!$B$9:$B$28,0)),"✔ OK","⚠ 未登録"))</f>
        <v/>
      </c>
    </row>
    <row r="443" customFormat="false" ht="15" hidden="false" customHeight="false" outlineLevel="0" collapsed="false">
      <c r="A443" s="61"/>
      <c r="B443" s="62"/>
      <c r="C443" s="63"/>
      <c r="D443" s="63"/>
      <c r="E443" s="62"/>
      <c r="F443" s="62"/>
      <c r="G443" s="62"/>
      <c r="I443" s="64" t="str">
        <f aca="false">IF($B443="","",IF(ISNUMBER(MATCH($B443,日別データ!$B$9:$B$28,0)),"✔ OK","⚠ 未登録"))</f>
        <v/>
      </c>
    </row>
    <row r="444" customFormat="false" ht="15" hidden="false" customHeight="false" outlineLevel="0" collapsed="false">
      <c r="A444" s="61"/>
      <c r="B444" s="62"/>
      <c r="C444" s="63"/>
      <c r="D444" s="63"/>
      <c r="E444" s="62"/>
      <c r="F444" s="62"/>
      <c r="G444" s="62"/>
      <c r="I444" s="64" t="str">
        <f aca="false">IF($B444="","",IF(ISNUMBER(MATCH($B444,日別データ!$B$9:$B$28,0)),"✔ OK","⚠ 未登録"))</f>
        <v/>
      </c>
    </row>
    <row r="445" customFormat="false" ht="15" hidden="false" customHeight="false" outlineLevel="0" collapsed="false">
      <c r="A445" s="61"/>
      <c r="B445" s="62"/>
      <c r="C445" s="63"/>
      <c r="D445" s="63"/>
      <c r="E445" s="62"/>
      <c r="F445" s="62"/>
      <c r="G445" s="62"/>
      <c r="I445" s="64" t="str">
        <f aca="false">IF($B445="","",IF(ISNUMBER(MATCH($B445,日別データ!$B$9:$B$28,0)),"✔ OK","⚠ 未登録"))</f>
        <v/>
      </c>
    </row>
    <row r="446" customFormat="false" ht="15" hidden="false" customHeight="false" outlineLevel="0" collapsed="false">
      <c r="A446" s="61"/>
      <c r="B446" s="62"/>
      <c r="C446" s="63"/>
      <c r="D446" s="63"/>
      <c r="E446" s="62"/>
      <c r="F446" s="62"/>
      <c r="G446" s="62"/>
      <c r="I446" s="64" t="str">
        <f aca="false">IF($B446="","",IF(ISNUMBER(MATCH($B446,日別データ!$B$9:$B$28,0)),"✔ OK","⚠ 未登録"))</f>
        <v/>
      </c>
    </row>
    <row r="447" customFormat="false" ht="15" hidden="false" customHeight="false" outlineLevel="0" collapsed="false">
      <c r="A447" s="61"/>
      <c r="B447" s="62"/>
      <c r="C447" s="63"/>
      <c r="D447" s="63"/>
      <c r="E447" s="62"/>
      <c r="F447" s="62"/>
      <c r="G447" s="62"/>
      <c r="I447" s="64" t="str">
        <f aca="false">IF($B447="","",IF(ISNUMBER(MATCH($B447,日別データ!$B$9:$B$28,0)),"✔ OK","⚠ 未登録"))</f>
        <v/>
      </c>
    </row>
    <row r="448" customFormat="false" ht="15" hidden="false" customHeight="false" outlineLevel="0" collapsed="false">
      <c r="A448" s="61"/>
      <c r="B448" s="62"/>
      <c r="C448" s="63"/>
      <c r="D448" s="63"/>
      <c r="E448" s="62"/>
      <c r="F448" s="62"/>
      <c r="G448" s="62"/>
      <c r="I448" s="64" t="str">
        <f aca="false">IF($B448="","",IF(ISNUMBER(MATCH($B448,日別データ!$B$9:$B$28,0)),"✔ OK","⚠ 未登録"))</f>
        <v/>
      </c>
    </row>
    <row r="449" customFormat="false" ht="15" hidden="false" customHeight="false" outlineLevel="0" collapsed="false">
      <c r="A449" s="61"/>
      <c r="B449" s="62"/>
      <c r="C449" s="63"/>
      <c r="D449" s="63"/>
      <c r="E449" s="62"/>
      <c r="F449" s="62"/>
      <c r="G449" s="62"/>
      <c r="I449" s="64" t="str">
        <f aca="false">IF($B449="","",IF(ISNUMBER(MATCH($B449,日別データ!$B$9:$B$28,0)),"✔ OK","⚠ 未登録"))</f>
        <v/>
      </c>
    </row>
    <row r="450" customFormat="false" ht="15" hidden="false" customHeight="false" outlineLevel="0" collapsed="false">
      <c r="A450" s="61"/>
      <c r="B450" s="62"/>
      <c r="C450" s="63"/>
      <c r="D450" s="63"/>
      <c r="E450" s="62"/>
      <c r="F450" s="62"/>
      <c r="G450" s="62"/>
      <c r="I450" s="64" t="str">
        <f aca="false">IF($B450="","",IF(ISNUMBER(MATCH($B450,日別データ!$B$9:$B$28,0)),"✔ OK","⚠ 未登録"))</f>
        <v/>
      </c>
    </row>
    <row r="451" customFormat="false" ht="15" hidden="false" customHeight="false" outlineLevel="0" collapsed="false">
      <c r="A451" s="61"/>
      <c r="B451" s="62"/>
      <c r="C451" s="63"/>
      <c r="D451" s="63"/>
      <c r="E451" s="62"/>
      <c r="F451" s="62"/>
      <c r="G451" s="62"/>
      <c r="I451" s="64" t="str">
        <f aca="false">IF($B451="","",IF(ISNUMBER(MATCH($B451,日別データ!$B$9:$B$28,0)),"✔ OK","⚠ 未登録"))</f>
        <v/>
      </c>
    </row>
    <row r="452" customFormat="false" ht="15" hidden="false" customHeight="false" outlineLevel="0" collapsed="false">
      <c r="A452" s="61"/>
      <c r="B452" s="62"/>
      <c r="C452" s="63"/>
      <c r="D452" s="63"/>
      <c r="E452" s="62"/>
      <c r="F452" s="62"/>
      <c r="G452" s="62"/>
      <c r="I452" s="64" t="str">
        <f aca="false">IF($B452="","",IF(ISNUMBER(MATCH($B452,日別データ!$B$9:$B$28,0)),"✔ OK","⚠ 未登録"))</f>
        <v/>
      </c>
    </row>
    <row r="453" customFormat="false" ht="15" hidden="false" customHeight="false" outlineLevel="0" collapsed="false">
      <c r="A453" s="61"/>
      <c r="B453" s="62"/>
      <c r="C453" s="63"/>
      <c r="D453" s="63"/>
      <c r="E453" s="62"/>
      <c r="F453" s="62"/>
      <c r="G453" s="62"/>
      <c r="I453" s="64" t="str">
        <f aca="false">IF($B453="","",IF(ISNUMBER(MATCH($B453,日別データ!$B$9:$B$28,0)),"✔ OK","⚠ 未登録"))</f>
        <v/>
      </c>
    </row>
    <row r="454" customFormat="false" ht="15" hidden="false" customHeight="false" outlineLevel="0" collapsed="false">
      <c r="A454" s="61"/>
      <c r="B454" s="62"/>
      <c r="C454" s="63"/>
      <c r="D454" s="63"/>
      <c r="E454" s="62"/>
      <c r="F454" s="62"/>
      <c r="G454" s="62"/>
      <c r="I454" s="64" t="str">
        <f aca="false">IF($B454="","",IF(ISNUMBER(MATCH($B454,日別データ!$B$9:$B$28,0)),"✔ OK","⚠ 未登録"))</f>
        <v/>
      </c>
    </row>
    <row r="455" customFormat="false" ht="15" hidden="false" customHeight="false" outlineLevel="0" collapsed="false">
      <c r="A455" s="61"/>
      <c r="B455" s="62"/>
      <c r="C455" s="63"/>
      <c r="D455" s="63"/>
      <c r="E455" s="62"/>
      <c r="F455" s="62"/>
      <c r="G455" s="62"/>
      <c r="I455" s="64" t="str">
        <f aca="false">IF($B455="","",IF(ISNUMBER(MATCH($B455,日別データ!$B$9:$B$28,0)),"✔ OK","⚠ 未登録"))</f>
        <v/>
      </c>
    </row>
    <row r="456" customFormat="false" ht="15" hidden="false" customHeight="false" outlineLevel="0" collapsed="false">
      <c r="A456" s="61"/>
      <c r="B456" s="62"/>
      <c r="C456" s="63"/>
      <c r="D456" s="63"/>
      <c r="E456" s="62"/>
      <c r="F456" s="62"/>
      <c r="G456" s="62"/>
      <c r="I456" s="64" t="str">
        <f aca="false">IF($B456="","",IF(ISNUMBER(MATCH($B456,日別データ!$B$9:$B$28,0)),"✔ OK","⚠ 未登録"))</f>
        <v/>
      </c>
    </row>
    <row r="457" customFormat="false" ht="15" hidden="false" customHeight="false" outlineLevel="0" collapsed="false">
      <c r="A457" s="61"/>
      <c r="B457" s="62"/>
      <c r="C457" s="63"/>
      <c r="D457" s="63"/>
      <c r="E457" s="62"/>
      <c r="F457" s="62"/>
      <c r="G457" s="62"/>
      <c r="I457" s="64" t="str">
        <f aca="false">IF($B457="","",IF(ISNUMBER(MATCH($B457,日別データ!$B$9:$B$28,0)),"✔ OK","⚠ 未登録"))</f>
        <v/>
      </c>
    </row>
    <row r="458" customFormat="false" ht="15" hidden="false" customHeight="false" outlineLevel="0" collapsed="false">
      <c r="A458" s="61"/>
      <c r="B458" s="62"/>
      <c r="C458" s="63"/>
      <c r="D458" s="63"/>
      <c r="E458" s="62"/>
      <c r="F458" s="62"/>
      <c r="G458" s="62"/>
      <c r="I458" s="64" t="str">
        <f aca="false">IF($B458="","",IF(ISNUMBER(MATCH($B458,日別データ!$B$9:$B$28,0)),"✔ OK","⚠ 未登録"))</f>
        <v/>
      </c>
    </row>
    <row r="459" customFormat="false" ht="15" hidden="false" customHeight="false" outlineLevel="0" collapsed="false">
      <c r="A459" s="61"/>
      <c r="B459" s="62"/>
      <c r="C459" s="63"/>
      <c r="D459" s="63"/>
      <c r="E459" s="62"/>
      <c r="F459" s="62"/>
      <c r="G459" s="62"/>
      <c r="I459" s="64" t="str">
        <f aca="false">IF($B459="","",IF(ISNUMBER(MATCH($B459,日別データ!$B$9:$B$28,0)),"✔ OK","⚠ 未登録"))</f>
        <v/>
      </c>
    </row>
    <row r="460" customFormat="false" ht="15" hidden="false" customHeight="false" outlineLevel="0" collapsed="false">
      <c r="A460" s="61"/>
      <c r="B460" s="62"/>
      <c r="C460" s="63"/>
      <c r="D460" s="63"/>
      <c r="E460" s="62"/>
      <c r="F460" s="62"/>
      <c r="G460" s="62"/>
      <c r="I460" s="64" t="str">
        <f aca="false">IF($B460="","",IF(ISNUMBER(MATCH($B460,日別データ!$B$9:$B$28,0)),"✔ OK","⚠ 未登録"))</f>
        <v/>
      </c>
    </row>
    <row r="461" customFormat="false" ht="15" hidden="false" customHeight="false" outlineLevel="0" collapsed="false">
      <c r="A461" s="61"/>
      <c r="B461" s="62"/>
      <c r="C461" s="63"/>
      <c r="D461" s="63"/>
      <c r="E461" s="62"/>
      <c r="F461" s="62"/>
      <c r="G461" s="62"/>
      <c r="I461" s="64" t="str">
        <f aca="false">IF($B461="","",IF(ISNUMBER(MATCH($B461,日別データ!$B$9:$B$28,0)),"✔ OK","⚠ 未登録"))</f>
        <v/>
      </c>
    </row>
    <row r="462" customFormat="false" ht="15" hidden="false" customHeight="false" outlineLevel="0" collapsed="false">
      <c r="A462" s="61"/>
      <c r="B462" s="62"/>
      <c r="C462" s="63"/>
      <c r="D462" s="63"/>
      <c r="E462" s="62"/>
      <c r="F462" s="62"/>
      <c r="G462" s="62"/>
      <c r="I462" s="64" t="str">
        <f aca="false">IF($B462="","",IF(ISNUMBER(MATCH($B462,日別データ!$B$9:$B$28,0)),"✔ OK","⚠ 未登録"))</f>
        <v/>
      </c>
    </row>
    <row r="463" customFormat="false" ht="15" hidden="false" customHeight="false" outlineLevel="0" collapsed="false">
      <c r="A463" s="61"/>
      <c r="B463" s="62"/>
      <c r="C463" s="63"/>
      <c r="D463" s="63"/>
      <c r="E463" s="62"/>
      <c r="F463" s="62"/>
      <c r="G463" s="62"/>
      <c r="I463" s="64" t="str">
        <f aca="false">IF($B463="","",IF(ISNUMBER(MATCH($B463,日別データ!$B$9:$B$28,0)),"✔ OK","⚠ 未登録"))</f>
        <v/>
      </c>
    </row>
    <row r="464" customFormat="false" ht="15" hidden="false" customHeight="false" outlineLevel="0" collapsed="false">
      <c r="A464" s="61"/>
      <c r="B464" s="62"/>
      <c r="C464" s="63"/>
      <c r="D464" s="63"/>
      <c r="E464" s="62"/>
      <c r="F464" s="62"/>
      <c r="G464" s="62"/>
      <c r="I464" s="64" t="str">
        <f aca="false">IF($B464="","",IF(ISNUMBER(MATCH($B464,日別データ!$B$9:$B$28,0)),"✔ OK","⚠ 未登録"))</f>
        <v/>
      </c>
    </row>
    <row r="465" customFormat="false" ht="15" hidden="false" customHeight="false" outlineLevel="0" collapsed="false">
      <c r="A465" s="61"/>
      <c r="B465" s="62"/>
      <c r="C465" s="63"/>
      <c r="D465" s="63"/>
      <c r="E465" s="62"/>
      <c r="F465" s="62"/>
      <c r="G465" s="62"/>
      <c r="I465" s="64" t="str">
        <f aca="false">IF($B465="","",IF(ISNUMBER(MATCH($B465,日別データ!$B$9:$B$28,0)),"✔ OK","⚠ 未登録"))</f>
        <v/>
      </c>
    </row>
    <row r="466" customFormat="false" ht="15" hidden="false" customHeight="false" outlineLevel="0" collapsed="false">
      <c r="A466" s="61"/>
      <c r="B466" s="62"/>
      <c r="C466" s="63"/>
      <c r="D466" s="63"/>
      <c r="E466" s="62"/>
      <c r="F466" s="62"/>
      <c r="G466" s="62"/>
      <c r="I466" s="64" t="str">
        <f aca="false">IF($B466="","",IF(ISNUMBER(MATCH($B466,日別データ!$B$9:$B$28,0)),"✔ OK","⚠ 未登録"))</f>
        <v/>
      </c>
    </row>
    <row r="467" customFormat="false" ht="15" hidden="false" customHeight="false" outlineLevel="0" collapsed="false">
      <c r="A467" s="61"/>
      <c r="B467" s="62"/>
      <c r="C467" s="63"/>
      <c r="D467" s="63"/>
      <c r="E467" s="62"/>
      <c r="F467" s="62"/>
      <c r="G467" s="62"/>
      <c r="I467" s="64" t="str">
        <f aca="false">IF($B467="","",IF(ISNUMBER(MATCH($B467,日別データ!$B$9:$B$28,0)),"✔ OK","⚠ 未登録"))</f>
        <v/>
      </c>
    </row>
    <row r="468" customFormat="false" ht="15" hidden="false" customHeight="false" outlineLevel="0" collapsed="false">
      <c r="A468" s="61"/>
      <c r="B468" s="62"/>
      <c r="C468" s="63"/>
      <c r="D468" s="63"/>
      <c r="E468" s="62"/>
      <c r="F468" s="62"/>
      <c r="G468" s="62"/>
      <c r="I468" s="64" t="str">
        <f aca="false">IF($B468="","",IF(ISNUMBER(MATCH($B468,日別データ!$B$9:$B$28,0)),"✔ OK","⚠ 未登録"))</f>
        <v/>
      </c>
    </row>
    <row r="469" customFormat="false" ht="15" hidden="false" customHeight="false" outlineLevel="0" collapsed="false">
      <c r="A469" s="61"/>
      <c r="B469" s="62"/>
      <c r="C469" s="63"/>
      <c r="D469" s="63"/>
      <c r="E469" s="62"/>
      <c r="F469" s="62"/>
      <c r="G469" s="62"/>
      <c r="I469" s="64" t="str">
        <f aca="false">IF($B469="","",IF(ISNUMBER(MATCH($B469,日別データ!$B$9:$B$28,0)),"✔ OK","⚠ 未登録"))</f>
        <v/>
      </c>
    </row>
    <row r="470" customFormat="false" ht="15" hidden="false" customHeight="false" outlineLevel="0" collapsed="false">
      <c r="A470" s="61"/>
      <c r="B470" s="62"/>
      <c r="C470" s="63"/>
      <c r="D470" s="63"/>
      <c r="E470" s="62"/>
      <c r="F470" s="62"/>
      <c r="G470" s="62"/>
      <c r="I470" s="64" t="str">
        <f aca="false">IF($B470="","",IF(ISNUMBER(MATCH($B470,日別データ!$B$9:$B$28,0)),"✔ OK","⚠ 未登録"))</f>
        <v/>
      </c>
    </row>
    <row r="471" customFormat="false" ht="15" hidden="false" customHeight="false" outlineLevel="0" collapsed="false">
      <c r="A471" s="61"/>
      <c r="B471" s="62"/>
      <c r="C471" s="63"/>
      <c r="D471" s="63"/>
      <c r="E471" s="62"/>
      <c r="F471" s="62"/>
      <c r="G471" s="62"/>
      <c r="I471" s="64" t="str">
        <f aca="false">IF($B471="","",IF(ISNUMBER(MATCH($B471,日別データ!$B$9:$B$28,0)),"✔ OK","⚠ 未登録"))</f>
        <v/>
      </c>
    </row>
    <row r="472" customFormat="false" ht="15" hidden="false" customHeight="false" outlineLevel="0" collapsed="false">
      <c r="A472" s="61"/>
      <c r="B472" s="62"/>
      <c r="C472" s="63"/>
      <c r="D472" s="63"/>
      <c r="E472" s="62"/>
      <c r="F472" s="62"/>
      <c r="G472" s="62"/>
      <c r="I472" s="64" t="str">
        <f aca="false">IF($B472="","",IF(ISNUMBER(MATCH($B472,日別データ!$B$9:$B$28,0)),"✔ OK","⚠ 未登録"))</f>
        <v/>
      </c>
    </row>
    <row r="473" customFormat="false" ht="15" hidden="false" customHeight="false" outlineLevel="0" collapsed="false">
      <c r="A473" s="61"/>
      <c r="B473" s="62"/>
      <c r="C473" s="63"/>
      <c r="D473" s="63"/>
      <c r="E473" s="62"/>
      <c r="F473" s="62"/>
      <c r="G473" s="62"/>
      <c r="I473" s="64" t="str">
        <f aca="false">IF($B473="","",IF(ISNUMBER(MATCH($B473,日別データ!$B$9:$B$28,0)),"✔ OK","⚠ 未登録"))</f>
        <v/>
      </c>
    </row>
    <row r="474" customFormat="false" ht="15" hidden="false" customHeight="false" outlineLevel="0" collapsed="false">
      <c r="A474" s="61"/>
      <c r="B474" s="62"/>
      <c r="C474" s="63"/>
      <c r="D474" s="63"/>
      <c r="E474" s="62"/>
      <c r="F474" s="62"/>
      <c r="G474" s="62"/>
      <c r="I474" s="64" t="str">
        <f aca="false">IF($B474="","",IF(ISNUMBER(MATCH($B474,日別データ!$B$9:$B$28,0)),"✔ OK","⚠ 未登録"))</f>
        <v/>
      </c>
    </row>
    <row r="475" customFormat="false" ht="15" hidden="false" customHeight="false" outlineLevel="0" collapsed="false">
      <c r="A475" s="61"/>
      <c r="B475" s="62"/>
      <c r="C475" s="63"/>
      <c r="D475" s="63"/>
      <c r="E475" s="62"/>
      <c r="F475" s="62"/>
      <c r="G475" s="62"/>
      <c r="I475" s="64" t="str">
        <f aca="false">IF($B475="","",IF(ISNUMBER(MATCH($B475,日別データ!$B$9:$B$28,0)),"✔ OK","⚠ 未登録"))</f>
        <v/>
      </c>
    </row>
    <row r="476" customFormat="false" ht="15" hidden="false" customHeight="false" outlineLevel="0" collapsed="false">
      <c r="A476" s="61"/>
      <c r="B476" s="62"/>
      <c r="C476" s="63"/>
      <c r="D476" s="63"/>
      <c r="E476" s="62"/>
      <c r="F476" s="62"/>
      <c r="G476" s="62"/>
      <c r="I476" s="64" t="str">
        <f aca="false">IF($B476="","",IF(ISNUMBER(MATCH($B476,日別データ!$B$9:$B$28,0)),"✔ OK","⚠ 未登録"))</f>
        <v/>
      </c>
    </row>
    <row r="477" customFormat="false" ht="15" hidden="false" customHeight="false" outlineLevel="0" collapsed="false">
      <c r="A477" s="61"/>
      <c r="B477" s="62"/>
      <c r="C477" s="63"/>
      <c r="D477" s="63"/>
      <c r="E477" s="62"/>
      <c r="F477" s="62"/>
      <c r="G477" s="62"/>
      <c r="I477" s="64" t="str">
        <f aca="false">IF($B477="","",IF(ISNUMBER(MATCH($B477,日別データ!$B$9:$B$28,0)),"✔ OK","⚠ 未登録"))</f>
        <v/>
      </c>
    </row>
    <row r="478" customFormat="false" ht="15" hidden="false" customHeight="false" outlineLevel="0" collapsed="false">
      <c r="A478" s="61"/>
      <c r="B478" s="62"/>
      <c r="C478" s="63"/>
      <c r="D478" s="63"/>
      <c r="E478" s="62"/>
      <c r="F478" s="62"/>
      <c r="G478" s="62"/>
      <c r="I478" s="64" t="str">
        <f aca="false">IF($B478="","",IF(ISNUMBER(MATCH($B478,日別データ!$B$9:$B$28,0)),"✔ OK","⚠ 未登録"))</f>
        <v/>
      </c>
    </row>
    <row r="479" customFormat="false" ht="15" hidden="false" customHeight="false" outlineLevel="0" collapsed="false">
      <c r="A479" s="61"/>
      <c r="B479" s="62"/>
      <c r="C479" s="63"/>
      <c r="D479" s="63"/>
      <c r="E479" s="62"/>
      <c r="F479" s="62"/>
      <c r="G479" s="62"/>
      <c r="I479" s="64" t="str">
        <f aca="false">IF($B479="","",IF(ISNUMBER(MATCH($B479,日別データ!$B$9:$B$28,0)),"✔ OK","⚠ 未登録"))</f>
        <v/>
      </c>
    </row>
    <row r="480" customFormat="false" ht="15" hidden="false" customHeight="false" outlineLevel="0" collapsed="false">
      <c r="A480" s="61"/>
      <c r="B480" s="62"/>
      <c r="C480" s="63"/>
      <c r="D480" s="63"/>
      <c r="E480" s="62"/>
      <c r="F480" s="62"/>
      <c r="G480" s="62"/>
      <c r="I480" s="64" t="str">
        <f aca="false">IF($B480="","",IF(ISNUMBER(MATCH($B480,日別データ!$B$9:$B$28,0)),"✔ OK","⚠ 未登録"))</f>
        <v/>
      </c>
    </row>
    <row r="481" customFormat="false" ht="15" hidden="false" customHeight="false" outlineLevel="0" collapsed="false">
      <c r="A481" s="61"/>
      <c r="B481" s="62"/>
      <c r="C481" s="63"/>
      <c r="D481" s="63"/>
      <c r="E481" s="62"/>
      <c r="F481" s="62"/>
      <c r="G481" s="62"/>
      <c r="I481" s="64" t="str">
        <f aca="false">IF($B481="","",IF(ISNUMBER(MATCH($B481,日別データ!$B$9:$B$28,0)),"✔ OK","⚠ 未登録"))</f>
        <v/>
      </c>
    </row>
    <row r="482" customFormat="false" ht="15" hidden="false" customHeight="false" outlineLevel="0" collapsed="false">
      <c r="A482" s="61"/>
      <c r="B482" s="62"/>
      <c r="C482" s="63"/>
      <c r="D482" s="63"/>
      <c r="E482" s="62"/>
      <c r="F482" s="62"/>
      <c r="G482" s="62"/>
      <c r="I482" s="64" t="str">
        <f aca="false">IF($B482="","",IF(ISNUMBER(MATCH($B482,日別データ!$B$9:$B$28,0)),"✔ OK","⚠ 未登録"))</f>
        <v/>
      </c>
    </row>
    <row r="483" customFormat="false" ht="15" hidden="false" customHeight="false" outlineLevel="0" collapsed="false">
      <c r="A483" s="61"/>
      <c r="B483" s="62"/>
      <c r="C483" s="63"/>
      <c r="D483" s="63"/>
      <c r="E483" s="62"/>
      <c r="F483" s="62"/>
      <c r="G483" s="62"/>
      <c r="I483" s="64" t="str">
        <f aca="false">IF($B483="","",IF(ISNUMBER(MATCH($B483,日別データ!$B$9:$B$28,0)),"✔ OK","⚠ 未登録"))</f>
        <v/>
      </c>
    </row>
    <row r="484" customFormat="false" ht="15" hidden="false" customHeight="false" outlineLevel="0" collapsed="false">
      <c r="A484" s="61"/>
      <c r="B484" s="62"/>
      <c r="C484" s="63"/>
      <c r="D484" s="63"/>
      <c r="E484" s="62"/>
      <c r="F484" s="62"/>
      <c r="G484" s="62"/>
      <c r="I484" s="64" t="str">
        <f aca="false">IF($B484="","",IF(ISNUMBER(MATCH($B484,日別データ!$B$9:$B$28,0)),"✔ OK","⚠ 未登録"))</f>
        <v/>
      </c>
    </row>
    <row r="485" customFormat="false" ht="15" hidden="false" customHeight="false" outlineLevel="0" collapsed="false">
      <c r="A485" s="61"/>
      <c r="B485" s="62"/>
      <c r="C485" s="63"/>
      <c r="D485" s="63"/>
      <c r="E485" s="62"/>
      <c r="F485" s="62"/>
      <c r="G485" s="62"/>
      <c r="I485" s="64" t="str">
        <f aca="false">IF($B485="","",IF(ISNUMBER(MATCH($B485,日別データ!$B$9:$B$28,0)),"✔ OK","⚠ 未登録"))</f>
        <v/>
      </c>
    </row>
    <row r="486" customFormat="false" ht="15" hidden="false" customHeight="false" outlineLevel="0" collapsed="false">
      <c r="A486" s="61"/>
      <c r="B486" s="62"/>
      <c r="C486" s="63"/>
      <c r="D486" s="63"/>
      <c r="E486" s="62"/>
      <c r="F486" s="62"/>
      <c r="G486" s="62"/>
      <c r="I486" s="64" t="str">
        <f aca="false">IF($B486="","",IF(ISNUMBER(MATCH($B486,日別データ!$B$9:$B$28,0)),"✔ OK","⚠ 未登録"))</f>
        <v/>
      </c>
    </row>
    <row r="487" customFormat="false" ht="15" hidden="false" customHeight="false" outlineLevel="0" collapsed="false">
      <c r="A487" s="61"/>
      <c r="B487" s="62"/>
      <c r="C487" s="63"/>
      <c r="D487" s="63"/>
      <c r="E487" s="62"/>
      <c r="F487" s="62"/>
      <c r="G487" s="62"/>
      <c r="I487" s="64" t="str">
        <f aca="false">IF($B487="","",IF(ISNUMBER(MATCH($B487,日別データ!$B$9:$B$28,0)),"✔ OK","⚠ 未登録"))</f>
        <v/>
      </c>
    </row>
    <row r="488" customFormat="false" ht="15" hidden="false" customHeight="false" outlineLevel="0" collapsed="false">
      <c r="A488" s="61"/>
      <c r="B488" s="62"/>
      <c r="C488" s="63"/>
      <c r="D488" s="63"/>
      <c r="E488" s="62"/>
      <c r="F488" s="62"/>
      <c r="G488" s="62"/>
      <c r="I488" s="64" t="str">
        <f aca="false">IF($B488="","",IF(ISNUMBER(MATCH($B488,日別データ!$B$9:$B$28,0)),"✔ OK","⚠ 未登録"))</f>
        <v/>
      </c>
    </row>
    <row r="489" customFormat="false" ht="15" hidden="false" customHeight="false" outlineLevel="0" collapsed="false">
      <c r="A489" s="61"/>
      <c r="B489" s="62"/>
      <c r="C489" s="63"/>
      <c r="D489" s="63"/>
      <c r="E489" s="62"/>
      <c r="F489" s="62"/>
      <c r="G489" s="62"/>
      <c r="I489" s="64" t="str">
        <f aca="false">IF($B489="","",IF(ISNUMBER(MATCH($B489,日別データ!$B$9:$B$28,0)),"✔ OK","⚠ 未登録"))</f>
        <v/>
      </c>
    </row>
    <row r="490" customFormat="false" ht="15" hidden="false" customHeight="false" outlineLevel="0" collapsed="false">
      <c r="A490" s="61"/>
      <c r="B490" s="62"/>
      <c r="C490" s="63"/>
      <c r="D490" s="63"/>
      <c r="E490" s="62"/>
      <c r="F490" s="62"/>
      <c r="G490" s="62"/>
      <c r="I490" s="64" t="str">
        <f aca="false">IF($B490="","",IF(ISNUMBER(MATCH($B490,日別データ!$B$9:$B$28,0)),"✔ OK","⚠ 未登録"))</f>
        <v/>
      </c>
    </row>
    <row r="491" customFormat="false" ht="15" hidden="false" customHeight="false" outlineLevel="0" collapsed="false">
      <c r="A491" s="61"/>
      <c r="B491" s="62"/>
      <c r="C491" s="63"/>
      <c r="D491" s="63"/>
      <c r="E491" s="62"/>
      <c r="F491" s="62"/>
      <c r="G491" s="62"/>
      <c r="I491" s="64" t="str">
        <f aca="false">IF($B491="","",IF(ISNUMBER(MATCH($B491,日別データ!$B$9:$B$28,0)),"✔ OK","⚠ 未登録"))</f>
        <v/>
      </c>
    </row>
    <row r="492" customFormat="false" ht="15" hidden="false" customHeight="false" outlineLevel="0" collapsed="false">
      <c r="A492" s="61"/>
      <c r="B492" s="62"/>
      <c r="C492" s="63"/>
      <c r="D492" s="63"/>
      <c r="E492" s="62"/>
      <c r="F492" s="62"/>
      <c r="G492" s="62"/>
      <c r="I492" s="64" t="str">
        <f aca="false">IF($B492="","",IF(ISNUMBER(MATCH($B492,日別データ!$B$9:$B$28,0)),"✔ OK","⚠ 未登録"))</f>
        <v/>
      </c>
    </row>
    <row r="493" customFormat="false" ht="15" hidden="false" customHeight="false" outlineLevel="0" collapsed="false">
      <c r="A493" s="61"/>
      <c r="B493" s="62"/>
      <c r="C493" s="63"/>
      <c r="D493" s="63"/>
      <c r="E493" s="62"/>
      <c r="F493" s="62"/>
      <c r="G493" s="62"/>
      <c r="I493" s="64" t="str">
        <f aca="false">IF($B493="","",IF(ISNUMBER(MATCH($B493,日別データ!$B$9:$B$28,0)),"✔ OK","⚠ 未登録"))</f>
        <v/>
      </c>
    </row>
    <row r="494" customFormat="false" ht="15" hidden="false" customHeight="false" outlineLevel="0" collapsed="false">
      <c r="A494" s="61"/>
      <c r="B494" s="62"/>
      <c r="C494" s="63"/>
      <c r="D494" s="63"/>
      <c r="E494" s="62"/>
      <c r="F494" s="62"/>
      <c r="G494" s="62"/>
      <c r="I494" s="64" t="str">
        <f aca="false">IF($B494="","",IF(ISNUMBER(MATCH($B494,日別データ!$B$9:$B$28,0)),"✔ OK","⚠ 未登録"))</f>
        <v/>
      </c>
    </row>
    <row r="495" customFormat="false" ht="15" hidden="false" customHeight="false" outlineLevel="0" collapsed="false">
      <c r="A495" s="61"/>
      <c r="B495" s="62"/>
      <c r="C495" s="63"/>
      <c r="D495" s="63"/>
      <c r="E495" s="62"/>
      <c r="F495" s="62"/>
      <c r="G495" s="62"/>
      <c r="I495" s="64" t="str">
        <f aca="false">IF($B495="","",IF(ISNUMBER(MATCH($B495,日別データ!$B$9:$B$28,0)),"✔ OK","⚠ 未登録"))</f>
        <v/>
      </c>
    </row>
    <row r="496" customFormat="false" ht="15" hidden="false" customHeight="false" outlineLevel="0" collapsed="false">
      <c r="A496" s="61"/>
      <c r="B496" s="62"/>
      <c r="C496" s="63"/>
      <c r="D496" s="63"/>
      <c r="E496" s="62"/>
      <c r="F496" s="62"/>
      <c r="G496" s="62"/>
      <c r="I496" s="64" t="str">
        <f aca="false">IF($B496="","",IF(ISNUMBER(MATCH($B496,日別データ!$B$9:$B$28,0)),"✔ OK","⚠ 未登録"))</f>
        <v/>
      </c>
    </row>
    <row r="497" customFormat="false" ht="15" hidden="false" customHeight="false" outlineLevel="0" collapsed="false">
      <c r="A497" s="61"/>
      <c r="B497" s="62"/>
      <c r="C497" s="63"/>
      <c r="D497" s="63"/>
      <c r="E497" s="62"/>
      <c r="F497" s="62"/>
      <c r="G497" s="62"/>
      <c r="I497" s="64" t="str">
        <f aca="false">IF($B497="","",IF(ISNUMBER(MATCH($B497,日別データ!$B$9:$B$28,0)),"✔ OK","⚠ 未登録"))</f>
        <v/>
      </c>
    </row>
    <row r="498" customFormat="false" ht="15" hidden="false" customHeight="false" outlineLevel="0" collapsed="false">
      <c r="A498" s="61"/>
      <c r="B498" s="62"/>
      <c r="C498" s="63"/>
      <c r="D498" s="63"/>
      <c r="E498" s="62"/>
      <c r="F498" s="62"/>
      <c r="G498" s="62"/>
      <c r="I498" s="64" t="str">
        <f aca="false">IF($B498="","",IF(ISNUMBER(MATCH($B498,日別データ!$B$9:$B$28,0)),"✔ OK","⚠ 未登録"))</f>
        <v/>
      </c>
    </row>
    <row r="499" customFormat="false" ht="15" hidden="false" customHeight="false" outlineLevel="0" collapsed="false">
      <c r="A499" s="61"/>
      <c r="B499" s="62"/>
      <c r="C499" s="63"/>
      <c r="D499" s="63"/>
      <c r="E499" s="62"/>
      <c r="F499" s="62"/>
      <c r="G499" s="62"/>
      <c r="I499" s="64" t="str">
        <f aca="false">IF($B499="","",IF(ISNUMBER(MATCH($B499,日別データ!$B$9:$B$28,0)),"✔ OK","⚠ 未登録"))</f>
        <v/>
      </c>
    </row>
    <row r="500" customFormat="false" ht="15" hidden="false" customHeight="false" outlineLevel="0" collapsed="false">
      <c r="A500" s="61"/>
      <c r="B500" s="62"/>
      <c r="C500" s="63"/>
      <c r="D500" s="63"/>
      <c r="E500" s="62"/>
      <c r="F500" s="62"/>
      <c r="G500" s="62"/>
      <c r="I500" s="64" t="str">
        <f aca="false">IF($B500="","",IF(ISNUMBER(MATCH($B500,日別データ!$B$9:$B$28,0)),"✔ OK","⚠ 未登録"))</f>
        <v/>
      </c>
    </row>
    <row r="501" customFormat="false" ht="15" hidden="false" customHeight="false" outlineLevel="0" collapsed="false">
      <c r="A501" s="61"/>
      <c r="B501" s="62"/>
      <c r="C501" s="63"/>
      <c r="D501" s="63"/>
      <c r="E501" s="62"/>
      <c r="F501" s="62"/>
      <c r="G501" s="62"/>
      <c r="I501" s="64" t="str">
        <f aca="false">IF($B501="","",IF(ISNUMBER(MATCH($B501,日別データ!$B$9:$B$28,0)),"✔ OK","⚠ 未登録"))</f>
        <v/>
      </c>
    </row>
    <row r="502" customFormat="false" ht="15" hidden="false" customHeight="false" outlineLevel="0" collapsed="false">
      <c r="A502" s="61"/>
      <c r="B502" s="62"/>
      <c r="C502" s="63"/>
      <c r="D502" s="63"/>
      <c r="E502" s="62"/>
      <c r="F502" s="62"/>
      <c r="G502" s="62"/>
      <c r="I502" s="64" t="str">
        <f aca="false">IF($B502="","",IF(ISNUMBER(MATCH($B502,日別データ!$B$9:$B$28,0)),"✔ OK","⚠ 未登録"))</f>
        <v/>
      </c>
    </row>
    <row r="503" customFormat="false" ht="15" hidden="false" customHeight="false" outlineLevel="0" collapsed="false">
      <c r="A503" s="61"/>
      <c r="B503" s="62"/>
      <c r="C503" s="63"/>
      <c r="D503" s="63"/>
      <c r="E503" s="62"/>
      <c r="F503" s="62"/>
      <c r="G503" s="62"/>
      <c r="I503" s="64" t="str">
        <f aca="false">IF($B503="","",IF(ISNUMBER(MATCH($B503,日別データ!$B$9:$B$28,0)),"✔ OK","⚠ 未登録"))</f>
        <v/>
      </c>
    </row>
    <row r="504" customFormat="false" ht="15" hidden="false" customHeight="false" outlineLevel="0" collapsed="false">
      <c r="A504" s="61"/>
      <c r="B504" s="62"/>
      <c r="C504" s="63"/>
      <c r="D504" s="63"/>
      <c r="E504" s="62"/>
      <c r="F504" s="62"/>
      <c r="G504" s="62"/>
      <c r="I504" s="64" t="str">
        <f aca="false">IF($B504="","",IF(ISNUMBER(MATCH($B504,日別データ!$B$9:$B$28,0)),"✔ OK","⚠ 未登録"))</f>
        <v/>
      </c>
    </row>
    <row r="505" customFormat="false" ht="15" hidden="false" customHeight="false" outlineLevel="0" collapsed="false">
      <c r="A505" s="61"/>
      <c r="B505" s="62"/>
      <c r="C505" s="63"/>
      <c r="D505" s="63"/>
      <c r="E505" s="62"/>
      <c r="F505" s="62"/>
      <c r="G505" s="62"/>
      <c r="I505" s="64" t="str">
        <f aca="false">IF($B505="","",IF(ISNUMBER(MATCH($B505,日別データ!$B$9:$B$28,0)),"✔ OK","⚠ 未登録"))</f>
        <v/>
      </c>
    </row>
    <row r="506" customFormat="false" ht="15" hidden="false" customHeight="false" outlineLevel="0" collapsed="false">
      <c r="A506" s="61"/>
      <c r="B506" s="62"/>
      <c r="C506" s="63"/>
      <c r="D506" s="63"/>
      <c r="E506" s="62"/>
      <c r="F506" s="62"/>
      <c r="G506" s="62"/>
      <c r="I506" s="64" t="str">
        <f aca="false">IF($B506="","",IF(ISNUMBER(MATCH($B506,日別データ!$B$9:$B$28,0)),"✔ OK","⚠ 未登録"))</f>
        <v/>
      </c>
    </row>
    <row r="507" customFormat="false" ht="15" hidden="false" customHeight="false" outlineLevel="0" collapsed="false">
      <c r="A507" s="61"/>
      <c r="B507" s="62"/>
      <c r="C507" s="63"/>
      <c r="D507" s="63"/>
      <c r="E507" s="62"/>
      <c r="F507" s="62"/>
      <c r="G507" s="62"/>
      <c r="I507" s="64" t="str">
        <f aca="false">IF($B507="","",IF(ISNUMBER(MATCH($B507,日別データ!$B$9:$B$28,0)),"✔ OK","⚠ 未登録"))</f>
        <v/>
      </c>
    </row>
    <row r="508" customFormat="false" ht="15" hidden="false" customHeight="false" outlineLevel="0" collapsed="false">
      <c r="A508" s="61"/>
      <c r="B508" s="62"/>
      <c r="C508" s="63"/>
      <c r="D508" s="63"/>
      <c r="E508" s="62"/>
      <c r="F508" s="62"/>
      <c r="G508" s="62"/>
      <c r="I508" s="64" t="str">
        <f aca="false">IF($B508="","",IF(ISNUMBER(MATCH($B508,日別データ!$B$9:$B$28,0)),"✔ OK","⚠ 未登録"))</f>
        <v/>
      </c>
    </row>
    <row r="509" customFormat="false" ht="15" hidden="false" customHeight="false" outlineLevel="0" collapsed="false">
      <c r="A509" s="61"/>
      <c r="B509" s="62"/>
      <c r="C509" s="63"/>
      <c r="D509" s="63"/>
      <c r="E509" s="62"/>
      <c r="F509" s="62"/>
      <c r="G509" s="62"/>
      <c r="I509" s="64" t="str">
        <f aca="false">IF($B509="","",IF(ISNUMBER(MATCH($B509,日別データ!$B$9:$B$28,0)),"✔ OK","⚠ 未登録"))</f>
        <v/>
      </c>
    </row>
    <row r="510" customFormat="false" ht="15" hidden="false" customHeight="false" outlineLevel="0" collapsed="false">
      <c r="A510" s="61"/>
      <c r="B510" s="62"/>
      <c r="C510" s="63"/>
      <c r="D510" s="63"/>
      <c r="E510" s="62"/>
      <c r="F510" s="62"/>
      <c r="G510" s="62"/>
      <c r="I510" s="64" t="str">
        <f aca="false">IF($B510="","",IF(ISNUMBER(MATCH($B510,日別データ!$B$9:$B$28,0)),"✔ OK","⚠ 未登録"))</f>
        <v/>
      </c>
    </row>
    <row r="511" customFormat="false" ht="15" hidden="false" customHeight="false" outlineLevel="0" collapsed="false">
      <c r="A511" s="61"/>
      <c r="B511" s="62"/>
      <c r="C511" s="63"/>
      <c r="D511" s="63"/>
      <c r="E511" s="62"/>
      <c r="F511" s="62"/>
      <c r="G511" s="62"/>
      <c r="I511" s="64" t="str">
        <f aca="false">IF($B511="","",IF(ISNUMBER(MATCH($B511,日別データ!$B$9:$B$28,0)),"✔ OK","⚠ 未登録"))</f>
        <v/>
      </c>
    </row>
    <row r="512" customFormat="false" ht="15" hidden="false" customHeight="false" outlineLevel="0" collapsed="false">
      <c r="A512" s="61"/>
      <c r="B512" s="62"/>
      <c r="C512" s="63"/>
      <c r="D512" s="63"/>
      <c r="E512" s="62"/>
      <c r="F512" s="62"/>
      <c r="G512" s="62"/>
      <c r="I512" s="64" t="str">
        <f aca="false">IF($B512="","",IF(ISNUMBER(MATCH($B512,日別データ!$B$9:$B$28,0)),"✔ OK","⚠ 未登録"))</f>
        <v/>
      </c>
    </row>
    <row r="513" customFormat="false" ht="15" hidden="false" customHeight="false" outlineLevel="0" collapsed="false">
      <c r="A513" s="61"/>
      <c r="B513" s="62"/>
      <c r="C513" s="63"/>
      <c r="D513" s="63"/>
      <c r="E513" s="62"/>
      <c r="F513" s="62"/>
      <c r="G513" s="62"/>
      <c r="I513" s="64" t="str">
        <f aca="false">IF($B513="","",IF(ISNUMBER(MATCH($B513,日別データ!$B$9:$B$28,0)),"✔ OK","⚠ 未登録"))</f>
        <v/>
      </c>
    </row>
    <row r="514" customFormat="false" ht="15" hidden="false" customHeight="false" outlineLevel="0" collapsed="false">
      <c r="A514" s="61"/>
      <c r="B514" s="62"/>
      <c r="C514" s="63"/>
      <c r="D514" s="63"/>
      <c r="E514" s="62"/>
      <c r="F514" s="62"/>
      <c r="G514" s="62"/>
      <c r="I514" s="64" t="str">
        <f aca="false">IF($B514="","",IF(ISNUMBER(MATCH($B514,日別データ!$B$9:$B$28,0)),"✔ OK","⚠ 未登録"))</f>
        <v/>
      </c>
    </row>
    <row r="515" customFormat="false" ht="15" hidden="false" customHeight="false" outlineLevel="0" collapsed="false">
      <c r="A515" s="61"/>
      <c r="B515" s="62"/>
      <c r="C515" s="63"/>
      <c r="D515" s="63"/>
      <c r="E515" s="62"/>
      <c r="F515" s="62"/>
      <c r="G515" s="62"/>
      <c r="I515" s="64" t="str">
        <f aca="false">IF($B515="","",IF(ISNUMBER(MATCH($B515,日別データ!$B$9:$B$28,0)),"✔ OK","⚠ 未登録"))</f>
        <v/>
      </c>
    </row>
    <row r="516" customFormat="false" ht="15" hidden="false" customHeight="false" outlineLevel="0" collapsed="false">
      <c r="A516" s="61"/>
      <c r="B516" s="62"/>
      <c r="C516" s="63"/>
      <c r="D516" s="63"/>
      <c r="E516" s="62"/>
      <c r="F516" s="62"/>
      <c r="G516" s="62"/>
      <c r="I516" s="64" t="str">
        <f aca="false">IF($B516="","",IF(ISNUMBER(MATCH($B516,日別データ!$B$9:$B$28,0)),"✔ OK","⚠ 未登録"))</f>
        <v/>
      </c>
    </row>
    <row r="517" customFormat="false" ht="15" hidden="false" customHeight="false" outlineLevel="0" collapsed="false">
      <c r="A517" s="61"/>
      <c r="B517" s="62"/>
      <c r="C517" s="63"/>
      <c r="D517" s="63"/>
      <c r="E517" s="62"/>
      <c r="F517" s="62"/>
      <c r="G517" s="62"/>
      <c r="I517" s="64" t="str">
        <f aca="false">IF($B517="","",IF(ISNUMBER(MATCH($B517,日別データ!$B$9:$B$28,0)),"✔ OK","⚠ 未登録"))</f>
        <v/>
      </c>
    </row>
    <row r="518" customFormat="false" ht="15" hidden="false" customHeight="false" outlineLevel="0" collapsed="false">
      <c r="A518" s="61"/>
      <c r="B518" s="62"/>
      <c r="C518" s="63"/>
      <c r="D518" s="63"/>
      <c r="E518" s="62"/>
      <c r="F518" s="62"/>
      <c r="G518" s="62"/>
      <c r="I518" s="64" t="str">
        <f aca="false">IF($B518="","",IF(ISNUMBER(MATCH($B518,日別データ!$B$9:$B$28,0)),"✔ OK","⚠ 未登録"))</f>
        <v/>
      </c>
    </row>
    <row r="519" customFormat="false" ht="15" hidden="false" customHeight="false" outlineLevel="0" collapsed="false">
      <c r="A519" s="61"/>
      <c r="B519" s="62"/>
      <c r="C519" s="63"/>
      <c r="D519" s="63"/>
      <c r="E519" s="62"/>
      <c r="F519" s="62"/>
      <c r="G519" s="62"/>
      <c r="I519" s="64" t="str">
        <f aca="false">IF($B519="","",IF(ISNUMBER(MATCH($B519,日別データ!$B$9:$B$28,0)),"✔ OK","⚠ 未登録"))</f>
        <v/>
      </c>
    </row>
    <row r="520" customFormat="false" ht="15" hidden="false" customHeight="false" outlineLevel="0" collapsed="false">
      <c r="A520" s="61"/>
      <c r="B520" s="62"/>
      <c r="C520" s="63"/>
      <c r="D520" s="63"/>
      <c r="E520" s="62"/>
      <c r="F520" s="62"/>
      <c r="G520" s="62"/>
      <c r="I520" s="64" t="str">
        <f aca="false">IF($B520="","",IF(ISNUMBER(MATCH($B520,日別データ!$B$9:$B$28,0)),"✔ OK","⚠ 未登録"))</f>
        <v/>
      </c>
    </row>
    <row r="521" customFormat="false" ht="15" hidden="false" customHeight="false" outlineLevel="0" collapsed="false">
      <c r="A521" s="61"/>
      <c r="B521" s="62"/>
      <c r="C521" s="63"/>
      <c r="D521" s="63"/>
      <c r="E521" s="62"/>
      <c r="F521" s="62"/>
      <c r="G521" s="62"/>
      <c r="I521" s="64" t="str">
        <f aca="false">IF($B521="","",IF(ISNUMBER(MATCH($B521,日別データ!$B$9:$B$28,0)),"✔ OK","⚠ 未登録"))</f>
        <v/>
      </c>
    </row>
    <row r="522" customFormat="false" ht="15" hidden="false" customHeight="false" outlineLevel="0" collapsed="false">
      <c r="A522" s="61"/>
      <c r="B522" s="62"/>
      <c r="C522" s="63"/>
      <c r="D522" s="63"/>
      <c r="E522" s="62"/>
      <c r="F522" s="62"/>
      <c r="G522" s="62"/>
      <c r="I522" s="64" t="str">
        <f aca="false">IF($B522="","",IF(ISNUMBER(MATCH($B522,日別データ!$B$9:$B$28,0)),"✔ OK","⚠ 未登録"))</f>
        <v/>
      </c>
    </row>
    <row r="523" customFormat="false" ht="15" hidden="false" customHeight="false" outlineLevel="0" collapsed="false">
      <c r="A523" s="61"/>
      <c r="B523" s="62"/>
      <c r="C523" s="63"/>
      <c r="D523" s="63"/>
      <c r="E523" s="62"/>
      <c r="F523" s="62"/>
      <c r="G523" s="62"/>
      <c r="I523" s="64" t="str">
        <f aca="false">IF($B523="","",IF(ISNUMBER(MATCH($B523,日別データ!$B$9:$B$28,0)),"✔ OK","⚠ 未登録"))</f>
        <v/>
      </c>
    </row>
    <row r="524" customFormat="false" ht="15" hidden="false" customHeight="false" outlineLevel="0" collapsed="false">
      <c r="A524" s="61"/>
      <c r="B524" s="62"/>
      <c r="C524" s="63"/>
      <c r="D524" s="63"/>
      <c r="E524" s="62"/>
      <c r="F524" s="62"/>
      <c r="G524" s="62"/>
      <c r="I524" s="64" t="str">
        <f aca="false">IF($B524="","",IF(ISNUMBER(MATCH($B524,日別データ!$B$9:$B$28,0)),"✔ OK","⚠ 未登録"))</f>
        <v/>
      </c>
    </row>
    <row r="525" customFormat="false" ht="15" hidden="false" customHeight="false" outlineLevel="0" collapsed="false">
      <c r="A525" s="61"/>
      <c r="B525" s="62"/>
      <c r="C525" s="63"/>
      <c r="D525" s="63"/>
      <c r="E525" s="62"/>
      <c r="F525" s="62"/>
      <c r="G525" s="62"/>
      <c r="I525" s="64" t="str">
        <f aca="false">IF($B525="","",IF(ISNUMBER(MATCH($B525,日別データ!$B$9:$B$28,0)),"✔ OK","⚠ 未登録"))</f>
        <v/>
      </c>
    </row>
    <row r="526" customFormat="false" ht="15" hidden="false" customHeight="false" outlineLevel="0" collapsed="false">
      <c r="A526" s="61"/>
      <c r="B526" s="62"/>
      <c r="C526" s="63"/>
      <c r="D526" s="63"/>
      <c r="E526" s="62"/>
      <c r="F526" s="62"/>
      <c r="G526" s="62"/>
      <c r="I526" s="64" t="str">
        <f aca="false">IF($B526="","",IF(ISNUMBER(MATCH($B526,日別データ!$B$9:$B$28,0)),"✔ OK","⚠ 未登録"))</f>
        <v/>
      </c>
    </row>
    <row r="527" customFormat="false" ht="15" hidden="false" customHeight="false" outlineLevel="0" collapsed="false">
      <c r="A527" s="61"/>
      <c r="B527" s="62"/>
      <c r="C527" s="63"/>
      <c r="D527" s="63"/>
      <c r="E527" s="62"/>
      <c r="F527" s="62"/>
      <c r="G527" s="62"/>
      <c r="I527" s="64" t="str">
        <f aca="false">IF($B527="","",IF(ISNUMBER(MATCH($B527,日別データ!$B$9:$B$28,0)),"✔ OK","⚠ 未登録"))</f>
        <v/>
      </c>
    </row>
    <row r="528" customFormat="false" ht="15" hidden="false" customHeight="false" outlineLevel="0" collapsed="false">
      <c r="A528" s="61"/>
      <c r="B528" s="62"/>
      <c r="C528" s="63"/>
      <c r="D528" s="63"/>
      <c r="E528" s="62"/>
      <c r="F528" s="62"/>
      <c r="G528" s="62"/>
      <c r="I528" s="64" t="str">
        <f aca="false">IF($B528="","",IF(ISNUMBER(MATCH($B528,日別データ!$B$9:$B$28,0)),"✔ OK","⚠ 未登録"))</f>
        <v/>
      </c>
    </row>
    <row r="529" customFormat="false" ht="15" hidden="false" customHeight="false" outlineLevel="0" collapsed="false">
      <c r="A529" s="61"/>
      <c r="B529" s="62"/>
      <c r="C529" s="63"/>
      <c r="D529" s="63"/>
      <c r="E529" s="62"/>
      <c r="F529" s="62"/>
      <c r="G529" s="62"/>
      <c r="I529" s="64" t="str">
        <f aca="false">IF($B529="","",IF(ISNUMBER(MATCH($B529,日別データ!$B$9:$B$28,0)),"✔ OK","⚠ 未登録"))</f>
        <v/>
      </c>
    </row>
    <row r="530" customFormat="false" ht="15" hidden="false" customHeight="false" outlineLevel="0" collapsed="false">
      <c r="A530" s="61"/>
      <c r="B530" s="62"/>
      <c r="C530" s="63"/>
      <c r="D530" s="63"/>
      <c r="E530" s="62"/>
      <c r="F530" s="62"/>
      <c r="G530" s="62"/>
      <c r="I530" s="64" t="str">
        <f aca="false">IF($B530="","",IF(ISNUMBER(MATCH($B530,日別データ!$B$9:$B$28,0)),"✔ OK","⚠ 未登録"))</f>
        <v/>
      </c>
    </row>
    <row r="531" customFormat="false" ht="15" hidden="false" customHeight="false" outlineLevel="0" collapsed="false">
      <c r="A531" s="61"/>
      <c r="B531" s="62"/>
      <c r="C531" s="63"/>
      <c r="D531" s="63"/>
      <c r="E531" s="62"/>
      <c r="F531" s="62"/>
      <c r="G531" s="62"/>
      <c r="I531" s="64" t="str">
        <f aca="false">IF($B531="","",IF(ISNUMBER(MATCH($B531,日別データ!$B$9:$B$28,0)),"✔ OK","⚠ 未登録"))</f>
        <v/>
      </c>
    </row>
    <row r="532" customFormat="false" ht="15" hidden="false" customHeight="false" outlineLevel="0" collapsed="false">
      <c r="A532" s="61"/>
      <c r="B532" s="62"/>
      <c r="C532" s="63"/>
      <c r="D532" s="63"/>
      <c r="E532" s="62"/>
      <c r="F532" s="62"/>
      <c r="G532" s="62"/>
      <c r="I532" s="64" t="str">
        <f aca="false">IF($B532="","",IF(ISNUMBER(MATCH($B532,日別データ!$B$9:$B$28,0)),"✔ OK","⚠ 未登録"))</f>
        <v/>
      </c>
    </row>
    <row r="533" customFormat="false" ht="15" hidden="false" customHeight="false" outlineLevel="0" collapsed="false">
      <c r="A533" s="61"/>
      <c r="B533" s="62"/>
      <c r="C533" s="63"/>
      <c r="D533" s="63"/>
      <c r="E533" s="62"/>
      <c r="F533" s="62"/>
      <c r="G533" s="62"/>
      <c r="I533" s="64" t="str">
        <f aca="false">IF($B533="","",IF(ISNUMBER(MATCH($B533,日別データ!$B$9:$B$28,0)),"✔ OK","⚠ 未登録"))</f>
        <v/>
      </c>
    </row>
    <row r="534" customFormat="false" ht="15" hidden="false" customHeight="false" outlineLevel="0" collapsed="false">
      <c r="A534" s="61"/>
      <c r="B534" s="62"/>
      <c r="C534" s="63"/>
      <c r="D534" s="63"/>
      <c r="E534" s="62"/>
      <c r="F534" s="62"/>
      <c r="G534" s="62"/>
      <c r="I534" s="64" t="str">
        <f aca="false">IF($B534="","",IF(ISNUMBER(MATCH($B534,日別データ!$B$9:$B$28,0)),"✔ OK","⚠ 未登録"))</f>
        <v/>
      </c>
    </row>
    <row r="535" customFormat="false" ht="15" hidden="false" customHeight="false" outlineLevel="0" collapsed="false">
      <c r="A535" s="61"/>
      <c r="B535" s="62"/>
      <c r="C535" s="63"/>
      <c r="D535" s="63"/>
      <c r="E535" s="62"/>
      <c r="F535" s="62"/>
      <c r="G535" s="62"/>
      <c r="I535" s="64" t="str">
        <f aca="false">IF($B535="","",IF(ISNUMBER(MATCH($B535,日別データ!$B$9:$B$28,0)),"✔ OK","⚠ 未登録"))</f>
        <v/>
      </c>
    </row>
    <row r="536" customFormat="false" ht="15" hidden="false" customHeight="false" outlineLevel="0" collapsed="false">
      <c r="A536" s="61"/>
      <c r="B536" s="62"/>
      <c r="C536" s="63"/>
      <c r="D536" s="63"/>
      <c r="E536" s="62"/>
      <c r="F536" s="62"/>
      <c r="G536" s="62"/>
      <c r="I536" s="64" t="str">
        <f aca="false">IF($B536="","",IF(ISNUMBER(MATCH($B536,日別データ!$B$9:$B$28,0)),"✔ OK","⚠ 未登録"))</f>
        <v/>
      </c>
    </row>
    <row r="537" customFormat="false" ht="15" hidden="false" customHeight="false" outlineLevel="0" collapsed="false">
      <c r="A537" s="61"/>
      <c r="B537" s="62"/>
      <c r="C537" s="63"/>
      <c r="D537" s="63"/>
      <c r="E537" s="62"/>
      <c r="F537" s="62"/>
      <c r="G537" s="62"/>
      <c r="I537" s="64" t="str">
        <f aca="false">IF($B537="","",IF(ISNUMBER(MATCH($B537,日別データ!$B$9:$B$28,0)),"✔ OK","⚠ 未登録"))</f>
        <v/>
      </c>
    </row>
    <row r="538" customFormat="false" ht="15" hidden="false" customHeight="false" outlineLevel="0" collapsed="false">
      <c r="A538" s="61"/>
      <c r="B538" s="62"/>
      <c r="C538" s="63"/>
      <c r="D538" s="63"/>
      <c r="E538" s="62"/>
      <c r="F538" s="62"/>
      <c r="G538" s="62"/>
      <c r="I538" s="64" t="str">
        <f aca="false">IF($B538="","",IF(ISNUMBER(MATCH($B538,日別データ!$B$9:$B$28,0)),"✔ OK","⚠ 未登録"))</f>
        <v/>
      </c>
    </row>
    <row r="539" customFormat="false" ht="15" hidden="false" customHeight="false" outlineLevel="0" collapsed="false">
      <c r="A539" s="61"/>
      <c r="B539" s="62"/>
      <c r="C539" s="63"/>
      <c r="D539" s="63"/>
      <c r="E539" s="62"/>
      <c r="F539" s="62"/>
      <c r="G539" s="62"/>
      <c r="I539" s="64" t="str">
        <f aca="false">IF($B539="","",IF(ISNUMBER(MATCH($B539,日別データ!$B$9:$B$28,0)),"✔ OK","⚠ 未登録"))</f>
        <v/>
      </c>
    </row>
    <row r="540" customFormat="false" ht="15" hidden="false" customHeight="false" outlineLevel="0" collapsed="false">
      <c r="A540" s="61"/>
      <c r="B540" s="62"/>
      <c r="C540" s="63"/>
      <c r="D540" s="63"/>
      <c r="E540" s="62"/>
      <c r="F540" s="62"/>
      <c r="G540" s="62"/>
      <c r="I540" s="64" t="str">
        <f aca="false">IF($B540="","",IF(ISNUMBER(MATCH($B540,日別データ!$B$9:$B$28,0)),"✔ OK","⚠ 未登録"))</f>
        <v/>
      </c>
    </row>
    <row r="541" customFormat="false" ht="15" hidden="false" customHeight="false" outlineLevel="0" collapsed="false">
      <c r="A541" s="61"/>
      <c r="B541" s="62"/>
      <c r="C541" s="63"/>
      <c r="D541" s="63"/>
      <c r="E541" s="62"/>
      <c r="F541" s="62"/>
      <c r="G541" s="62"/>
      <c r="I541" s="64" t="str">
        <f aca="false">IF($B541="","",IF(ISNUMBER(MATCH($B541,日別データ!$B$9:$B$28,0)),"✔ OK","⚠ 未登録"))</f>
        <v/>
      </c>
    </row>
    <row r="542" customFormat="false" ht="15" hidden="false" customHeight="false" outlineLevel="0" collapsed="false">
      <c r="A542" s="61"/>
      <c r="B542" s="62"/>
      <c r="C542" s="63"/>
      <c r="D542" s="63"/>
      <c r="E542" s="62"/>
      <c r="F542" s="62"/>
      <c r="G542" s="62"/>
      <c r="I542" s="64" t="str">
        <f aca="false">IF($B542="","",IF(ISNUMBER(MATCH($B542,日別データ!$B$9:$B$28,0)),"✔ OK","⚠ 未登録"))</f>
        <v/>
      </c>
    </row>
    <row r="543" customFormat="false" ht="15" hidden="false" customHeight="false" outlineLevel="0" collapsed="false">
      <c r="A543" s="61"/>
      <c r="B543" s="62"/>
      <c r="C543" s="63"/>
      <c r="D543" s="63"/>
      <c r="E543" s="62"/>
      <c r="F543" s="62"/>
      <c r="G543" s="62"/>
      <c r="I543" s="64" t="str">
        <f aca="false">IF($B543="","",IF(ISNUMBER(MATCH($B543,日別データ!$B$9:$B$28,0)),"✔ OK","⚠ 未登録"))</f>
        <v/>
      </c>
    </row>
    <row r="544" customFormat="false" ht="15" hidden="false" customHeight="false" outlineLevel="0" collapsed="false">
      <c r="A544" s="61"/>
      <c r="B544" s="62"/>
      <c r="C544" s="63"/>
      <c r="D544" s="63"/>
      <c r="E544" s="62"/>
      <c r="F544" s="62"/>
      <c r="G544" s="62"/>
      <c r="I544" s="64" t="str">
        <f aca="false">IF($B544="","",IF(ISNUMBER(MATCH($B544,日別データ!$B$9:$B$28,0)),"✔ OK","⚠ 未登録"))</f>
        <v/>
      </c>
    </row>
    <row r="545" customFormat="false" ht="15" hidden="false" customHeight="false" outlineLevel="0" collapsed="false">
      <c r="A545" s="61"/>
      <c r="B545" s="62"/>
      <c r="C545" s="63"/>
      <c r="D545" s="63"/>
      <c r="E545" s="62"/>
      <c r="F545" s="62"/>
      <c r="G545" s="62"/>
      <c r="I545" s="64" t="str">
        <f aca="false">IF($B545="","",IF(ISNUMBER(MATCH($B545,日別データ!$B$9:$B$28,0)),"✔ OK","⚠ 未登録"))</f>
        <v/>
      </c>
    </row>
    <row r="546" customFormat="false" ht="15" hidden="false" customHeight="false" outlineLevel="0" collapsed="false">
      <c r="A546" s="61"/>
      <c r="B546" s="62"/>
      <c r="C546" s="63"/>
      <c r="D546" s="63"/>
      <c r="E546" s="62"/>
      <c r="F546" s="62"/>
      <c r="G546" s="62"/>
      <c r="I546" s="64" t="str">
        <f aca="false">IF($B546="","",IF(ISNUMBER(MATCH($B546,日別データ!$B$9:$B$28,0)),"✔ OK","⚠ 未登録"))</f>
        <v/>
      </c>
    </row>
    <row r="547" customFormat="false" ht="15" hidden="false" customHeight="false" outlineLevel="0" collapsed="false">
      <c r="A547" s="61"/>
      <c r="B547" s="62"/>
      <c r="C547" s="63"/>
      <c r="D547" s="63"/>
      <c r="E547" s="62"/>
      <c r="F547" s="62"/>
      <c r="G547" s="62"/>
      <c r="I547" s="64" t="str">
        <f aca="false">IF($B547="","",IF(ISNUMBER(MATCH($B547,日別データ!$B$9:$B$28,0)),"✔ OK","⚠ 未登録"))</f>
        <v/>
      </c>
    </row>
    <row r="548" customFormat="false" ht="15" hidden="false" customHeight="false" outlineLevel="0" collapsed="false">
      <c r="A548" s="61"/>
      <c r="B548" s="62"/>
      <c r="C548" s="63"/>
      <c r="D548" s="63"/>
      <c r="E548" s="62"/>
      <c r="F548" s="62"/>
      <c r="G548" s="62"/>
      <c r="I548" s="64" t="str">
        <f aca="false">IF($B548="","",IF(ISNUMBER(MATCH($B548,日別データ!$B$9:$B$28,0)),"✔ OK","⚠ 未登録"))</f>
        <v/>
      </c>
    </row>
    <row r="549" customFormat="false" ht="15" hidden="false" customHeight="false" outlineLevel="0" collapsed="false">
      <c r="A549" s="61"/>
      <c r="B549" s="62"/>
      <c r="C549" s="63"/>
      <c r="D549" s="63"/>
      <c r="E549" s="62"/>
      <c r="F549" s="62"/>
      <c r="G549" s="62"/>
      <c r="I549" s="64" t="str">
        <f aca="false">IF($B549="","",IF(ISNUMBER(MATCH($B549,日別データ!$B$9:$B$28,0)),"✔ OK","⚠ 未登録"))</f>
        <v/>
      </c>
    </row>
    <row r="550" customFormat="false" ht="15" hidden="false" customHeight="false" outlineLevel="0" collapsed="false">
      <c r="A550" s="61"/>
      <c r="B550" s="62"/>
      <c r="C550" s="63"/>
      <c r="D550" s="63"/>
      <c r="E550" s="62"/>
      <c r="F550" s="62"/>
      <c r="G550" s="62"/>
      <c r="I550" s="64" t="str">
        <f aca="false">IF($B550="","",IF(ISNUMBER(MATCH($B550,日別データ!$B$9:$B$28,0)),"✔ OK","⚠ 未登録"))</f>
        <v/>
      </c>
    </row>
    <row r="551" customFormat="false" ht="15" hidden="false" customHeight="false" outlineLevel="0" collapsed="false">
      <c r="A551" s="61"/>
      <c r="B551" s="62"/>
      <c r="C551" s="63"/>
      <c r="D551" s="63"/>
      <c r="E551" s="62"/>
      <c r="F551" s="62"/>
      <c r="G551" s="62"/>
      <c r="I551" s="64" t="str">
        <f aca="false">IF($B551="","",IF(ISNUMBER(MATCH($B551,日別データ!$B$9:$B$28,0)),"✔ OK","⚠ 未登録"))</f>
        <v/>
      </c>
    </row>
    <row r="552" customFormat="false" ht="15" hidden="false" customHeight="false" outlineLevel="0" collapsed="false">
      <c r="A552" s="61"/>
      <c r="B552" s="62"/>
      <c r="C552" s="63"/>
      <c r="D552" s="63"/>
      <c r="E552" s="62"/>
      <c r="F552" s="62"/>
      <c r="G552" s="62"/>
      <c r="I552" s="64" t="str">
        <f aca="false">IF($B552="","",IF(ISNUMBER(MATCH($B552,日別データ!$B$9:$B$28,0)),"✔ OK","⚠ 未登録"))</f>
        <v/>
      </c>
    </row>
    <row r="553" customFormat="false" ht="15" hidden="false" customHeight="false" outlineLevel="0" collapsed="false">
      <c r="A553" s="61"/>
      <c r="B553" s="62"/>
      <c r="C553" s="63"/>
      <c r="D553" s="63"/>
      <c r="E553" s="62"/>
      <c r="F553" s="62"/>
      <c r="G553" s="62"/>
      <c r="I553" s="64" t="str">
        <f aca="false">IF($B553="","",IF(ISNUMBER(MATCH($B553,日別データ!$B$9:$B$28,0)),"✔ OK","⚠ 未登録"))</f>
        <v/>
      </c>
    </row>
    <row r="554" customFormat="false" ht="15" hidden="false" customHeight="false" outlineLevel="0" collapsed="false">
      <c r="A554" s="61"/>
      <c r="B554" s="62"/>
      <c r="C554" s="63"/>
      <c r="D554" s="63"/>
      <c r="E554" s="62"/>
      <c r="F554" s="62"/>
      <c r="G554" s="62"/>
      <c r="I554" s="64" t="str">
        <f aca="false">IF($B554="","",IF(ISNUMBER(MATCH($B554,日別データ!$B$9:$B$28,0)),"✔ OK","⚠ 未登録"))</f>
        <v/>
      </c>
    </row>
    <row r="555" customFormat="false" ht="15" hidden="false" customHeight="false" outlineLevel="0" collapsed="false">
      <c r="A555" s="61"/>
      <c r="B555" s="62"/>
      <c r="C555" s="63"/>
      <c r="D555" s="63"/>
      <c r="E555" s="62"/>
      <c r="F555" s="62"/>
      <c r="G555" s="62"/>
      <c r="I555" s="64" t="str">
        <f aca="false">IF($B555="","",IF(ISNUMBER(MATCH($B555,日別データ!$B$9:$B$28,0)),"✔ OK","⚠ 未登録"))</f>
        <v/>
      </c>
    </row>
    <row r="556" customFormat="false" ht="15" hidden="false" customHeight="false" outlineLevel="0" collapsed="false">
      <c r="A556" s="61"/>
      <c r="B556" s="62"/>
      <c r="C556" s="63"/>
      <c r="D556" s="63"/>
      <c r="E556" s="62"/>
      <c r="F556" s="62"/>
      <c r="G556" s="62"/>
      <c r="I556" s="64" t="str">
        <f aca="false">IF($B556="","",IF(ISNUMBER(MATCH($B556,日別データ!$B$9:$B$28,0)),"✔ OK","⚠ 未登録"))</f>
        <v/>
      </c>
    </row>
    <row r="557" customFormat="false" ht="15" hidden="false" customHeight="false" outlineLevel="0" collapsed="false">
      <c r="A557" s="61"/>
      <c r="B557" s="62"/>
      <c r="C557" s="63"/>
      <c r="D557" s="63"/>
      <c r="E557" s="62"/>
      <c r="F557" s="62"/>
      <c r="G557" s="62"/>
      <c r="I557" s="64" t="str">
        <f aca="false">IF($B557="","",IF(ISNUMBER(MATCH($B557,日別データ!$B$9:$B$28,0)),"✔ OK","⚠ 未登録"))</f>
        <v/>
      </c>
    </row>
    <row r="558" customFormat="false" ht="15" hidden="false" customHeight="false" outlineLevel="0" collapsed="false">
      <c r="A558" s="61"/>
      <c r="B558" s="62"/>
      <c r="C558" s="63"/>
      <c r="D558" s="63"/>
      <c r="E558" s="62"/>
      <c r="F558" s="62"/>
      <c r="G558" s="62"/>
      <c r="I558" s="64" t="str">
        <f aca="false">IF($B558="","",IF(ISNUMBER(MATCH($B558,日別データ!$B$9:$B$28,0)),"✔ OK","⚠ 未登録"))</f>
        <v/>
      </c>
    </row>
    <row r="559" customFormat="false" ht="15" hidden="false" customHeight="false" outlineLevel="0" collapsed="false">
      <c r="A559" s="61"/>
      <c r="B559" s="62"/>
      <c r="C559" s="63"/>
      <c r="D559" s="63"/>
      <c r="E559" s="62"/>
      <c r="F559" s="62"/>
      <c r="G559" s="62"/>
      <c r="I559" s="64" t="str">
        <f aca="false">IF($B559="","",IF(ISNUMBER(MATCH($B559,日別データ!$B$9:$B$28,0)),"✔ OK","⚠ 未登録"))</f>
        <v/>
      </c>
    </row>
    <row r="560" customFormat="false" ht="15" hidden="false" customHeight="false" outlineLevel="0" collapsed="false">
      <c r="A560" s="61"/>
      <c r="B560" s="62"/>
      <c r="C560" s="63"/>
      <c r="D560" s="63"/>
      <c r="E560" s="62"/>
      <c r="F560" s="62"/>
      <c r="G560" s="62"/>
      <c r="I560" s="64" t="str">
        <f aca="false">IF($B560="","",IF(ISNUMBER(MATCH($B560,日別データ!$B$9:$B$28,0)),"✔ OK","⚠ 未登録"))</f>
        <v/>
      </c>
    </row>
    <row r="561" customFormat="false" ht="15" hidden="false" customHeight="false" outlineLevel="0" collapsed="false">
      <c r="A561" s="61"/>
      <c r="B561" s="62"/>
      <c r="C561" s="63"/>
      <c r="D561" s="63"/>
      <c r="E561" s="62"/>
      <c r="F561" s="62"/>
      <c r="G561" s="62"/>
      <c r="I561" s="64" t="str">
        <f aca="false">IF($B561="","",IF(ISNUMBER(MATCH($B561,日別データ!$B$9:$B$28,0)),"✔ OK","⚠ 未登録"))</f>
        <v/>
      </c>
    </row>
    <row r="562" customFormat="false" ht="15" hidden="false" customHeight="false" outlineLevel="0" collapsed="false">
      <c r="A562" s="61"/>
      <c r="B562" s="62"/>
      <c r="C562" s="63"/>
      <c r="D562" s="63"/>
      <c r="E562" s="62"/>
      <c r="F562" s="62"/>
      <c r="G562" s="62"/>
      <c r="I562" s="64" t="str">
        <f aca="false">IF($B562="","",IF(ISNUMBER(MATCH($B562,日別データ!$B$9:$B$28,0)),"✔ OK","⚠ 未登録"))</f>
        <v/>
      </c>
    </row>
    <row r="563" customFormat="false" ht="15" hidden="false" customHeight="false" outlineLevel="0" collapsed="false">
      <c r="A563" s="61"/>
      <c r="B563" s="62"/>
      <c r="C563" s="63"/>
      <c r="D563" s="63"/>
      <c r="E563" s="62"/>
      <c r="F563" s="62"/>
      <c r="G563" s="62"/>
      <c r="I563" s="64" t="str">
        <f aca="false">IF($B563="","",IF(ISNUMBER(MATCH($B563,日別データ!$B$9:$B$28,0)),"✔ OK","⚠ 未登録"))</f>
        <v/>
      </c>
    </row>
    <row r="564" customFormat="false" ht="15" hidden="false" customHeight="false" outlineLevel="0" collapsed="false">
      <c r="A564" s="61"/>
      <c r="B564" s="62"/>
      <c r="C564" s="63"/>
      <c r="D564" s="63"/>
      <c r="E564" s="62"/>
      <c r="F564" s="62"/>
      <c r="G564" s="62"/>
      <c r="I564" s="64" t="str">
        <f aca="false">IF($B564="","",IF(ISNUMBER(MATCH($B564,日別データ!$B$9:$B$28,0)),"✔ OK","⚠ 未登録"))</f>
        <v/>
      </c>
    </row>
    <row r="565" customFormat="false" ht="15" hidden="false" customHeight="false" outlineLevel="0" collapsed="false">
      <c r="A565" s="61"/>
      <c r="B565" s="62"/>
      <c r="C565" s="63"/>
      <c r="D565" s="63"/>
      <c r="E565" s="62"/>
      <c r="F565" s="62"/>
      <c r="G565" s="62"/>
      <c r="I565" s="64" t="str">
        <f aca="false">IF($B565="","",IF(ISNUMBER(MATCH($B565,日別データ!$B$9:$B$28,0)),"✔ OK","⚠ 未登録"))</f>
        <v/>
      </c>
    </row>
    <row r="566" customFormat="false" ht="15" hidden="false" customHeight="false" outlineLevel="0" collapsed="false">
      <c r="A566" s="61"/>
      <c r="B566" s="62"/>
      <c r="C566" s="63"/>
      <c r="D566" s="63"/>
      <c r="E566" s="62"/>
      <c r="F566" s="62"/>
      <c r="G566" s="62"/>
      <c r="I566" s="64" t="str">
        <f aca="false">IF($B566="","",IF(ISNUMBER(MATCH($B566,日別データ!$B$9:$B$28,0)),"✔ OK","⚠ 未登録"))</f>
        <v/>
      </c>
    </row>
    <row r="567" customFormat="false" ht="15" hidden="false" customHeight="false" outlineLevel="0" collapsed="false">
      <c r="A567" s="61"/>
      <c r="B567" s="62"/>
      <c r="C567" s="63"/>
      <c r="D567" s="63"/>
      <c r="E567" s="62"/>
      <c r="F567" s="62"/>
      <c r="G567" s="62"/>
      <c r="I567" s="64" t="str">
        <f aca="false">IF($B567="","",IF(ISNUMBER(MATCH($B567,日別データ!$B$9:$B$28,0)),"✔ OK","⚠ 未登録"))</f>
        <v/>
      </c>
    </row>
    <row r="568" customFormat="false" ht="15" hidden="false" customHeight="false" outlineLevel="0" collapsed="false">
      <c r="A568" s="61"/>
      <c r="B568" s="62"/>
      <c r="C568" s="63"/>
      <c r="D568" s="63"/>
      <c r="E568" s="62"/>
      <c r="F568" s="62"/>
      <c r="G568" s="62"/>
      <c r="I568" s="64" t="str">
        <f aca="false">IF($B568="","",IF(ISNUMBER(MATCH($B568,日別データ!$B$9:$B$28,0)),"✔ OK","⚠ 未登録"))</f>
        <v/>
      </c>
    </row>
    <row r="569" customFormat="false" ht="15" hidden="false" customHeight="false" outlineLevel="0" collapsed="false">
      <c r="A569" s="61"/>
      <c r="B569" s="62"/>
      <c r="C569" s="63"/>
      <c r="D569" s="63"/>
      <c r="E569" s="62"/>
      <c r="F569" s="62"/>
      <c r="G569" s="62"/>
      <c r="I569" s="64" t="str">
        <f aca="false">IF($B569="","",IF(ISNUMBER(MATCH($B569,日別データ!$B$9:$B$28,0)),"✔ OK","⚠ 未登録"))</f>
        <v/>
      </c>
    </row>
    <row r="570" customFormat="false" ht="15" hidden="false" customHeight="false" outlineLevel="0" collapsed="false">
      <c r="A570" s="61"/>
      <c r="B570" s="62"/>
      <c r="C570" s="63"/>
      <c r="D570" s="63"/>
      <c r="E570" s="62"/>
      <c r="F570" s="62"/>
      <c r="G570" s="62"/>
      <c r="I570" s="64" t="str">
        <f aca="false">IF($B570="","",IF(ISNUMBER(MATCH($B570,日別データ!$B$9:$B$28,0)),"✔ OK","⚠ 未登録"))</f>
        <v/>
      </c>
    </row>
    <row r="571" customFormat="false" ht="15" hidden="false" customHeight="false" outlineLevel="0" collapsed="false">
      <c r="A571" s="61"/>
      <c r="B571" s="62"/>
      <c r="C571" s="63"/>
      <c r="D571" s="63"/>
      <c r="E571" s="62"/>
      <c r="F571" s="62"/>
      <c r="G571" s="62"/>
      <c r="I571" s="64" t="str">
        <f aca="false">IF($B571="","",IF(ISNUMBER(MATCH($B571,日別データ!$B$9:$B$28,0)),"✔ OK","⚠ 未登録"))</f>
        <v/>
      </c>
    </row>
    <row r="572" customFormat="false" ht="15" hidden="false" customHeight="false" outlineLevel="0" collapsed="false">
      <c r="A572" s="61"/>
      <c r="B572" s="62"/>
      <c r="C572" s="63"/>
      <c r="D572" s="63"/>
      <c r="E572" s="62"/>
      <c r="F572" s="62"/>
      <c r="G572" s="62"/>
      <c r="I572" s="64" t="str">
        <f aca="false">IF($B572="","",IF(ISNUMBER(MATCH($B572,日別データ!$B$9:$B$28,0)),"✔ OK","⚠ 未登録"))</f>
        <v/>
      </c>
    </row>
    <row r="573" customFormat="false" ht="15" hidden="false" customHeight="false" outlineLevel="0" collapsed="false">
      <c r="A573" s="61"/>
      <c r="B573" s="62"/>
      <c r="C573" s="63"/>
      <c r="D573" s="63"/>
      <c r="E573" s="62"/>
      <c r="F573" s="62"/>
      <c r="G573" s="62"/>
      <c r="I573" s="64" t="str">
        <f aca="false">IF($B573="","",IF(ISNUMBER(MATCH($B573,日別データ!$B$9:$B$28,0)),"✔ OK","⚠ 未登録"))</f>
        <v/>
      </c>
    </row>
    <row r="574" customFormat="false" ht="15" hidden="false" customHeight="false" outlineLevel="0" collapsed="false">
      <c r="A574" s="61"/>
      <c r="B574" s="62"/>
      <c r="C574" s="63"/>
      <c r="D574" s="63"/>
      <c r="E574" s="62"/>
      <c r="F574" s="62"/>
      <c r="G574" s="62"/>
      <c r="I574" s="64" t="str">
        <f aca="false">IF($B574="","",IF(ISNUMBER(MATCH($B574,日別データ!$B$9:$B$28,0)),"✔ OK","⚠ 未登録"))</f>
        <v/>
      </c>
    </row>
    <row r="575" customFormat="false" ht="15" hidden="false" customHeight="false" outlineLevel="0" collapsed="false">
      <c r="A575" s="61"/>
      <c r="B575" s="62"/>
      <c r="C575" s="63"/>
      <c r="D575" s="63"/>
      <c r="E575" s="62"/>
      <c r="F575" s="62"/>
      <c r="G575" s="62"/>
      <c r="I575" s="64" t="str">
        <f aca="false">IF($B575="","",IF(ISNUMBER(MATCH($B575,日別データ!$B$9:$B$28,0)),"✔ OK","⚠ 未登録"))</f>
        <v/>
      </c>
    </row>
    <row r="576" customFormat="false" ht="15" hidden="false" customHeight="false" outlineLevel="0" collapsed="false">
      <c r="A576" s="61"/>
      <c r="B576" s="62"/>
      <c r="C576" s="63"/>
      <c r="D576" s="63"/>
      <c r="E576" s="62"/>
      <c r="F576" s="62"/>
      <c r="G576" s="62"/>
      <c r="I576" s="64" t="str">
        <f aca="false">IF($B576="","",IF(ISNUMBER(MATCH($B576,日別データ!$B$9:$B$28,0)),"✔ OK","⚠ 未登録"))</f>
        <v/>
      </c>
    </row>
    <row r="577" customFormat="false" ht="15" hidden="false" customHeight="false" outlineLevel="0" collapsed="false">
      <c r="A577" s="61"/>
      <c r="B577" s="62"/>
      <c r="C577" s="63"/>
      <c r="D577" s="63"/>
      <c r="E577" s="62"/>
      <c r="F577" s="62"/>
      <c r="G577" s="62"/>
      <c r="I577" s="64" t="str">
        <f aca="false">IF($B577="","",IF(ISNUMBER(MATCH($B577,日別データ!$B$9:$B$28,0)),"✔ OK","⚠ 未登録"))</f>
        <v/>
      </c>
    </row>
    <row r="578" customFormat="false" ht="15" hidden="false" customHeight="false" outlineLevel="0" collapsed="false">
      <c r="A578" s="61"/>
      <c r="B578" s="62"/>
      <c r="C578" s="63"/>
      <c r="D578" s="63"/>
      <c r="E578" s="62"/>
      <c r="F578" s="62"/>
      <c r="G578" s="62"/>
      <c r="I578" s="64" t="str">
        <f aca="false">IF($B578="","",IF(ISNUMBER(MATCH($B578,日別データ!$B$9:$B$28,0)),"✔ OK","⚠ 未登録"))</f>
        <v/>
      </c>
    </row>
    <row r="579" customFormat="false" ht="15" hidden="false" customHeight="false" outlineLevel="0" collapsed="false">
      <c r="A579" s="61"/>
      <c r="B579" s="62"/>
      <c r="C579" s="63"/>
      <c r="D579" s="63"/>
      <c r="E579" s="62"/>
      <c r="F579" s="62"/>
      <c r="G579" s="62"/>
      <c r="I579" s="64" t="str">
        <f aca="false">IF($B579="","",IF(ISNUMBER(MATCH($B579,日別データ!$B$9:$B$28,0)),"✔ OK","⚠ 未登録"))</f>
        <v/>
      </c>
    </row>
    <row r="580" customFormat="false" ht="15" hidden="false" customHeight="false" outlineLevel="0" collapsed="false">
      <c r="A580" s="61"/>
      <c r="B580" s="62"/>
      <c r="C580" s="63"/>
      <c r="D580" s="63"/>
      <c r="E580" s="62"/>
      <c r="F580" s="62"/>
      <c r="G580" s="62"/>
      <c r="I580" s="64" t="str">
        <f aca="false">IF($B580="","",IF(ISNUMBER(MATCH($B580,日別データ!$B$9:$B$28,0)),"✔ OK","⚠ 未登録"))</f>
        <v/>
      </c>
    </row>
    <row r="581" customFormat="false" ht="15" hidden="false" customHeight="false" outlineLevel="0" collapsed="false">
      <c r="A581" s="61"/>
      <c r="B581" s="62"/>
      <c r="C581" s="63"/>
      <c r="D581" s="63"/>
      <c r="E581" s="62"/>
      <c r="F581" s="62"/>
      <c r="G581" s="62"/>
      <c r="I581" s="64" t="str">
        <f aca="false">IF($B581="","",IF(ISNUMBER(MATCH($B581,日別データ!$B$9:$B$28,0)),"✔ OK","⚠ 未登録"))</f>
        <v/>
      </c>
    </row>
    <row r="582" customFormat="false" ht="15" hidden="false" customHeight="false" outlineLevel="0" collapsed="false">
      <c r="A582" s="61"/>
      <c r="B582" s="62"/>
      <c r="C582" s="63"/>
      <c r="D582" s="63"/>
      <c r="E582" s="62"/>
      <c r="F582" s="62"/>
      <c r="G582" s="62"/>
      <c r="I582" s="64" t="str">
        <f aca="false">IF($B582="","",IF(ISNUMBER(MATCH($B582,日別データ!$B$9:$B$28,0)),"✔ OK","⚠ 未登録"))</f>
        <v/>
      </c>
    </row>
    <row r="583" customFormat="false" ht="15" hidden="false" customHeight="false" outlineLevel="0" collapsed="false">
      <c r="A583" s="61"/>
      <c r="B583" s="62"/>
      <c r="C583" s="63"/>
      <c r="D583" s="63"/>
      <c r="E583" s="62"/>
      <c r="F583" s="62"/>
      <c r="G583" s="62"/>
      <c r="I583" s="64" t="str">
        <f aca="false">IF($B583="","",IF(ISNUMBER(MATCH($B583,日別データ!$B$9:$B$28,0)),"✔ OK","⚠ 未登録"))</f>
        <v/>
      </c>
    </row>
    <row r="584" customFormat="false" ht="15" hidden="false" customHeight="false" outlineLevel="0" collapsed="false">
      <c r="A584" s="61"/>
      <c r="B584" s="62"/>
      <c r="C584" s="63"/>
      <c r="D584" s="63"/>
      <c r="E584" s="62"/>
      <c r="F584" s="62"/>
      <c r="G584" s="62"/>
      <c r="I584" s="64" t="str">
        <f aca="false">IF($B584="","",IF(ISNUMBER(MATCH($B584,日別データ!$B$9:$B$28,0)),"✔ OK","⚠ 未登録"))</f>
        <v/>
      </c>
    </row>
    <row r="585" customFormat="false" ht="15" hidden="false" customHeight="false" outlineLevel="0" collapsed="false">
      <c r="A585" s="61"/>
      <c r="B585" s="62"/>
      <c r="C585" s="63"/>
      <c r="D585" s="63"/>
      <c r="E585" s="62"/>
      <c r="F585" s="62"/>
      <c r="G585" s="62"/>
      <c r="I585" s="64" t="str">
        <f aca="false">IF($B585="","",IF(ISNUMBER(MATCH($B585,日別データ!$B$9:$B$28,0)),"✔ OK","⚠ 未登録"))</f>
        <v/>
      </c>
    </row>
    <row r="586" customFormat="false" ht="15" hidden="false" customHeight="false" outlineLevel="0" collapsed="false">
      <c r="A586" s="61"/>
      <c r="B586" s="62"/>
      <c r="C586" s="63"/>
      <c r="D586" s="63"/>
      <c r="E586" s="62"/>
      <c r="F586" s="62"/>
      <c r="G586" s="62"/>
      <c r="I586" s="64" t="str">
        <f aca="false">IF($B586="","",IF(ISNUMBER(MATCH($B586,日別データ!$B$9:$B$28,0)),"✔ OK","⚠ 未登録"))</f>
        <v/>
      </c>
    </row>
    <row r="587" customFormat="false" ht="15" hidden="false" customHeight="false" outlineLevel="0" collapsed="false">
      <c r="A587" s="61"/>
      <c r="B587" s="62"/>
      <c r="C587" s="63"/>
      <c r="D587" s="63"/>
      <c r="E587" s="62"/>
      <c r="F587" s="62"/>
      <c r="G587" s="62"/>
      <c r="I587" s="64" t="str">
        <f aca="false">IF($B587="","",IF(ISNUMBER(MATCH($B587,日別データ!$B$9:$B$28,0)),"✔ OK","⚠ 未登録"))</f>
        <v/>
      </c>
    </row>
    <row r="588" customFormat="false" ht="15" hidden="false" customHeight="false" outlineLevel="0" collapsed="false">
      <c r="A588" s="61"/>
      <c r="B588" s="62"/>
      <c r="C588" s="63"/>
      <c r="D588" s="63"/>
      <c r="E588" s="62"/>
      <c r="F588" s="62"/>
      <c r="G588" s="62"/>
      <c r="I588" s="64" t="str">
        <f aca="false">IF($B588="","",IF(ISNUMBER(MATCH($B588,日別データ!$B$9:$B$28,0)),"✔ OK","⚠ 未登録"))</f>
        <v/>
      </c>
    </row>
    <row r="589" customFormat="false" ht="15" hidden="false" customHeight="false" outlineLevel="0" collapsed="false">
      <c r="A589" s="61"/>
      <c r="B589" s="62"/>
      <c r="C589" s="63"/>
      <c r="D589" s="63"/>
      <c r="E589" s="62"/>
      <c r="F589" s="62"/>
      <c r="G589" s="62"/>
      <c r="I589" s="64" t="str">
        <f aca="false">IF($B589="","",IF(ISNUMBER(MATCH($B589,日別データ!$B$9:$B$28,0)),"✔ OK","⚠ 未登録"))</f>
        <v/>
      </c>
    </row>
    <row r="590" customFormat="false" ht="15" hidden="false" customHeight="false" outlineLevel="0" collapsed="false">
      <c r="A590" s="61"/>
      <c r="B590" s="62"/>
      <c r="C590" s="63"/>
      <c r="D590" s="63"/>
      <c r="E590" s="62"/>
      <c r="F590" s="62"/>
      <c r="G590" s="62"/>
      <c r="I590" s="64" t="str">
        <f aca="false">IF($B590="","",IF(ISNUMBER(MATCH($B590,日別データ!$B$9:$B$28,0)),"✔ OK","⚠ 未登録"))</f>
        <v/>
      </c>
    </row>
    <row r="591" customFormat="false" ht="15" hidden="false" customHeight="false" outlineLevel="0" collapsed="false">
      <c r="A591" s="61"/>
      <c r="B591" s="62"/>
      <c r="C591" s="63"/>
      <c r="D591" s="63"/>
      <c r="E591" s="62"/>
      <c r="F591" s="62"/>
      <c r="G591" s="62"/>
      <c r="I591" s="64" t="str">
        <f aca="false">IF($B591="","",IF(ISNUMBER(MATCH($B591,日別データ!$B$9:$B$28,0)),"✔ OK","⚠ 未登録"))</f>
        <v/>
      </c>
    </row>
    <row r="592" customFormat="false" ht="15" hidden="false" customHeight="false" outlineLevel="0" collapsed="false">
      <c r="A592" s="61"/>
      <c r="B592" s="62"/>
      <c r="C592" s="63"/>
      <c r="D592" s="63"/>
      <c r="E592" s="62"/>
      <c r="F592" s="62"/>
      <c r="G592" s="62"/>
      <c r="I592" s="64" t="str">
        <f aca="false">IF($B592="","",IF(ISNUMBER(MATCH($B592,日別データ!$B$9:$B$28,0)),"✔ OK","⚠ 未登録"))</f>
        <v/>
      </c>
    </row>
    <row r="593" customFormat="false" ht="15" hidden="false" customHeight="false" outlineLevel="0" collapsed="false">
      <c r="A593" s="61"/>
      <c r="B593" s="62"/>
      <c r="C593" s="63"/>
      <c r="D593" s="63"/>
      <c r="E593" s="62"/>
      <c r="F593" s="62"/>
      <c r="G593" s="62"/>
      <c r="I593" s="64" t="str">
        <f aca="false">IF($B593="","",IF(ISNUMBER(MATCH($B593,日別データ!$B$9:$B$28,0)),"✔ OK","⚠ 未登録"))</f>
        <v/>
      </c>
    </row>
    <row r="594" customFormat="false" ht="15" hidden="false" customHeight="false" outlineLevel="0" collapsed="false">
      <c r="A594" s="61"/>
      <c r="B594" s="62"/>
      <c r="C594" s="63"/>
      <c r="D594" s="63"/>
      <c r="E594" s="62"/>
      <c r="F594" s="62"/>
      <c r="G594" s="62"/>
      <c r="I594" s="64" t="str">
        <f aca="false">IF($B594="","",IF(ISNUMBER(MATCH($B594,日別データ!$B$9:$B$28,0)),"✔ OK","⚠ 未登録"))</f>
        <v/>
      </c>
    </row>
    <row r="595" customFormat="false" ht="15" hidden="false" customHeight="false" outlineLevel="0" collapsed="false">
      <c r="A595" s="61"/>
      <c r="B595" s="62"/>
      <c r="C595" s="63"/>
      <c r="D595" s="63"/>
      <c r="E595" s="62"/>
      <c r="F595" s="62"/>
      <c r="G595" s="62"/>
      <c r="I595" s="64" t="str">
        <f aca="false">IF($B595="","",IF(ISNUMBER(MATCH($B595,日別データ!$B$9:$B$28,0)),"✔ OK","⚠ 未登録"))</f>
        <v/>
      </c>
    </row>
    <row r="596" customFormat="false" ht="15" hidden="false" customHeight="false" outlineLevel="0" collapsed="false">
      <c r="A596" s="61"/>
      <c r="B596" s="62"/>
      <c r="C596" s="63"/>
      <c r="D596" s="63"/>
      <c r="E596" s="62"/>
      <c r="F596" s="62"/>
      <c r="G596" s="62"/>
      <c r="I596" s="64" t="str">
        <f aca="false">IF($B596="","",IF(ISNUMBER(MATCH($B596,日別データ!$B$9:$B$28,0)),"✔ OK","⚠ 未登録"))</f>
        <v/>
      </c>
    </row>
    <row r="597" customFormat="false" ht="15" hidden="false" customHeight="false" outlineLevel="0" collapsed="false">
      <c r="A597" s="61"/>
      <c r="B597" s="62"/>
      <c r="C597" s="63"/>
      <c r="D597" s="63"/>
      <c r="E597" s="62"/>
      <c r="F597" s="62"/>
      <c r="G597" s="62"/>
      <c r="I597" s="64" t="str">
        <f aca="false">IF($B597="","",IF(ISNUMBER(MATCH($B597,日別データ!$B$9:$B$28,0)),"✔ OK","⚠ 未登録"))</f>
        <v/>
      </c>
    </row>
    <row r="598" customFormat="false" ht="15" hidden="false" customHeight="false" outlineLevel="0" collapsed="false">
      <c r="A598" s="61"/>
      <c r="B598" s="62"/>
      <c r="C598" s="63"/>
      <c r="D598" s="63"/>
      <c r="E598" s="62"/>
      <c r="F598" s="62"/>
      <c r="G598" s="62"/>
      <c r="I598" s="64" t="str">
        <f aca="false">IF($B598="","",IF(ISNUMBER(MATCH($B598,日別データ!$B$9:$B$28,0)),"✔ OK","⚠ 未登録"))</f>
        <v/>
      </c>
    </row>
    <row r="599" customFormat="false" ht="15" hidden="false" customHeight="false" outlineLevel="0" collapsed="false">
      <c r="A599" s="61"/>
      <c r="B599" s="62"/>
      <c r="C599" s="63"/>
      <c r="D599" s="63"/>
      <c r="E599" s="62"/>
      <c r="F599" s="62"/>
      <c r="G599" s="62"/>
      <c r="I599" s="64" t="str">
        <f aca="false">IF($B599="","",IF(ISNUMBER(MATCH($B599,日別データ!$B$9:$B$28,0)),"✔ OK","⚠ 未登録"))</f>
        <v/>
      </c>
    </row>
    <row r="600" customFormat="false" ht="15" hidden="false" customHeight="false" outlineLevel="0" collapsed="false">
      <c r="A600" s="61"/>
      <c r="B600" s="62"/>
      <c r="C600" s="63"/>
      <c r="D600" s="63"/>
      <c r="E600" s="62"/>
      <c r="F600" s="62"/>
      <c r="G600" s="62"/>
      <c r="I600" s="64" t="str">
        <f aca="false">IF($B600="","",IF(ISNUMBER(MATCH($B600,日別データ!$B$9:$B$28,0)),"✔ OK","⚠ 未登録"))</f>
        <v/>
      </c>
    </row>
    <row r="601" customFormat="false" ht="15" hidden="false" customHeight="false" outlineLevel="0" collapsed="false">
      <c r="A601" s="61"/>
      <c r="B601" s="62"/>
      <c r="C601" s="63"/>
      <c r="D601" s="63"/>
      <c r="E601" s="62"/>
      <c r="F601" s="62"/>
      <c r="G601" s="62"/>
      <c r="I601" s="64" t="str">
        <f aca="false">IF($B601="","",IF(ISNUMBER(MATCH($B601,日別データ!$B$9:$B$28,0)),"✔ OK","⚠ 未登録"))</f>
        <v/>
      </c>
    </row>
    <row r="602" customFormat="false" ht="15" hidden="false" customHeight="false" outlineLevel="0" collapsed="false">
      <c r="A602" s="61"/>
      <c r="B602" s="62"/>
      <c r="C602" s="63"/>
      <c r="D602" s="63"/>
      <c r="E602" s="62"/>
      <c r="F602" s="62"/>
      <c r="G602" s="62"/>
      <c r="I602" s="64" t="str">
        <f aca="false">IF($B602="","",IF(ISNUMBER(MATCH($B602,日別データ!$B$9:$B$28,0)),"✔ OK","⚠ 未登録"))</f>
        <v/>
      </c>
    </row>
    <row r="603" customFormat="false" ht="15" hidden="false" customHeight="false" outlineLevel="0" collapsed="false">
      <c r="A603" s="61"/>
      <c r="B603" s="62"/>
      <c r="C603" s="63"/>
      <c r="D603" s="63"/>
      <c r="E603" s="62"/>
      <c r="F603" s="62"/>
      <c r="G603" s="62"/>
      <c r="I603" s="64" t="str">
        <f aca="false">IF($B603="","",IF(ISNUMBER(MATCH($B603,日別データ!$B$9:$B$28,0)),"✔ OK","⚠ 未登録"))</f>
        <v/>
      </c>
    </row>
    <row r="604" customFormat="false" ht="15" hidden="false" customHeight="false" outlineLevel="0" collapsed="false">
      <c r="A604" s="61"/>
      <c r="B604" s="62"/>
      <c r="C604" s="63"/>
      <c r="D604" s="63"/>
      <c r="E604" s="62"/>
      <c r="F604" s="62"/>
      <c r="G604" s="62"/>
      <c r="I604" s="64" t="str">
        <f aca="false">IF($B604="","",IF(ISNUMBER(MATCH($B604,日別データ!$B$9:$B$28,0)),"✔ OK","⚠ 未登録"))</f>
        <v/>
      </c>
    </row>
    <row r="605" customFormat="false" ht="15" hidden="false" customHeight="false" outlineLevel="0" collapsed="false">
      <c r="A605" s="61"/>
      <c r="B605" s="62"/>
      <c r="C605" s="63"/>
      <c r="D605" s="63"/>
      <c r="E605" s="62"/>
      <c r="F605" s="62"/>
      <c r="G605" s="62"/>
      <c r="I605" s="64" t="str">
        <f aca="false">IF($B605="","",IF(ISNUMBER(MATCH($B605,日別データ!$B$9:$B$28,0)),"✔ OK","⚠ 未登録"))</f>
        <v/>
      </c>
    </row>
    <row r="606" customFormat="false" ht="15" hidden="false" customHeight="false" outlineLevel="0" collapsed="false">
      <c r="A606" s="61"/>
      <c r="B606" s="62"/>
      <c r="C606" s="63"/>
      <c r="D606" s="63"/>
      <c r="E606" s="62"/>
      <c r="F606" s="62"/>
      <c r="G606" s="62"/>
      <c r="I606" s="64" t="str">
        <f aca="false">IF($B606="","",IF(ISNUMBER(MATCH($B606,日別データ!$B$9:$B$28,0)),"✔ OK","⚠ 未登録"))</f>
        <v/>
      </c>
    </row>
    <row r="607" customFormat="false" ht="15" hidden="false" customHeight="false" outlineLevel="0" collapsed="false">
      <c r="A607" s="61"/>
      <c r="B607" s="62"/>
      <c r="C607" s="63"/>
      <c r="D607" s="63"/>
      <c r="E607" s="62"/>
      <c r="F607" s="62"/>
      <c r="G607" s="62"/>
      <c r="I607" s="64" t="str">
        <f aca="false">IF($B607="","",IF(ISNUMBER(MATCH($B607,日別データ!$B$9:$B$28,0)),"✔ OK","⚠ 未登録"))</f>
        <v/>
      </c>
    </row>
    <row r="608" customFormat="false" ht="15" hidden="false" customHeight="false" outlineLevel="0" collapsed="false">
      <c r="A608" s="61"/>
      <c r="B608" s="62"/>
      <c r="C608" s="63"/>
      <c r="D608" s="63"/>
      <c r="E608" s="62"/>
      <c r="F608" s="62"/>
      <c r="G608" s="62"/>
      <c r="I608" s="64" t="str">
        <f aca="false">IF($B608="","",IF(ISNUMBER(MATCH($B608,日別データ!$B$9:$B$28,0)),"✔ OK","⚠ 未登録"))</f>
        <v/>
      </c>
    </row>
    <row r="609" customFormat="false" ht="15" hidden="false" customHeight="false" outlineLevel="0" collapsed="false">
      <c r="A609" s="61"/>
      <c r="B609" s="62"/>
      <c r="C609" s="63"/>
      <c r="D609" s="63"/>
      <c r="E609" s="62"/>
      <c r="F609" s="62"/>
      <c r="G609" s="62"/>
      <c r="I609" s="64" t="str">
        <f aca="false">IF($B609="","",IF(ISNUMBER(MATCH($B609,日別データ!$B$9:$B$28,0)),"✔ OK","⚠ 未登録"))</f>
        <v/>
      </c>
    </row>
    <row r="610" customFormat="false" ht="15" hidden="false" customHeight="false" outlineLevel="0" collapsed="false">
      <c r="A610" s="61"/>
      <c r="B610" s="62"/>
      <c r="C610" s="63"/>
      <c r="D610" s="63"/>
      <c r="E610" s="62"/>
      <c r="F610" s="62"/>
      <c r="G610" s="62"/>
      <c r="I610" s="64" t="str">
        <f aca="false">IF($B610="","",IF(ISNUMBER(MATCH($B610,日別データ!$B$9:$B$28,0)),"✔ OK","⚠ 未登録"))</f>
        <v/>
      </c>
    </row>
    <row r="611" customFormat="false" ht="15" hidden="false" customHeight="false" outlineLevel="0" collapsed="false">
      <c r="A611" s="61"/>
      <c r="B611" s="62"/>
      <c r="C611" s="63"/>
      <c r="D611" s="63"/>
      <c r="E611" s="62"/>
      <c r="F611" s="62"/>
      <c r="G611" s="62"/>
      <c r="I611" s="64" t="str">
        <f aca="false">IF($B611="","",IF(ISNUMBER(MATCH($B611,日別データ!$B$9:$B$28,0)),"✔ OK","⚠ 未登録"))</f>
        <v/>
      </c>
    </row>
    <row r="612" customFormat="false" ht="15" hidden="false" customHeight="false" outlineLevel="0" collapsed="false">
      <c r="A612" s="61"/>
      <c r="B612" s="62"/>
      <c r="C612" s="63"/>
      <c r="D612" s="63"/>
      <c r="E612" s="62"/>
      <c r="F612" s="62"/>
      <c r="G612" s="62"/>
      <c r="I612" s="64" t="str">
        <f aca="false">IF($B612="","",IF(ISNUMBER(MATCH($B612,日別データ!$B$9:$B$28,0)),"✔ OK","⚠ 未登録"))</f>
        <v/>
      </c>
    </row>
    <row r="613" customFormat="false" ht="15" hidden="false" customHeight="false" outlineLevel="0" collapsed="false">
      <c r="A613" s="61"/>
      <c r="B613" s="62"/>
      <c r="C613" s="63"/>
      <c r="D613" s="63"/>
      <c r="E613" s="62"/>
      <c r="F613" s="62"/>
      <c r="G613" s="62"/>
      <c r="I613" s="64" t="str">
        <f aca="false">IF($B613="","",IF(ISNUMBER(MATCH($B613,日別データ!$B$9:$B$28,0)),"✔ OK","⚠ 未登録"))</f>
        <v/>
      </c>
    </row>
    <row r="614" customFormat="false" ht="15" hidden="false" customHeight="false" outlineLevel="0" collapsed="false">
      <c r="A614" s="61"/>
      <c r="B614" s="62"/>
      <c r="C614" s="63"/>
      <c r="D614" s="63"/>
      <c r="E614" s="62"/>
      <c r="F614" s="62"/>
      <c r="G614" s="62"/>
      <c r="I614" s="64" t="str">
        <f aca="false">IF($B614="","",IF(ISNUMBER(MATCH($B614,日別データ!$B$9:$B$28,0)),"✔ OK","⚠ 未登録"))</f>
        <v/>
      </c>
    </row>
    <row r="615" customFormat="false" ht="15" hidden="false" customHeight="false" outlineLevel="0" collapsed="false">
      <c r="A615" s="61"/>
      <c r="B615" s="62"/>
      <c r="C615" s="63"/>
      <c r="D615" s="63"/>
      <c r="E615" s="62"/>
      <c r="F615" s="62"/>
      <c r="G615" s="62"/>
      <c r="I615" s="64" t="str">
        <f aca="false">IF($B615="","",IF(ISNUMBER(MATCH($B615,日別データ!$B$9:$B$28,0)),"✔ OK","⚠ 未登録"))</f>
        <v/>
      </c>
    </row>
    <row r="616" customFormat="false" ht="15" hidden="false" customHeight="false" outlineLevel="0" collapsed="false">
      <c r="A616" s="61"/>
      <c r="B616" s="62"/>
      <c r="C616" s="63"/>
      <c r="D616" s="63"/>
      <c r="E616" s="62"/>
      <c r="F616" s="62"/>
      <c r="G616" s="62"/>
      <c r="I616" s="64" t="str">
        <f aca="false">IF($B616="","",IF(ISNUMBER(MATCH($B616,日別データ!$B$9:$B$28,0)),"✔ OK","⚠ 未登録"))</f>
        <v/>
      </c>
    </row>
    <row r="617" customFormat="false" ht="15" hidden="false" customHeight="false" outlineLevel="0" collapsed="false">
      <c r="A617" s="61"/>
      <c r="B617" s="62"/>
      <c r="C617" s="63"/>
      <c r="D617" s="63"/>
      <c r="E617" s="62"/>
      <c r="F617" s="62"/>
      <c r="G617" s="62"/>
      <c r="I617" s="64" t="str">
        <f aca="false">IF($B617="","",IF(ISNUMBER(MATCH($B617,日別データ!$B$9:$B$28,0)),"✔ OK","⚠ 未登録"))</f>
        <v/>
      </c>
    </row>
    <row r="618" customFormat="false" ht="15" hidden="false" customHeight="false" outlineLevel="0" collapsed="false">
      <c r="A618" s="61"/>
      <c r="B618" s="62"/>
      <c r="C618" s="63"/>
      <c r="D618" s="63"/>
      <c r="E618" s="62"/>
      <c r="F618" s="62"/>
      <c r="G618" s="62"/>
      <c r="I618" s="64" t="str">
        <f aca="false">IF($B618="","",IF(ISNUMBER(MATCH($B618,日別データ!$B$9:$B$28,0)),"✔ OK","⚠ 未登録"))</f>
        <v/>
      </c>
    </row>
    <row r="619" customFormat="false" ht="15" hidden="false" customHeight="false" outlineLevel="0" collapsed="false">
      <c r="A619" s="61"/>
      <c r="B619" s="62"/>
      <c r="C619" s="63"/>
      <c r="D619" s="63"/>
      <c r="E619" s="62"/>
      <c r="F619" s="62"/>
      <c r="G619" s="62"/>
      <c r="I619" s="64" t="str">
        <f aca="false">IF($B619="","",IF(ISNUMBER(MATCH($B619,日別データ!$B$9:$B$28,0)),"✔ OK","⚠ 未登録"))</f>
        <v/>
      </c>
    </row>
    <row r="620" customFormat="false" ht="15" hidden="false" customHeight="false" outlineLevel="0" collapsed="false">
      <c r="A620" s="61"/>
      <c r="B620" s="62"/>
      <c r="C620" s="63"/>
      <c r="D620" s="63"/>
      <c r="E620" s="62"/>
      <c r="F620" s="62"/>
      <c r="G620" s="62"/>
      <c r="I620" s="64" t="str">
        <f aca="false">IF($B620="","",IF(ISNUMBER(MATCH($B620,日別データ!$B$9:$B$28,0)),"✔ OK","⚠ 未登録"))</f>
        <v/>
      </c>
    </row>
    <row r="621" customFormat="false" ht="15" hidden="false" customHeight="false" outlineLevel="0" collapsed="false">
      <c r="A621" s="61"/>
      <c r="B621" s="62"/>
      <c r="C621" s="63"/>
      <c r="D621" s="63"/>
      <c r="E621" s="62"/>
      <c r="F621" s="62"/>
      <c r="G621" s="62"/>
      <c r="I621" s="64" t="str">
        <f aca="false">IF($B621="","",IF(ISNUMBER(MATCH($B621,日別データ!$B$9:$B$28,0)),"✔ OK","⚠ 未登録"))</f>
        <v/>
      </c>
    </row>
    <row r="622" customFormat="false" ht="15" hidden="false" customHeight="false" outlineLevel="0" collapsed="false">
      <c r="A622" s="61"/>
      <c r="B622" s="62"/>
      <c r="C622" s="63"/>
      <c r="D622" s="63"/>
      <c r="E622" s="62"/>
      <c r="F622" s="62"/>
      <c r="G622" s="62"/>
      <c r="I622" s="64" t="str">
        <f aca="false">IF($B622="","",IF(ISNUMBER(MATCH($B622,日別データ!$B$9:$B$28,0)),"✔ OK","⚠ 未登録"))</f>
        <v/>
      </c>
    </row>
    <row r="623" customFormat="false" ht="15" hidden="false" customHeight="false" outlineLevel="0" collapsed="false">
      <c r="A623" s="61"/>
      <c r="B623" s="62"/>
      <c r="C623" s="63"/>
      <c r="D623" s="63"/>
      <c r="E623" s="62"/>
      <c r="F623" s="62"/>
      <c r="G623" s="62"/>
      <c r="I623" s="64" t="str">
        <f aca="false">IF($B623="","",IF(ISNUMBER(MATCH($B623,日別データ!$B$9:$B$28,0)),"✔ OK","⚠ 未登録"))</f>
        <v/>
      </c>
    </row>
    <row r="624" customFormat="false" ht="15" hidden="false" customHeight="false" outlineLevel="0" collapsed="false">
      <c r="A624" s="61"/>
      <c r="B624" s="62"/>
      <c r="C624" s="63"/>
      <c r="D624" s="63"/>
      <c r="E624" s="62"/>
      <c r="F624" s="62"/>
      <c r="G624" s="62"/>
      <c r="I624" s="64" t="str">
        <f aca="false">IF($B624="","",IF(ISNUMBER(MATCH($B624,日別データ!$B$9:$B$28,0)),"✔ OK","⚠ 未登録"))</f>
        <v/>
      </c>
    </row>
    <row r="625" customFormat="false" ht="15" hidden="false" customHeight="false" outlineLevel="0" collapsed="false">
      <c r="A625" s="61"/>
      <c r="B625" s="62"/>
      <c r="C625" s="63"/>
      <c r="D625" s="63"/>
      <c r="E625" s="62"/>
      <c r="F625" s="62"/>
      <c r="G625" s="62"/>
      <c r="I625" s="64" t="str">
        <f aca="false">IF($B625="","",IF(ISNUMBER(MATCH($B625,日別データ!$B$9:$B$28,0)),"✔ OK","⚠ 未登録"))</f>
        <v/>
      </c>
    </row>
    <row r="626" customFormat="false" ht="15" hidden="false" customHeight="false" outlineLevel="0" collapsed="false">
      <c r="A626" s="61"/>
      <c r="B626" s="62"/>
      <c r="C626" s="63"/>
      <c r="D626" s="63"/>
      <c r="E626" s="62"/>
      <c r="F626" s="62"/>
      <c r="G626" s="62"/>
      <c r="I626" s="64" t="str">
        <f aca="false">IF($B626="","",IF(ISNUMBER(MATCH($B626,日別データ!$B$9:$B$28,0)),"✔ OK","⚠ 未登録"))</f>
        <v/>
      </c>
    </row>
    <row r="627" customFormat="false" ht="15" hidden="false" customHeight="false" outlineLevel="0" collapsed="false">
      <c r="A627" s="61"/>
      <c r="B627" s="62"/>
      <c r="C627" s="63"/>
      <c r="D627" s="63"/>
      <c r="E627" s="62"/>
      <c r="F627" s="62"/>
      <c r="G627" s="62"/>
      <c r="I627" s="64" t="str">
        <f aca="false">IF($B627="","",IF(ISNUMBER(MATCH($B627,日別データ!$B$9:$B$28,0)),"✔ OK","⚠ 未登録"))</f>
        <v/>
      </c>
    </row>
    <row r="628" customFormat="false" ht="15" hidden="false" customHeight="false" outlineLevel="0" collapsed="false">
      <c r="A628" s="61"/>
      <c r="B628" s="62"/>
      <c r="C628" s="63"/>
      <c r="D628" s="63"/>
      <c r="E628" s="62"/>
      <c r="F628" s="62"/>
      <c r="G628" s="62"/>
      <c r="I628" s="64" t="str">
        <f aca="false">IF($B628="","",IF(ISNUMBER(MATCH($B628,日別データ!$B$9:$B$28,0)),"✔ OK","⚠ 未登録"))</f>
        <v/>
      </c>
    </row>
    <row r="629" customFormat="false" ht="15" hidden="false" customHeight="false" outlineLevel="0" collapsed="false">
      <c r="A629" s="61"/>
      <c r="B629" s="62"/>
      <c r="C629" s="63"/>
      <c r="D629" s="63"/>
      <c r="E629" s="62"/>
      <c r="F629" s="62"/>
      <c r="G629" s="62"/>
      <c r="I629" s="64" t="str">
        <f aca="false">IF($B629="","",IF(ISNUMBER(MATCH($B629,日別データ!$B$9:$B$28,0)),"✔ OK","⚠ 未登録"))</f>
        <v/>
      </c>
    </row>
    <row r="630" customFormat="false" ht="15" hidden="false" customHeight="false" outlineLevel="0" collapsed="false">
      <c r="A630" s="61"/>
      <c r="B630" s="62"/>
      <c r="C630" s="63"/>
      <c r="D630" s="63"/>
      <c r="E630" s="62"/>
      <c r="F630" s="62"/>
      <c r="G630" s="62"/>
      <c r="I630" s="64" t="str">
        <f aca="false">IF($B630="","",IF(ISNUMBER(MATCH($B630,日別データ!$B$9:$B$28,0)),"✔ OK","⚠ 未登録"))</f>
        <v/>
      </c>
    </row>
    <row r="631" customFormat="false" ht="15" hidden="false" customHeight="false" outlineLevel="0" collapsed="false">
      <c r="A631" s="61"/>
      <c r="B631" s="62"/>
      <c r="C631" s="63"/>
      <c r="D631" s="63"/>
      <c r="E631" s="62"/>
      <c r="F631" s="62"/>
      <c r="G631" s="62"/>
      <c r="I631" s="64" t="str">
        <f aca="false">IF($B631="","",IF(ISNUMBER(MATCH($B631,日別データ!$B$9:$B$28,0)),"✔ OK","⚠ 未登録"))</f>
        <v/>
      </c>
    </row>
    <row r="632" customFormat="false" ht="15" hidden="false" customHeight="false" outlineLevel="0" collapsed="false">
      <c r="A632" s="61"/>
      <c r="B632" s="62"/>
      <c r="C632" s="63"/>
      <c r="D632" s="63"/>
      <c r="E632" s="62"/>
      <c r="F632" s="62"/>
      <c r="G632" s="62"/>
      <c r="I632" s="64" t="str">
        <f aca="false">IF($B632="","",IF(ISNUMBER(MATCH($B632,日別データ!$B$9:$B$28,0)),"✔ OK","⚠ 未登録"))</f>
        <v/>
      </c>
    </row>
    <row r="633" customFormat="false" ht="15" hidden="false" customHeight="false" outlineLevel="0" collapsed="false">
      <c r="A633" s="61"/>
      <c r="B633" s="62"/>
      <c r="C633" s="63"/>
      <c r="D633" s="63"/>
      <c r="E633" s="62"/>
      <c r="F633" s="62"/>
      <c r="G633" s="62"/>
      <c r="I633" s="64" t="str">
        <f aca="false">IF($B633="","",IF(ISNUMBER(MATCH($B633,日別データ!$B$9:$B$28,0)),"✔ OK","⚠ 未登録"))</f>
        <v/>
      </c>
    </row>
    <row r="634" customFormat="false" ht="15" hidden="false" customHeight="false" outlineLevel="0" collapsed="false">
      <c r="A634" s="61"/>
      <c r="B634" s="62"/>
      <c r="C634" s="63"/>
      <c r="D634" s="63"/>
      <c r="E634" s="62"/>
      <c r="F634" s="62"/>
      <c r="G634" s="62"/>
      <c r="I634" s="64" t="str">
        <f aca="false">IF($B634="","",IF(ISNUMBER(MATCH($B634,日別データ!$B$9:$B$28,0)),"✔ OK","⚠ 未登録"))</f>
        <v/>
      </c>
    </row>
    <row r="635" customFormat="false" ht="15" hidden="false" customHeight="false" outlineLevel="0" collapsed="false">
      <c r="A635" s="61"/>
      <c r="B635" s="62"/>
      <c r="C635" s="63"/>
      <c r="D635" s="63"/>
      <c r="E635" s="62"/>
      <c r="F635" s="62"/>
      <c r="G635" s="62"/>
      <c r="I635" s="64" t="str">
        <f aca="false">IF($B635="","",IF(ISNUMBER(MATCH($B635,日別データ!$B$9:$B$28,0)),"✔ OK","⚠ 未登録"))</f>
        <v/>
      </c>
    </row>
    <row r="636" customFormat="false" ht="15" hidden="false" customHeight="false" outlineLevel="0" collapsed="false">
      <c r="A636" s="61"/>
      <c r="B636" s="62"/>
      <c r="C636" s="63"/>
      <c r="D636" s="63"/>
      <c r="E636" s="62"/>
      <c r="F636" s="62"/>
      <c r="G636" s="62"/>
      <c r="I636" s="64" t="str">
        <f aca="false">IF($B636="","",IF(ISNUMBER(MATCH($B636,日別データ!$B$9:$B$28,0)),"✔ OK","⚠ 未登録"))</f>
        <v/>
      </c>
    </row>
    <row r="637" customFormat="false" ht="15" hidden="false" customHeight="false" outlineLevel="0" collapsed="false">
      <c r="A637" s="61"/>
      <c r="B637" s="62"/>
      <c r="C637" s="63"/>
      <c r="D637" s="63"/>
      <c r="E637" s="62"/>
      <c r="F637" s="62"/>
      <c r="G637" s="62"/>
      <c r="I637" s="64" t="str">
        <f aca="false">IF($B637="","",IF(ISNUMBER(MATCH($B637,日別データ!$B$9:$B$28,0)),"✔ OK","⚠ 未登録"))</f>
        <v/>
      </c>
    </row>
    <row r="638" customFormat="false" ht="15" hidden="false" customHeight="false" outlineLevel="0" collapsed="false">
      <c r="A638" s="61"/>
      <c r="B638" s="62"/>
      <c r="C638" s="63"/>
      <c r="D638" s="63"/>
      <c r="E638" s="62"/>
      <c r="F638" s="62"/>
      <c r="G638" s="62"/>
      <c r="I638" s="64" t="str">
        <f aca="false">IF($B638="","",IF(ISNUMBER(MATCH($B638,日別データ!$B$9:$B$28,0)),"✔ OK","⚠ 未登録"))</f>
        <v/>
      </c>
    </row>
    <row r="639" customFormat="false" ht="15" hidden="false" customHeight="false" outlineLevel="0" collapsed="false">
      <c r="A639" s="61"/>
      <c r="B639" s="62"/>
      <c r="C639" s="63"/>
      <c r="D639" s="63"/>
      <c r="E639" s="62"/>
      <c r="F639" s="62"/>
      <c r="G639" s="62"/>
      <c r="I639" s="64" t="str">
        <f aca="false">IF($B639="","",IF(ISNUMBER(MATCH($B639,日別データ!$B$9:$B$28,0)),"✔ OK","⚠ 未登録"))</f>
        <v/>
      </c>
    </row>
    <row r="640" customFormat="false" ht="15" hidden="false" customHeight="false" outlineLevel="0" collapsed="false">
      <c r="A640" s="61"/>
      <c r="B640" s="62"/>
      <c r="C640" s="63"/>
      <c r="D640" s="63"/>
      <c r="E640" s="62"/>
      <c r="F640" s="62"/>
      <c r="G640" s="62"/>
      <c r="I640" s="64" t="str">
        <f aca="false">IF($B640="","",IF(ISNUMBER(MATCH($B640,日別データ!$B$9:$B$28,0)),"✔ OK","⚠ 未登録"))</f>
        <v/>
      </c>
    </row>
    <row r="641" customFormat="false" ht="15" hidden="false" customHeight="false" outlineLevel="0" collapsed="false">
      <c r="A641" s="61"/>
      <c r="B641" s="62"/>
      <c r="C641" s="63"/>
      <c r="D641" s="63"/>
      <c r="E641" s="62"/>
      <c r="F641" s="62"/>
      <c r="G641" s="62"/>
      <c r="I641" s="64" t="str">
        <f aca="false">IF($B641="","",IF(ISNUMBER(MATCH($B641,日別データ!$B$9:$B$28,0)),"✔ OK","⚠ 未登録"))</f>
        <v/>
      </c>
    </row>
    <row r="642" customFormat="false" ht="15" hidden="false" customHeight="false" outlineLevel="0" collapsed="false">
      <c r="A642" s="61"/>
      <c r="B642" s="62"/>
      <c r="C642" s="63"/>
      <c r="D642" s="63"/>
      <c r="E642" s="62"/>
      <c r="F642" s="62"/>
      <c r="G642" s="62"/>
      <c r="I642" s="64" t="str">
        <f aca="false">IF($B642="","",IF(ISNUMBER(MATCH($B642,日別データ!$B$9:$B$28,0)),"✔ OK","⚠ 未登録"))</f>
        <v/>
      </c>
    </row>
    <row r="643" customFormat="false" ht="15" hidden="false" customHeight="false" outlineLevel="0" collapsed="false">
      <c r="A643" s="61"/>
      <c r="B643" s="62"/>
      <c r="C643" s="63"/>
      <c r="D643" s="63"/>
      <c r="E643" s="62"/>
      <c r="F643" s="62"/>
      <c r="G643" s="62"/>
      <c r="I643" s="64" t="str">
        <f aca="false">IF($B643="","",IF(ISNUMBER(MATCH($B643,日別データ!$B$9:$B$28,0)),"✔ OK","⚠ 未登録"))</f>
        <v/>
      </c>
    </row>
    <row r="644" customFormat="false" ht="15" hidden="false" customHeight="false" outlineLevel="0" collapsed="false">
      <c r="A644" s="61"/>
      <c r="B644" s="62"/>
      <c r="C644" s="63"/>
      <c r="D644" s="63"/>
      <c r="E644" s="62"/>
      <c r="F644" s="62"/>
      <c r="G644" s="62"/>
      <c r="I644" s="64" t="str">
        <f aca="false">IF($B644="","",IF(ISNUMBER(MATCH($B644,日別データ!$B$9:$B$28,0)),"✔ OK","⚠ 未登録"))</f>
        <v/>
      </c>
    </row>
    <row r="645" customFormat="false" ht="15" hidden="false" customHeight="false" outlineLevel="0" collapsed="false">
      <c r="A645" s="61"/>
      <c r="B645" s="62"/>
      <c r="C645" s="63"/>
      <c r="D645" s="63"/>
      <c r="E645" s="62"/>
      <c r="F645" s="62"/>
      <c r="G645" s="62"/>
      <c r="I645" s="64" t="str">
        <f aca="false">IF($B645="","",IF(ISNUMBER(MATCH($B645,日別データ!$B$9:$B$28,0)),"✔ OK","⚠ 未登録"))</f>
        <v/>
      </c>
    </row>
    <row r="646" customFormat="false" ht="15" hidden="false" customHeight="false" outlineLevel="0" collapsed="false">
      <c r="A646" s="61"/>
      <c r="B646" s="62"/>
      <c r="C646" s="63"/>
      <c r="D646" s="63"/>
      <c r="E646" s="62"/>
      <c r="F646" s="62"/>
      <c r="G646" s="62"/>
      <c r="I646" s="64" t="str">
        <f aca="false">IF($B646="","",IF(ISNUMBER(MATCH($B646,日別データ!$B$9:$B$28,0)),"✔ OK","⚠ 未登録"))</f>
        <v/>
      </c>
    </row>
    <row r="647" customFormat="false" ht="15" hidden="false" customHeight="false" outlineLevel="0" collapsed="false">
      <c r="A647" s="61"/>
      <c r="B647" s="62"/>
      <c r="C647" s="63"/>
      <c r="D647" s="63"/>
      <c r="E647" s="62"/>
      <c r="F647" s="62"/>
      <c r="G647" s="62"/>
      <c r="I647" s="64" t="str">
        <f aca="false">IF($B647="","",IF(ISNUMBER(MATCH($B647,日別データ!$B$9:$B$28,0)),"✔ OK","⚠ 未登録"))</f>
        <v/>
      </c>
    </row>
    <row r="648" customFormat="false" ht="15" hidden="false" customHeight="false" outlineLevel="0" collapsed="false">
      <c r="A648" s="61"/>
      <c r="B648" s="62"/>
      <c r="C648" s="63"/>
      <c r="D648" s="63"/>
      <c r="E648" s="62"/>
      <c r="F648" s="62"/>
      <c r="G648" s="62"/>
      <c r="I648" s="64" t="str">
        <f aca="false">IF($B648="","",IF(ISNUMBER(MATCH($B648,日別データ!$B$9:$B$28,0)),"✔ OK","⚠ 未登録"))</f>
        <v/>
      </c>
    </row>
    <row r="649" customFormat="false" ht="15" hidden="false" customHeight="false" outlineLevel="0" collapsed="false">
      <c r="A649" s="61"/>
      <c r="B649" s="62"/>
      <c r="C649" s="63"/>
      <c r="D649" s="63"/>
      <c r="E649" s="62"/>
      <c r="F649" s="62"/>
      <c r="G649" s="62"/>
      <c r="I649" s="64" t="str">
        <f aca="false">IF($B649="","",IF(ISNUMBER(MATCH($B649,日別データ!$B$9:$B$28,0)),"✔ OK","⚠ 未登録"))</f>
        <v/>
      </c>
    </row>
    <row r="650" customFormat="false" ht="15" hidden="false" customHeight="false" outlineLevel="0" collapsed="false">
      <c r="A650" s="61"/>
      <c r="B650" s="62"/>
      <c r="C650" s="63"/>
      <c r="D650" s="63"/>
      <c r="E650" s="62"/>
      <c r="F650" s="62"/>
      <c r="G650" s="62"/>
      <c r="I650" s="64" t="str">
        <f aca="false">IF($B650="","",IF(ISNUMBER(MATCH($B650,日別データ!$B$9:$B$28,0)),"✔ OK","⚠ 未登録"))</f>
        <v/>
      </c>
    </row>
    <row r="651" customFormat="false" ht="15" hidden="false" customHeight="false" outlineLevel="0" collapsed="false">
      <c r="A651" s="61"/>
      <c r="B651" s="62"/>
      <c r="C651" s="63"/>
      <c r="D651" s="63"/>
      <c r="E651" s="62"/>
      <c r="F651" s="62"/>
      <c r="G651" s="62"/>
      <c r="I651" s="64" t="str">
        <f aca="false">IF($B651="","",IF(ISNUMBER(MATCH($B651,日別データ!$B$9:$B$28,0)),"✔ OK","⚠ 未登録"))</f>
        <v/>
      </c>
    </row>
    <row r="652" customFormat="false" ht="15" hidden="false" customHeight="false" outlineLevel="0" collapsed="false">
      <c r="A652" s="61"/>
      <c r="B652" s="62"/>
      <c r="C652" s="63"/>
      <c r="D652" s="63"/>
      <c r="E652" s="62"/>
      <c r="F652" s="62"/>
      <c r="G652" s="62"/>
      <c r="I652" s="64" t="str">
        <f aca="false">IF($B652="","",IF(ISNUMBER(MATCH($B652,日別データ!$B$9:$B$28,0)),"✔ OK","⚠ 未登録"))</f>
        <v/>
      </c>
    </row>
    <row r="653" customFormat="false" ht="15" hidden="false" customHeight="false" outlineLevel="0" collapsed="false">
      <c r="A653" s="61"/>
      <c r="B653" s="62"/>
      <c r="C653" s="63"/>
      <c r="D653" s="63"/>
      <c r="E653" s="62"/>
      <c r="F653" s="62"/>
      <c r="G653" s="62"/>
      <c r="I653" s="64" t="str">
        <f aca="false">IF($B653="","",IF(ISNUMBER(MATCH($B653,日別データ!$B$9:$B$28,0)),"✔ OK","⚠ 未登録"))</f>
        <v/>
      </c>
    </row>
    <row r="654" customFormat="false" ht="15" hidden="false" customHeight="false" outlineLevel="0" collapsed="false">
      <c r="A654" s="61"/>
      <c r="B654" s="62"/>
      <c r="C654" s="63"/>
      <c r="D654" s="63"/>
      <c r="E654" s="62"/>
      <c r="F654" s="62"/>
      <c r="G654" s="62"/>
      <c r="I654" s="64" t="str">
        <f aca="false">IF($B654="","",IF(ISNUMBER(MATCH($B654,日別データ!$B$9:$B$28,0)),"✔ OK","⚠ 未登録"))</f>
        <v/>
      </c>
    </row>
    <row r="655" customFormat="false" ht="15" hidden="false" customHeight="false" outlineLevel="0" collapsed="false">
      <c r="A655" s="61"/>
      <c r="B655" s="62"/>
      <c r="C655" s="63"/>
      <c r="D655" s="63"/>
      <c r="E655" s="62"/>
      <c r="F655" s="62"/>
      <c r="G655" s="62"/>
      <c r="I655" s="64" t="str">
        <f aca="false">IF($B655="","",IF(ISNUMBER(MATCH($B655,日別データ!$B$9:$B$28,0)),"✔ OK","⚠ 未登録"))</f>
        <v/>
      </c>
    </row>
    <row r="656" customFormat="false" ht="15" hidden="false" customHeight="false" outlineLevel="0" collapsed="false">
      <c r="A656" s="61"/>
      <c r="B656" s="62"/>
      <c r="C656" s="63"/>
      <c r="D656" s="63"/>
      <c r="E656" s="62"/>
      <c r="F656" s="62"/>
      <c r="G656" s="62"/>
      <c r="I656" s="64" t="str">
        <f aca="false">IF($B656="","",IF(ISNUMBER(MATCH($B656,日別データ!$B$9:$B$28,0)),"✔ OK","⚠ 未登録"))</f>
        <v/>
      </c>
    </row>
    <row r="657" customFormat="false" ht="15" hidden="false" customHeight="false" outlineLevel="0" collapsed="false">
      <c r="A657" s="61"/>
      <c r="B657" s="62"/>
      <c r="C657" s="63"/>
      <c r="D657" s="63"/>
      <c r="E657" s="62"/>
      <c r="F657" s="62"/>
      <c r="G657" s="62"/>
      <c r="I657" s="64" t="str">
        <f aca="false">IF($B657="","",IF(ISNUMBER(MATCH($B657,日別データ!$B$9:$B$28,0)),"✔ OK","⚠ 未登録"))</f>
        <v/>
      </c>
    </row>
    <row r="658" customFormat="false" ht="15" hidden="false" customHeight="false" outlineLevel="0" collapsed="false">
      <c r="A658" s="61"/>
      <c r="B658" s="62"/>
      <c r="C658" s="63"/>
      <c r="D658" s="63"/>
      <c r="E658" s="62"/>
      <c r="F658" s="62"/>
      <c r="G658" s="62"/>
      <c r="I658" s="64" t="str">
        <f aca="false">IF($B658="","",IF(ISNUMBER(MATCH($B658,日別データ!$B$9:$B$28,0)),"✔ OK","⚠ 未登録"))</f>
        <v/>
      </c>
    </row>
    <row r="659" customFormat="false" ht="15" hidden="false" customHeight="false" outlineLevel="0" collapsed="false">
      <c r="A659" s="61"/>
      <c r="B659" s="62"/>
      <c r="C659" s="63"/>
      <c r="D659" s="63"/>
      <c r="E659" s="62"/>
      <c r="F659" s="62"/>
      <c r="G659" s="62"/>
      <c r="I659" s="64" t="str">
        <f aca="false">IF($B659="","",IF(ISNUMBER(MATCH($B659,日別データ!$B$9:$B$28,0)),"✔ OK","⚠ 未登録"))</f>
        <v/>
      </c>
    </row>
    <row r="660" customFormat="false" ht="15" hidden="false" customHeight="false" outlineLevel="0" collapsed="false">
      <c r="A660" s="61"/>
      <c r="B660" s="62"/>
      <c r="C660" s="63"/>
      <c r="D660" s="63"/>
      <c r="E660" s="62"/>
      <c r="F660" s="62"/>
      <c r="G660" s="62"/>
      <c r="I660" s="64" t="str">
        <f aca="false">IF($B660="","",IF(ISNUMBER(MATCH($B660,日別データ!$B$9:$B$28,0)),"✔ OK","⚠ 未登録"))</f>
        <v/>
      </c>
    </row>
    <row r="661" customFormat="false" ht="15" hidden="false" customHeight="false" outlineLevel="0" collapsed="false">
      <c r="A661" s="61"/>
      <c r="B661" s="62"/>
      <c r="C661" s="63"/>
      <c r="D661" s="63"/>
      <c r="E661" s="62"/>
      <c r="F661" s="62"/>
      <c r="G661" s="62"/>
      <c r="I661" s="64" t="str">
        <f aca="false">IF($B661="","",IF(ISNUMBER(MATCH($B661,日別データ!$B$9:$B$28,0)),"✔ OK","⚠ 未登録"))</f>
        <v/>
      </c>
    </row>
    <row r="662" customFormat="false" ht="15" hidden="false" customHeight="false" outlineLevel="0" collapsed="false">
      <c r="A662" s="61"/>
      <c r="B662" s="62"/>
      <c r="C662" s="63"/>
      <c r="D662" s="63"/>
      <c r="E662" s="62"/>
      <c r="F662" s="62"/>
      <c r="G662" s="62"/>
      <c r="I662" s="64" t="str">
        <f aca="false">IF($B662="","",IF(ISNUMBER(MATCH($B662,日別データ!$B$9:$B$28,0)),"✔ OK","⚠ 未登録"))</f>
        <v/>
      </c>
    </row>
    <row r="663" customFormat="false" ht="15" hidden="false" customHeight="false" outlineLevel="0" collapsed="false">
      <c r="A663" s="61"/>
      <c r="B663" s="62"/>
      <c r="C663" s="63"/>
      <c r="D663" s="63"/>
      <c r="E663" s="62"/>
      <c r="F663" s="62"/>
      <c r="G663" s="62"/>
      <c r="I663" s="64" t="str">
        <f aca="false">IF($B663="","",IF(ISNUMBER(MATCH($B663,日別データ!$B$9:$B$28,0)),"✔ OK","⚠ 未登録"))</f>
        <v/>
      </c>
    </row>
    <row r="664" customFormat="false" ht="15" hidden="false" customHeight="false" outlineLevel="0" collapsed="false">
      <c r="A664" s="61"/>
      <c r="B664" s="62"/>
      <c r="C664" s="63"/>
      <c r="D664" s="63"/>
      <c r="E664" s="62"/>
      <c r="F664" s="62"/>
      <c r="G664" s="62"/>
      <c r="I664" s="64" t="str">
        <f aca="false">IF($B664="","",IF(ISNUMBER(MATCH($B664,日別データ!$B$9:$B$28,0)),"✔ OK","⚠ 未登録"))</f>
        <v/>
      </c>
    </row>
    <row r="665" customFormat="false" ht="15" hidden="false" customHeight="false" outlineLevel="0" collapsed="false">
      <c r="A665" s="61"/>
      <c r="B665" s="62"/>
      <c r="C665" s="63"/>
      <c r="D665" s="63"/>
      <c r="E665" s="62"/>
      <c r="F665" s="62"/>
      <c r="G665" s="62"/>
      <c r="I665" s="64" t="str">
        <f aca="false">IF($B665="","",IF(ISNUMBER(MATCH($B665,日別データ!$B$9:$B$28,0)),"✔ OK","⚠ 未登録"))</f>
        <v/>
      </c>
    </row>
    <row r="666" customFormat="false" ht="15" hidden="false" customHeight="false" outlineLevel="0" collapsed="false">
      <c r="A666" s="61"/>
      <c r="B666" s="62"/>
      <c r="C666" s="63"/>
      <c r="D666" s="63"/>
      <c r="E666" s="62"/>
      <c r="F666" s="62"/>
      <c r="G666" s="62"/>
      <c r="I666" s="64" t="str">
        <f aca="false">IF($B666="","",IF(ISNUMBER(MATCH($B666,日別データ!$B$9:$B$28,0)),"✔ OK","⚠ 未登録"))</f>
        <v/>
      </c>
    </row>
    <row r="667" customFormat="false" ht="15" hidden="false" customHeight="false" outlineLevel="0" collapsed="false">
      <c r="A667" s="61"/>
      <c r="B667" s="62"/>
      <c r="C667" s="63"/>
      <c r="D667" s="63"/>
      <c r="E667" s="62"/>
      <c r="F667" s="62"/>
      <c r="G667" s="62"/>
      <c r="I667" s="64" t="str">
        <f aca="false">IF($B667="","",IF(ISNUMBER(MATCH($B667,日別データ!$B$9:$B$28,0)),"✔ OK","⚠ 未登録"))</f>
        <v/>
      </c>
    </row>
    <row r="668" customFormat="false" ht="15" hidden="false" customHeight="false" outlineLevel="0" collapsed="false">
      <c r="A668" s="61"/>
      <c r="B668" s="62"/>
      <c r="C668" s="63"/>
      <c r="D668" s="63"/>
      <c r="E668" s="62"/>
      <c r="F668" s="62"/>
      <c r="G668" s="62"/>
      <c r="I668" s="64" t="str">
        <f aca="false">IF($B668="","",IF(ISNUMBER(MATCH($B668,日別データ!$B$9:$B$28,0)),"✔ OK","⚠ 未登録"))</f>
        <v/>
      </c>
    </row>
    <row r="669" customFormat="false" ht="15" hidden="false" customHeight="false" outlineLevel="0" collapsed="false">
      <c r="A669" s="61"/>
      <c r="B669" s="62"/>
      <c r="C669" s="63"/>
      <c r="D669" s="63"/>
      <c r="E669" s="62"/>
      <c r="F669" s="62"/>
      <c r="G669" s="62"/>
      <c r="I669" s="64" t="str">
        <f aca="false">IF($B669="","",IF(ISNUMBER(MATCH($B669,日別データ!$B$9:$B$28,0)),"✔ OK","⚠ 未登録"))</f>
        <v/>
      </c>
    </row>
    <row r="670" customFormat="false" ht="15" hidden="false" customHeight="false" outlineLevel="0" collapsed="false">
      <c r="A670" s="61"/>
      <c r="B670" s="62"/>
      <c r="C670" s="63"/>
      <c r="D670" s="63"/>
      <c r="E670" s="62"/>
      <c r="F670" s="62"/>
      <c r="G670" s="62"/>
      <c r="I670" s="64" t="str">
        <f aca="false">IF($B670="","",IF(ISNUMBER(MATCH($B670,日別データ!$B$9:$B$28,0)),"✔ OK","⚠ 未登録"))</f>
        <v/>
      </c>
    </row>
    <row r="671" customFormat="false" ht="15" hidden="false" customHeight="false" outlineLevel="0" collapsed="false">
      <c r="A671" s="61"/>
      <c r="B671" s="62"/>
      <c r="C671" s="63"/>
      <c r="D671" s="63"/>
      <c r="E671" s="62"/>
      <c r="F671" s="62"/>
      <c r="G671" s="62"/>
      <c r="I671" s="64" t="str">
        <f aca="false">IF($B671="","",IF(ISNUMBER(MATCH($B671,日別データ!$B$9:$B$28,0)),"✔ OK","⚠ 未登録"))</f>
        <v/>
      </c>
    </row>
    <row r="672" customFormat="false" ht="15" hidden="false" customHeight="false" outlineLevel="0" collapsed="false">
      <c r="A672" s="61"/>
      <c r="B672" s="62"/>
      <c r="C672" s="63"/>
      <c r="D672" s="63"/>
      <c r="E672" s="62"/>
      <c r="F672" s="62"/>
      <c r="G672" s="62"/>
      <c r="I672" s="64" t="str">
        <f aca="false">IF($B672="","",IF(ISNUMBER(MATCH($B672,日別データ!$B$9:$B$28,0)),"✔ OK","⚠ 未登録"))</f>
        <v/>
      </c>
    </row>
    <row r="673" customFormat="false" ht="15" hidden="false" customHeight="false" outlineLevel="0" collapsed="false">
      <c r="A673" s="61"/>
      <c r="B673" s="62"/>
      <c r="C673" s="63"/>
      <c r="D673" s="63"/>
      <c r="E673" s="62"/>
      <c r="F673" s="62"/>
      <c r="G673" s="62"/>
      <c r="I673" s="64" t="str">
        <f aca="false">IF($B673="","",IF(ISNUMBER(MATCH($B673,日別データ!$B$9:$B$28,0)),"✔ OK","⚠ 未登録"))</f>
        <v/>
      </c>
    </row>
    <row r="674" customFormat="false" ht="15" hidden="false" customHeight="false" outlineLevel="0" collapsed="false">
      <c r="A674" s="61"/>
      <c r="B674" s="62"/>
      <c r="C674" s="63"/>
      <c r="D674" s="63"/>
      <c r="E674" s="62"/>
      <c r="F674" s="62"/>
      <c r="G674" s="62"/>
      <c r="I674" s="64" t="str">
        <f aca="false">IF($B674="","",IF(ISNUMBER(MATCH($B674,日別データ!$B$9:$B$28,0)),"✔ OK","⚠ 未登録"))</f>
        <v/>
      </c>
    </row>
    <row r="675" customFormat="false" ht="15" hidden="false" customHeight="false" outlineLevel="0" collapsed="false">
      <c r="A675" s="61"/>
      <c r="B675" s="62"/>
      <c r="C675" s="63"/>
      <c r="D675" s="63"/>
      <c r="E675" s="62"/>
      <c r="F675" s="62"/>
      <c r="G675" s="62"/>
      <c r="I675" s="64" t="str">
        <f aca="false">IF($B675="","",IF(ISNUMBER(MATCH($B675,日別データ!$B$9:$B$28,0)),"✔ OK","⚠ 未登録"))</f>
        <v/>
      </c>
    </row>
    <row r="676" customFormat="false" ht="15" hidden="false" customHeight="false" outlineLevel="0" collapsed="false">
      <c r="A676" s="61"/>
      <c r="B676" s="62"/>
      <c r="C676" s="63"/>
      <c r="D676" s="63"/>
      <c r="E676" s="62"/>
      <c r="F676" s="62"/>
      <c r="G676" s="62"/>
      <c r="I676" s="64" t="str">
        <f aca="false">IF($B676="","",IF(ISNUMBER(MATCH($B676,日別データ!$B$9:$B$28,0)),"✔ OK","⚠ 未登録"))</f>
        <v/>
      </c>
    </row>
    <row r="677" customFormat="false" ht="15" hidden="false" customHeight="false" outlineLevel="0" collapsed="false">
      <c r="A677" s="61"/>
      <c r="B677" s="62"/>
      <c r="C677" s="63"/>
      <c r="D677" s="63"/>
      <c r="E677" s="62"/>
      <c r="F677" s="62"/>
      <c r="G677" s="62"/>
      <c r="I677" s="64" t="str">
        <f aca="false">IF($B677="","",IF(ISNUMBER(MATCH($B677,日別データ!$B$9:$B$28,0)),"✔ OK","⚠ 未登録"))</f>
        <v/>
      </c>
    </row>
    <row r="678" customFormat="false" ht="15" hidden="false" customHeight="false" outlineLevel="0" collapsed="false">
      <c r="A678" s="61"/>
      <c r="B678" s="62"/>
      <c r="C678" s="63"/>
      <c r="D678" s="63"/>
      <c r="E678" s="62"/>
      <c r="F678" s="62"/>
      <c r="G678" s="62"/>
      <c r="I678" s="64" t="str">
        <f aca="false">IF($B678="","",IF(ISNUMBER(MATCH($B678,日別データ!$B$9:$B$28,0)),"✔ OK","⚠ 未登録"))</f>
        <v/>
      </c>
    </row>
    <row r="679" customFormat="false" ht="15" hidden="false" customHeight="false" outlineLevel="0" collapsed="false">
      <c r="A679" s="61"/>
      <c r="B679" s="62"/>
      <c r="C679" s="63"/>
      <c r="D679" s="63"/>
      <c r="E679" s="62"/>
      <c r="F679" s="62"/>
      <c r="G679" s="62"/>
      <c r="I679" s="64" t="str">
        <f aca="false">IF($B679="","",IF(ISNUMBER(MATCH($B679,日別データ!$B$9:$B$28,0)),"✔ OK","⚠ 未登録"))</f>
        <v/>
      </c>
    </row>
    <row r="680" customFormat="false" ht="15" hidden="false" customHeight="false" outlineLevel="0" collapsed="false">
      <c r="A680" s="61"/>
      <c r="B680" s="62"/>
      <c r="C680" s="63"/>
      <c r="D680" s="63"/>
      <c r="E680" s="62"/>
      <c r="F680" s="62"/>
      <c r="G680" s="62"/>
      <c r="I680" s="64" t="str">
        <f aca="false">IF($B680="","",IF(ISNUMBER(MATCH($B680,日別データ!$B$9:$B$28,0)),"✔ OK","⚠ 未登録"))</f>
        <v/>
      </c>
    </row>
    <row r="681" customFormat="false" ht="15" hidden="false" customHeight="false" outlineLevel="0" collapsed="false">
      <c r="A681" s="61"/>
      <c r="B681" s="62"/>
      <c r="C681" s="63"/>
      <c r="D681" s="63"/>
      <c r="E681" s="62"/>
      <c r="F681" s="62"/>
      <c r="G681" s="62"/>
      <c r="I681" s="64" t="str">
        <f aca="false">IF($B681="","",IF(ISNUMBER(MATCH($B681,日別データ!$B$9:$B$28,0)),"✔ OK","⚠ 未登録"))</f>
        <v/>
      </c>
    </row>
    <row r="682" customFormat="false" ht="15" hidden="false" customHeight="false" outlineLevel="0" collapsed="false">
      <c r="A682" s="61"/>
      <c r="B682" s="62"/>
      <c r="C682" s="63"/>
      <c r="D682" s="63"/>
      <c r="E682" s="62"/>
      <c r="F682" s="62"/>
      <c r="G682" s="62"/>
      <c r="I682" s="64" t="str">
        <f aca="false">IF($B682="","",IF(ISNUMBER(MATCH($B682,日別データ!$B$9:$B$28,0)),"✔ OK","⚠ 未登録"))</f>
        <v/>
      </c>
    </row>
    <row r="683" customFormat="false" ht="15" hidden="false" customHeight="false" outlineLevel="0" collapsed="false">
      <c r="A683" s="61"/>
      <c r="B683" s="62"/>
      <c r="C683" s="63"/>
      <c r="D683" s="63"/>
      <c r="E683" s="62"/>
      <c r="F683" s="62"/>
      <c r="G683" s="62"/>
      <c r="I683" s="64" t="str">
        <f aca="false">IF($B683="","",IF(ISNUMBER(MATCH($B683,日別データ!$B$9:$B$28,0)),"✔ OK","⚠ 未登録"))</f>
        <v/>
      </c>
    </row>
    <row r="684" customFormat="false" ht="15" hidden="false" customHeight="false" outlineLevel="0" collapsed="false">
      <c r="A684" s="61"/>
      <c r="B684" s="62"/>
      <c r="C684" s="63"/>
      <c r="D684" s="63"/>
      <c r="E684" s="62"/>
      <c r="F684" s="62"/>
      <c r="G684" s="62"/>
      <c r="I684" s="64" t="str">
        <f aca="false">IF($B684="","",IF(ISNUMBER(MATCH($B684,日別データ!$B$9:$B$28,0)),"✔ OK","⚠ 未登録"))</f>
        <v/>
      </c>
    </row>
    <row r="685" customFormat="false" ht="15" hidden="false" customHeight="false" outlineLevel="0" collapsed="false">
      <c r="A685" s="61"/>
      <c r="B685" s="62"/>
      <c r="C685" s="63"/>
      <c r="D685" s="63"/>
      <c r="E685" s="62"/>
      <c r="F685" s="62"/>
      <c r="G685" s="62"/>
      <c r="I685" s="64" t="str">
        <f aca="false">IF($B685="","",IF(ISNUMBER(MATCH($B685,日別データ!$B$9:$B$28,0)),"✔ OK","⚠ 未登録"))</f>
        <v/>
      </c>
    </row>
    <row r="686" customFormat="false" ht="15" hidden="false" customHeight="false" outlineLevel="0" collapsed="false">
      <c r="A686" s="61"/>
      <c r="B686" s="62"/>
      <c r="C686" s="63"/>
      <c r="D686" s="63"/>
      <c r="E686" s="62"/>
      <c r="F686" s="62"/>
      <c r="G686" s="62"/>
      <c r="I686" s="64" t="str">
        <f aca="false">IF($B686="","",IF(ISNUMBER(MATCH($B686,日別データ!$B$9:$B$28,0)),"✔ OK","⚠ 未登録"))</f>
        <v/>
      </c>
    </row>
    <row r="687" customFormat="false" ht="15" hidden="false" customHeight="false" outlineLevel="0" collapsed="false">
      <c r="A687" s="61"/>
      <c r="B687" s="62"/>
      <c r="C687" s="63"/>
      <c r="D687" s="63"/>
      <c r="E687" s="62"/>
      <c r="F687" s="62"/>
      <c r="G687" s="62"/>
      <c r="I687" s="64" t="str">
        <f aca="false">IF($B687="","",IF(ISNUMBER(MATCH($B687,日別データ!$B$9:$B$28,0)),"✔ OK","⚠ 未登録"))</f>
        <v/>
      </c>
    </row>
    <row r="688" customFormat="false" ht="15" hidden="false" customHeight="false" outlineLevel="0" collapsed="false">
      <c r="A688" s="61"/>
      <c r="B688" s="62"/>
      <c r="C688" s="63"/>
      <c r="D688" s="63"/>
      <c r="E688" s="62"/>
      <c r="F688" s="62"/>
      <c r="G688" s="62"/>
      <c r="I688" s="64" t="str">
        <f aca="false">IF($B688="","",IF(ISNUMBER(MATCH($B688,日別データ!$B$9:$B$28,0)),"✔ OK","⚠ 未登録"))</f>
        <v/>
      </c>
    </row>
    <row r="689" customFormat="false" ht="15" hidden="false" customHeight="false" outlineLevel="0" collapsed="false">
      <c r="A689" s="61"/>
      <c r="B689" s="62"/>
      <c r="C689" s="63"/>
      <c r="D689" s="63"/>
      <c r="E689" s="62"/>
      <c r="F689" s="62"/>
      <c r="G689" s="62"/>
      <c r="I689" s="64" t="str">
        <f aca="false">IF($B689="","",IF(ISNUMBER(MATCH($B689,日別データ!$B$9:$B$28,0)),"✔ OK","⚠ 未登録"))</f>
        <v/>
      </c>
    </row>
    <row r="690" customFormat="false" ht="15" hidden="false" customHeight="false" outlineLevel="0" collapsed="false">
      <c r="A690" s="61"/>
      <c r="B690" s="62"/>
      <c r="C690" s="63"/>
      <c r="D690" s="63"/>
      <c r="E690" s="62"/>
      <c r="F690" s="62"/>
      <c r="G690" s="62"/>
      <c r="I690" s="64" t="str">
        <f aca="false">IF($B690="","",IF(ISNUMBER(MATCH($B690,日別データ!$B$9:$B$28,0)),"✔ OK","⚠ 未登録"))</f>
        <v/>
      </c>
    </row>
    <row r="691" customFormat="false" ht="15" hidden="false" customHeight="false" outlineLevel="0" collapsed="false">
      <c r="A691" s="61"/>
      <c r="B691" s="62"/>
      <c r="C691" s="63"/>
      <c r="D691" s="63"/>
      <c r="E691" s="62"/>
      <c r="F691" s="62"/>
      <c r="G691" s="62"/>
      <c r="I691" s="64" t="str">
        <f aca="false">IF($B691="","",IF(ISNUMBER(MATCH($B691,日別データ!$B$9:$B$28,0)),"✔ OK","⚠ 未登録"))</f>
        <v/>
      </c>
    </row>
    <row r="692" customFormat="false" ht="15" hidden="false" customHeight="false" outlineLevel="0" collapsed="false">
      <c r="A692" s="61"/>
      <c r="B692" s="62"/>
      <c r="C692" s="63"/>
      <c r="D692" s="63"/>
      <c r="E692" s="62"/>
      <c r="F692" s="62"/>
      <c r="G692" s="62"/>
      <c r="I692" s="64" t="str">
        <f aca="false">IF($B692="","",IF(ISNUMBER(MATCH($B692,日別データ!$B$9:$B$28,0)),"✔ OK","⚠ 未登録"))</f>
        <v/>
      </c>
    </row>
    <row r="693" customFormat="false" ht="15" hidden="false" customHeight="false" outlineLevel="0" collapsed="false">
      <c r="A693" s="61"/>
      <c r="B693" s="62"/>
      <c r="C693" s="63"/>
      <c r="D693" s="63"/>
      <c r="E693" s="62"/>
      <c r="F693" s="62"/>
      <c r="G693" s="62"/>
      <c r="I693" s="64" t="str">
        <f aca="false">IF($B693="","",IF(ISNUMBER(MATCH($B693,日別データ!$B$9:$B$28,0)),"✔ OK","⚠ 未登録"))</f>
        <v/>
      </c>
    </row>
    <row r="694" customFormat="false" ht="15" hidden="false" customHeight="false" outlineLevel="0" collapsed="false">
      <c r="A694" s="61"/>
      <c r="B694" s="62"/>
      <c r="C694" s="63"/>
      <c r="D694" s="63"/>
      <c r="E694" s="62"/>
      <c r="F694" s="62"/>
      <c r="G694" s="62"/>
      <c r="I694" s="64" t="str">
        <f aca="false">IF($B694="","",IF(ISNUMBER(MATCH($B694,日別データ!$B$9:$B$28,0)),"✔ OK","⚠ 未登録"))</f>
        <v/>
      </c>
    </row>
    <row r="695" customFormat="false" ht="15" hidden="false" customHeight="false" outlineLevel="0" collapsed="false">
      <c r="A695" s="61"/>
      <c r="B695" s="62"/>
      <c r="C695" s="63"/>
      <c r="D695" s="63"/>
      <c r="E695" s="62"/>
      <c r="F695" s="62"/>
      <c r="G695" s="62"/>
      <c r="I695" s="64" t="str">
        <f aca="false">IF($B695="","",IF(ISNUMBER(MATCH($B695,日別データ!$B$9:$B$28,0)),"✔ OK","⚠ 未登録"))</f>
        <v/>
      </c>
    </row>
    <row r="696" customFormat="false" ht="15" hidden="false" customHeight="false" outlineLevel="0" collapsed="false">
      <c r="A696" s="61"/>
      <c r="B696" s="62"/>
      <c r="C696" s="63"/>
      <c r="D696" s="63"/>
      <c r="E696" s="62"/>
      <c r="F696" s="62"/>
      <c r="G696" s="62"/>
      <c r="I696" s="64" t="str">
        <f aca="false">IF($B696="","",IF(ISNUMBER(MATCH($B696,日別データ!$B$9:$B$28,0)),"✔ OK","⚠ 未登録"))</f>
        <v/>
      </c>
    </row>
    <row r="697" customFormat="false" ht="15" hidden="false" customHeight="false" outlineLevel="0" collapsed="false">
      <c r="A697" s="61"/>
      <c r="B697" s="62"/>
      <c r="C697" s="63"/>
      <c r="D697" s="63"/>
      <c r="E697" s="62"/>
      <c r="F697" s="62"/>
      <c r="G697" s="62"/>
      <c r="I697" s="64" t="str">
        <f aca="false">IF($B697="","",IF(ISNUMBER(MATCH($B697,日別データ!$B$9:$B$28,0)),"✔ OK","⚠ 未登録"))</f>
        <v/>
      </c>
    </row>
    <row r="698" customFormat="false" ht="15" hidden="false" customHeight="false" outlineLevel="0" collapsed="false">
      <c r="A698" s="61"/>
      <c r="B698" s="62"/>
      <c r="C698" s="63"/>
      <c r="D698" s="63"/>
      <c r="E698" s="62"/>
      <c r="F698" s="62"/>
      <c r="G698" s="62"/>
      <c r="I698" s="64" t="str">
        <f aca="false">IF($B698="","",IF(ISNUMBER(MATCH($B698,日別データ!$B$9:$B$28,0)),"✔ OK","⚠ 未登録"))</f>
        <v/>
      </c>
    </row>
    <row r="699" customFormat="false" ht="15" hidden="false" customHeight="false" outlineLevel="0" collapsed="false">
      <c r="A699" s="61"/>
      <c r="B699" s="62"/>
      <c r="C699" s="63"/>
      <c r="D699" s="63"/>
      <c r="E699" s="62"/>
      <c r="F699" s="62"/>
      <c r="G699" s="62"/>
      <c r="I699" s="64" t="str">
        <f aca="false">IF($B699="","",IF(ISNUMBER(MATCH($B699,日別データ!$B$9:$B$28,0)),"✔ OK","⚠ 未登録"))</f>
        <v/>
      </c>
    </row>
    <row r="700" customFormat="false" ht="15" hidden="false" customHeight="false" outlineLevel="0" collapsed="false">
      <c r="A700" s="61"/>
      <c r="B700" s="62"/>
      <c r="C700" s="63"/>
      <c r="D700" s="63"/>
      <c r="E700" s="62"/>
      <c r="F700" s="62"/>
      <c r="G700" s="62"/>
      <c r="I700" s="64" t="str">
        <f aca="false">IF($B700="","",IF(ISNUMBER(MATCH($B700,日別データ!$B$9:$B$28,0)),"✔ OK","⚠ 未登録"))</f>
        <v/>
      </c>
    </row>
    <row r="701" customFormat="false" ht="15" hidden="false" customHeight="false" outlineLevel="0" collapsed="false">
      <c r="A701" s="61"/>
      <c r="B701" s="62"/>
      <c r="C701" s="63"/>
      <c r="D701" s="63"/>
      <c r="E701" s="62"/>
      <c r="F701" s="62"/>
      <c r="G701" s="62"/>
      <c r="I701" s="64" t="str">
        <f aca="false">IF($B701="","",IF(ISNUMBER(MATCH($B701,日別データ!$B$9:$B$28,0)),"✔ OK","⚠ 未登録"))</f>
        <v/>
      </c>
    </row>
    <row r="702" customFormat="false" ht="15" hidden="false" customHeight="false" outlineLevel="0" collapsed="false">
      <c r="A702" s="61"/>
      <c r="B702" s="62"/>
      <c r="C702" s="63"/>
      <c r="D702" s="63"/>
      <c r="E702" s="62"/>
      <c r="F702" s="62"/>
      <c r="G702" s="62"/>
      <c r="I702" s="64" t="str">
        <f aca="false">IF($B702="","",IF(ISNUMBER(MATCH($B702,日別データ!$B$9:$B$28,0)),"✔ OK","⚠ 未登録"))</f>
        <v/>
      </c>
    </row>
    <row r="703" customFormat="false" ht="15" hidden="false" customHeight="false" outlineLevel="0" collapsed="false">
      <c r="A703" s="61"/>
      <c r="B703" s="62"/>
      <c r="C703" s="63"/>
      <c r="D703" s="63"/>
      <c r="E703" s="62"/>
      <c r="F703" s="62"/>
      <c r="G703" s="62"/>
      <c r="I703" s="64" t="str">
        <f aca="false">IF($B703="","",IF(ISNUMBER(MATCH($B703,日別データ!$B$9:$B$28,0)),"✔ OK","⚠ 未登録"))</f>
        <v/>
      </c>
    </row>
    <row r="704" customFormat="false" ht="15" hidden="false" customHeight="false" outlineLevel="0" collapsed="false">
      <c r="A704" s="61"/>
      <c r="B704" s="62"/>
      <c r="C704" s="63"/>
      <c r="D704" s="63"/>
      <c r="E704" s="62"/>
      <c r="F704" s="62"/>
      <c r="G704" s="62"/>
      <c r="I704" s="64" t="str">
        <f aca="false">IF($B704="","",IF(ISNUMBER(MATCH($B704,日別データ!$B$9:$B$28,0)),"✔ OK","⚠ 未登録"))</f>
        <v/>
      </c>
    </row>
    <row r="705" customFormat="false" ht="15" hidden="false" customHeight="false" outlineLevel="0" collapsed="false">
      <c r="A705" s="61"/>
      <c r="B705" s="62"/>
      <c r="C705" s="63"/>
      <c r="D705" s="63"/>
      <c r="E705" s="62"/>
      <c r="F705" s="62"/>
      <c r="G705" s="62"/>
      <c r="I705" s="64" t="str">
        <f aca="false">IF($B705="","",IF(ISNUMBER(MATCH($B705,日別データ!$B$9:$B$28,0)),"✔ OK","⚠ 未登録"))</f>
        <v/>
      </c>
    </row>
    <row r="706" customFormat="false" ht="15" hidden="false" customHeight="false" outlineLevel="0" collapsed="false">
      <c r="A706" s="61"/>
      <c r="B706" s="62"/>
      <c r="C706" s="63"/>
      <c r="D706" s="63"/>
      <c r="E706" s="62"/>
      <c r="F706" s="62"/>
      <c r="G706" s="62"/>
      <c r="I706" s="64" t="str">
        <f aca="false">IF($B706="","",IF(ISNUMBER(MATCH($B706,日別データ!$B$9:$B$28,0)),"✔ OK","⚠ 未登録"))</f>
        <v/>
      </c>
    </row>
    <row r="707" customFormat="false" ht="15" hidden="false" customHeight="false" outlineLevel="0" collapsed="false">
      <c r="A707" s="61"/>
      <c r="B707" s="62"/>
      <c r="C707" s="63"/>
      <c r="D707" s="63"/>
      <c r="E707" s="62"/>
      <c r="F707" s="62"/>
      <c r="G707" s="62"/>
      <c r="I707" s="64" t="str">
        <f aca="false">IF($B707="","",IF(ISNUMBER(MATCH($B707,日別データ!$B$9:$B$28,0)),"✔ OK","⚠ 未登録"))</f>
        <v/>
      </c>
    </row>
    <row r="708" customFormat="false" ht="15" hidden="false" customHeight="false" outlineLevel="0" collapsed="false">
      <c r="A708" s="61"/>
      <c r="B708" s="62"/>
      <c r="C708" s="63"/>
      <c r="D708" s="63"/>
      <c r="E708" s="62"/>
      <c r="F708" s="62"/>
      <c r="G708" s="62"/>
      <c r="I708" s="64" t="str">
        <f aca="false">IF($B708="","",IF(ISNUMBER(MATCH($B708,日別データ!$B$9:$B$28,0)),"✔ OK","⚠ 未登録"))</f>
        <v/>
      </c>
    </row>
    <row r="709" customFormat="false" ht="15" hidden="false" customHeight="false" outlineLevel="0" collapsed="false">
      <c r="A709" s="61"/>
      <c r="B709" s="62"/>
      <c r="C709" s="63"/>
      <c r="D709" s="63"/>
      <c r="E709" s="62"/>
      <c r="F709" s="62"/>
      <c r="G709" s="62"/>
      <c r="I709" s="64" t="str">
        <f aca="false">IF($B709="","",IF(ISNUMBER(MATCH($B709,日別データ!$B$9:$B$28,0)),"✔ OK","⚠ 未登録"))</f>
        <v/>
      </c>
    </row>
    <row r="710" customFormat="false" ht="15" hidden="false" customHeight="false" outlineLevel="0" collapsed="false">
      <c r="A710" s="61"/>
      <c r="B710" s="62"/>
      <c r="C710" s="63"/>
      <c r="D710" s="63"/>
      <c r="E710" s="62"/>
      <c r="F710" s="62"/>
      <c r="G710" s="62"/>
      <c r="I710" s="64" t="str">
        <f aca="false">IF($B710="","",IF(ISNUMBER(MATCH($B710,日別データ!$B$9:$B$28,0)),"✔ OK","⚠ 未登録"))</f>
        <v/>
      </c>
    </row>
    <row r="711" customFormat="false" ht="15" hidden="false" customHeight="false" outlineLevel="0" collapsed="false">
      <c r="A711" s="61"/>
      <c r="B711" s="62"/>
      <c r="C711" s="63"/>
      <c r="D711" s="63"/>
      <c r="E711" s="62"/>
      <c r="F711" s="62"/>
      <c r="G711" s="62"/>
      <c r="I711" s="64" t="str">
        <f aca="false">IF($B711="","",IF(ISNUMBER(MATCH($B711,日別データ!$B$9:$B$28,0)),"✔ OK","⚠ 未登録"))</f>
        <v/>
      </c>
    </row>
    <row r="712" customFormat="false" ht="15" hidden="false" customHeight="false" outlineLevel="0" collapsed="false">
      <c r="A712" s="61"/>
      <c r="B712" s="62"/>
      <c r="C712" s="63"/>
      <c r="D712" s="63"/>
      <c r="E712" s="62"/>
      <c r="F712" s="62"/>
      <c r="G712" s="62"/>
      <c r="I712" s="64" t="str">
        <f aca="false">IF($B712="","",IF(ISNUMBER(MATCH($B712,日別データ!$B$9:$B$28,0)),"✔ OK","⚠ 未登録"))</f>
        <v/>
      </c>
    </row>
    <row r="713" customFormat="false" ht="15" hidden="false" customHeight="false" outlineLevel="0" collapsed="false">
      <c r="A713" s="61"/>
      <c r="B713" s="62"/>
      <c r="C713" s="63"/>
      <c r="D713" s="63"/>
      <c r="E713" s="62"/>
      <c r="F713" s="62"/>
      <c r="G713" s="62"/>
      <c r="I713" s="64" t="str">
        <f aca="false">IF($B713="","",IF(ISNUMBER(MATCH($B713,日別データ!$B$9:$B$28,0)),"✔ OK","⚠ 未登録"))</f>
        <v/>
      </c>
    </row>
    <row r="714" customFormat="false" ht="15" hidden="false" customHeight="false" outlineLevel="0" collapsed="false">
      <c r="A714" s="61"/>
      <c r="B714" s="62"/>
      <c r="C714" s="63"/>
      <c r="D714" s="63"/>
      <c r="E714" s="62"/>
      <c r="F714" s="62"/>
      <c r="G714" s="62"/>
      <c r="I714" s="64" t="str">
        <f aca="false">IF($B714="","",IF(ISNUMBER(MATCH($B714,日別データ!$B$9:$B$28,0)),"✔ OK","⚠ 未登録"))</f>
        <v/>
      </c>
    </row>
    <row r="715" customFormat="false" ht="15" hidden="false" customHeight="false" outlineLevel="0" collapsed="false">
      <c r="A715" s="61"/>
      <c r="B715" s="62"/>
      <c r="C715" s="63"/>
      <c r="D715" s="63"/>
      <c r="E715" s="62"/>
      <c r="F715" s="62"/>
      <c r="G715" s="62"/>
      <c r="I715" s="64" t="str">
        <f aca="false">IF($B715="","",IF(ISNUMBER(MATCH($B715,日別データ!$B$9:$B$28,0)),"✔ OK","⚠ 未登録"))</f>
        <v/>
      </c>
    </row>
    <row r="716" customFormat="false" ht="15" hidden="false" customHeight="false" outlineLevel="0" collapsed="false">
      <c r="A716" s="61"/>
      <c r="B716" s="62"/>
      <c r="C716" s="63"/>
      <c r="D716" s="63"/>
      <c r="E716" s="62"/>
      <c r="F716" s="62"/>
      <c r="G716" s="62"/>
      <c r="I716" s="64" t="str">
        <f aca="false">IF($B716="","",IF(ISNUMBER(MATCH($B716,日別データ!$B$9:$B$28,0)),"✔ OK","⚠ 未登録"))</f>
        <v/>
      </c>
    </row>
    <row r="717" customFormat="false" ht="15" hidden="false" customHeight="false" outlineLevel="0" collapsed="false">
      <c r="A717" s="61"/>
      <c r="B717" s="62"/>
      <c r="C717" s="63"/>
      <c r="D717" s="63"/>
      <c r="E717" s="62"/>
      <c r="F717" s="62"/>
      <c r="G717" s="62"/>
      <c r="I717" s="64" t="str">
        <f aca="false">IF($B717="","",IF(ISNUMBER(MATCH($B717,日別データ!$B$9:$B$28,0)),"✔ OK","⚠ 未登録"))</f>
        <v/>
      </c>
    </row>
    <row r="718" customFormat="false" ht="15" hidden="false" customHeight="false" outlineLevel="0" collapsed="false">
      <c r="A718" s="61"/>
      <c r="B718" s="62"/>
      <c r="C718" s="63"/>
      <c r="D718" s="63"/>
      <c r="E718" s="62"/>
      <c r="F718" s="62"/>
      <c r="G718" s="62"/>
      <c r="I718" s="64" t="str">
        <f aca="false">IF($B718="","",IF(ISNUMBER(MATCH($B718,日別データ!$B$9:$B$28,0)),"✔ OK","⚠ 未登録"))</f>
        <v/>
      </c>
    </row>
    <row r="719" customFormat="false" ht="15" hidden="false" customHeight="false" outlineLevel="0" collapsed="false">
      <c r="A719" s="61"/>
      <c r="B719" s="62"/>
      <c r="C719" s="63"/>
      <c r="D719" s="63"/>
      <c r="E719" s="62"/>
      <c r="F719" s="62"/>
      <c r="G719" s="62"/>
      <c r="I719" s="64" t="str">
        <f aca="false">IF($B719="","",IF(ISNUMBER(MATCH($B719,日別データ!$B$9:$B$28,0)),"✔ OK","⚠ 未登録"))</f>
        <v/>
      </c>
    </row>
    <row r="720" customFormat="false" ht="15" hidden="false" customHeight="false" outlineLevel="0" collapsed="false">
      <c r="A720" s="61"/>
      <c r="B720" s="62"/>
      <c r="C720" s="63"/>
      <c r="D720" s="63"/>
      <c r="E720" s="62"/>
      <c r="F720" s="62"/>
      <c r="G720" s="62"/>
      <c r="I720" s="64" t="str">
        <f aca="false">IF($B720="","",IF(ISNUMBER(MATCH($B720,日別データ!$B$9:$B$28,0)),"✔ OK","⚠ 未登録"))</f>
        <v/>
      </c>
    </row>
    <row r="721" customFormat="false" ht="15" hidden="false" customHeight="false" outlineLevel="0" collapsed="false">
      <c r="A721" s="61"/>
      <c r="B721" s="62"/>
      <c r="C721" s="63"/>
      <c r="D721" s="63"/>
      <c r="E721" s="62"/>
      <c r="F721" s="62"/>
      <c r="G721" s="62"/>
      <c r="I721" s="64" t="str">
        <f aca="false">IF($B721="","",IF(ISNUMBER(MATCH($B721,日別データ!$B$9:$B$28,0)),"✔ OK","⚠ 未登録"))</f>
        <v/>
      </c>
    </row>
    <row r="722" customFormat="false" ht="15" hidden="false" customHeight="false" outlineLevel="0" collapsed="false">
      <c r="A722" s="61"/>
      <c r="B722" s="62"/>
      <c r="C722" s="63"/>
      <c r="D722" s="63"/>
      <c r="E722" s="62"/>
      <c r="F722" s="62"/>
      <c r="G722" s="62"/>
      <c r="I722" s="64" t="str">
        <f aca="false">IF($B722="","",IF(ISNUMBER(MATCH($B722,日別データ!$B$9:$B$28,0)),"✔ OK","⚠ 未登録"))</f>
        <v/>
      </c>
    </row>
    <row r="723" customFormat="false" ht="15" hidden="false" customHeight="false" outlineLevel="0" collapsed="false">
      <c r="A723" s="61"/>
      <c r="B723" s="62"/>
      <c r="C723" s="63"/>
      <c r="D723" s="63"/>
      <c r="E723" s="62"/>
      <c r="F723" s="62"/>
      <c r="G723" s="62"/>
      <c r="I723" s="64" t="str">
        <f aca="false">IF($B723="","",IF(ISNUMBER(MATCH($B723,日別データ!$B$9:$B$28,0)),"✔ OK","⚠ 未登録"))</f>
        <v/>
      </c>
    </row>
    <row r="724" customFormat="false" ht="15" hidden="false" customHeight="false" outlineLevel="0" collapsed="false">
      <c r="A724" s="61"/>
      <c r="B724" s="62"/>
      <c r="C724" s="63"/>
      <c r="D724" s="63"/>
      <c r="E724" s="62"/>
      <c r="F724" s="62"/>
      <c r="G724" s="62"/>
      <c r="I724" s="64" t="str">
        <f aca="false">IF($B724="","",IF(ISNUMBER(MATCH($B724,日別データ!$B$9:$B$28,0)),"✔ OK","⚠ 未登録"))</f>
        <v/>
      </c>
    </row>
    <row r="725" customFormat="false" ht="15" hidden="false" customHeight="false" outlineLevel="0" collapsed="false">
      <c r="A725" s="61"/>
      <c r="B725" s="62"/>
      <c r="C725" s="63"/>
      <c r="D725" s="63"/>
      <c r="E725" s="62"/>
      <c r="F725" s="62"/>
      <c r="G725" s="62"/>
      <c r="I725" s="64" t="str">
        <f aca="false">IF($B725="","",IF(ISNUMBER(MATCH($B725,日別データ!$B$9:$B$28,0)),"✔ OK","⚠ 未登録"))</f>
        <v/>
      </c>
    </row>
    <row r="726" customFormat="false" ht="15" hidden="false" customHeight="false" outlineLevel="0" collapsed="false">
      <c r="A726" s="61"/>
      <c r="B726" s="62"/>
      <c r="C726" s="63"/>
      <c r="D726" s="63"/>
      <c r="E726" s="62"/>
      <c r="F726" s="62"/>
      <c r="G726" s="62"/>
      <c r="I726" s="64" t="str">
        <f aca="false">IF($B726="","",IF(ISNUMBER(MATCH($B726,日別データ!$B$9:$B$28,0)),"✔ OK","⚠ 未登録"))</f>
        <v/>
      </c>
    </row>
    <row r="727" customFormat="false" ht="15" hidden="false" customHeight="false" outlineLevel="0" collapsed="false">
      <c r="A727" s="61"/>
      <c r="B727" s="62"/>
      <c r="C727" s="63"/>
      <c r="D727" s="63"/>
      <c r="E727" s="62"/>
      <c r="F727" s="62"/>
      <c r="G727" s="62"/>
      <c r="I727" s="64" t="str">
        <f aca="false">IF($B727="","",IF(ISNUMBER(MATCH($B727,日別データ!$B$9:$B$28,0)),"✔ OK","⚠ 未登録"))</f>
        <v/>
      </c>
    </row>
    <row r="728" customFormat="false" ht="15" hidden="false" customHeight="false" outlineLevel="0" collapsed="false">
      <c r="A728" s="61"/>
      <c r="B728" s="62"/>
      <c r="C728" s="63"/>
      <c r="D728" s="63"/>
      <c r="E728" s="62"/>
      <c r="F728" s="62"/>
      <c r="G728" s="62"/>
      <c r="I728" s="64" t="str">
        <f aca="false">IF($B728="","",IF(ISNUMBER(MATCH($B728,日別データ!$B$9:$B$28,0)),"✔ OK","⚠ 未登録"))</f>
        <v/>
      </c>
    </row>
    <row r="729" customFormat="false" ht="15" hidden="false" customHeight="false" outlineLevel="0" collapsed="false">
      <c r="A729" s="61"/>
      <c r="B729" s="62"/>
      <c r="C729" s="63"/>
      <c r="D729" s="63"/>
      <c r="E729" s="62"/>
      <c r="F729" s="62"/>
      <c r="G729" s="62"/>
      <c r="I729" s="64" t="str">
        <f aca="false">IF($B729="","",IF(ISNUMBER(MATCH($B729,日別データ!$B$9:$B$28,0)),"✔ OK","⚠ 未登録"))</f>
        <v/>
      </c>
    </row>
    <row r="730" customFormat="false" ht="15" hidden="false" customHeight="false" outlineLevel="0" collapsed="false">
      <c r="A730" s="61"/>
      <c r="B730" s="62"/>
      <c r="C730" s="63"/>
      <c r="D730" s="63"/>
      <c r="E730" s="62"/>
      <c r="F730" s="62"/>
      <c r="G730" s="62"/>
      <c r="I730" s="64" t="str">
        <f aca="false">IF($B730="","",IF(ISNUMBER(MATCH($B730,日別データ!$B$9:$B$28,0)),"✔ OK","⚠ 未登録"))</f>
        <v/>
      </c>
    </row>
    <row r="731" customFormat="false" ht="15" hidden="false" customHeight="false" outlineLevel="0" collapsed="false">
      <c r="A731" s="61"/>
      <c r="B731" s="62"/>
      <c r="C731" s="63"/>
      <c r="D731" s="63"/>
      <c r="E731" s="62"/>
      <c r="F731" s="62"/>
      <c r="G731" s="62"/>
      <c r="I731" s="64" t="str">
        <f aca="false">IF($B731="","",IF(ISNUMBER(MATCH($B731,日別データ!$B$9:$B$28,0)),"✔ OK","⚠ 未登録"))</f>
        <v/>
      </c>
    </row>
    <row r="732" customFormat="false" ht="15" hidden="false" customHeight="false" outlineLevel="0" collapsed="false">
      <c r="A732" s="61"/>
      <c r="B732" s="62"/>
      <c r="C732" s="63"/>
      <c r="D732" s="63"/>
      <c r="E732" s="62"/>
      <c r="F732" s="62"/>
      <c r="G732" s="62"/>
      <c r="I732" s="64" t="str">
        <f aca="false">IF($B732="","",IF(ISNUMBER(MATCH($B732,日別データ!$B$9:$B$28,0)),"✔ OK","⚠ 未登録"))</f>
        <v/>
      </c>
    </row>
    <row r="733" customFormat="false" ht="15" hidden="false" customHeight="false" outlineLevel="0" collapsed="false">
      <c r="A733" s="61"/>
      <c r="B733" s="62"/>
      <c r="C733" s="63"/>
      <c r="D733" s="63"/>
      <c r="E733" s="62"/>
      <c r="F733" s="62"/>
      <c r="G733" s="62"/>
      <c r="I733" s="64" t="str">
        <f aca="false">IF($B733="","",IF(ISNUMBER(MATCH($B733,日別データ!$B$9:$B$28,0)),"✔ OK","⚠ 未登録"))</f>
        <v/>
      </c>
    </row>
    <row r="734" customFormat="false" ht="15" hidden="false" customHeight="false" outlineLevel="0" collapsed="false">
      <c r="A734" s="61"/>
      <c r="B734" s="62"/>
      <c r="C734" s="63"/>
      <c r="D734" s="63"/>
      <c r="E734" s="62"/>
      <c r="F734" s="62"/>
      <c r="G734" s="62"/>
      <c r="I734" s="64" t="str">
        <f aca="false">IF($B734="","",IF(ISNUMBER(MATCH($B734,日別データ!$B$9:$B$28,0)),"✔ OK","⚠ 未登録"))</f>
        <v/>
      </c>
    </row>
    <row r="735" customFormat="false" ht="15" hidden="false" customHeight="false" outlineLevel="0" collapsed="false">
      <c r="A735" s="61"/>
      <c r="B735" s="62"/>
      <c r="C735" s="63"/>
      <c r="D735" s="63"/>
      <c r="E735" s="62"/>
      <c r="F735" s="62"/>
      <c r="G735" s="62"/>
      <c r="I735" s="64" t="str">
        <f aca="false">IF($B735="","",IF(ISNUMBER(MATCH($B735,日別データ!$B$9:$B$28,0)),"✔ OK","⚠ 未登録"))</f>
        <v/>
      </c>
    </row>
    <row r="736" customFormat="false" ht="15" hidden="false" customHeight="false" outlineLevel="0" collapsed="false">
      <c r="A736" s="61"/>
      <c r="B736" s="62"/>
      <c r="C736" s="63"/>
      <c r="D736" s="63"/>
      <c r="E736" s="62"/>
      <c r="F736" s="62"/>
      <c r="G736" s="62"/>
      <c r="I736" s="64" t="str">
        <f aca="false">IF($B736="","",IF(ISNUMBER(MATCH($B736,日別データ!$B$9:$B$28,0)),"✔ OK","⚠ 未登録"))</f>
        <v/>
      </c>
    </row>
    <row r="737" customFormat="false" ht="15" hidden="false" customHeight="false" outlineLevel="0" collapsed="false">
      <c r="A737" s="61"/>
      <c r="B737" s="62"/>
      <c r="C737" s="63"/>
      <c r="D737" s="63"/>
      <c r="E737" s="62"/>
      <c r="F737" s="62"/>
      <c r="G737" s="62"/>
      <c r="I737" s="64" t="str">
        <f aca="false">IF($B737="","",IF(ISNUMBER(MATCH($B737,日別データ!$B$9:$B$28,0)),"✔ OK","⚠ 未登録"))</f>
        <v/>
      </c>
    </row>
    <row r="738" customFormat="false" ht="15" hidden="false" customHeight="false" outlineLevel="0" collapsed="false">
      <c r="A738" s="61"/>
      <c r="B738" s="62"/>
      <c r="C738" s="63"/>
      <c r="D738" s="63"/>
      <c r="E738" s="62"/>
      <c r="F738" s="62"/>
      <c r="G738" s="62"/>
      <c r="I738" s="64" t="str">
        <f aca="false">IF($B738="","",IF(ISNUMBER(MATCH($B738,日別データ!$B$9:$B$28,0)),"✔ OK","⚠ 未登録"))</f>
        <v/>
      </c>
    </row>
    <row r="739" customFormat="false" ht="15" hidden="false" customHeight="false" outlineLevel="0" collapsed="false">
      <c r="A739" s="61"/>
      <c r="B739" s="62"/>
      <c r="C739" s="63"/>
      <c r="D739" s="63"/>
      <c r="E739" s="62"/>
      <c r="F739" s="62"/>
      <c r="G739" s="62"/>
      <c r="I739" s="64" t="str">
        <f aca="false">IF($B739="","",IF(ISNUMBER(MATCH($B739,日別データ!$B$9:$B$28,0)),"✔ OK","⚠ 未登録"))</f>
        <v/>
      </c>
    </row>
    <row r="740" customFormat="false" ht="15" hidden="false" customHeight="false" outlineLevel="0" collapsed="false">
      <c r="A740" s="61"/>
      <c r="B740" s="62"/>
      <c r="C740" s="63"/>
      <c r="D740" s="63"/>
      <c r="E740" s="62"/>
      <c r="F740" s="62"/>
      <c r="G740" s="62"/>
      <c r="I740" s="64" t="str">
        <f aca="false">IF($B740="","",IF(ISNUMBER(MATCH($B740,日別データ!$B$9:$B$28,0)),"✔ OK","⚠ 未登録"))</f>
        <v/>
      </c>
    </row>
    <row r="741" customFormat="false" ht="15" hidden="false" customHeight="false" outlineLevel="0" collapsed="false">
      <c r="A741" s="61"/>
      <c r="B741" s="62"/>
      <c r="C741" s="63"/>
      <c r="D741" s="63"/>
      <c r="E741" s="62"/>
      <c r="F741" s="62"/>
      <c r="G741" s="62"/>
      <c r="I741" s="64" t="str">
        <f aca="false">IF($B741="","",IF(ISNUMBER(MATCH($B741,日別データ!$B$9:$B$28,0)),"✔ OK","⚠ 未登録"))</f>
        <v/>
      </c>
    </row>
    <row r="742" customFormat="false" ht="15" hidden="false" customHeight="false" outlineLevel="0" collapsed="false">
      <c r="A742" s="61"/>
      <c r="B742" s="62"/>
      <c r="C742" s="63"/>
      <c r="D742" s="63"/>
      <c r="E742" s="62"/>
      <c r="F742" s="62"/>
      <c r="G742" s="62"/>
      <c r="I742" s="64" t="str">
        <f aca="false">IF($B742="","",IF(ISNUMBER(MATCH($B742,日別データ!$B$9:$B$28,0)),"✔ OK","⚠ 未登録"))</f>
        <v/>
      </c>
    </row>
    <row r="743" customFormat="false" ht="15" hidden="false" customHeight="false" outlineLevel="0" collapsed="false">
      <c r="A743" s="61"/>
      <c r="B743" s="62"/>
      <c r="C743" s="63"/>
      <c r="D743" s="63"/>
      <c r="E743" s="62"/>
      <c r="F743" s="62"/>
      <c r="G743" s="62"/>
      <c r="I743" s="64" t="str">
        <f aca="false">IF($B743="","",IF(ISNUMBER(MATCH($B743,日別データ!$B$9:$B$28,0)),"✔ OK","⚠ 未登録"))</f>
        <v/>
      </c>
    </row>
    <row r="744" customFormat="false" ht="15" hidden="false" customHeight="false" outlineLevel="0" collapsed="false">
      <c r="A744" s="61"/>
      <c r="B744" s="62"/>
      <c r="C744" s="63"/>
      <c r="D744" s="63"/>
      <c r="E744" s="62"/>
      <c r="F744" s="62"/>
      <c r="G744" s="62"/>
      <c r="I744" s="64" t="str">
        <f aca="false">IF($B744="","",IF(ISNUMBER(MATCH($B744,日別データ!$B$9:$B$28,0)),"✔ OK","⚠ 未登録"))</f>
        <v/>
      </c>
    </row>
    <row r="745" customFormat="false" ht="15" hidden="false" customHeight="false" outlineLevel="0" collapsed="false">
      <c r="A745" s="61"/>
      <c r="B745" s="62"/>
      <c r="C745" s="63"/>
      <c r="D745" s="63"/>
      <c r="E745" s="62"/>
      <c r="F745" s="62"/>
      <c r="G745" s="62"/>
      <c r="I745" s="64" t="str">
        <f aca="false">IF($B745="","",IF(ISNUMBER(MATCH($B745,日別データ!$B$9:$B$28,0)),"✔ OK","⚠ 未登録"))</f>
        <v/>
      </c>
    </row>
    <row r="746" customFormat="false" ht="15" hidden="false" customHeight="false" outlineLevel="0" collapsed="false">
      <c r="A746" s="61"/>
      <c r="B746" s="62"/>
      <c r="C746" s="63"/>
      <c r="D746" s="63"/>
      <c r="E746" s="62"/>
      <c r="F746" s="62"/>
      <c r="G746" s="62"/>
      <c r="I746" s="64" t="str">
        <f aca="false">IF($B746="","",IF(ISNUMBER(MATCH($B746,日別データ!$B$9:$B$28,0)),"✔ OK","⚠ 未登録"))</f>
        <v/>
      </c>
    </row>
    <row r="747" customFormat="false" ht="15" hidden="false" customHeight="false" outlineLevel="0" collapsed="false">
      <c r="A747" s="61"/>
      <c r="B747" s="62"/>
      <c r="C747" s="63"/>
      <c r="D747" s="63"/>
      <c r="E747" s="62"/>
      <c r="F747" s="62"/>
      <c r="G747" s="62"/>
      <c r="I747" s="64" t="str">
        <f aca="false">IF($B747="","",IF(ISNUMBER(MATCH($B747,日別データ!$B$9:$B$28,0)),"✔ OK","⚠ 未登録"))</f>
        <v/>
      </c>
    </row>
    <row r="748" customFormat="false" ht="15" hidden="false" customHeight="false" outlineLevel="0" collapsed="false">
      <c r="A748" s="61"/>
      <c r="B748" s="62"/>
      <c r="C748" s="63"/>
      <c r="D748" s="63"/>
      <c r="E748" s="62"/>
      <c r="F748" s="62"/>
      <c r="G748" s="62"/>
      <c r="I748" s="64" t="str">
        <f aca="false">IF($B748="","",IF(ISNUMBER(MATCH($B748,日別データ!$B$9:$B$28,0)),"✔ OK","⚠ 未登録"))</f>
        <v/>
      </c>
    </row>
    <row r="749" customFormat="false" ht="15" hidden="false" customHeight="false" outlineLevel="0" collapsed="false">
      <c r="A749" s="61"/>
      <c r="B749" s="62"/>
      <c r="C749" s="63"/>
      <c r="D749" s="63"/>
      <c r="E749" s="62"/>
      <c r="F749" s="62"/>
      <c r="G749" s="62"/>
      <c r="I749" s="64" t="str">
        <f aca="false">IF($B749="","",IF(ISNUMBER(MATCH($B749,日別データ!$B$9:$B$28,0)),"✔ OK","⚠ 未登録"))</f>
        <v/>
      </c>
    </row>
    <row r="750" customFormat="false" ht="15" hidden="false" customHeight="false" outlineLevel="0" collapsed="false">
      <c r="A750" s="61"/>
      <c r="B750" s="62"/>
      <c r="C750" s="63"/>
      <c r="D750" s="63"/>
      <c r="E750" s="62"/>
      <c r="F750" s="62"/>
      <c r="G750" s="62"/>
      <c r="I750" s="64" t="str">
        <f aca="false">IF($B750="","",IF(ISNUMBER(MATCH($B750,日別データ!$B$9:$B$28,0)),"✔ OK","⚠ 未登録"))</f>
        <v/>
      </c>
    </row>
    <row r="751" customFormat="false" ht="15" hidden="false" customHeight="false" outlineLevel="0" collapsed="false">
      <c r="A751" s="61"/>
      <c r="B751" s="62"/>
      <c r="C751" s="63"/>
      <c r="D751" s="63"/>
      <c r="E751" s="62"/>
      <c r="F751" s="62"/>
      <c r="G751" s="62"/>
      <c r="I751" s="64" t="str">
        <f aca="false">IF($B751="","",IF(ISNUMBER(MATCH($B751,日別データ!$B$9:$B$28,0)),"✔ OK","⚠ 未登録"))</f>
        <v/>
      </c>
    </row>
    <row r="752" customFormat="false" ht="15" hidden="false" customHeight="false" outlineLevel="0" collapsed="false">
      <c r="A752" s="61"/>
      <c r="B752" s="62"/>
      <c r="C752" s="63"/>
      <c r="D752" s="63"/>
      <c r="E752" s="62"/>
      <c r="F752" s="62"/>
      <c r="G752" s="62"/>
      <c r="I752" s="64" t="str">
        <f aca="false">IF($B752="","",IF(ISNUMBER(MATCH($B752,日別データ!$B$9:$B$28,0)),"✔ OK","⚠ 未登録"))</f>
        <v/>
      </c>
    </row>
    <row r="753" customFormat="false" ht="15" hidden="false" customHeight="false" outlineLevel="0" collapsed="false">
      <c r="A753" s="61"/>
      <c r="B753" s="62"/>
      <c r="C753" s="63"/>
      <c r="D753" s="63"/>
      <c r="E753" s="62"/>
      <c r="F753" s="62"/>
      <c r="G753" s="62"/>
      <c r="I753" s="64" t="str">
        <f aca="false">IF($B753="","",IF(ISNUMBER(MATCH($B753,日別データ!$B$9:$B$28,0)),"✔ OK","⚠ 未登録"))</f>
        <v/>
      </c>
    </row>
    <row r="754" customFormat="false" ht="15" hidden="false" customHeight="false" outlineLevel="0" collapsed="false">
      <c r="A754" s="61"/>
      <c r="B754" s="62"/>
      <c r="C754" s="63"/>
      <c r="D754" s="63"/>
      <c r="E754" s="62"/>
      <c r="F754" s="62"/>
      <c r="G754" s="62"/>
      <c r="I754" s="64" t="str">
        <f aca="false">IF($B754="","",IF(ISNUMBER(MATCH($B754,日別データ!$B$9:$B$28,0)),"✔ OK","⚠ 未登録"))</f>
        <v/>
      </c>
    </row>
    <row r="755" customFormat="false" ht="15" hidden="false" customHeight="false" outlineLevel="0" collapsed="false">
      <c r="A755" s="61"/>
      <c r="B755" s="62"/>
      <c r="C755" s="63"/>
      <c r="D755" s="63"/>
      <c r="E755" s="62"/>
      <c r="F755" s="62"/>
      <c r="G755" s="62"/>
      <c r="I755" s="64" t="str">
        <f aca="false">IF($B755="","",IF(ISNUMBER(MATCH($B755,日別データ!$B$9:$B$28,0)),"✔ OK","⚠ 未登録"))</f>
        <v/>
      </c>
    </row>
    <row r="756" customFormat="false" ht="15" hidden="false" customHeight="false" outlineLevel="0" collapsed="false">
      <c r="A756" s="61"/>
      <c r="B756" s="62"/>
      <c r="C756" s="63"/>
      <c r="D756" s="63"/>
      <c r="E756" s="62"/>
      <c r="F756" s="62"/>
      <c r="G756" s="62"/>
      <c r="I756" s="64" t="str">
        <f aca="false">IF($B756="","",IF(ISNUMBER(MATCH($B756,日別データ!$B$9:$B$28,0)),"✔ OK","⚠ 未登録"))</f>
        <v/>
      </c>
    </row>
    <row r="757" customFormat="false" ht="15" hidden="false" customHeight="false" outlineLevel="0" collapsed="false">
      <c r="A757" s="61"/>
      <c r="B757" s="62"/>
      <c r="C757" s="63"/>
      <c r="D757" s="63"/>
      <c r="E757" s="62"/>
      <c r="F757" s="62"/>
      <c r="G757" s="62"/>
      <c r="I757" s="64" t="str">
        <f aca="false">IF($B757="","",IF(ISNUMBER(MATCH($B757,日別データ!$B$9:$B$28,0)),"✔ OK","⚠ 未登録"))</f>
        <v/>
      </c>
    </row>
    <row r="758" customFormat="false" ht="15" hidden="false" customHeight="false" outlineLevel="0" collapsed="false">
      <c r="A758" s="61"/>
      <c r="B758" s="62"/>
      <c r="C758" s="63"/>
      <c r="D758" s="63"/>
      <c r="E758" s="62"/>
      <c r="F758" s="62"/>
      <c r="G758" s="62"/>
      <c r="I758" s="64" t="str">
        <f aca="false">IF($B758="","",IF(ISNUMBER(MATCH($B758,日別データ!$B$9:$B$28,0)),"✔ OK","⚠ 未登録"))</f>
        <v/>
      </c>
    </row>
    <row r="759" customFormat="false" ht="15" hidden="false" customHeight="false" outlineLevel="0" collapsed="false">
      <c r="A759" s="61"/>
      <c r="B759" s="62"/>
      <c r="C759" s="63"/>
      <c r="D759" s="63"/>
      <c r="E759" s="62"/>
      <c r="F759" s="62"/>
      <c r="G759" s="62"/>
      <c r="I759" s="64" t="str">
        <f aca="false">IF($B759="","",IF(ISNUMBER(MATCH($B759,日別データ!$B$9:$B$28,0)),"✔ OK","⚠ 未登録"))</f>
        <v/>
      </c>
    </row>
    <row r="760" customFormat="false" ht="15" hidden="false" customHeight="false" outlineLevel="0" collapsed="false">
      <c r="A760" s="61"/>
      <c r="B760" s="62"/>
      <c r="C760" s="63"/>
      <c r="D760" s="63"/>
      <c r="E760" s="62"/>
      <c r="F760" s="62"/>
      <c r="G760" s="62"/>
      <c r="I760" s="64" t="str">
        <f aca="false">IF($B760="","",IF(ISNUMBER(MATCH($B760,日別データ!$B$9:$B$28,0)),"✔ OK","⚠ 未登録"))</f>
        <v/>
      </c>
    </row>
    <row r="761" customFormat="false" ht="15" hidden="false" customHeight="false" outlineLevel="0" collapsed="false">
      <c r="A761" s="61"/>
      <c r="B761" s="62"/>
      <c r="C761" s="63"/>
      <c r="D761" s="63"/>
      <c r="E761" s="62"/>
      <c r="F761" s="62"/>
      <c r="G761" s="62"/>
      <c r="I761" s="64" t="str">
        <f aca="false">IF($B761="","",IF(ISNUMBER(MATCH($B761,日別データ!$B$9:$B$28,0)),"✔ OK","⚠ 未登録"))</f>
        <v/>
      </c>
    </row>
    <row r="762" customFormat="false" ht="15" hidden="false" customHeight="false" outlineLevel="0" collapsed="false">
      <c r="A762" s="61"/>
      <c r="B762" s="62"/>
      <c r="C762" s="63"/>
      <c r="D762" s="63"/>
      <c r="E762" s="62"/>
      <c r="F762" s="62"/>
      <c r="G762" s="62"/>
      <c r="I762" s="64" t="str">
        <f aca="false">IF($B762="","",IF(ISNUMBER(MATCH($B762,日別データ!$B$9:$B$28,0)),"✔ OK","⚠ 未登録"))</f>
        <v/>
      </c>
    </row>
    <row r="763" customFormat="false" ht="15" hidden="false" customHeight="false" outlineLevel="0" collapsed="false">
      <c r="A763" s="61"/>
      <c r="B763" s="62"/>
      <c r="C763" s="63"/>
      <c r="D763" s="63"/>
      <c r="E763" s="62"/>
      <c r="F763" s="62"/>
      <c r="G763" s="62"/>
      <c r="I763" s="64" t="str">
        <f aca="false">IF($B763="","",IF(ISNUMBER(MATCH($B763,日別データ!$B$9:$B$28,0)),"✔ OK","⚠ 未登録"))</f>
        <v/>
      </c>
    </row>
    <row r="764" customFormat="false" ht="15" hidden="false" customHeight="false" outlineLevel="0" collapsed="false">
      <c r="A764" s="61"/>
      <c r="B764" s="62"/>
      <c r="C764" s="63"/>
      <c r="D764" s="63"/>
      <c r="E764" s="62"/>
      <c r="F764" s="62"/>
      <c r="G764" s="62"/>
      <c r="I764" s="64" t="str">
        <f aca="false">IF($B764="","",IF(ISNUMBER(MATCH($B764,日別データ!$B$9:$B$28,0)),"✔ OK","⚠ 未登録"))</f>
        <v/>
      </c>
    </row>
    <row r="765" customFormat="false" ht="15" hidden="false" customHeight="false" outlineLevel="0" collapsed="false">
      <c r="A765" s="61"/>
      <c r="B765" s="62"/>
      <c r="C765" s="63"/>
      <c r="D765" s="63"/>
      <c r="E765" s="62"/>
      <c r="F765" s="62"/>
      <c r="G765" s="62"/>
      <c r="I765" s="64" t="str">
        <f aca="false">IF($B765="","",IF(ISNUMBER(MATCH($B765,日別データ!$B$9:$B$28,0)),"✔ OK","⚠ 未登録"))</f>
        <v/>
      </c>
    </row>
    <row r="766" customFormat="false" ht="15" hidden="false" customHeight="false" outlineLevel="0" collapsed="false">
      <c r="A766" s="61"/>
      <c r="B766" s="62"/>
      <c r="C766" s="63"/>
      <c r="D766" s="63"/>
      <c r="E766" s="62"/>
      <c r="F766" s="62"/>
      <c r="G766" s="62"/>
      <c r="I766" s="64" t="str">
        <f aca="false">IF($B766="","",IF(ISNUMBER(MATCH($B766,日別データ!$B$9:$B$28,0)),"✔ OK","⚠ 未登録"))</f>
        <v/>
      </c>
    </row>
    <row r="767" customFormat="false" ht="15" hidden="false" customHeight="false" outlineLevel="0" collapsed="false">
      <c r="A767" s="61"/>
      <c r="B767" s="62"/>
      <c r="C767" s="63"/>
      <c r="D767" s="63"/>
      <c r="E767" s="62"/>
      <c r="F767" s="62"/>
      <c r="G767" s="62"/>
      <c r="I767" s="64" t="str">
        <f aca="false">IF($B767="","",IF(ISNUMBER(MATCH($B767,日別データ!$B$9:$B$28,0)),"✔ OK","⚠ 未登録"))</f>
        <v/>
      </c>
    </row>
    <row r="768" customFormat="false" ht="15" hidden="false" customHeight="false" outlineLevel="0" collapsed="false">
      <c r="A768" s="61"/>
      <c r="B768" s="62"/>
      <c r="C768" s="63"/>
      <c r="D768" s="63"/>
      <c r="E768" s="62"/>
      <c r="F768" s="62"/>
      <c r="G768" s="62"/>
      <c r="I768" s="64" t="str">
        <f aca="false">IF($B768="","",IF(ISNUMBER(MATCH($B768,日別データ!$B$9:$B$28,0)),"✔ OK","⚠ 未登録"))</f>
        <v/>
      </c>
    </row>
    <row r="769" customFormat="false" ht="15" hidden="false" customHeight="false" outlineLevel="0" collapsed="false">
      <c r="A769" s="61"/>
      <c r="B769" s="62"/>
      <c r="C769" s="63"/>
      <c r="D769" s="63"/>
      <c r="E769" s="62"/>
      <c r="F769" s="62"/>
      <c r="G769" s="62"/>
      <c r="I769" s="64" t="str">
        <f aca="false">IF($B769="","",IF(ISNUMBER(MATCH($B769,日別データ!$B$9:$B$28,0)),"✔ OK","⚠ 未登録"))</f>
        <v/>
      </c>
    </row>
    <row r="770" customFormat="false" ht="15" hidden="false" customHeight="false" outlineLevel="0" collapsed="false">
      <c r="A770" s="61"/>
      <c r="B770" s="62"/>
      <c r="C770" s="63"/>
      <c r="D770" s="63"/>
      <c r="E770" s="62"/>
      <c r="F770" s="62"/>
      <c r="G770" s="62"/>
      <c r="I770" s="64" t="str">
        <f aca="false">IF($B770="","",IF(ISNUMBER(MATCH($B770,日別データ!$B$9:$B$28,0)),"✔ OK","⚠ 未登録"))</f>
        <v/>
      </c>
    </row>
    <row r="771" customFormat="false" ht="15" hidden="false" customHeight="false" outlineLevel="0" collapsed="false">
      <c r="A771" s="61"/>
      <c r="B771" s="62"/>
      <c r="C771" s="63"/>
      <c r="D771" s="63"/>
      <c r="E771" s="62"/>
      <c r="F771" s="62"/>
      <c r="G771" s="62"/>
      <c r="I771" s="64" t="str">
        <f aca="false">IF($B771="","",IF(ISNUMBER(MATCH($B771,日別データ!$B$9:$B$28,0)),"✔ OK","⚠ 未登録"))</f>
        <v/>
      </c>
    </row>
    <row r="772" customFormat="false" ht="15" hidden="false" customHeight="false" outlineLevel="0" collapsed="false">
      <c r="A772" s="61"/>
      <c r="B772" s="62"/>
      <c r="C772" s="63"/>
      <c r="D772" s="63"/>
      <c r="E772" s="62"/>
      <c r="F772" s="62"/>
      <c r="G772" s="62"/>
      <c r="I772" s="64" t="str">
        <f aca="false">IF($B772="","",IF(ISNUMBER(MATCH($B772,日別データ!$B$9:$B$28,0)),"✔ OK","⚠ 未登録"))</f>
        <v/>
      </c>
    </row>
    <row r="773" customFormat="false" ht="15" hidden="false" customHeight="false" outlineLevel="0" collapsed="false">
      <c r="A773" s="61"/>
      <c r="B773" s="62"/>
      <c r="C773" s="63"/>
      <c r="D773" s="63"/>
      <c r="E773" s="62"/>
      <c r="F773" s="62"/>
      <c r="G773" s="62"/>
      <c r="I773" s="64" t="str">
        <f aca="false">IF($B773="","",IF(ISNUMBER(MATCH($B773,日別データ!$B$9:$B$28,0)),"✔ OK","⚠ 未登録"))</f>
        <v/>
      </c>
    </row>
    <row r="774" customFormat="false" ht="15" hidden="false" customHeight="false" outlineLevel="0" collapsed="false">
      <c r="A774" s="61"/>
      <c r="B774" s="62"/>
      <c r="C774" s="63"/>
      <c r="D774" s="63"/>
      <c r="E774" s="62"/>
      <c r="F774" s="62"/>
      <c r="G774" s="62"/>
      <c r="I774" s="64" t="str">
        <f aca="false">IF($B774="","",IF(ISNUMBER(MATCH($B774,日別データ!$B$9:$B$28,0)),"✔ OK","⚠ 未登録"))</f>
        <v/>
      </c>
    </row>
    <row r="775" customFormat="false" ht="15" hidden="false" customHeight="false" outlineLevel="0" collapsed="false">
      <c r="A775" s="61"/>
      <c r="B775" s="62"/>
      <c r="C775" s="63"/>
      <c r="D775" s="63"/>
      <c r="E775" s="62"/>
      <c r="F775" s="62"/>
      <c r="G775" s="62"/>
      <c r="I775" s="64" t="str">
        <f aca="false">IF($B775="","",IF(ISNUMBER(MATCH($B775,日別データ!$B$9:$B$28,0)),"✔ OK","⚠ 未登録"))</f>
        <v/>
      </c>
    </row>
    <row r="776" customFormat="false" ht="15" hidden="false" customHeight="false" outlineLevel="0" collapsed="false">
      <c r="A776" s="61"/>
      <c r="B776" s="62"/>
      <c r="C776" s="63"/>
      <c r="D776" s="63"/>
      <c r="E776" s="62"/>
      <c r="F776" s="62"/>
      <c r="G776" s="62"/>
      <c r="I776" s="64" t="str">
        <f aca="false">IF($B776="","",IF(ISNUMBER(MATCH($B776,日別データ!$B$9:$B$28,0)),"✔ OK","⚠ 未登録"))</f>
        <v/>
      </c>
    </row>
    <row r="777" customFormat="false" ht="15" hidden="false" customHeight="false" outlineLevel="0" collapsed="false">
      <c r="A777" s="61"/>
      <c r="B777" s="62"/>
      <c r="C777" s="63"/>
      <c r="D777" s="63"/>
      <c r="E777" s="62"/>
      <c r="F777" s="62"/>
      <c r="G777" s="62"/>
      <c r="I777" s="64" t="str">
        <f aca="false">IF($B777="","",IF(ISNUMBER(MATCH($B777,日別データ!$B$9:$B$28,0)),"✔ OK","⚠ 未登録"))</f>
        <v/>
      </c>
    </row>
    <row r="778" customFormat="false" ht="15" hidden="false" customHeight="false" outlineLevel="0" collapsed="false">
      <c r="A778" s="61"/>
      <c r="B778" s="62"/>
      <c r="C778" s="63"/>
      <c r="D778" s="63"/>
      <c r="E778" s="62"/>
      <c r="F778" s="62"/>
      <c r="G778" s="62"/>
      <c r="I778" s="64" t="str">
        <f aca="false">IF($B778="","",IF(ISNUMBER(MATCH($B778,日別データ!$B$9:$B$28,0)),"✔ OK","⚠ 未登録"))</f>
        <v/>
      </c>
    </row>
    <row r="779" customFormat="false" ht="15" hidden="false" customHeight="false" outlineLevel="0" collapsed="false">
      <c r="A779" s="61"/>
      <c r="B779" s="62"/>
      <c r="C779" s="63"/>
      <c r="D779" s="63"/>
      <c r="E779" s="62"/>
      <c r="F779" s="62"/>
      <c r="G779" s="62"/>
      <c r="I779" s="64" t="str">
        <f aca="false">IF($B779="","",IF(ISNUMBER(MATCH($B779,日別データ!$B$9:$B$28,0)),"✔ OK","⚠ 未登録"))</f>
        <v/>
      </c>
    </row>
    <row r="780" customFormat="false" ht="15" hidden="false" customHeight="false" outlineLevel="0" collapsed="false">
      <c r="A780" s="61"/>
      <c r="B780" s="62"/>
      <c r="C780" s="63"/>
      <c r="D780" s="63"/>
      <c r="E780" s="62"/>
      <c r="F780" s="62"/>
      <c r="G780" s="62"/>
      <c r="I780" s="64" t="str">
        <f aca="false">IF($B780="","",IF(ISNUMBER(MATCH($B780,日別データ!$B$9:$B$28,0)),"✔ OK","⚠ 未登録"))</f>
        <v/>
      </c>
    </row>
    <row r="781" customFormat="false" ht="15" hidden="false" customHeight="false" outlineLevel="0" collapsed="false">
      <c r="A781" s="61"/>
      <c r="B781" s="62"/>
      <c r="C781" s="63"/>
      <c r="D781" s="63"/>
      <c r="E781" s="62"/>
      <c r="F781" s="62"/>
      <c r="G781" s="62"/>
      <c r="I781" s="64" t="str">
        <f aca="false">IF($B781="","",IF(ISNUMBER(MATCH($B781,日別データ!$B$9:$B$28,0)),"✔ OK","⚠ 未登録"))</f>
        <v/>
      </c>
    </row>
    <row r="782" customFormat="false" ht="15" hidden="false" customHeight="false" outlineLevel="0" collapsed="false">
      <c r="A782" s="61"/>
      <c r="B782" s="62"/>
      <c r="C782" s="63"/>
      <c r="D782" s="63"/>
      <c r="E782" s="62"/>
      <c r="F782" s="62"/>
      <c r="G782" s="62"/>
      <c r="I782" s="64" t="str">
        <f aca="false">IF($B782="","",IF(ISNUMBER(MATCH($B782,日別データ!$B$9:$B$28,0)),"✔ OK","⚠ 未登録"))</f>
        <v/>
      </c>
    </row>
    <row r="783" customFormat="false" ht="15" hidden="false" customHeight="false" outlineLevel="0" collapsed="false">
      <c r="A783" s="61"/>
      <c r="B783" s="62"/>
      <c r="C783" s="63"/>
      <c r="D783" s="63"/>
      <c r="E783" s="62"/>
      <c r="F783" s="62"/>
      <c r="G783" s="62"/>
      <c r="I783" s="64" t="str">
        <f aca="false">IF($B783="","",IF(ISNUMBER(MATCH($B783,日別データ!$B$9:$B$28,0)),"✔ OK","⚠ 未登録"))</f>
        <v/>
      </c>
    </row>
    <row r="784" customFormat="false" ht="15" hidden="false" customHeight="false" outlineLevel="0" collapsed="false">
      <c r="A784" s="61"/>
      <c r="B784" s="62"/>
      <c r="C784" s="63"/>
      <c r="D784" s="63"/>
      <c r="E784" s="62"/>
      <c r="F784" s="62"/>
      <c r="G784" s="62"/>
      <c r="I784" s="64" t="str">
        <f aca="false">IF($B784="","",IF(ISNUMBER(MATCH($B784,日別データ!$B$9:$B$28,0)),"✔ OK","⚠ 未登録"))</f>
        <v/>
      </c>
    </row>
    <row r="785" customFormat="false" ht="15" hidden="false" customHeight="false" outlineLevel="0" collapsed="false">
      <c r="A785" s="61"/>
      <c r="B785" s="62"/>
      <c r="C785" s="63"/>
      <c r="D785" s="63"/>
      <c r="E785" s="62"/>
      <c r="F785" s="62"/>
      <c r="G785" s="62"/>
      <c r="I785" s="64" t="str">
        <f aca="false">IF($B785="","",IF(ISNUMBER(MATCH($B785,日別データ!$B$9:$B$28,0)),"✔ OK","⚠ 未登録"))</f>
        <v/>
      </c>
    </row>
    <row r="786" customFormat="false" ht="15" hidden="false" customHeight="false" outlineLevel="0" collapsed="false">
      <c r="A786" s="61"/>
      <c r="B786" s="62"/>
      <c r="C786" s="63"/>
      <c r="D786" s="63"/>
      <c r="E786" s="62"/>
      <c r="F786" s="62"/>
      <c r="G786" s="62"/>
      <c r="I786" s="64" t="str">
        <f aca="false">IF($B786="","",IF(ISNUMBER(MATCH($B786,日別データ!$B$9:$B$28,0)),"✔ OK","⚠ 未登録"))</f>
        <v/>
      </c>
    </row>
    <row r="787" customFormat="false" ht="15" hidden="false" customHeight="false" outlineLevel="0" collapsed="false">
      <c r="A787" s="61"/>
      <c r="B787" s="62"/>
      <c r="C787" s="63"/>
      <c r="D787" s="63"/>
      <c r="E787" s="62"/>
      <c r="F787" s="62"/>
      <c r="G787" s="62"/>
      <c r="I787" s="64" t="str">
        <f aca="false">IF($B787="","",IF(ISNUMBER(MATCH($B787,日別データ!$B$9:$B$28,0)),"✔ OK","⚠ 未登録"))</f>
        <v/>
      </c>
    </row>
    <row r="788" customFormat="false" ht="15" hidden="false" customHeight="false" outlineLevel="0" collapsed="false">
      <c r="A788" s="61"/>
      <c r="B788" s="62"/>
      <c r="C788" s="63"/>
      <c r="D788" s="63"/>
      <c r="E788" s="62"/>
      <c r="F788" s="62"/>
      <c r="G788" s="62"/>
      <c r="I788" s="64" t="str">
        <f aca="false">IF($B788="","",IF(ISNUMBER(MATCH($B788,日別データ!$B$9:$B$28,0)),"✔ OK","⚠ 未登録"))</f>
        <v/>
      </c>
    </row>
    <row r="789" customFormat="false" ht="15" hidden="false" customHeight="false" outlineLevel="0" collapsed="false">
      <c r="A789" s="61"/>
      <c r="B789" s="62"/>
      <c r="C789" s="63"/>
      <c r="D789" s="63"/>
      <c r="E789" s="62"/>
      <c r="F789" s="62"/>
      <c r="G789" s="62"/>
      <c r="I789" s="64" t="str">
        <f aca="false">IF($B789="","",IF(ISNUMBER(MATCH($B789,日別データ!$B$9:$B$28,0)),"✔ OK","⚠ 未登録"))</f>
        <v/>
      </c>
    </row>
    <row r="790" customFormat="false" ht="15" hidden="false" customHeight="false" outlineLevel="0" collapsed="false">
      <c r="A790" s="61"/>
      <c r="B790" s="62"/>
      <c r="C790" s="63"/>
      <c r="D790" s="63"/>
      <c r="E790" s="62"/>
      <c r="F790" s="62"/>
      <c r="G790" s="62"/>
      <c r="I790" s="64" t="str">
        <f aca="false">IF($B790="","",IF(ISNUMBER(MATCH($B790,日別データ!$B$9:$B$28,0)),"✔ OK","⚠ 未登録"))</f>
        <v/>
      </c>
    </row>
    <row r="791" customFormat="false" ht="15" hidden="false" customHeight="false" outlineLevel="0" collapsed="false">
      <c r="A791" s="61"/>
      <c r="B791" s="62"/>
      <c r="C791" s="63"/>
      <c r="D791" s="63"/>
      <c r="E791" s="62"/>
      <c r="F791" s="62"/>
      <c r="G791" s="62"/>
      <c r="I791" s="64" t="str">
        <f aca="false">IF($B791="","",IF(ISNUMBER(MATCH($B791,日別データ!$B$9:$B$28,0)),"✔ OK","⚠ 未登録"))</f>
        <v/>
      </c>
    </row>
    <row r="792" customFormat="false" ht="15" hidden="false" customHeight="false" outlineLevel="0" collapsed="false">
      <c r="A792" s="61"/>
      <c r="B792" s="62"/>
      <c r="C792" s="63"/>
      <c r="D792" s="63"/>
      <c r="E792" s="62"/>
      <c r="F792" s="62"/>
      <c r="G792" s="62"/>
      <c r="I792" s="64" t="str">
        <f aca="false">IF($B792="","",IF(ISNUMBER(MATCH($B792,日別データ!$B$9:$B$28,0)),"✔ OK","⚠ 未登録"))</f>
        <v/>
      </c>
    </row>
    <row r="793" customFormat="false" ht="15" hidden="false" customHeight="false" outlineLevel="0" collapsed="false">
      <c r="A793" s="61"/>
      <c r="B793" s="62"/>
      <c r="C793" s="63"/>
      <c r="D793" s="63"/>
      <c r="E793" s="62"/>
      <c r="F793" s="62"/>
      <c r="G793" s="62"/>
      <c r="I793" s="64" t="str">
        <f aca="false">IF($B793="","",IF(ISNUMBER(MATCH($B793,日別データ!$B$9:$B$28,0)),"✔ OK","⚠ 未登録"))</f>
        <v/>
      </c>
    </row>
    <row r="794" customFormat="false" ht="15" hidden="false" customHeight="false" outlineLevel="0" collapsed="false">
      <c r="A794" s="61"/>
      <c r="B794" s="62"/>
      <c r="C794" s="63"/>
      <c r="D794" s="63"/>
      <c r="E794" s="62"/>
      <c r="F794" s="62"/>
      <c r="G794" s="62"/>
      <c r="I794" s="64" t="str">
        <f aca="false">IF($B794="","",IF(ISNUMBER(MATCH($B794,日別データ!$B$9:$B$28,0)),"✔ OK","⚠ 未登録"))</f>
        <v/>
      </c>
    </row>
    <row r="795" customFormat="false" ht="15" hidden="false" customHeight="false" outlineLevel="0" collapsed="false">
      <c r="A795" s="61"/>
      <c r="B795" s="62"/>
      <c r="C795" s="63"/>
      <c r="D795" s="63"/>
      <c r="E795" s="62"/>
      <c r="F795" s="62"/>
      <c r="G795" s="62"/>
      <c r="I795" s="64" t="str">
        <f aca="false">IF($B795="","",IF(ISNUMBER(MATCH($B795,日別データ!$B$9:$B$28,0)),"✔ OK","⚠ 未登録"))</f>
        <v/>
      </c>
    </row>
    <row r="796" customFormat="false" ht="15" hidden="false" customHeight="false" outlineLevel="0" collapsed="false">
      <c r="A796" s="61"/>
      <c r="B796" s="62"/>
      <c r="C796" s="63"/>
      <c r="D796" s="63"/>
      <c r="E796" s="62"/>
      <c r="F796" s="62"/>
      <c r="G796" s="62"/>
      <c r="I796" s="64" t="str">
        <f aca="false">IF($B796="","",IF(ISNUMBER(MATCH($B796,日別データ!$B$9:$B$28,0)),"✔ OK","⚠ 未登録"))</f>
        <v/>
      </c>
    </row>
    <row r="797" customFormat="false" ht="15" hidden="false" customHeight="false" outlineLevel="0" collapsed="false">
      <c r="A797" s="61"/>
      <c r="B797" s="62"/>
      <c r="C797" s="63"/>
      <c r="D797" s="63"/>
      <c r="E797" s="62"/>
      <c r="F797" s="62"/>
      <c r="G797" s="62"/>
      <c r="I797" s="64" t="str">
        <f aca="false">IF($B797="","",IF(ISNUMBER(MATCH($B797,日別データ!$B$9:$B$28,0)),"✔ OK","⚠ 未登録"))</f>
        <v/>
      </c>
    </row>
    <row r="798" customFormat="false" ht="15" hidden="false" customHeight="false" outlineLevel="0" collapsed="false">
      <c r="A798" s="61"/>
      <c r="B798" s="62"/>
      <c r="C798" s="63"/>
      <c r="D798" s="63"/>
      <c r="E798" s="62"/>
      <c r="F798" s="62"/>
      <c r="G798" s="62"/>
      <c r="I798" s="64" t="str">
        <f aca="false">IF($B798="","",IF(ISNUMBER(MATCH($B798,日別データ!$B$9:$B$28,0)),"✔ OK","⚠ 未登録"))</f>
        <v/>
      </c>
    </row>
    <row r="799" customFormat="false" ht="15" hidden="false" customHeight="false" outlineLevel="0" collapsed="false">
      <c r="A799" s="61"/>
      <c r="B799" s="62"/>
      <c r="C799" s="63"/>
      <c r="D799" s="63"/>
      <c r="E799" s="62"/>
      <c r="F799" s="62"/>
      <c r="G799" s="62"/>
      <c r="I799" s="64" t="str">
        <f aca="false">IF($B799="","",IF(ISNUMBER(MATCH($B799,日別データ!$B$9:$B$28,0)),"✔ OK","⚠ 未登録"))</f>
        <v/>
      </c>
    </row>
    <row r="800" customFormat="false" ht="15" hidden="false" customHeight="false" outlineLevel="0" collapsed="false">
      <c r="A800" s="61"/>
      <c r="B800" s="62"/>
      <c r="C800" s="63"/>
      <c r="D800" s="63"/>
      <c r="E800" s="62"/>
      <c r="F800" s="62"/>
      <c r="G800" s="62"/>
      <c r="I800" s="64" t="str">
        <f aca="false">IF($B800="","",IF(ISNUMBER(MATCH($B800,日別データ!$B$9:$B$28,0)),"✔ OK","⚠ 未登録"))</f>
        <v/>
      </c>
    </row>
    <row r="801" customFormat="false" ht="15" hidden="false" customHeight="false" outlineLevel="0" collapsed="false">
      <c r="A801" s="61"/>
      <c r="B801" s="62"/>
      <c r="C801" s="63"/>
      <c r="D801" s="63"/>
      <c r="E801" s="62"/>
      <c r="F801" s="62"/>
      <c r="G801" s="62"/>
      <c r="I801" s="64" t="str">
        <f aca="false">IF($B801="","",IF(ISNUMBER(MATCH($B801,日別データ!$B$9:$B$28,0)),"✔ OK","⚠ 未登録"))</f>
        <v/>
      </c>
    </row>
    <row r="802" customFormat="false" ht="15" hidden="false" customHeight="false" outlineLevel="0" collapsed="false">
      <c r="A802" s="61"/>
      <c r="B802" s="62"/>
      <c r="C802" s="63"/>
      <c r="D802" s="63"/>
      <c r="E802" s="62"/>
      <c r="F802" s="62"/>
      <c r="G802" s="62"/>
      <c r="I802" s="64" t="str">
        <f aca="false">IF($B802="","",IF(ISNUMBER(MATCH($B802,日別データ!$B$9:$B$28,0)),"✔ OK","⚠ 未登録"))</f>
        <v/>
      </c>
    </row>
    <row r="803" customFormat="false" ht="15" hidden="false" customHeight="false" outlineLevel="0" collapsed="false">
      <c r="A803" s="61"/>
      <c r="B803" s="62"/>
      <c r="C803" s="63"/>
      <c r="D803" s="63"/>
      <c r="E803" s="62"/>
      <c r="F803" s="62"/>
      <c r="G803" s="62"/>
      <c r="I803" s="64" t="str">
        <f aca="false">IF($B803="","",IF(ISNUMBER(MATCH($B803,日別データ!$B$9:$B$28,0)),"✔ OK","⚠ 未登録"))</f>
        <v/>
      </c>
    </row>
    <row r="804" customFormat="false" ht="15" hidden="false" customHeight="false" outlineLevel="0" collapsed="false">
      <c r="A804" s="61"/>
      <c r="B804" s="62"/>
      <c r="C804" s="63"/>
      <c r="D804" s="63"/>
      <c r="E804" s="62"/>
      <c r="F804" s="62"/>
      <c r="G804" s="62"/>
      <c r="I804" s="64" t="str">
        <f aca="false">IF($B804="","",IF(ISNUMBER(MATCH($B804,日別データ!$B$9:$B$28,0)),"✔ OK","⚠ 未登録"))</f>
        <v/>
      </c>
    </row>
    <row r="805" customFormat="false" ht="15" hidden="false" customHeight="false" outlineLevel="0" collapsed="false">
      <c r="A805" s="61"/>
      <c r="B805" s="62"/>
      <c r="C805" s="63"/>
      <c r="D805" s="63"/>
      <c r="E805" s="62"/>
      <c r="F805" s="62"/>
      <c r="G805" s="62"/>
      <c r="I805" s="64" t="str">
        <f aca="false">IF($B805="","",IF(ISNUMBER(MATCH($B805,日別データ!$B$9:$B$28,0)),"✔ OK","⚠ 未登録"))</f>
        <v/>
      </c>
    </row>
    <row r="806" customFormat="false" ht="15" hidden="false" customHeight="false" outlineLevel="0" collapsed="false">
      <c r="A806" s="61"/>
      <c r="B806" s="62"/>
      <c r="C806" s="63"/>
      <c r="D806" s="63"/>
      <c r="E806" s="62"/>
      <c r="F806" s="62"/>
      <c r="G806" s="62"/>
      <c r="I806" s="64" t="str">
        <f aca="false">IF($B806="","",IF(ISNUMBER(MATCH($B806,日別データ!$B$9:$B$28,0)),"✔ OK","⚠ 未登録"))</f>
        <v/>
      </c>
    </row>
    <row r="807" customFormat="false" ht="15" hidden="false" customHeight="false" outlineLevel="0" collapsed="false">
      <c r="A807" s="61"/>
      <c r="B807" s="62"/>
      <c r="C807" s="63"/>
      <c r="D807" s="63"/>
      <c r="E807" s="62"/>
      <c r="F807" s="62"/>
      <c r="G807" s="62"/>
      <c r="I807" s="64" t="str">
        <f aca="false">IF($B807="","",IF(ISNUMBER(MATCH($B807,日別データ!$B$9:$B$28,0)),"✔ OK","⚠ 未登録"))</f>
        <v/>
      </c>
    </row>
    <row r="808" customFormat="false" ht="15" hidden="false" customHeight="false" outlineLevel="0" collapsed="false">
      <c r="A808" s="61"/>
      <c r="B808" s="62"/>
      <c r="C808" s="63"/>
      <c r="D808" s="63"/>
      <c r="E808" s="62"/>
      <c r="F808" s="62"/>
      <c r="G808" s="62"/>
      <c r="I808" s="64" t="str">
        <f aca="false">IF($B808="","",IF(ISNUMBER(MATCH($B808,日別データ!$B$9:$B$28,0)),"✔ OK","⚠ 未登録"))</f>
        <v/>
      </c>
    </row>
    <row r="809" customFormat="false" ht="15" hidden="false" customHeight="false" outlineLevel="0" collapsed="false">
      <c r="A809" s="61"/>
      <c r="B809" s="62"/>
      <c r="C809" s="63"/>
      <c r="D809" s="63"/>
      <c r="E809" s="62"/>
      <c r="F809" s="62"/>
      <c r="G809" s="62"/>
      <c r="I809" s="64" t="str">
        <f aca="false">IF($B809="","",IF(ISNUMBER(MATCH($B809,日別データ!$B$9:$B$28,0)),"✔ OK","⚠ 未登録"))</f>
        <v/>
      </c>
    </row>
    <row r="810" customFormat="false" ht="15" hidden="false" customHeight="false" outlineLevel="0" collapsed="false">
      <c r="A810" s="61"/>
      <c r="B810" s="62"/>
      <c r="C810" s="63"/>
      <c r="D810" s="63"/>
      <c r="E810" s="62"/>
      <c r="F810" s="62"/>
      <c r="G810" s="62"/>
      <c r="I810" s="64" t="str">
        <f aca="false">IF($B810="","",IF(ISNUMBER(MATCH($B810,日別データ!$B$9:$B$28,0)),"✔ OK","⚠ 未登録"))</f>
        <v/>
      </c>
    </row>
    <row r="811" customFormat="false" ht="15" hidden="false" customHeight="false" outlineLevel="0" collapsed="false">
      <c r="A811" s="61"/>
      <c r="B811" s="62"/>
      <c r="C811" s="63"/>
      <c r="D811" s="63"/>
      <c r="E811" s="62"/>
      <c r="F811" s="62"/>
      <c r="G811" s="62"/>
      <c r="I811" s="64" t="str">
        <f aca="false">IF($B811="","",IF(ISNUMBER(MATCH($B811,日別データ!$B$9:$B$28,0)),"✔ OK","⚠ 未登録"))</f>
        <v/>
      </c>
    </row>
    <row r="812" customFormat="false" ht="15" hidden="false" customHeight="false" outlineLevel="0" collapsed="false">
      <c r="A812" s="61"/>
      <c r="B812" s="62"/>
      <c r="C812" s="63"/>
      <c r="D812" s="63"/>
      <c r="E812" s="62"/>
      <c r="F812" s="62"/>
      <c r="G812" s="62"/>
      <c r="I812" s="64" t="str">
        <f aca="false">IF($B812="","",IF(ISNUMBER(MATCH($B812,日別データ!$B$9:$B$28,0)),"✔ OK","⚠ 未登録"))</f>
        <v/>
      </c>
    </row>
    <row r="813" customFormat="false" ht="15" hidden="false" customHeight="false" outlineLevel="0" collapsed="false">
      <c r="A813" s="61"/>
      <c r="B813" s="62"/>
      <c r="C813" s="63"/>
      <c r="D813" s="63"/>
      <c r="E813" s="62"/>
      <c r="F813" s="62"/>
      <c r="G813" s="62"/>
      <c r="I813" s="64" t="str">
        <f aca="false">IF($B813="","",IF(ISNUMBER(MATCH($B813,日別データ!$B$9:$B$28,0)),"✔ OK","⚠ 未登録"))</f>
        <v/>
      </c>
    </row>
    <row r="814" customFormat="false" ht="15" hidden="false" customHeight="false" outlineLevel="0" collapsed="false">
      <c r="A814" s="61"/>
      <c r="B814" s="62"/>
      <c r="C814" s="63"/>
      <c r="D814" s="63"/>
      <c r="E814" s="62"/>
      <c r="F814" s="62"/>
      <c r="G814" s="62"/>
      <c r="I814" s="64" t="str">
        <f aca="false">IF($B814="","",IF(ISNUMBER(MATCH($B814,日別データ!$B$9:$B$28,0)),"✔ OK","⚠ 未登録"))</f>
        <v/>
      </c>
    </row>
    <row r="815" customFormat="false" ht="15" hidden="false" customHeight="false" outlineLevel="0" collapsed="false">
      <c r="A815" s="61"/>
      <c r="B815" s="62"/>
      <c r="C815" s="63"/>
      <c r="D815" s="63"/>
      <c r="E815" s="62"/>
      <c r="F815" s="62"/>
      <c r="G815" s="62"/>
      <c r="I815" s="64" t="str">
        <f aca="false">IF($B815="","",IF(ISNUMBER(MATCH($B815,日別データ!$B$9:$B$28,0)),"✔ OK","⚠ 未登録"))</f>
        <v/>
      </c>
    </row>
    <row r="816" customFormat="false" ht="15" hidden="false" customHeight="false" outlineLevel="0" collapsed="false">
      <c r="A816" s="61"/>
      <c r="B816" s="62"/>
      <c r="C816" s="63"/>
      <c r="D816" s="63"/>
      <c r="E816" s="62"/>
      <c r="F816" s="62"/>
      <c r="G816" s="62"/>
      <c r="I816" s="64" t="str">
        <f aca="false">IF($B816="","",IF(ISNUMBER(MATCH($B816,日別データ!$B$9:$B$28,0)),"✔ OK","⚠ 未登録"))</f>
        <v/>
      </c>
    </row>
    <row r="817" customFormat="false" ht="15" hidden="false" customHeight="false" outlineLevel="0" collapsed="false">
      <c r="A817" s="61"/>
      <c r="B817" s="62"/>
      <c r="C817" s="63"/>
      <c r="D817" s="63"/>
      <c r="E817" s="62"/>
      <c r="F817" s="62"/>
      <c r="G817" s="62"/>
      <c r="I817" s="64" t="str">
        <f aca="false">IF($B817="","",IF(ISNUMBER(MATCH($B817,日別データ!$B$9:$B$28,0)),"✔ OK","⚠ 未登録"))</f>
        <v/>
      </c>
    </row>
    <row r="818" customFormat="false" ht="15" hidden="false" customHeight="false" outlineLevel="0" collapsed="false">
      <c r="A818" s="61"/>
      <c r="B818" s="62"/>
      <c r="C818" s="63"/>
      <c r="D818" s="63"/>
      <c r="E818" s="62"/>
      <c r="F818" s="62"/>
      <c r="G818" s="62"/>
      <c r="I818" s="64" t="str">
        <f aca="false">IF($B818="","",IF(ISNUMBER(MATCH($B818,日別データ!$B$9:$B$28,0)),"✔ OK","⚠ 未登録"))</f>
        <v/>
      </c>
    </row>
    <row r="819" customFormat="false" ht="15" hidden="false" customHeight="false" outlineLevel="0" collapsed="false">
      <c r="A819" s="61"/>
      <c r="B819" s="62"/>
      <c r="C819" s="63"/>
      <c r="D819" s="63"/>
      <c r="E819" s="62"/>
      <c r="F819" s="62"/>
      <c r="G819" s="62"/>
      <c r="I819" s="64" t="str">
        <f aca="false">IF($B819="","",IF(ISNUMBER(MATCH($B819,日別データ!$B$9:$B$28,0)),"✔ OK","⚠ 未登録"))</f>
        <v/>
      </c>
    </row>
    <row r="820" customFormat="false" ht="15" hidden="false" customHeight="false" outlineLevel="0" collapsed="false">
      <c r="A820" s="61"/>
      <c r="B820" s="62"/>
      <c r="C820" s="63"/>
      <c r="D820" s="63"/>
      <c r="E820" s="62"/>
      <c r="F820" s="62"/>
      <c r="G820" s="62"/>
      <c r="I820" s="64" t="str">
        <f aca="false">IF($B820="","",IF(ISNUMBER(MATCH($B820,日別データ!$B$9:$B$28,0)),"✔ OK","⚠ 未登録"))</f>
        <v/>
      </c>
    </row>
    <row r="821" customFormat="false" ht="15" hidden="false" customHeight="false" outlineLevel="0" collapsed="false">
      <c r="A821" s="61"/>
      <c r="B821" s="62"/>
      <c r="C821" s="63"/>
      <c r="D821" s="63"/>
      <c r="E821" s="62"/>
      <c r="F821" s="62"/>
      <c r="G821" s="62"/>
      <c r="I821" s="64" t="str">
        <f aca="false">IF($B821="","",IF(ISNUMBER(MATCH($B821,日別データ!$B$9:$B$28,0)),"✔ OK","⚠ 未登録"))</f>
        <v/>
      </c>
    </row>
    <row r="822" customFormat="false" ht="15" hidden="false" customHeight="false" outlineLevel="0" collapsed="false">
      <c r="A822" s="61"/>
      <c r="B822" s="62"/>
      <c r="C822" s="63"/>
      <c r="D822" s="63"/>
      <c r="E822" s="62"/>
      <c r="F822" s="62"/>
      <c r="G822" s="62"/>
      <c r="I822" s="64" t="str">
        <f aca="false">IF($B822="","",IF(ISNUMBER(MATCH($B822,日別データ!$B$9:$B$28,0)),"✔ OK","⚠ 未登録"))</f>
        <v/>
      </c>
    </row>
    <row r="823" customFormat="false" ht="15" hidden="false" customHeight="false" outlineLevel="0" collapsed="false">
      <c r="A823" s="61"/>
      <c r="B823" s="62"/>
      <c r="C823" s="63"/>
      <c r="D823" s="63"/>
      <c r="E823" s="62"/>
      <c r="F823" s="62"/>
      <c r="G823" s="62"/>
      <c r="I823" s="64" t="str">
        <f aca="false">IF($B823="","",IF(ISNUMBER(MATCH($B823,日別データ!$B$9:$B$28,0)),"✔ OK","⚠ 未登録"))</f>
        <v/>
      </c>
    </row>
    <row r="824" customFormat="false" ht="15" hidden="false" customHeight="false" outlineLevel="0" collapsed="false">
      <c r="A824" s="61"/>
      <c r="B824" s="62"/>
      <c r="C824" s="63"/>
      <c r="D824" s="63"/>
      <c r="E824" s="62"/>
      <c r="F824" s="62"/>
      <c r="G824" s="62"/>
      <c r="I824" s="64" t="str">
        <f aca="false">IF($B824="","",IF(ISNUMBER(MATCH($B824,日別データ!$B$9:$B$28,0)),"✔ OK","⚠ 未登録"))</f>
        <v/>
      </c>
    </row>
    <row r="825" customFormat="false" ht="15" hidden="false" customHeight="false" outlineLevel="0" collapsed="false">
      <c r="A825" s="61"/>
      <c r="B825" s="62"/>
      <c r="C825" s="63"/>
      <c r="D825" s="63"/>
      <c r="E825" s="62"/>
      <c r="F825" s="62"/>
      <c r="G825" s="62"/>
      <c r="I825" s="64" t="str">
        <f aca="false">IF($B825="","",IF(ISNUMBER(MATCH($B825,日別データ!$B$9:$B$28,0)),"✔ OK","⚠ 未登録"))</f>
        <v/>
      </c>
    </row>
    <row r="826" customFormat="false" ht="15" hidden="false" customHeight="false" outlineLevel="0" collapsed="false">
      <c r="A826" s="61"/>
      <c r="B826" s="62"/>
      <c r="C826" s="63"/>
      <c r="D826" s="63"/>
      <c r="E826" s="62"/>
      <c r="F826" s="62"/>
      <c r="G826" s="62"/>
      <c r="I826" s="64" t="str">
        <f aca="false">IF($B826="","",IF(ISNUMBER(MATCH($B826,日別データ!$B$9:$B$28,0)),"✔ OK","⚠ 未登録"))</f>
        <v/>
      </c>
    </row>
    <row r="827" customFormat="false" ht="15" hidden="false" customHeight="false" outlineLevel="0" collapsed="false">
      <c r="A827" s="61"/>
      <c r="B827" s="62"/>
      <c r="C827" s="63"/>
      <c r="D827" s="63"/>
      <c r="E827" s="62"/>
      <c r="F827" s="62"/>
      <c r="G827" s="62"/>
      <c r="I827" s="64" t="str">
        <f aca="false">IF($B827="","",IF(ISNUMBER(MATCH($B827,日別データ!$B$9:$B$28,0)),"✔ OK","⚠ 未登録"))</f>
        <v/>
      </c>
    </row>
    <row r="828" customFormat="false" ht="15" hidden="false" customHeight="false" outlineLevel="0" collapsed="false">
      <c r="A828" s="61"/>
      <c r="B828" s="62"/>
      <c r="C828" s="63"/>
      <c r="D828" s="63"/>
      <c r="E828" s="62"/>
      <c r="F828" s="62"/>
      <c r="G828" s="62"/>
      <c r="I828" s="64" t="str">
        <f aca="false">IF($B828="","",IF(ISNUMBER(MATCH($B828,日別データ!$B$9:$B$28,0)),"✔ OK","⚠ 未登録"))</f>
        <v/>
      </c>
    </row>
    <row r="829" customFormat="false" ht="15" hidden="false" customHeight="false" outlineLevel="0" collapsed="false">
      <c r="A829" s="61"/>
      <c r="B829" s="62"/>
      <c r="C829" s="63"/>
      <c r="D829" s="63"/>
      <c r="E829" s="62"/>
      <c r="F829" s="62"/>
      <c r="G829" s="62"/>
      <c r="I829" s="64" t="str">
        <f aca="false">IF($B829="","",IF(ISNUMBER(MATCH($B829,日別データ!$B$9:$B$28,0)),"✔ OK","⚠ 未登録"))</f>
        <v/>
      </c>
    </row>
    <row r="830" customFormat="false" ht="15" hidden="false" customHeight="false" outlineLevel="0" collapsed="false">
      <c r="A830" s="61"/>
      <c r="B830" s="62"/>
      <c r="C830" s="63"/>
      <c r="D830" s="63"/>
      <c r="E830" s="62"/>
      <c r="F830" s="62"/>
      <c r="G830" s="62"/>
      <c r="I830" s="64" t="str">
        <f aca="false">IF($B830="","",IF(ISNUMBER(MATCH($B830,日別データ!$B$9:$B$28,0)),"✔ OK","⚠ 未登録"))</f>
        <v/>
      </c>
    </row>
    <row r="831" customFormat="false" ht="15" hidden="false" customHeight="false" outlineLevel="0" collapsed="false">
      <c r="A831" s="61"/>
      <c r="B831" s="62"/>
      <c r="C831" s="63"/>
      <c r="D831" s="63"/>
      <c r="E831" s="62"/>
      <c r="F831" s="62"/>
      <c r="G831" s="62"/>
      <c r="I831" s="64" t="str">
        <f aca="false">IF($B831="","",IF(ISNUMBER(MATCH($B831,日別データ!$B$9:$B$28,0)),"✔ OK","⚠ 未登録"))</f>
        <v/>
      </c>
    </row>
    <row r="832" customFormat="false" ht="15" hidden="false" customHeight="false" outlineLevel="0" collapsed="false">
      <c r="A832" s="61"/>
      <c r="B832" s="62"/>
      <c r="C832" s="63"/>
      <c r="D832" s="63"/>
      <c r="E832" s="62"/>
      <c r="F832" s="62"/>
      <c r="G832" s="62"/>
      <c r="I832" s="64" t="str">
        <f aca="false">IF($B832="","",IF(ISNUMBER(MATCH($B832,日別データ!$B$9:$B$28,0)),"✔ OK","⚠ 未登録"))</f>
        <v/>
      </c>
    </row>
    <row r="833" customFormat="false" ht="15" hidden="false" customHeight="false" outlineLevel="0" collapsed="false">
      <c r="A833" s="61"/>
      <c r="B833" s="62"/>
      <c r="C833" s="63"/>
      <c r="D833" s="63"/>
      <c r="E833" s="62"/>
      <c r="F833" s="62"/>
      <c r="G833" s="62"/>
      <c r="I833" s="64" t="str">
        <f aca="false">IF($B833="","",IF(ISNUMBER(MATCH($B833,日別データ!$B$9:$B$28,0)),"✔ OK","⚠ 未登録"))</f>
        <v/>
      </c>
    </row>
    <row r="834" customFormat="false" ht="15" hidden="false" customHeight="false" outlineLevel="0" collapsed="false">
      <c r="A834" s="61"/>
      <c r="B834" s="62"/>
      <c r="C834" s="63"/>
      <c r="D834" s="63"/>
      <c r="E834" s="62"/>
      <c r="F834" s="62"/>
      <c r="G834" s="62"/>
      <c r="I834" s="64" t="str">
        <f aca="false">IF($B834="","",IF(ISNUMBER(MATCH($B834,日別データ!$B$9:$B$28,0)),"✔ OK","⚠ 未登録"))</f>
        <v/>
      </c>
    </row>
    <row r="835" customFormat="false" ht="15" hidden="false" customHeight="false" outlineLevel="0" collapsed="false">
      <c r="A835" s="61"/>
      <c r="B835" s="62"/>
      <c r="C835" s="63"/>
      <c r="D835" s="63"/>
      <c r="E835" s="62"/>
      <c r="F835" s="62"/>
      <c r="G835" s="62"/>
      <c r="I835" s="64" t="str">
        <f aca="false">IF($B835="","",IF(ISNUMBER(MATCH($B835,日別データ!$B$9:$B$28,0)),"✔ OK","⚠ 未登録"))</f>
        <v/>
      </c>
    </row>
    <row r="836" customFormat="false" ht="15" hidden="false" customHeight="false" outlineLevel="0" collapsed="false">
      <c r="A836" s="61"/>
      <c r="B836" s="62"/>
      <c r="C836" s="63"/>
      <c r="D836" s="63"/>
      <c r="E836" s="62"/>
      <c r="F836" s="62"/>
      <c r="G836" s="62"/>
      <c r="I836" s="64" t="str">
        <f aca="false">IF($B836="","",IF(ISNUMBER(MATCH($B836,日別データ!$B$9:$B$28,0)),"✔ OK","⚠ 未登録"))</f>
        <v/>
      </c>
    </row>
    <row r="837" customFormat="false" ht="15" hidden="false" customHeight="false" outlineLevel="0" collapsed="false">
      <c r="A837" s="61"/>
      <c r="B837" s="62"/>
      <c r="C837" s="63"/>
      <c r="D837" s="63"/>
      <c r="E837" s="62"/>
      <c r="F837" s="62"/>
      <c r="G837" s="62"/>
      <c r="I837" s="64" t="str">
        <f aca="false">IF($B837="","",IF(ISNUMBER(MATCH($B837,日別データ!$B$9:$B$28,0)),"✔ OK","⚠ 未登録"))</f>
        <v/>
      </c>
    </row>
    <row r="838" customFormat="false" ht="15" hidden="false" customHeight="false" outlineLevel="0" collapsed="false">
      <c r="A838" s="61"/>
      <c r="B838" s="62"/>
      <c r="C838" s="63"/>
      <c r="D838" s="63"/>
      <c r="E838" s="62"/>
      <c r="F838" s="62"/>
      <c r="G838" s="62"/>
      <c r="I838" s="64" t="str">
        <f aca="false">IF($B838="","",IF(ISNUMBER(MATCH($B838,日別データ!$B$9:$B$28,0)),"✔ OK","⚠ 未登録"))</f>
        <v/>
      </c>
    </row>
    <row r="839" customFormat="false" ht="15" hidden="false" customHeight="false" outlineLevel="0" collapsed="false">
      <c r="A839" s="61"/>
      <c r="B839" s="62"/>
      <c r="C839" s="63"/>
      <c r="D839" s="63"/>
      <c r="E839" s="62"/>
      <c r="F839" s="62"/>
      <c r="G839" s="62"/>
      <c r="I839" s="64" t="str">
        <f aca="false">IF($B839="","",IF(ISNUMBER(MATCH($B839,日別データ!$B$9:$B$28,0)),"✔ OK","⚠ 未登録"))</f>
        <v/>
      </c>
    </row>
    <row r="840" customFormat="false" ht="15" hidden="false" customHeight="false" outlineLevel="0" collapsed="false">
      <c r="A840" s="61"/>
      <c r="B840" s="62"/>
      <c r="C840" s="63"/>
      <c r="D840" s="63"/>
      <c r="E840" s="62"/>
      <c r="F840" s="62"/>
      <c r="G840" s="62"/>
      <c r="I840" s="64" t="str">
        <f aca="false">IF($B840="","",IF(ISNUMBER(MATCH($B840,日別データ!$B$9:$B$28,0)),"✔ OK","⚠ 未登録"))</f>
        <v/>
      </c>
    </row>
    <row r="841" customFormat="false" ht="15" hidden="false" customHeight="false" outlineLevel="0" collapsed="false">
      <c r="A841" s="61"/>
      <c r="B841" s="62"/>
      <c r="C841" s="63"/>
      <c r="D841" s="63"/>
      <c r="E841" s="62"/>
      <c r="F841" s="62"/>
      <c r="G841" s="62"/>
      <c r="I841" s="64" t="str">
        <f aca="false">IF($B841="","",IF(ISNUMBER(MATCH($B841,日別データ!$B$9:$B$28,0)),"✔ OK","⚠ 未登録"))</f>
        <v/>
      </c>
    </row>
    <row r="842" customFormat="false" ht="15" hidden="false" customHeight="false" outlineLevel="0" collapsed="false">
      <c r="A842" s="61"/>
      <c r="B842" s="62"/>
      <c r="C842" s="63"/>
      <c r="D842" s="63"/>
      <c r="E842" s="62"/>
      <c r="F842" s="62"/>
      <c r="G842" s="62"/>
      <c r="I842" s="64" t="str">
        <f aca="false">IF($B842="","",IF(ISNUMBER(MATCH($B842,日別データ!$B$9:$B$28,0)),"✔ OK","⚠ 未登録"))</f>
        <v/>
      </c>
    </row>
    <row r="843" customFormat="false" ht="15" hidden="false" customHeight="false" outlineLevel="0" collapsed="false">
      <c r="A843" s="61"/>
      <c r="B843" s="62"/>
      <c r="C843" s="63"/>
      <c r="D843" s="63"/>
      <c r="E843" s="62"/>
      <c r="F843" s="62"/>
      <c r="G843" s="62"/>
      <c r="I843" s="64" t="str">
        <f aca="false">IF($B843="","",IF(ISNUMBER(MATCH($B843,日別データ!$B$9:$B$28,0)),"✔ OK","⚠ 未登録"))</f>
        <v/>
      </c>
    </row>
    <row r="844" customFormat="false" ht="15" hidden="false" customHeight="false" outlineLevel="0" collapsed="false">
      <c r="A844" s="61"/>
      <c r="B844" s="62"/>
      <c r="C844" s="63"/>
      <c r="D844" s="63"/>
      <c r="E844" s="62"/>
      <c r="F844" s="62"/>
      <c r="G844" s="62"/>
      <c r="I844" s="64" t="str">
        <f aca="false">IF($B844="","",IF(ISNUMBER(MATCH($B844,日別データ!$B$9:$B$28,0)),"✔ OK","⚠ 未登録"))</f>
        <v/>
      </c>
    </row>
    <row r="845" customFormat="false" ht="15" hidden="false" customHeight="false" outlineLevel="0" collapsed="false">
      <c r="A845" s="61"/>
      <c r="B845" s="62"/>
      <c r="C845" s="63"/>
      <c r="D845" s="63"/>
      <c r="E845" s="62"/>
      <c r="F845" s="62"/>
      <c r="G845" s="62"/>
      <c r="I845" s="64" t="str">
        <f aca="false">IF($B845="","",IF(ISNUMBER(MATCH($B845,日別データ!$B$9:$B$28,0)),"✔ OK","⚠ 未登録"))</f>
        <v/>
      </c>
    </row>
    <row r="846" customFormat="false" ht="15" hidden="false" customHeight="false" outlineLevel="0" collapsed="false">
      <c r="A846" s="61"/>
      <c r="B846" s="62"/>
      <c r="C846" s="63"/>
      <c r="D846" s="63"/>
      <c r="E846" s="62"/>
      <c r="F846" s="62"/>
      <c r="G846" s="62"/>
      <c r="I846" s="64" t="str">
        <f aca="false">IF($B846="","",IF(ISNUMBER(MATCH($B846,日別データ!$B$9:$B$28,0)),"✔ OK","⚠ 未登録"))</f>
        <v/>
      </c>
    </row>
    <row r="847" customFormat="false" ht="15" hidden="false" customHeight="false" outlineLevel="0" collapsed="false">
      <c r="A847" s="61"/>
      <c r="B847" s="62"/>
      <c r="C847" s="63"/>
      <c r="D847" s="63"/>
      <c r="E847" s="62"/>
      <c r="F847" s="62"/>
      <c r="G847" s="62"/>
      <c r="I847" s="64" t="str">
        <f aca="false">IF($B847="","",IF(ISNUMBER(MATCH($B847,日別データ!$B$9:$B$28,0)),"✔ OK","⚠ 未登録"))</f>
        <v/>
      </c>
    </row>
    <row r="848" customFormat="false" ht="15" hidden="false" customHeight="false" outlineLevel="0" collapsed="false">
      <c r="A848" s="61"/>
      <c r="B848" s="62"/>
      <c r="C848" s="63"/>
      <c r="D848" s="63"/>
      <c r="E848" s="62"/>
      <c r="F848" s="62"/>
      <c r="G848" s="62"/>
      <c r="I848" s="64" t="str">
        <f aca="false">IF($B848="","",IF(ISNUMBER(MATCH($B848,日別データ!$B$9:$B$28,0)),"✔ OK","⚠ 未登録"))</f>
        <v/>
      </c>
    </row>
    <row r="849" customFormat="false" ht="15" hidden="false" customHeight="false" outlineLevel="0" collapsed="false">
      <c r="A849" s="61"/>
      <c r="B849" s="62"/>
      <c r="C849" s="63"/>
      <c r="D849" s="63"/>
      <c r="E849" s="62"/>
      <c r="F849" s="62"/>
      <c r="G849" s="62"/>
      <c r="I849" s="64" t="str">
        <f aca="false">IF($B849="","",IF(ISNUMBER(MATCH($B849,日別データ!$B$9:$B$28,0)),"✔ OK","⚠ 未登録"))</f>
        <v/>
      </c>
    </row>
    <row r="850" customFormat="false" ht="15" hidden="false" customHeight="false" outlineLevel="0" collapsed="false">
      <c r="A850" s="61"/>
      <c r="B850" s="62"/>
      <c r="C850" s="63"/>
      <c r="D850" s="63"/>
      <c r="E850" s="62"/>
      <c r="F850" s="62"/>
      <c r="G850" s="62"/>
      <c r="I850" s="64" t="str">
        <f aca="false">IF($B850="","",IF(ISNUMBER(MATCH($B850,日別データ!$B$9:$B$28,0)),"✔ OK","⚠ 未登録"))</f>
        <v/>
      </c>
    </row>
    <row r="851" customFormat="false" ht="15" hidden="false" customHeight="false" outlineLevel="0" collapsed="false">
      <c r="A851" s="61"/>
      <c r="B851" s="62"/>
      <c r="C851" s="63"/>
      <c r="D851" s="63"/>
      <c r="E851" s="62"/>
      <c r="F851" s="62"/>
      <c r="G851" s="62"/>
      <c r="I851" s="64" t="str">
        <f aca="false">IF($B851="","",IF(ISNUMBER(MATCH($B851,日別データ!$B$9:$B$28,0)),"✔ OK","⚠ 未登録"))</f>
        <v/>
      </c>
    </row>
    <row r="852" customFormat="false" ht="15" hidden="false" customHeight="false" outlineLevel="0" collapsed="false">
      <c r="A852" s="61"/>
      <c r="B852" s="62"/>
      <c r="C852" s="63"/>
      <c r="D852" s="63"/>
      <c r="E852" s="62"/>
      <c r="F852" s="62"/>
      <c r="G852" s="62"/>
      <c r="I852" s="64" t="str">
        <f aca="false">IF($B852="","",IF(ISNUMBER(MATCH($B852,日別データ!$B$9:$B$28,0)),"✔ OK","⚠ 未登録"))</f>
        <v/>
      </c>
    </row>
    <row r="853" customFormat="false" ht="15" hidden="false" customHeight="false" outlineLevel="0" collapsed="false">
      <c r="A853" s="61"/>
      <c r="B853" s="62"/>
      <c r="C853" s="63"/>
      <c r="D853" s="63"/>
      <c r="E853" s="62"/>
      <c r="F853" s="62"/>
      <c r="G853" s="62"/>
      <c r="I853" s="64" t="str">
        <f aca="false">IF($B853="","",IF(ISNUMBER(MATCH($B853,日別データ!$B$9:$B$28,0)),"✔ OK","⚠ 未登録"))</f>
        <v/>
      </c>
    </row>
    <row r="854" customFormat="false" ht="15" hidden="false" customHeight="false" outlineLevel="0" collapsed="false">
      <c r="A854" s="61"/>
      <c r="B854" s="62"/>
      <c r="C854" s="63"/>
      <c r="D854" s="63"/>
      <c r="E854" s="62"/>
      <c r="F854" s="62"/>
      <c r="G854" s="62"/>
      <c r="I854" s="64" t="str">
        <f aca="false">IF($B854="","",IF(ISNUMBER(MATCH($B854,日別データ!$B$9:$B$28,0)),"✔ OK","⚠ 未登録"))</f>
        <v/>
      </c>
    </row>
    <row r="855" customFormat="false" ht="15" hidden="false" customHeight="false" outlineLevel="0" collapsed="false">
      <c r="A855" s="61"/>
      <c r="B855" s="62"/>
      <c r="C855" s="63"/>
      <c r="D855" s="63"/>
      <c r="E855" s="62"/>
      <c r="F855" s="62"/>
      <c r="G855" s="62"/>
      <c r="I855" s="64" t="str">
        <f aca="false">IF($B855="","",IF(ISNUMBER(MATCH($B855,日別データ!$B$9:$B$28,0)),"✔ OK","⚠ 未登録"))</f>
        <v/>
      </c>
    </row>
    <row r="856" customFormat="false" ht="15" hidden="false" customHeight="false" outlineLevel="0" collapsed="false">
      <c r="A856" s="61"/>
      <c r="B856" s="62"/>
      <c r="C856" s="63"/>
      <c r="D856" s="63"/>
      <c r="E856" s="62"/>
      <c r="F856" s="62"/>
      <c r="G856" s="62"/>
      <c r="I856" s="64" t="str">
        <f aca="false">IF($B856="","",IF(ISNUMBER(MATCH($B856,日別データ!$B$9:$B$28,0)),"✔ OK","⚠ 未登録"))</f>
        <v/>
      </c>
    </row>
    <row r="857" customFormat="false" ht="15" hidden="false" customHeight="false" outlineLevel="0" collapsed="false">
      <c r="A857" s="61"/>
      <c r="B857" s="62"/>
      <c r="C857" s="63"/>
      <c r="D857" s="63"/>
      <c r="E857" s="62"/>
      <c r="F857" s="62"/>
      <c r="G857" s="62"/>
      <c r="I857" s="64" t="str">
        <f aca="false">IF($B857="","",IF(ISNUMBER(MATCH($B857,日別データ!$B$9:$B$28,0)),"✔ OK","⚠ 未登録"))</f>
        <v/>
      </c>
    </row>
    <row r="858" customFormat="false" ht="15" hidden="false" customHeight="false" outlineLevel="0" collapsed="false">
      <c r="A858" s="61"/>
      <c r="B858" s="62"/>
      <c r="C858" s="63"/>
      <c r="D858" s="63"/>
      <c r="E858" s="62"/>
      <c r="F858" s="62"/>
      <c r="G858" s="62"/>
      <c r="I858" s="64" t="str">
        <f aca="false">IF($B858="","",IF(ISNUMBER(MATCH($B858,日別データ!$B$9:$B$28,0)),"✔ OK","⚠ 未登録"))</f>
        <v/>
      </c>
    </row>
    <row r="859" customFormat="false" ht="15" hidden="false" customHeight="false" outlineLevel="0" collapsed="false">
      <c r="A859" s="61"/>
      <c r="B859" s="62"/>
      <c r="C859" s="63"/>
      <c r="D859" s="63"/>
      <c r="E859" s="62"/>
      <c r="F859" s="62"/>
      <c r="G859" s="62"/>
      <c r="I859" s="64" t="str">
        <f aca="false">IF($B859="","",IF(ISNUMBER(MATCH($B859,日別データ!$B$9:$B$28,0)),"✔ OK","⚠ 未登録"))</f>
        <v/>
      </c>
    </row>
    <row r="860" customFormat="false" ht="15" hidden="false" customHeight="false" outlineLevel="0" collapsed="false">
      <c r="A860" s="61"/>
      <c r="B860" s="62"/>
      <c r="C860" s="63"/>
      <c r="D860" s="63"/>
      <c r="E860" s="62"/>
      <c r="F860" s="62"/>
      <c r="G860" s="62"/>
      <c r="I860" s="64" t="str">
        <f aca="false">IF($B860="","",IF(ISNUMBER(MATCH($B860,日別データ!$B$9:$B$28,0)),"✔ OK","⚠ 未登録"))</f>
        <v/>
      </c>
    </row>
    <row r="861" customFormat="false" ht="15" hidden="false" customHeight="false" outlineLevel="0" collapsed="false">
      <c r="A861" s="61"/>
      <c r="B861" s="62"/>
      <c r="C861" s="63"/>
      <c r="D861" s="63"/>
      <c r="E861" s="62"/>
      <c r="F861" s="62"/>
      <c r="G861" s="62"/>
      <c r="I861" s="64" t="str">
        <f aca="false">IF($B861="","",IF(ISNUMBER(MATCH($B861,日別データ!$B$9:$B$28,0)),"✔ OK","⚠ 未登録"))</f>
        <v/>
      </c>
    </row>
    <row r="862" customFormat="false" ht="15" hidden="false" customHeight="false" outlineLevel="0" collapsed="false">
      <c r="A862" s="61"/>
      <c r="B862" s="62"/>
      <c r="C862" s="63"/>
      <c r="D862" s="63"/>
      <c r="E862" s="62"/>
      <c r="F862" s="62"/>
      <c r="G862" s="62"/>
      <c r="I862" s="64" t="str">
        <f aca="false">IF($B862="","",IF(ISNUMBER(MATCH($B862,日別データ!$B$9:$B$28,0)),"✔ OK","⚠ 未登録"))</f>
        <v/>
      </c>
    </row>
    <row r="863" customFormat="false" ht="15" hidden="false" customHeight="false" outlineLevel="0" collapsed="false">
      <c r="A863" s="61"/>
      <c r="B863" s="62"/>
      <c r="C863" s="63"/>
      <c r="D863" s="63"/>
      <c r="E863" s="62"/>
      <c r="F863" s="62"/>
      <c r="G863" s="62"/>
      <c r="I863" s="64" t="str">
        <f aca="false">IF($B863="","",IF(ISNUMBER(MATCH($B863,日別データ!$B$9:$B$28,0)),"✔ OK","⚠ 未登録"))</f>
        <v/>
      </c>
    </row>
    <row r="864" customFormat="false" ht="15" hidden="false" customHeight="false" outlineLevel="0" collapsed="false">
      <c r="A864" s="61"/>
      <c r="B864" s="62"/>
      <c r="C864" s="63"/>
      <c r="D864" s="63"/>
      <c r="E864" s="62"/>
      <c r="F864" s="62"/>
      <c r="G864" s="62"/>
      <c r="I864" s="64" t="str">
        <f aca="false">IF($B864="","",IF(ISNUMBER(MATCH($B864,日別データ!$B$9:$B$28,0)),"✔ OK","⚠ 未登録"))</f>
        <v/>
      </c>
    </row>
    <row r="865" customFormat="false" ht="15" hidden="false" customHeight="false" outlineLevel="0" collapsed="false">
      <c r="A865" s="61"/>
      <c r="B865" s="62"/>
      <c r="C865" s="63"/>
      <c r="D865" s="63"/>
      <c r="E865" s="62"/>
      <c r="F865" s="62"/>
      <c r="G865" s="62"/>
      <c r="I865" s="64" t="str">
        <f aca="false">IF($B865="","",IF(ISNUMBER(MATCH($B865,日別データ!$B$9:$B$28,0)),"✔ OK","⚠ 未登録"))</f>
        <v/>
      </c>
    </row>
    <row r="866" customFormat="false" ht="15" hidden="false" customHeight="false" outlineLevel="0" collapsed="false">
      <c r="A866" s="61"/>
      <c r="B866" s="62"/>
      <c r="C866" s="63"/>
      <c r="D866" s="63"/>
      <c r="E866" s="62"/>
      <c r="F866" s="62"/>
      <c r="G866" s="62"/>
      <c r="I866" s="64" t="str">
        <f aca="false">IF($B866="","",IF(ISNUMBER(MATCH($B866,日別データ!$B$9:$B$28,0)),"✔ OK","⚠ 未登録"))</f>
        <v/>
      </c>
    </row>
    <row r="867" customFormat="false" ht="15" hidden="false" customHeight="false" outlineLevel="0" collapsed="false">
      <c r="A867" s="61"/>
      <c r="B867" s="62"/>
      <c r="C867" s="63"/>
      <c r="D867" s="63"/>
      <c r="E867" s="62"/>
      <c r="F867" s="62"/>
      <c r="G867" s="62"/>
      <c r="I867" s="64" t="str">
        <f aca="false">IF($B867="","",IF(ISNUMBER(MATCH($B867,日別データ!$B$9:$B$28,0)),"✔ OK","⚠ 未登録"))</f>
        <v/>
      </c>
    </row>
    <row r="868" customFormat="false" ht="15" hidden="false" customHeight="false" outlineLevel="0" collapsed="false">
      <c r="A868" s="61"/>
      <c r="B868" s="62"/>
      <c r="C868" s="63"/>
      <c r="D868" s="63"/>
      <c r="E868" s="62"/>
      <c r="F868" s="62"/>
      <c r="G868" s="62"/>
      <c r="I868" s="64" t="str">
        <f aca="false">IF($B868="","",IF(ISNUMBER(MATCH($B868,日別データ!$B$9:$B$28,0)),"✔ OK","⚠ 未登録"))</f>
        <v/>
      </c>
    </row>
    <row r="869" customFormat="false" ht="15" hidden="false" customHeight="false" outlineLevel="0" collapsed="false">
      <c r="A869" s="61"/>
      <c r="B869" s="62"/>
      <c r="C869" s="63"/>
      <c r="D869" s="63"/>
      <c r="E869" s="62"/>
      <c r="F869" s="62"/>
      <c r="G869" s="62"/>
      <c r="I869" s="64" t="str">
        <f aca="false">IF($B869="","",IF(ISNUMBER(MATCH($B869,日別データ!$B$9:$B$28,0)),"✔ OK","⚠ 未登録"))</f>
        <v/>
      </c>
    </row>
    <row r="870" customFormat="false" ht="15" hidden="false" customHeight="false" outlineLevel="0" collapsed="false">
      <c r="A870" s="61"/>
      <c r="B870" s="62"/>
      <c r="C870" s="63"/>
      <c r="D870" s="63"/>
      <c r="E870" s="62"/>
      <c r="F870" s="62"/>
      <c r="G870" s="62"/>
      <c r="I870" s="64" t="str">
        <f aca="false">IF($B870="","",IF(ISNUMBER(MATCH($B870,日別データ!$B$9:$B$28,0)),"✔ OK","⚠ 未登録"))</f>
        <v/>
      </c>
    </row>
    <row r="871" customFormat="false" ht="15" hidden="false" customHeight="false" outlineLevel="0" collapsed="false">
      <c r="A871" s="61"/>
      <c r="B871" s="62"/>
      <c r="C871" s="63"/>
      <c r="D871" s="63"/>
      <c r="E871" s="62"/>
      <c r="F871" s="62"/>
      <c r="G871" s="62"/>
      <c r="I871" s="64" t="str">
        <f aca="false">IF($B871="","",IF(ISNUMBER(MATCH($B871,日別データ!$B$9:$B$28,0)),"✔ OK","⚠ 未登録"))</f>
        <v/>
      </c>
    </row>
    <row r="872" customFormat="false" ht="15" hidden="false" customHeight="false" outlineLevel="0" collapsed="false">
      <c r="A872" s="61"/>
      <c r="B872" s="62"/>
      <c r="C872" s="63"/>
      <c r="D872" s="63"/>
      <c r="E872" s="62"/>
      <c r="F872" s="62"/>
      <c r="G872" s="62"/>
      <c r="I872" s="64" t="str">
        <f aca="false">IF($B872="","",IF(ISNUMBER(MATCH($B872,日別データ!$B$9:$B$28,0)),"✔ OK","⚠ 未登録"))</f>
        <v/>
      </c>
    </row>
    <row r="873" customFormat="false" ht="15" hidden="false" customHeight="false" outlineLevel="0" collapsed="false">
      <c r="A873" s="61"/>
      <c r="B873" s="62"/>
      <c r="C873" s="63"/>
      <c r="D873" s="63"/>
      <c r="E873" s="62"/>
      <c r="F873" s="62"/>
      <c r="G873" s="62"/>
      <c r="I873" s="64" t="str">
        <f aca="false">IF($B873="","",IF(ISNUMBER(MATCH($B873,日別データ!$B$9:$B$28,0)),"✔ OK","⚠ 未登録"))</f>
        <v/>
      </c>
    </row>
    <row r="874" customFormat="false" ht="15" hidden="false" customHeight="false" outlineLevel="0" collapsed="false">
      <c r="A874" s="61"/>
      <c r="B874" s="62"/>
      <c r="C874" s="63"/>
      <c r="D874" s="63"/>
      <c r="E874" s="62"/>
      <c r="F874" s="62"/>
      <c r="G874" s="62"/>
      <c r="I874" s="64" t="str">
        <f aca="false">IF($B874="","",IF(ISNUMBER(MATCH($B874,日別データ!$B$9:$B$28,0)),"✔ OK","⚠ 未登録"))</f>
        <v/>
      </c>
    </row>
    <row r="875" customFormat="false" ht="15" hidden="false" customHeight="false" outlineLevel="0" collapsed="false">
      <c r="A875" s="61"/>
      <c r="B875" s="62"/>
      <c r="C875" s="63"/>
      <c r="D875" s="63"/>
      <c r="E875" s="62"/>
      <c r="F875" s="62"/>
      <c r="G875" s="62"/>
      <c r="I875" s="64" t="str">
        <f aca="false">IF($B875="","",IF(ISNUMBER(MATCH($B875,日別データ!$B$9:$B$28,0)),"✔ OK","⚠ 未登録"))</f>
        <v/>
      </c>
    </row>
    <row r="876" customFormat="false" ht="15" hidden="false" customHeight="false" outlineLevel="0" collapsed="false">
      <c r="A876" s="61"/>
      <c r="B876" s="62"/>
      <c r="C876" s="63"/>
      <c r="D876" s="63"/>
      <c r="E876" s="62"/>
      <c r="F876" s="62"/>
      <c r="G876" s="62"/>
      <c r="I876" s="64" t="str">
        <f aca="false">IF($B876="","",IF(ISNUMBER(MATCH($B876,日別データ!$B$9:$B$28,0)),"✔ OK","⚠ 未登録"))</f>
        <v/>
      </c>
    </row>
    <row r="877" customFormat="false" ht="15" hidden="false" customHeight="false" outlineLevel="0" collapsed="false">
      <c r="A877" s="61"/>
      <c r="B877" s="62"/>
      <c r="C877" s="63"/>
      <c r="D877" s="63"/>
      <c r="E877" s="62"/>
      <c r="F877" s="62"/>
      <c r="G877" s="62"/>
      <c r="I877" s="64" t="str">
        <f aca="false">IF($B877="","",IF(ISNUMBER(MATCH($B877,日別データ!$B$9:$B$28,0)),"✔ OK","⚠ 未登録"))</f>
        <v/>
      </c>
    </row>
    <row r="878" customFormat="false" ht="15" hidden="false" customHeight="false" outlineLevel="0" collapsed="false">
      <c r="A878" s="61"/>
      <c r="B878" s="62"/>
      <c r="C878" s="63"/>
      <c r="D878" s="63"/>
      <c r="E878" s="62"/>
      <c r="F878" s="62"/>
      <c r="G878" s="62"/>
      <c r="I878" s="64" t="str">
        <f aca="false">IF($B878="","",IF(ISNUMBER(MATCH($B878,日別データ!$B$9:$B$28,0)),"✔ OK","⚠ 未登録"))</f>
        <v/>
      </c>
    </row>
    <row r="879" customFormat="false" ht="15" hidden="false" customHeight="false" outlineLevel="0" collapsed="false">
      <c r="A879" s="61"/>
      <c r="B879" s="62"/>
      <c r="C879" s="63"/>
      <c r="D879" s="63"/>
      <c r="E879" s="62"/>
      <c r="F879" s="62"/>
      <c r="G879" s="62"/>
      <c r="I879" s="64" t="str">
        <f aca="false">IF($B879="","",IF(ISNUMBER(MATCH($B879,日別データ!$B$9:$B$28,0)),"✔ OK","⚠ 未登録"))</f>
        <v/>
      </c>
    </row>
    <row r="880" customFormat="false" ht="15" hidden="false" customHeight="false" outlineLevel="0" collapsed="false">
      <c r="A880" s="61"/>
      <c r="B880" s="62"/>
      <c r="C880" s="63"/>
      <c r="D880" s="63"/>
      <c r="E880" s="62"/>
      <c r="F880" s="62"/>
      <c r="G880" s="62"/>
      <c r="I880" s="64" t="str">
        <f aca="false">IF($B880="","",IF(ISNUMBER(MATCH($B880,日別データ!$B$9:$B$28,0)),"✔ OK","⚠ 未登録"))</f>
        <v/>
      </c>
    </row>
    <row r="881" customFormat="false" ht="15" hidden="false" customHeight="false" outlineLevel="0" collapsed="false">
      <c r="A881" s="61"/>
      <c r="B881" s="62"/>
      <c r="C881" s="63"/>
      <c r="D881" s="63"/>
      <c r="E881" s="62"/>
      <c r="F881" s="62"/>
      <c r="G881" s="62"/>
      <c r="I881" s="64" t="str">
        <f aca="false">IF($B881="","",IF(ISNUMBER(MATCH($B881,日別データ!$B$9:$B$28,0)),"✔ OK","⚠ 未登録"))</f>
        <v/>
      </c>
    </row>
    <row r="882" customFormat="false" ht="15" hidden="false" customHeight="false" outlineLevel="0" collapsed="false">
      <c r="A882" s="61"/>
      <c r="B882" s="62"/>
      <c r="C882" s="63"/>
      <c r="D882" s="63"/>
      <c r="E882" s="62"/>
      <c r="F882" s="62"/>
      <c r="G882" s="62"/>
      <c r="I882" s="64" t="str">
        <f aca="false">IF($B882="","",IF(ISNUMBER(MATCH($B882,日別データ!$B$9:$B$28,0)),"✔ OK","⚠ 未登録"))</f>
        <v/>
      </c>
    </row>
    <row r="883" customFormat="false" ht="15" hidden="false" customHeight="false" outlineLevel="0" collapsed="false">
      <c r="A883" s="61"/>
      <c r="B883" s="62"/>
      <c r="C883" s="63"/>
      <c r="D883" s="63"/>
      <c r="E883" s="62"/>
      <c r="F883" s="62"/>
      <c r="G883" s="62"/>
      <c r="I883" s="64" t="str">
        <f aca="false">IF($B883="","",IF(ISNUMBER(MATCH($B883,日別データ!$B$9:$B$28,0)),"✔ OK","⚠ 未登録"))</f>
        <v/>
      </c>
    </row>
    <row r="884" customFormat="false" ht="15" hidden="false" customHeight="false" outlineLevel="0" collapsed="false">
      <c r="A884" s="61"/>
      <c r="B884" s="62"/>
      <c r="C884" s="63"/>
      <c r="D884" s="63"/>
      <c r="E884" s="62"/>
      <c r="F884" s="62"/>
      <c r="G884" s="62"/>
      <c r="I884" s="64" t="str">
        <f aca="false">IF($B884="","",IF(ISNUMBER(MATCH($B884,日別データ!$B$9:$B$28,0)),"✔ OK","⚠ 未登録"))</f>
        <v/>
      </c>
    </row>
    <row r="885" customFormat="false" ht="15" hidden="false" customHeight="false" outlineLevel="0" collapsed="false">
      <c r="A885" s="61"/>
      <c r="B885" s="62"/>
      <c r="C885" s="63"/>
      <c r="D885" s="63"/>
      <c r="E885" s="62"/>
      <c r="F885" s="62"/>
      <c r="G885" s="62"/>
      <c r="I885" s="64" t="str">
        <f aca="false">IF($B885="","",IF(ISNUMBER(MATCH($B885,日別データ!$B$9:$B$28,0)),"✔ OK","⚠ 未登録"))</f>
        <v/>
      </c>
    </row>
    <row r="886" customFormat="false" ht="15" hidden="false" customHeight="false" outlineLevel="0" collapsed="false">
      <c r="A886" s="61"/>
      <c r="B886" s="62"/>
      <c r="C886" s="63"/>
      <c r="D886" s="63"/>
      <c r="E886" s="62"/>
      <c r="F886" s="62"/>
      <c r="G886" s="62"/>
      <c r="I886" s="64" t="str">
        <f aca="false">IF($B886="","",IF(ISNUMBER(MATCH($B886,日別データ!$B$9:$B$28,0)),"✔ OK","⚠ 未登録"))</f>
        <v/>
      </c>
    </row>
    <row r="887" customFormat="false" ht="15" hidden="false" customHeight="false" outlineLevel="0" collapsed="false">
      <c r="A887" s="61"/>
      <c r="B887" s="62"/>
      <c r="C887" s="63"/>
      <c r="D887" s="63"/>
      <c r="E887" s="62"/>
      <c r="F887" s="62"/>
      <c r="G887" s="62"/>
      <c r="I887" s="64" t="str">
        <f aca="false">IF($B887="","",IF(ISNUMBER(MATCH($B887,日別データ!$B$9:$B$28,0)),"✔ OK","⚠ 未登録"))</f>
        <v/>
      </c>
    </row>
    <row r="888" customFormat="false" ht="15" hidden="false" customHeight="false" outlineLevel="0" collapsed="false">
      <c r="A888" s="61"/>
      <c r="B888" s="62"/>
      <c r="C888" s="63"/>
      <c r="D888" s="63"/>
      <c r="E888" s="62"/>
      <c r="F888" s="62"/>
      <c r="G888" s="62"/>
      <c r="I888" s="64" t="str">
        <f aca="false">IF($B888="","",IF(ISNUMBER(MATCH($B888,日別データ!$B$9:$B$28,0)),"✔ OK","⚠ 未登録"))</f>
        <v/>
      </c>
    </row>
    <row r="889" customFormat="false" ht="15" hidden="false" customHeight="false" outlineLevel="0" collapsed="false">
      <c r="A889" s="61"/>
      <c r="B889" s="62"/>
      <c r="C889" s="63"/>
      <c r="D889" s="63"/>
      <c r="E889" s="62"/>
      <c r="F889" s="62"/>
      <c r="G889" s="62"/>
      <c r="I889" s="64" t="str">
        <f aca="false">IF($B889="","",IF(ISNUMBER(MATCH($B889,日別データ!$B$9:$B$28,0)),"✔ OK","⚠ 未登録"))</f>
        <v/>
      </c>
    </row>
    <row r="890" customFormat="false" ht="15" hidden="false" customHeight="false" outlineLevel="0" collapsed="false">
      <c r="A890" s="61"/>
      <c r="B890" s="62"/>
      <c r="C890" s="63"/>
      <c r="D890" s="63"/>
      <c r="E890" s="62"/>
      <c r="F890" s="62"/>
      <c r="G890" s="62"/>
      <c r="I890" s="64" t="str">
        <f aca="false">IF($B890="","",IF(ISNUMBER(MATCH($B890,日別データ!$B$9:$B$28,0)),"✔ OK","⚠ 未登録"))</f>
        <v/>
      </c>
    </row>
    <row r="891" customFormat="false" ht="15" hidden="false" customHeight="false" outlineLevel="0" collapsed="false">
      <c r="A891" s="61"/>
      <c r="B891" s="62"/>
      <c r="C891" s="63"/>
      <c r="D891" s="63"/>
      <c r="E891" s="62"/>
      <c r="F891" s="62"/>
      <c r="G891" s="62"/>
      <c r="I891" s="64" t="str">
        <f aca="false">IF($B891="","",IF(ISNUMBER(MATCH($B891,日別データ!$B$9:$B$28,0)),"✔ OK","⚠ 未登録"))</f>
        <v/>
      </c>
    </row>
    <row r="892" customFormat="false" ht="15" hidden="false" customHeight="false" outlineLevel="0" collapsed="false">
      <c r="A892" s="61"/>
      <c r="B892" s="62"/>
      <c r="C892" s="63"/>
      <c r="D892" s="63"/>
      <c r="E892" s="62"/>
      <c r="F892" s="62"/>
      <c r="G892" s="62"/>
      <c r="I892" s="64" t="str">
        <f aca="false">IF($B892="","",IF(ISNUMBER(MATCH($B892,日別データ!$B$9:$B$28,0)),"✔ OK","⚠ 未登録"))</f>
        <v/>
      </c>
    </row>
    <row r="893" customFormat="false" ht="15" hidden="false" customHeight="false" outlineLevel="0" collapsed="false">
      <c r="A893" s="61"/>
      <c r="B893" s="62"/>
      <c r="C893" s="63"/>
      <c r="D893" s="63"/>
      <c r="E893" s="62"/>
      <c r="F893" s="62"/>
      <c r="G893" s="62"/>
      <c r="I893" s="64" t="str">
        <f aca="false">IF($B893="","",IF(ISNUMBER(MATCH($B893,日別データ!$B$9:$B$28,0)),"✔ OK","⚠ 未登録"))</f>
        <v/>
      </c>
    </row>
    <row r="894" customFormat="false" ht="15" hidden="false" customHeight="false" outlineLevel="0" collapsed="false">
      <c r="A894" s="61"/>
      <c r="B894" s="62"/>
      <c r="C894" s="63"/>
      <c r="D894" s="63"/>
      <c r="E894" s="62"/>
      <c r="F894" s="62"/>
      <c r="G894" s="62"/>
      <c r="I894" s="64" t="str">
        <f aca="false">IF($B894="","",IF(ISNUMBER(MATCH($B894,日別データ!$B$9:$B$28,0)),"✔ OK","⚠ 未登録"))</f>
        <v/>
      </c>
    </row>
    <row r="895" customFormat="false" ht="15" hidden="false" customHeight="false" outlineLevel="0" collapsed="false">
      <c r="A895" s="61"/>
      <c r="B895" s="62"/>
      <c r="C895" s="63"/>
      <c r="D895" s="63"/>
      <c r="E895" s="62"/>
      <c r="F895" s="62"/>
      <c r="G895" s="62"/>
      <c r="I895" s="64" t="str">
        <f aca="false">IF($B895="","",IF(ISNUMBER(MATCH($B895,日別データ!$B$9:$B$28,0)),"✔ OK","⚠ 未登録"))</f>
        <v/>
      </c>
    </row>
    <row r="896" customFormat="false" ht="15" hidden="false" customHeight="false" outlineLevel="0" collapsed="false">
      <c r="A896" s="61"/>
      <c r="B896" s="62"/>
      <c r="C896" s="63"/>
      <c r="D896" s="63"/>
      <c r="E896" s="62"/>
      <c r="F896" s="62"/>
      <c r="G896" s="62"/>
      <c r="I896" s="64" t="str">
        <f aca="false">IF($B896="","",IF(ISNUMBER(MATCH($B896,日別データ!$B$9:$B$28,0)),"✔ OK","⚠ 未登録"))</f>
        <v/>
      </c>
    </row>
    <row r="897" customFormat="false" ht="15" hidden="false" customHeight="false" outlineLevel="0" collapsed="false">
      <c r="A897" s="61"/>
      <c r="B897" s="62"/>
      <c r="C897" s="63"/>
      <c r="D897" s="63"/>
      <c r="E897" s="62"/>
      <c r="F897" s="62"/>
      <c r="G897" s="62"/>
      <c r="I897" s="64" t="str">
        <f aca="false">IF($B897="","",IF(ISNUMBER(MATCH($B897,日別データ!$B$9:$B$28,0)),"✔ OK","⚠ 未登録"))</f>
        <v/>
      </c>
    </row>
    <row r="898" customFormat="false" ht="15" hidden="false" customHeight="false" outlineLevel="0" collapsed="false">
      <c r="A898" s="61"/>
      <c r="B898" s="62"/>
      <c r="C898" s="63"/>
      <c r="D898" s="63"/>
      <c r="E898" s="62"/>
      <c r="F898" s="62"/>
      <c r="G898" s="62"/>
      <c r="I898" s="64" t="str">
        <f aca="false">IF($B898="","",IF(ISNUMBER(MATCH($B898,日別データ!$B$9:$B$28,0)),"✔ OK","⚠ 未登録"))</f>
        <v/>
      </c>
    </row>
    <row r="899" customFormat="false" ht="15" hidden="false" customHeight="false" outlineLevel="0" collapsed="false">
      <c r="A899" s="61"/>
      <c r="B899" s="62"/>
      <c r="C899" s="63"/>
      <c r="D899" s="63"/>
      <c r="E899" s="62"/>
      <c r="F899" s="62"/>
      <c r="G899" s="62"/>
      <c r="I899" s="64" t="str">
        <f aca="false">IF($B899="","",IF(ISNUMBER(MATCH($B899,日別データ!$B$9:$B$28,0)),"✔ OK","⚠ 未登録"))</f>
        <v/>
      </c>
    </row>
    <row r="900" customFormat="false" ht="15" hidden="false" customHeight="false" outlineLevel="0" collapsed="false">
      <c r="A900" s="61"/>
      <c r="B900" s="62"/>
      <c r="C900" s="63"/>
      <c r="D900" s="63"/>
      <c r="E900" s="62"/>
      <c r="F900" s="62"/>
      <c r="G900" s="62"/>
      <c r="I900" s="64" t="str">
        <f aca="false">IF($B900="","",IF(ISNUMBER(MATCH($B900,日別データ!$B$9:$B$28,0)),"✔ OK","⚠ 未登録"))</f>
        <v/>
      </c>
    </row>
    <row r="901" customFormat="false" ht="15" hidden="false" customHeight="false" outlineLevel="0" collapsed="false">
      <c r="A901" s="61"/>
      <c r="B901" s="62"/>
      <c r="C901" s="63"/>
      <c r="D901" s="63"/>
      <c r="E901" s="62"/>
      <c r="F901" s="62"/>
      <c r="G901" s="62"/>
      <c r="I901" s="64" t="str">
        <f aca="false">IF($B901="","",IF(ISNUMBER(MATCH($B901,日別データ!$B$9:$B$28,0)),"✔ OK","⚠ 未登録"))</f>
        <v/>
      </c>
    </row>
    <row r="902" customFormat="false" ht="15" hidden="false" customHeight="false" outlineLevel="0" collapsed="false">
      <c r="A902" s="61"/>
      <c r="B902" s="62"/>
      <c r="C902" s="63"/>
      <c r="D902" s="63"/>
      <c r="E902" s="62"/>
      <c r="F902" s="62"/>
      <c r="G902" s="62"/>
      <c r="I902" s="64" t="str">
        <f aca="false">IF($B902="","",IF(ISNUMBER(MATCH($B902,日別データ!$B$9:$B$28,0)),"✔ OK","⚠ 未登録"))</f>
        <v/>
      </c>
    </row>
    <row r="903" customFormat="false" ht="15" hidden="false" customHeight="false" outlineLevel="0" collapsed="false">
      <c r="A903" s="61"/>
      <c r="B903" s="62"/>
      <c r="C903" s="63"/>
      <c r="D903" s="63"/>
      <c r="E903" s="62"/>
      <c r="F903" s="62"/>
      <c r="G903" s="62"/>
      <c r="I903" s="64" t="str">
        <f aca="false">IF($B903="","",IF(ISNUMBER(MATCH($B903,日別データ!$B$9:$B$28,0)),"✔ OK","⚠ 未登録"))</f>
        <v/>
      </c>
    </row>
    <row r="904" customFormat="false" ht="15" hidden="false" customHeight="false" outlineLevel="0" collapsed="false">
      <c r="A904" s="61"/>
      <c r="B904" s="62"/>
      <c r="C904" s="63"/>
      <c r="D904" s="63"/>
      <c r="E904" s="62"/>
      <c r="F904" s="62"/>
      <c r="G904" s="62"/>
      <c r="I904" s="64" t="str">
        <f aca="false">IF($B904="","",IF(ISNUMBER(MATCH($B904,日別データ!$B$9:$B$28,0)),"✔ OK","⚠ 未登録"))</f>
        <v/>
      </c>
    </row>
    <row r="905" customFormat="false" ht="15" hidden="false" customHeight="false" outlineLevel="0" collapsed="false">
      <c r="A905" s="61"/>
      <c r="B905" s="62"/>
      <c r="C905" s="63"/>
      <c r="D905" s="63"/>
      <c r="E905" s="62"/>
      <c r="F905" s="62"/>
      <c r="G905" s="62"/>
      <c r="I905" s="64" t="str">
        <f aca="false">IF($B905="","",IF(ISNUMBER(MATCH($B905,日別データ!$B$9:$B$28,0)),"✔ OK","⚠ 未登録"))</f>
        <v/>
      </c>
    </row>
    <row r="906" customFormat="false" ht="15" hidden="false" customHeight="false" outlineLevel="0" collapsed="false">
      <c r="A906" s="61"/>
      <c r="B906" s="62"/>
      <c r="C906" s="63"/>
      <c r="D906" s="63"/>
      <c r="E906" s="62"/>
      <c r="F906" s="62"/>
      <c r="G906" s="62"/>
      <c r="I906" s="64" t="str">
        <f aca="false">IF($B906="","",IF(ISNUMBER(MATCH($B906,日別データ!$B$9:$B$28,0)),"✔ OK","⚠ 未登録"))</f>
        <v/>
      </c>
    </row>
    <row r="907" customFormat="false" ht="15" hidden="false" customHeight="false" outlineLevel="0" collapsed="false">
      <c r="A907" s="61"/>
      <c r="B907" s="62"/>
      <c r="C907" s="63"/>
      <c r="D907" s="63"/>
      <c r="E907" s="62"/>
      <c r="F907" s="62"/>
      <c r="G907" s="62"/>
      <c r="I907" s="64" t="str">
        <f aca="false">IF($B907="","",IF(ISNUMBER(MATCH($B907,日別データ!$B$9:$B$28,0)),"✔ OK","⚠ 未登録"))</f>
        <v/>
      </c>
    </row>
    <row r="908" customFormat="false" ht="15" hidden="false" customHeight="false" outlineLevel="0" collapsed="false">
      <c r="A908" s="61"/>
      <c r="B908" s="62"/>
      <c r="C908" s="63"/>
      <c r="D908" s="63"/>
      <c r="E908" s="62"/>
      <c r="F908" s="62"/>
      <c r="G908" s="62"/>
      <c r="I908" s="64" t="str">
        <f aca="false">IF($B908="","",IF(ISNUMBER(MATCH($B908,日別データ!$B$9:$B$28,0)),"✔ OK","⚠ 未登録"))</f>
        <v/>
      </c>
    </row>
    <row r="909" customFormat="false" ht="15" hidden="false" customHeight="false" outlineLevel="0" collapsed="false">
      <c r="A909" s="61"/>
      <c r="B909" s="62"/>
      <c r="C909" s="63"/>
      <c r="D909" s="63"/>
      <c r="E909" s="62"/>
      <c r="F909" s="62"/>
      <c r="G909" s="62"/>
      <c r="I909" s="64" t="str">
        <f aca="false">IF($B909="","",IF(ISNUMBER(MATCH($B909,日別データ!$B$9:$B$28,0)),"✔ OK","⚠ 未登録"))</f>
        <v/>
      </c>
    </row>
    <row r="910" customFormat="false" ht="15" hidden="false" customHeight="false" outlineLevel="0" collapsed="false">
      <c r="A910" s="61"/>
      <c r="B910" s="62"/>
      <c r="C910" s="63"/>
      <c r="D910" s="63"/>
      <c r="E910" s="62"/>
      <c r="F910" s="62"/>
      <c r="G910" s="62"/>
      <c r="I910" s="64" t="str">
        <f aca="false">IF($B910="","",IF(ISNUMBER(MATCH($B910,日別データ!$B$9:$B$28,0)),"✔ OK","⚠ 未登録"))</f>
        <v/>
      </c>
    </row>
    <row r="911" customFormat="false" ht="15" hidden="false" customHeight="false" outlineLevel="0" collapsed="false">
      <c r="A911" s="61"/>
      <c r="B911" s="62"/>
      <c r="C911" s="63"/>
      <c r="D911" s="63"/>
      <c r="E911" s="62"/>
      <c r="F911" s="62"/>
      <c r="G911" s="62"/>
      <c r="I911" s="64" t="str">
        <f aca="false">IF($B911="","",IF(ISNUMBER(MATCH($B911,日別データ!$B$9:$B$28,0)),"✔ OK","⚠ 未登録"))</f>
        <v/>
      </c>
    </row>
    <row r="912" customFormat="false" ht="15" hidden="false" customHeight="false" outlineLevel="0" collapsed="false">
      <c r="A912" s="61"/>
      <c r="B912" s="62"/>
      <c r="C912" s="63"/>
      <c r="D912" s="63"/>
      <c r="E912" s="62"/>
      <c r="F912" s="62"/>
      <c r="G912" s="62"/>
      <c r="I912" s="64" t="str">
        <f aca="false">IF($B912="","",IF(ISNUMBER(MATCH($B912,日別データ!$B$9:$B$28,0)),"✔ OK","⚠ 未登録"))</f>
        <v/>
      </c>
    </row>
    <row r="913" customFormat="false" ht="15" hidden="false" customHeight="false" outlineLevel="0" collapsed="false">
      <c r="A913" s="61"/>
      <c r="B913" s="62"/>
      <c r="C913" s="63"/>
      <c r="D913" s="63"/>
      <c r="E913" s="62"/>
      <c r="F913" s="62"/>
      <c r="G913" s="62"/>
      <c r="I913" s="64" t="str">
        <f aca="false">IF($B913="","",IF(ISNUMBER(MATCH($B913,日別データ!$B$9:$B$28,0)),"✔ OK","⚠ 未登録"))</f>
        <v/>
      </c>
    </row>
    <row r="914" customFormat="false" ht="15" hidden="false" customHeight="false" outlineLevel="0" collapsed="false">
      <c r="A914" s="61"/>
      <c r="B914" s="62"/>
      <c r="C914" s="63"/>
      <c r="D914" s="63"/>
      <c r="E914" s="62"/>
      <c r="F914" s="62"/>
      <c r="G914" s="62"/>
      <c r="I914" s="64" t="str">
        <f aca="false">IF($B914="","",IF(ISNUMBER(MATCH($B914,日別データ!$B$9:$B$28,0)),"✔ OK","⚠ 未登録"))</f>
        <v/>
      </c>
    </row>
    <row r="915" customFormat="false" ht="15" hidden="false" customHeight="false" outlineLevel="0" collapsed="false">
      <c r="A915" s="61"/>
      <c r="B915" s="62"/>
      <c r="C915" s="63"/>
      <c r="D915" s="63"/>
      <c r="E915" s="62"/>
      <c r="F915" s="62"/>
      <c r="G915" s="62"/>
      <c r="I915" s="64" t="str">
        <f aca="false">IF($B915="","",IF(ISNUMBER(MATCH($B915,日別データ!$B$9:$B$28,0)),"✔ OK","⚠ 未登録"))</f>
        <v/>
      </c>
    </row>
    <row r="916" customFormat="false" ht="15" hidden="false" customHeight="false" outlineLevel="0" collapsed="false">
      <c r="A916" s="61"/>
      <c r="B916" s="62"/>
      <c r="C916" s="63"/>
      <c r="D916" s="63"/>
      <c r="E916" s="62"/>
      <c r="F916" s="62"/>
      <c r="G916" s="62"/>
      <c r="I916" s="64" t="str">
        <f aca="false">IF($B916="","",IF(ISNUMBER(MATCH($B916,日別データ!$B$9:$B$28,0)),"✔ OK","⚠ 未登録"))</f>
        <v/>
      </c>
    </row>
    <row r="917" customFormat="false" ht="15" hidden="false" customHeight="false" outlineLevel="0" collapsed="false">
      <c r="A917" s="61"/>
      <c r="B917" s="62"/>
      <c r="C917" s="63"/>
      <c r="D917" s="63"/>
      <c r="E917" s="62"/>
      <c r="F917" s="62"/>
      <c r="G917" s="62"/>
      <c r="I917" s="64" t="str">
        <f aca="false">IF($B917="","",IF(ISNUMBER(MATCH($B917,日別データ!$B$9:$B$28,0)),"✔ OK","⚠ 未登録"))</f>
        <v/>
      </c>
    </row>
    <row r="918" customFormat="false" ht="15" hidden="false" customHeight="false" outlineLevel="0" collapsed="false">
      <c r="A918" s="61"/>
      <c r="B918" s="62"/>
      <c r="C918" s="63"/>
      <c r="D918" s="63"/>
      <c r="E918" s="62"/>
      <c r="F918" s="62"/>
      <c r="G918" s="62"/>
      <c r="I918" s="64" t="str">
        <f aca="false">IF($B918="","",IF(ISNUMBER(MATCH($B918,日別データ!$B$9:$B$28,0)),"✔ OK","⚠ 未登録"))</f>
        <v/>
      </c>
    </row>
    <row r="919" customFormat="false" ht="15" hidden="false" customHeight="false" outlineLevel="0" collapsed="false">
      <c r="A919" s="61"/>
      <c r="B919" s="62"/>
      <c r="C919" s="63"/>
      <c r="D919" s="63"/>
      <c r="E919" s="62"/>
      <c r="F919" s="62"/>
      <c r="G919" s="62"/>
      <c r="I919" s="64" t="str">
        <f aca="false">IF($B919="","",IF(ISNUMBER(MATCH($B919,日別データ!$B$9:$B$28,0)),"✔ OK","⚠ 未登録"))</f>
        <v/>
      </c>
    </row>
    <row r="920" customFormat="false" ht="15" hidden="false" customHeight="false" outlineLevel="0" collapsed="false">
      <c r="A920" s="61"/>
      <c r="B920" s="62"/>
      <c r="C920" s="63"/>
      <c r="D920" s="63"/>
      <c r="E920" s="62"/>
      <c r="F920" s="62"/>
      <c r="G920" s="62"/>
      <c r="I920" s="64" t="str">
        <f aca="false">IF($B920="","",IF(ISNUMBER(MATCH($B920,日別データ!$B$9:$B$28,0)),"✔ OK","⚠ 未登録"))</f>
        <v/>
      </c>
    </row>
    <row r="921" customFormat="false" ht="15" hidden="false" customHeight="false" outlineLevel="0" collapsed="false">
      <c r="A921" s="61"/>
      <c r="B921" s="62"/>
      <c r="C921" s="63"/>
      <c r="D921" s="63"/>
      <c r="E921" s="62"/>
      <c r="F921" s="62"/>
      <c r="G921" s="62"/>
      <c r="I921" s="64" t="str">
        <f aca="false">IF($B921="","",IF(ISNUMBER(MATCH($B921,日別データ!$B$9:$B$28,0)),"✔ OK","⚠ 未登録"))</f>
        <v/>
      </c>
    </row>
    <row r="922" customFormat="false" ht="15" hidden="false" customHeight="false" outlineLevel="0" collapsed="false">
      <c r="A922" s="61"/>
      <c r="B922" s="62"/>
      <c r="C922" s="63"/>
      <c r="D922" s="63"/>
      <c r="E922" s="62"/>
      <c r="F922" s="62"/>
      <c r="G922" s="62"/>
      <c r="I922" s="64" t="str">
        <f aca="false">IF($B922="","",IF(ISNUMBER(MATCH($B922,日別データ!$B$9:$B$28,0)),"✔ OK","⚠ 未登録"))</f>
        <v/>
      </c>
    </row>
    <row r="923" customFormat="false" ht="15" hidden="false" customHeight="false" outlineLevel="0" collapsed="false">
      <c r="A923" s="61"/>
      <c r="B923" s="62"/>
      <c r="C923" s="63"/>
      <c r="D923" s="63"/>
      <c r="E923" s="62"/>
      <c r="F923" s="62"/>
      <c r="G923" s="62"/>
      <c r="I923" s="64" t="str">
        <f aca="false">IF($B923="","",IF(ISNUMBER(MATCH($B923,日別データ!$B$9:$B$28,0)),"✔ OK","⚠ 未登録"))</f>
        <v/>
      </c>
    </row>
    <row r="924" customFormat="false" ht="15" hidden="false" customHeight="false" outlineLevel="0" collapsed="false">
      <c r="A924" s="61"/>
      <c r="B924" s="62"/>
      <c r="C924" s="63"/>
      <c r="D924" s="63"/>
      <c r="E924" s="62"/>
      <c r="F924" s="62"/>
      <c r="G924" s="62"/>
      <c r="I924" s="64" t="str">
        <f aca="false">IF($B924="","",IF(ISNUMBER(MATCH($B924,日別データ!$B$9:$B$28,0)),"✔ OK","⚠ 未登録"))</f>
        <v/>
      </c>
    </row>
    <row r="925" customFormat="false" ht="15" hidden="false" customHeight="false" outlineLevel="0" collapsed="false">
      <c r="A925" s="61"/>
      <c r="B925" s="62"/>
      <c r="C925" s="63"/>
      <c r="D925" s="63"/>
      <c r="E925" s="62"/>
      <c r="F925" s="62"/>
      <c r="G925" s="62"/>
      <c r="I925" s="64" t="str">
        <f aca="false">IF($B925="","",IF(ISNUMBER(MATCH($B925,日別データ!$B$9:$B$28,0)),"✔ OK","⚠ 未登録"))</f>
        <v/>
      </c>
    </row>
    <row r="926" customFormat="false" ht="15" hidden="false" customHeight="false" outlineLevel="0" collapsed="false">
      <c r="A926" s="61"/>
      <c r="B926" s="62"/>
      <c r="C926" s="63"/>
      <c r="D926" s="63"/>
      <c r="E926" s="62"/>
      <c r="F926" s="62"/>
      <c r="G926" s="62"/>
      <c r="I926" s="64" t="str">
        <f aca="false">IF($B926="","",IF(ISNUMBER(MATCH($B926,日別データ!$B$9:$B$28,0)),"✔ OK","⚠ 未登録"))</f>
        <v/>
      </c>
    </row>
    <row r="927" customFormat="false" ht="15" hidden="false" customHeight="false" outlineLevel="0" collapsed="false">
      <c r="A927" s="61"/>
      <c r="B927" s="62"/>
      <c r="C927" s="63"/>
      <c r="D927" s="63"/>
      <c r="E927" s="62"/>
      <c r="F927" s="62"/>
      <c r="G927" s="62"/>
      <c r="I927" s="64" t="str">
        <f aca="false">IF($B927="","",IF(ISNUMBER(MATCH($B927,日別データ!$B$9:$B$28,0)),"✔ OK","⚠ 未登録"))</f>
        <v/>
      </c>
    </row>
    <row r="928" customFormat="false" ht="15" hidden="false" customHeight="false" outlineLevel="0" collapsed="false">
      <c r="A928" s="61"/>
      <c r="B928" s="62"/>
      <c r="C928" s="63"/>
      <c r="D928" s="63"/>
      <c r="E928" s="62"/>
      <c r="F928" s="62"/>
      <c r="G928" s="62"/>
      <c r="I928" s="64" t="str">
        <f aca="false">IF($B928="","",IF(ISNUMBER(MATCH($B928,日別データ!$B$9:$B$28,0)),"✔ OK","⚠ 未登録"))</f>
        <v/>
      </c>
    </row>
    <row r="929" customFormat="false" ht="15" hidden="false" customHeight="false" outlineLevel="0" collapsed="false">
      <c r="A929" s="61"/>
      <c r="B929" s="62"/>
      <c r="C929" s="63"/>
      <c r="D929" s="63"/>
      <c r="E929" s="62"/>
      <c r="F929" s="62"/>
      <c r="G929" s="62"/>
      <c r="I929" s="64" t="str">
        <f aca="false">IF($B929="","",IF(ISNUMBER(MATCH($B929,日別データ!$B$9:$B$28,0)),"✔ OK","⚠ 未登録"))</f>
        <v/>
      </c>
    </row>
    <row r="930" customFormat="false" ht="15" hidden="false" customHeight="false" outlineLevel="0" collapsed="false">
      <c r="A930" s="61"/>
      <c r="B930" s="62"/>
      <c r="C930" s="63"/>
      <c r="D930" s="63"/>
      <c r="E930" s="62"/>
      <c r="F930" s="62"/>
      <c r="G930" s="62"/>
      <c r="I930" s="64" t="str">
        <f aca="false">IF($B930="","",IF(ISNUMBER(MATCH($B930,日別データ!$B$9:$B$28,0)),"✔ OK","⚠ 未登録"))</f>
        <v/>
      </c>
    </row>
    <row r="931" customFormat="false" ht="15" hidden="false" customHeight="false" outlineLevel="0" collapsed="false">
      <c r="A931" s="61"/>
      <c r="B931" s="62"/>
      <c r="C931" s="63"/>
      <c r="D931" s="63"/>
      <c r="E931" s="62"/>
      <c r="F931" s="62"/>
      <c r="G931" s="62"/>
      <c r="I931" s="64" t="str">
        <f aca="false">IF($B931="","",IF(ISNUMBER(MATCH($B931,日別データ!$B$9:$B$28,0)),"✔ OK","⚠ 未登録"))</f>
        <v/>
      </c>
    </row>
    <row r="932" customFormat="false" ht="15" hidden="false" customHeight="false" outlineLevel="0" collapsed="false">
      <c r="A932" s="61"/>
      <c r="B932" s="62"/>
      <c r="C932" s="63"/>
      <c r="D932" s="63"/>
      <c r="E932" s="62"/>
      <c r="F932" s="62"/>
      <c r="G932" s="62"/>
      <c r="I932" s="64" t="str">
        <f aca="false">IF($B932="","",IF(ISNUMBER(MATCH($B932,日別データ!$B$9:$B$28,0)),"✔ OK","⚠ 未登録"))</f>
        <v/>
      </c>
    </row>
    <row r="933" customFormat="false" ht="15" hidden="false" customHeight="false" outlineLevel="0" collapsed="false">
      <c r="A933" s="61"/>
      <c r="B933" s="62"/>
      <c r="C933" s="63"/>
      <c r="D933" s="63"/>
      <c r="E933" s="62"/>
      <c r="F933" s="62"/>
      <c r="G933" s="62"/>
      <c r="I933" s="64" t="str">
        <f aca="false">IF($B933="","",IF(ISNUMBER(MATCH($B933,日別データ!$B$9:$B$28,0)),"✔ OK","⚠ 未登録"))</f>
        <v/>
      </c>
    </row>
    <row r="934" customFormat="false" ht="15" hidden="false" customHeight="false" outlineLevel="0" collapsed="false">
      <c r="A934" s="61"/>
      <c r="B934" s="62"/>
      <c r="C934" s="63"/>
      <c r="D934" s="63"/>
      <c r="E934" s="62"/>
      <c r="F934" s="62"/>
      <c r="G934" s="62"/>
      <c r="I934" s="64" t="str">
        <f aca="false">IF($B934="","",IF(ISNUMBER(MATCH($B934,日別データ!$B$9:$B$28,0)),"✔ OK","⚠ 未登録"))</f>
        <v/>
      </c>
    </row>
    <row r="935" customFormat="false" ht="15" hidden="false" customHeight="false" outlineLevel="0" collapsed="false">
      <c r="A935" s="61"/>
      <c r="B935" s="62"/>
      <c r="C935" s="63"/>
      <c r="D935" s="63"/>
      <c r="E935" s="62"/>
      <c r="F935" s="62"/>
      <c r="G935" s="62"/>
      <c r="I935" s="64" t="str">
        <f aca="false">IF($B935="","",IF(ISNUMBER(MATCH($B935,日別データ!$B$9:$B$28,0)),"✔ OK","⚠ 未登録"))</f>
        <v/>
      </c>
    </row>
    <row r="936" customFormat="false" ht="15" hidden="false" customHeight="false" outlineLevel="0" collapsed="false">
      <c r="A936" s="61"/>
      <c r="B936" s="62"/>
      <c r="C936" s="63"/>
      <c r="D936" s="63"/>
      <c r="E936" s="62"/>
      <c r="F936" s="62"/>
      <c r="G936" s="62"/>
      <c r="I936" s="64" t="str">
        <f aca="false">IF($B936="","",IF(ISNUMBER(MATCH($B936,日別データ!$B$9:$B$28,0)),"✔ OK","⚠ 未登録"))</f>
        <v/>
      </c>
    </row>
    <row r="937" customFormat="false" ht="15" hidden="false" customHeight="false" outlineLevel="0" collapsed="false">
      <c r="A937" s="61"/>
      <c r="B937" s="62"/>
      <c r="C937" s="63"/>
      <c r="D937" s="63"/>
      <c r="E937" s="62"/>
      <c r="F937" s="62"/>
      <c r="G937" s="62"/>
      <c r="I937" s="64" t="str">
        <f aca="false">IF($B937="","",IF(ISNUMBER(MATCH($B937,日別データ!$B$9:$B$28,0)),"✔ OK","⚠ 未登録"))</f>
        <v/>
      </c>
    </row>
    <row r="938" customFormat="false" ht="15" hidden="false" customHeight="false" outlineLevel="0" collapsed="false">
      <c r="A938" s="61"/>
      <c r="B938" s="62"/>
      <c r="C938" s="63"/>
      <c r="D938" s="63"/>
      <c r="E938" s="62"/>
      <c r="F938" s="62"/>
      <c r="G938" s="62"/>
      <c r="I938" s="64" t="str">
        <f aca="false">IF($B938="","",IF(ISNUMBER(MATCH($B938,日別データ!$B$9:$B$28,0)),"✔ OK","⚠ 未登録"))</f>
        <v/>
      </c>
    </row>
    <row r="939" customFormat="false" ht="15" hidden="false" customHeight="false" outlineLevel="0" collapsed="false">
      <c r="A939" s="61"/>
      <c r="B939" s="62"/>
      <c r="C939" s="63"/>
      <c r="D939" s="63"/>
      <c r="E939" s="62"/>
      <c r="F939" s="62"/>
      <c r="G939" s="62"/>
      <c r="I939" s="64" t="str">
        <f aca="false">IF($B939="","",IF(ISNUMBER(MATCH($B939,日別データ!$B$9:$B$28,0)),"✔ OK","⚠ 未登録"))</f>
        <v/>
      </c>
    </row>
    <row r="940" customFormat="false" ht="15" hidden="false" customHeight="false" outlineLevel="0" collapsed="false">
      <c r="A940" s="61"/>
      <c r="B940" s="62"/>
      <c r="C940" s="63"/>
      <c r="D940" s="63"/>
      <c r="E940" s="62"/>
      <c r="F940" s="62"/>
      <c r="G940" s="62"/>
      <c r="I940" s="64" t="str">
        <f aca="false">IF($B940="","",IF(ISNUMBER(MATCH($B940,日別データ!$B$9:$B$28,0)),"✔ OK","⚠ 未登録"))</f>
        <v/>
      </c>
    </row>
    <row r="941" customFormat="false" ht="15" hidden="false" customHeight="false" outlineLevel="0" collapsed="false">
      <c r="A941" s="61"/>
      <c r="B941" s="62"/>
      <c r="C941" s="63"/>
      <c r="D941" s="63"/>
      <c r="E941" s="62"/>
      <c r="F941" s="62"/>
      <c r="G941" s="62"/>
      <c r="I941" s="64" t="str">
        <f aca="false">IF($B941="","",IF(ISNUMBER(MATCH($B941,日別データ!$B$9:$B$28,0)),"✔ OK","⚠ 未登録"))</f>
        <v/>
      </c>
    </row>
    <row r="942" customFormat="false" ht="15" hidden="false" customHeight="false" outlineLevel="0" collapsed="false">
      <c r="A942" s="61"/>
      <c r="B942" s="62"/>
      <c r="C942" s="63"/>
      <c r="D942" s="63"/>
      <c r="E942" s="62"/>
      <c r="F942" s="62"/>
      <c r="G942" s="62"/>
      <c r="I942" s="64" t="str">
        <f aca="false">IF($B942="","",IF(ISNUMBER(MATCH($B942,日別データ!$B$9:$B$28,0)),"✔ OK","⚠ 未登録"))</f>
        <v/>
      </c>
    </row>
    <row r="943" customFormat="false" ht="15" hidden="false" customHeight="false" outlineLevel="0" collapsed="false">
      <c r="A943" s="61"/>
      <c r="B943" s="62"/>
      <c r="C943" s="63"/>
      <c r="D943" s="63"/>
      <c r="E943" s="62"/>
      <c r="F943" s="62"/>
      <c r="G943" s="62"/>
      <c r="I943" s="64" t="str">
        <f aca="false">IF($B943="","",IF(ISNUMBER(MATCH($B943,日別データ!$B$9:$B$28,0)),"✔ OK","⚠ 未登録"))</f>
        <v/>
      </c>
    </row>
    <row r="944" customFormat="false" ht="15" hidden="false" customHeight="false" outlineLevel="0" collapsed="false">
      <c r="A944" s="61"/>
      <c r="B944" s="62"/>
      <c r="C944" s="63"/>
      <c r="D944" s="63"/>
      <c r="E944" s="62"/>
      <c r="F944" s="62"/>
      <c r="G944" s="62"/>
      <c r="I944" s="64" t="str">
        <f aca="false">IF($B944="","",IF(ISNUMBER(MATCH($B944,日別データ!$B$9:$B$28,0)),"✔ OK","⚠ 未登録"))</f>
        <v/>
      </c>
    </row>
    <row r="945" customFormat="false" ht="15" hidden="false" customHeight="false" outlineLevel="0" collapsed="false">
      <c r="A945" s="61"/>
      <c r="B945" s="62"/>
      <c r="C945" s="63"/>
      <c r="D945" s="63"/>
      <c r="E945" s="62"/>
      <c r="F945" s="62"/>
      <c r="G945" s="62"/>
      <c r="I945" s="64" t="str">
        <f aca="false">IF($B945="","",IF(ISNUMBER(MATCH($B945,日別データ!$B$9:$B$28,0)),"✔ OK","⚠ 未登録"))</f>
        <v/>
      </c>
    </row>
    <row r="946" customFormat="false" ht="15" hidden="false" customHeight="false" outlineLevel="0" collapsed="false">
      <c r="A946" s="61"/>
      <c r="B946" s="62"/>
      <c r="C946" s="63"/>
      <c r="D946" s="63"/>
      <c r="E946" s="62"/>
      <c r="F946" s="62"/>
      <c r="G946" s="62"/>
      <c r="I946" s="64" t="str">
        <f aca="false">IF($B946="","",IF(ISNUMBER(MATCH($B946,日別データ!$B$9:$B$28,0)),"✔ OK","⚠ 未登録"))</f>
        <v/>
      </c>
    </row>
    <row r="947" customFormat="false" ht="15" hidden="false" customHeight="false" outlineLevel="0" collapsed="false">
      <c r="A947" s="61"/>
      <c r="B947" s="62"/>
      <c r="C947" s="63"/>
      <c r="D947" s="63"/>
      <c r="E947" s="62"/>
      <c r="F947" s="62"/>
      <c r="G947" s="62"/>
      <c r="I947" s="64" t="str">
        <f aca="false">IF($B947="","",IF(ISNUMBER(MATCH($B947,日別データ!$B$9:$B$28,0)),"✔ OK","⚠ 未登録"))</f>
        <v/>
      </c>
    </row>
    <row r="948" customFormat="false" ht="15" hidden="false" customHeight="false" outlineLevel="0" collapsed="false">
      <c r="A948" s="61"/>
      <c r="B948" s="62"/>
      <c r="C948" s="63"/>
      <c r="D948" s="63"/>
      <c r="E948" s="62"/>
      <c r="F948" s="62"/>
      <c r="G948" s="62"/>
      <c r="I948" s="64" t="str">
        <f aca="false">IF($B948="","",IF(ISNUMBER(MATCH($B948,日別データ!$B$9:$B$28,0)),"✔ OK","⚠ 未登録"))</f>
        <v/>
      </c>
    </row>
    <row r="949" customFormat="false" ht="15" hidden="false" customHeight="false" outlineLevel="0" collapsed="false">
      <c r="A949" s="61"/>
      <c r="B949" s="62"/>
      <c r="C949" s="63"/>
      <c r="D949" s="63"/>
      <c r="E949" s="62"/>
      <c r="F949" s="62"/>
      <c r="G949" s="62"/>
      <c r="I949" s="64" t="str">
        <f aca="false">IF($B949="","",IF(ISNUMBER(MATCH($B949,日別データ!$B$9:$B$28,0)),"✔ OK","⚠ 未登録"))</f>
        <v/>
      </c>
    </row>
    <row r="950" customFormat="false" ht="15" hidden="false" customHeight="false" outlineLevel="0" collapsed="false">
      <c r="A950" s="61"/>
      <c r="B950" s="62"/>
      <c r="C950" s="63"/>
      <c r="D950" s="63"/>
      <c r="E950" s="62"/>
      <c r="F950" s="62"/>
      <c r="G950" s="62"/>
      <c r="I950" s="64" t="str">
        <f aca="false">IF($B950="","",IF(ISNUMBER(MATCH($B950,日別データ!$B$9:$B$28,0)),"✔ OK","⚠ 未登録"))</f>
        <v/>
      </c>
    </row>
    <row r="951" customFormat="false" ht="15" hidden="false" customHeight="false" outlineLevel="0" collapsed="false">
      <c r="A951" s="61"/>
      <c r="B951" s="62"/>
      <c r="C951" s="63"/>
      <c r="D951" s="63"/>
      <c r="E951" s="62"/>
      <c r="F951" s="62"/>
      <c r="G951" s="62"/>
      <c r="I951" s="64" t="str">
        <f aca="false">IF($B951="","",IF(ISNUMBER(MATCH($B951,日別データ!$B$9:$B$28,0)),"✔ OK","⚠ 未登録"))</f>
        <v/>
      </c>
    </row>
    <row r="952" customFormat="false" ht="15" hidden="false" customHeight="false" outlineLevel="0" collapsed="false">
      <c r="A952" s="61"/>
      <c r="B952" s="62"/>
      <c r="C952" s="63"/>
      <c r="D952" s="63"/>
      <c r="E952" s="62"/>
      <c r="F952" s="62"/>
      <c r="G952" s="62"/>
      <c r="I952" s="64" t="str">
        <f aca="false">IF($B952="","",IF(ISNUMBER(MATCH($B952,日別データ!$B$9:$B$28,0)),"✔ OK","⚠ 未登録"))</f>
        <v/>
      </c>
    </row>
    <row r="953" customFormat="false" ht="15" hidden="false" customHeight="false" outlineLevel="0" collapsed="false">
      <c r="A953" s="61"/>
      <c r="B953" s="62"/>
      <c r="C953" s="63"/>
      <c r="D953" s="63"/>
      <c r="E953" s="62"/>
      <c r="F953" s="62"/>
      <c r="G953" s="62"/>
      <c r="I953" s="64" t="str">
        <f aca="false">IF($B953="","",IF(ISNUMBER(MATCH($B953,日別データ!$B$9:$B$28,0)),"✔ OK","⚠ 未登録"))</f>
        <v/>
      </c>
    </row>
    <row r="954" customFormat="false" ht="15" hidden="false" customHeight="false" outlineLevel="0" collapsed="false">
      <c r="A954" s="61"/>
      <c r="B954" s="62"/>
      <c r="C954" s="63"/>
      <c r="D954" s="63"/>
      <c r="E954" s="62"/>
      <c r="F954" s="62"/>
      <c r="G954" s="62"/>
      <c r="I954" s="64" t="str">
        <f aca="false">IF($B954="","",IF(ISNUMBER(MATCH($B954,日別データ!$B$9:$B$28,0)),"✔ OK","⚠ 未登録"))</f>
        <v/>
      </c>
    </row>
    <row r="955" customFormat="false" ht="15" hidden="false" customHeight="false" outlineLevel="0" collapsed="false">
      <c r="A955" s="61"/>
      <c r="B955" s="62"/>
      <c r="C955" s="63"/>
      <c r="D955" s="63"/>
      <c r="E955" s="62"/>
      <c r="F955" s="62"/>
      <c r="G955" s="62"/>
      <c r="I955" s="64" t="str">
        <f aca="false">IF($B955="","",IF(ISNUMBER(MATCH($B955,日別データ!$B$9:$B$28,0)),"✔ OK","⚠ 未登録"))</f>
        <v/>
      </c>
    </row>
    <row r="956" customFormat="false" ht="15" hidden="false" customHeight="false" outlineLevel="0" collapsed="false">
      <c r="A956" s="61"/>
      <c r="B956" s="62"/>
      <c r="C956" s="63"/>
      <c r="D956" s="63"/>
      <c r="E956" s="62"/>
      <c r="F956" s="62"/>
      <c r="G956" s="62"/>
      <c r="I956" s="64" t="str">
        <f aca="false">IF($B956="","",IF(ISNUMBER(MATCH($B956,日別データ!$B$9:$B$28,0)),"✔ OK","⚠ 未登録"))</f>
        <v/>
      </c>
    </row>
    <row r="957" customFormat="false" ht="15" hidden="false" customHeight="false" outlineLevel="0" collapsed="false">
      <c r="A957" s="61"/>
      <c r="B957" s="62"/>
      <c r="C957" s="63"/>
      <c r="D957" s="63"/>
      <c r="E957" s="62"/>
      <c r="F957" s="62"/>
      <c r="G957" s="62"/>
      <c r="I957" s="64" t="str">
        <f aca="false">IF($B957="","",IF(ISNUMBER(MATCH($B957,日別データ!$B$9:$B$28,0)),"✔ OK","⚠ 未登録"))</f>
        <v/>
      </c>
    </row>
    <row r="958" customFormat="false" ht="15" hidden="false" customHeight="false" outlineLevel="0" collapsed="false">
      <c r="A958" s="61"/>
      <c r="B958" s="62"/>
      <c r="C958" s="63"/>
      <c r="D958" s="63"/>
      <c r="E958" s="62"/>
      <c r="F958" s="62"/>
      <c r="G958" s="62"/>
      <c r="I958" s="64" t="str">
        <f aca="false">IF($B958="","",IF(ISNUMBER(MATCH($B958,日別データ!$B$9:$B$28,0)),"✔ OK","⚠ 未登録"))</f>
        <v/>
      </c>
    </row>
    <row r="959" customFormat="false" ht="15" hidden="false" customHeight="false" outlineLevel="0" collapsed="false">
      <c r="A959" s="61"/>
      <c r="B959" s="62"/>
      <c r="C959" s="63"/>
      <c r="D959" s="63"/>
      <c r="E959" s="62"/>
      <c r="F959" s="62"/>
      <c r="G959" s="62"/>
      <c r="I959" s="64" t="str">
        <f aca="false">IF($B959="","",IF(ISNUMBER(MATCH($B959,日別データ!$B$9:$B$28,0)),"✔ OK","⚠ 未登録"))</f>
        <v/>
      </c>
    </row>
    <row r="960" customFormat="false" ht="15" hidden="false" customHeight="false" outlineLevel="0" collapsed="false">
      <c r="A960" s="61"/>
      <c r="B960" s="62"/>
      <c r="C960" s="63"/>
      <c r="D960" s="63"/>
      <c r="E960" s="62"/>
      <c r="F960" s="62"/>
      <c r="G960" s="62"/>
      <c r="I960" s="64" t="str">
        <f aca="false">IF($B960="","",IF(ISNUMBER(MATCH($B960,日別データ!$B$9:$B$28,0)),"✔ OK","⚠ 未登録"))</f>
        <v/>
      </c>
    </row>
    <row r="961" customFormat="false" ht="15" hidden="false" customHeight="false" outlineLevel="0" collapsed="false">
      <c r="A961" s="61"/>
      <c r="B961" s="62"/>
      <c r="C961" s="63"/>
      <c r="D961" s="63"/>
      <c r="E961" s="62"/>
      <c r="F961" s="62"/>
      <c r="G961" s="62"/>
      <c r="I961" s="64" t="str">
        <f aca="false">IF($B961="","",IF(ISNUMBER(MATCH($B961,日別データ!$B$9:$B$28,0)),"✔ OK","⚠ 未登録"))</f>
        <v/>
      </c>
    </row>
    <row r="962" customFormat="false" ht="15" hidden="false" customHeight="false" outlineLevel="0" collapsed="false">
      <c r="A962" s="61"/>
      <c r="B962" s="62"/>
      <c r="C962" s="63"/>
      <c r="D962" s="63"/>
      <c r="E962" s="62"/>
      <c r="F962" s="62"/>
      <c r="G962" s="62"/>
      <c r="I962" s="64" t="str">
        <f aca="false">IF($B962="","",IF(ISNUMBER(MATCH($B962,日別データ!$B$9:$B$28,0)),"✔ OK","⚠ 未登録"))</f>
        <v/>
      </c>
    </row>
    <row r="963" customFormat="false" ht="15" hidden="false" customHeight="false" outlineLevel="0" collapsed="false">
      <c r="A963" s="61"/>
      <c r="B963" s="62"/>
      <c r="C963" s="63"/>
      <c r="D963" s="63"/>
      <c r="E963" s="62"/>
      <c r="F963" s="62"/>
      <c r="G963" s="62"/>
      <c r="I963" s="64" t="str">
        <f aca="false">IF($B963="","",IF(ISNUMBER(MATCH($B963,日別データ!$B$9:$B$28,0)),"✔ OK","⚠ 未登録"))</f>
        <v/>
      </c>
    </row>
    <row r="964" customFormat="false" ht="15" hidden="false" customHeight="false" outlineLevel="0" collapsed="false">
      <c r="A964" s="61"/>
      <c r="B964" s="62"/>
      <c r="C964" s="63"/>
      <c r="D964" s="63"/>
      <c r="E964" s="62"/>
      <c r="F964" s="62"/>
      <c r="G964" s="62"/>
      <c r="I964" s="64" t="str">
        <f aca="false">IF($B964="","",IF(ISNUMBER(MATCH($B964,日別データ!$B$9:$B$28,0)),"✔ OK","⚠ 未登録"))</f>
        <v/>
      </c>
    </row>
    <row r="965" customFormat="false" ht="15" hidden="false" customHeight="false" outlineLevel="0" collapsed="false">
      <c r="A965" s="61"/>
      <c r="B965" s="62"/>
      <c r="C965" s="63"/>
      <c r="D965" s="63"/>
      <c r="E965" s="62"/>
      <c r="F965" s="62"/>
      <c r="G965" s="62"/>
      <c r="I965" s="64" t="str">
        <f aca="false">IF($B965="","",IF(ISNUMBER(MATCH($B965,日別データ!$B$9:$B$28,0)),"✔ OK","⚠ 未登録"))</f>
        <v/>
      </c>
    </row>
    <row r="966" customFormat="false" ht="15" hidden="false" customHeight="false" outlineLevel="0" collapsed="false">
      <c r="A966" s="61"/>
      <c r="B966" s="62"/>
      <c r="C966" s="63"/>
      <c r="D966" s="63"/>
      <c r="E966" s="62"/>
      <c r="F966" s="62"/>
      <c r="G966" s="62"/>
      <c r="I966" s="64" t="str">
        <f aca="false">IF($B966="","",IF(ISNUMBER(MATCH($B966,日別データ!$B$9:$B$28,0)),"✔ OK","⚠ 未登録"))</f>
        <v/>
      </c>
    </row>
    <row r="967" customFormat="false" ht="15" hidden="false" customHeight="false" outlineLevel="0" collapsed="false">
      <c r="A967" s="61"/>
      <c r="B967" s="62"/>
      <c r="C967" s="63"/>
      <c r="D967" s="63"/>
      <c r="E967" s="62"/>
      <c r="F967" s="62"/>
      <c r="G967" s="62"/>
      <c r="I967" s="64" t="str">
        <f aca="false">IF($B967="","",IF(ISNUMBER(MATCH($B967,日別データ!$B$9:$B$28,0)),"✔ OK","⚠ 未登録"))</f>
        <v/>
      </c>
    </row>
    <row r="968" customFormat="false" ht="15" hidden="false" customHeight="false" outlineLevel="0" collapsed="false">
      <c r="A968" s="61"/>
      <c r="B968" s="62"/>
      <c r="C968" s="63"/>
      <c r="D968" s="63"/>
      <c r="E968" s="62"/>
      <c r="F968" s="62"/>
      <c r="G968" s="62"/>
      <c r="I968" s="64" t="str">
        <f aca="false">IF($B968="","",IF(ISNUMBER(MATCH($B968,日別データ!$B$9:$B$28,0)),"✔ OK","⚠ 未登録"))</f>
        <v/>
      </c>
    </row>
    <row r="969" customFormat="false" ht="15" hidden="false" customHeight="false" outlineLevel="0" collapsed="false">
      <c r="A969" s="61"/>
      <c r="B969" s="62"/>
      <c r="C969" s="63"/>
      <c r="D969" s="63"/>
      <c r="E969" s="62"/>
      <c r="F969" s="62"/>
      <c r="G969" s="62"/>
      <c r="I969" s="64" t="str">
        <f aca="false">IF($B969="","",IF(ISNUMBER(MATCH($B969,日別データ!$B$9:$B$28,0)),"✔ OK","⚠ 未登録"))</f>
        <v/>
      </c>
    </row>
    <row r="970" customFormat="false" ht="15" hidden="false" customHeight="false" outlineLevel="0" collapsed="false">
      <c r="A970" s="61"/>
      <c r="B970" s="62"/>
      <c r="C970" s="63"/>
      <c r="D970" s="63"/>
      <c r="E970" s="62"/>
      <c r="F970" s="62"/>
      <c r="G970" s="62"/>
      <c r="I970" s="64" t="str">
        <f aca="false">IF($B970="","",IF(ISNUMBER(MATCH($B970,日別データ!$B$9:$B$28,0)),"✔ OK","⚠ 未登録"))</f>
        <v/>
      </c>
    </row>
    <row r="971" customFormat="false" ht="15" hidden="false" customHeight="false" outlineLevel="0" collapsed="false">
      <c r="A971" s="61"/>
      <c r="B971" s="62"/>
      <c r="C971" s="63"/>
      <c r="D971" s="63"/>
      <c r="E971" s="62"/>
      <c r="F971" s="62"/>
      <c r="G971" s="62"/>
      <c r="I971" s="64" t="str">
        <f aca="false">IF($B971="","",IF(ISNUMBER(MATCH($B971,日別データ!$B$9:$B$28,0)),"✔ OK","⚠ 未登録"))</f>
        <v/>
      </c>
    </row>
    <row r="972" customFormat="false" ht="15" hidden="false" customHeight="false" outlineLevel="0" collapsed="false">
      <c r="A972" s="61"/>
      <c r="B972" s="62"/>
      <c r="C972" s="63"/>
      <c r="D972" s="63"/>
      <c r="E972" s="62"/>
      <c r="F972" s="62"/>
      <c r="G972" s="62"/>
      <c r="I972" s="64" t="str">
        <f aca="false">IF($B972="","",IF(ISNUMBER(MATCH($B972,日別データ!$B$9:$B$28,0)),"✔ OK","⚠ 未登録"))</f>
        <v/>
      </c>
    </row>
    <row r="973" customFormat="false" ht="15" hidden="false" customHeight="false" outlineLevel="0" collapsed="false">
      <c r="A973" s="61"/>
      <c r="B973" s="62"/>
      <c r="C973" s="63"/>
      <c r="D973" s="63"/>
      <c r="E973" s="62"/>
      <c r="F973" s="62"/>
      <c r="G973" s="62"/>
      <c r="I973" s="64" t="str">
        <f aca="false">IF($B973="","",IF(ISNUMBER(MATCH($B973,日別データ!$B$9:$B$28,0)),"✔ OK","⚠ 未登録"))</f>
        <v/>
      </c>
    </row>
    <row r="974" customFormat="false" ht="15" hidden="false" customHeight="false" outlineLevel="0" collapsed="false">
      <c r="A974" s="61"/>
      <c r="B974" s="62"/>
      <c r="C974" s="63"/>
      <c r="D974" s="63"/>
      <c r="E974" s="62"/>
      <c r="F974" s="62"/>
      <c r="G974" s="62"/>
      <c r="I974" s="64" t="str">
        <f aca="false">IF($B974="","",IF(ISNUMBER(MATCH($B974,日別データ!$B$9:$B$28,0)),"✔ OK","⚠ 未登録"))</f>
        <v/>
      </c>
    </row>
    <row r="975" customFormat="false" ht="15" hidden="false" customHeight="false" outlineLevel="0" collapsed="false">
      <c r="A975" s="61"/>
      <c r="B975" s="62"/>
      <c r="C975" s="63"/>
      <c r="D975" s="63"/>
      <c r="E975" s="62"/>
      <c r="F975" s="62"/>
      <c r="G975" s="62"/>
      <c r="I975" s="64" t="str">
        <f aca="false">IF($B975="","",IF(ISNUMBER(MATCH($B975,日別データ!$B$9:$B$28,0)),"✔ OK","⚠ 未登録"))</f>
        <v/>
      </c>
    </row>
    <row r="976" customFormat="false" ht="15" hidden="false" customHeight="false" outlineLevel="0" collapsed="false">
      <c r="A976" s="61"/>
      <c r="B976" s="62"/>
      <c r="C976" s="63"/>
      <c r="D976" s="63"/>
      <c r="E976" s="62"/>
      <c r="F976" s="62"/>
      <c r="G976" s="62"/>
      <c r="I976" s="64" t="str">
        <f aca="false">IF($B976="","",IF(ISNUMBER(MATCH($B976,日別データ!$B$9:$B$28,0)),"✔ OK","⚠ 未登録"))</f>
        <v/>
      </c>
    </row>
    <row r="977" customFormat="false" ht="15" hidden="false" customHeight="false" outlineLevel="0" collapsed="false">
      <c r="A977" s="61"/>
      <c r="B977" s="62"/>
      <c r="C977" s="63"/>
      <c r="D977" s="63"/>
      <c r="E977" s="62"/>
      <c r="F977" s="62"/>
      <c r="G977" s="62"/>
      <c r="I977" s="64" t="str">
        <f aca="false">IF($B977="","",IF(ISNUMBER(MATCH($B977,日別データ!$B$9:$B$28,0)),"✔ OK","⚠ 未登録"))</f>
        <v/>
      </c>
    </row>
    <row r="978" customFormat="false" ht="15" hidden="false" customHeight="false" outlineLevel="0" collapsed="false">
      <c r="A978" s="61"/>
      <c r="B978" s="62"/>
      <c r="C978" s="63"/>
      <c r="D978" s="63"/>
      <c r="E978" s="62"/>
      <c r="F978" s="62"/>
      <c r="G978" s="62"/>
      <c r="I978" s="64" t="str">
        <f aca="false">IF($B978="","",IF(ISNUMBER(MATCH($B978,日別データ!$B$9:$B$28,0)),"✔ OK","⚠ 未登録"))</f>
        <v/>
      </c>
    </row>
    <row r="979" customFormat="false" ht="15" hidden="false" customHeight="false" outlineLevel="0" collapsed="false">
      <c r="A979" s="61"/>
      <c r="B979" s="62"/>
      <c r="C979" s="63"/>
      <c r="D979" s="63"/>
      <c r="E979" s="62"/>
      <c r="F979" s="62"/>
      <c r="G979" s="62"/>
      <c r="I979" s="64" t="str">
        <f aca="false">IF($B979="","",IF(ISNUMBER(MATCH($B979,日別データ!$B$9:$B$28,0)),"✔ OK","⚠ 未登録"))</f>
        <v/>
      </c>
    </row>
    <row r="980" customFormat="false" ht="15" hidden="false" customHeight="false" outlineLevel="0" collapsed="false">
      <c r="A980" s="61"/>
      <c r="B980" s="62"/>
      <c r="C980" s="63"/>
      <c r="D980" s="63"/>
      <c r="E980" s="62"/>
      <c r="F980" s="62"/>
      <c r="G980" s="62"/>
      <c r="I980" s="64" t="str">
        <f aca="false">IF($B980="","",IF(ISNUMBER(MATCH($B980,日別データ!$B$9:$B$28,0)),"✔ OK","⚠ 未登録"))</f>
        <v/>
      </c>
    </row>
    <row r="981" customFormat="false" ht="15" hidden="false" customHeight="false" outlineLevel="0" collapsed="false">
      <c r="A981" s="61"/>
      <c r="B981" s="62"/>
      <c r="C981" s="63"/>
      <c r="D981" s="63"/>
      <c r="E981" s="62"/>
      <c r="F981" s="62"/>
      <c r="G981" s="62"/>
      <c r="I981" s="64" t="str">
        <f aca="false">IF($B981="","",IF(ISNUMBER(MATCH($B981,日別データ!$B$9:$B$28,0)),"✔ OK","⚠ 未登録"))</f>
        <v/>
      </c>
    </row>
    <row r="982" customFormat="false" ht="15" hidden="false" customHeight="false" outlineLevel="0" collapsed="false">
      <c r="A982" s="61"/>
      <c r="B982" s="62"/>
      <c r="C982" s="63"/>
      <c r="D982" s="63"/>
      <c r="E982" s="62"/>
      <c r="F982" s="62"/>
      <c r="G982" s="62"/>
      <c r="I982" s="64" t="str">
        <f aca="false">IF($B982="","",IF(ISNUMBER(MATCH($B982,日別データ!$B$9:$B$28,0)),"✔ OK","⚠ 未登録"))</f>
        <v/>
      </c>
    </row>
    <row r="983" customFormat="false" ht="15" hidden="false" customHeight="false" outlineLevel="0" collapsed="false">
      <c r="A983" s="61"/>
      <c r="B983" s="62"/>
      <c r="C983" s="63"/>
      <c r="D983" s="63"/>
      <c r="E983" s="62"/>
      <c r="F983" s="62"/>
      <c r="G983" s="62"/>
      <c r="I983" s="64" t="str">
        <f aca="false">IF($B983="","",IF(ISNUMBER(MATCH($B983,日別データ!$B$9:$B$28,0)),"✔ OK","⚠ 未登録"))</f>
        <v/>
      </c>
    </row>
    <row r="984" customFormat="false" ht="15" hidden="false" customHeight="false" outlineLevel="0" collapsed="false">
      <c r="A984" s="61"/>
      <c r="B984" s="62"/>
      <c r="C984" s="63"/>
      <c r="D984" s="63"/>
      <c r="E984" s="62"/>
      <c r="F984" s="62"/>
      <c r="G984" s="62"/>
      <c r="I984" s="64" t="str">
        <f aca="false">IF($B984="","",IF(ISNUMBER(MATCH($B984,日別データ!$B$9:$B$28,0)),"✔ OK","⚠ 未登録"))</f>
        <v/>
      </c>
    </row>
    <row r="985" customFormat="false" ht="15" hidden="false" customHeight="false" outlineLevel="0" collapsed="false">
      <c r="A985" s="61"/>
      <c r="B985" s="62"/>
      <c r="C985" s="63"/>
      <c r="D985" s="63"/>
      <c r="E985" s="62"/>
      <c r="F985" s="62"/>
      <c r="G985" s="62"/>
      <c r="I985" s="64" t="str">
        <f aca="false">IF($B985="","",IF(ISNUMBER(MATCH($B985,日別データ!$B$9:$B$28,0)),"✔ OK","⚠ 未登録"))</f>
        <v/>
      </c>
    </row>
    <row r="986" customFormat="false" ht="15" hidden="false" customHeight="false" outlineLevel="0" collapsed="false">
      <c r="A986" s="61"/>
      <c r="B986" s="62"/>
      <c r="C986" s="63"/>
      <c r="D986" s="63"/>
      <c r="E986" s="62"/>
      <c r="F986" s="62"/>
      <c r="G986" s="62"/>
      <c r="I986" s="64" t="str">
        <f aca="false">IF($B986="","",IF(ISNUMBER(MATCH($B986,日別データ!$B$9:$B$28,0)),"✔ OK","⚠ 未登録"))</f>
        <v/>
      </c>
    </row>
    <row r="987" customFormat="false" ht="15" hidden="false" customHeight="false" outlineLevel="0" collapsed="false">
      <c r="A987" s="61"/>
      <c r="B987" s="62"/>
      <c r="C987" s="63"/>
      <c r="D987" s="63"/>
      <c r="E987" s="62"/>
      <c r="F987" s="62"/>
      <c r="G987" s="62"/>
      <c r="I987" s="64" t="str">
        <f aca="false">IF($B987="","",IF(ISNUMBER(MATCH($B987,日別データ!$B$9:$B$28,0)),"✔ OK","⚠ 未登録"))</f>
        <v/>
      </c>
    </row>
    <row r="988" customFormat="false" ht="15" hidden="false" customHeight="false" outlineLevel="0" collapsed="false">
      <c r="A988" s="61"/>
      <c r="B988" s="62"/>
      <c r="C988" s="63"/>
      <c r="D988" s="63"/>
      <c r="E988" s="62"/>
      <c r="F988" s="62"/>
      <c r="G988" s="62"/>
      <c r="I988" s="64" t="str">
        <f aca="false">IF($B988="","",IF(ISNUMBER(MATCH($B988,日別データ!$B$9:$B$28,0)),"✔ OK","⚠ 未登録"))</f>
        <v/>
      </c>
    </row>
    <row r="989" customFormat="false" ht="15" hidden="false" customHeight="false" outlineLevel="0" collapsed="false">
      <c r="A989" s="61"/>
      <c r="B989" s="62"/>
      <c r="C989" s="63"/>
      <c r="D989" s="63"/>
      <c r="E989" s="62"/>
      <c r="F989" s="62"/>
      <c r="G989" s="62"/>
      <c r="I989" s="64" t="str">
        <f aca="false">IF($B989="","",IF(ISNUMBER(MATCH($B989,日別データ!$B$9:$B$28,0)),"✔ OK","⚠ 未登録"))</f>
        <v/>
      </c>
    </row>
    <row r="990" customFormat="false" ht="15" hidden="false" customHeight="false" outlineLevel="0" collapsed="false">
      <c r="A990" s="61"/>
      <c r="B990" s="62"/>
      <c r="C990" s="63"/>
      <c r="D990" s="63"/>
      <c r="E990" s="62"/>
      <c r="F990" s="62"/>
      <c r="G990" s="62"/>
      <c r="I990" s="64" t="str">
        <f aca="false">IF($B990="","",IF(ISNUMBER(MATCH($B990,日別データ!$B$9:$B$28,0)),"✔ OK","⚠ 未登録"))</f>
        <v/>
      </c>
    </row>
    <row r="991" customFormat="false" ht="15" hidden="false" customHeight="false" outlineLevel="0" collapsed="false">
      <c r="A991" s="61"/>
      <c r="B991" s="62"/>
      <c r="C991" s="63"/>
      <c r="D991" s="63"/>
      <c r="E991" s="62"/>
      <c r="F991" s="62"/>
      <c r="G991" s="62"/>
      <c r="I991" s="64" t="str">
        <f aca="false">IF($B991="","",IF(ISNUMBER(MATCH($B991,日別データ!$B$9:$B$28,0)),"✔ OK","⚠ 未登録"))</f>
        <v/>
      </c>
    </row>
    <row r="992" customFormat="false" ht="15" hidden="false" customHeight="false" outlineLevel="0" collapsed="false">
      <c r="A992" s="61"/>
      <c r="B992" s="62"/>
      <c r="C992" s="63"/>
      <c r="D992" s="63"/>
      <c r="E992" s="62"/>
      <c r="F992" s="62"/>
      <c r="G992" s="62"/>
      <c r="I992" s="64" t="str">
        <f aca="false">IF($B992="","",IF(ISNUMBER(MATCH($B992,日別データ!$B$9:$B$28,0)),"✔ OK","⚠ 未登録"))</f>
        <v/>
      </c>
    </row>
    <row r="993" customFormat="false" ht="15" hidden="false" customHeight="false" outlineLevel="0" collapsed="false">
      <c r="A993" s="61"/>
      <c r="B993" s="62"/>
      <c r="C993" s="63"/>
      <c r="D993" s="63"/>
      <c r="E993" s="62"/>
      <c r="F993" s="62"/>
      <c r="G993" s="62"/>
      <c r="I993" s="64" t="str">
        <f aca="false">IF($B993="","",IF(ISNUMBER(MATCH($B993,日別データ!$B$9:$B$28,0)),"✔ OK","⚠ 未登録"))</f>
        <v/>
      </c>
    </row>
    <row r="994" customFormat="false" ht="15" hidden="false" customHeight="false" outlineLevel="0" collapsed="false">
      <c r="A994" s="61"/>
      <c r="B994" s="62"/>
      <c r="C994" s="63"/>
      <c r="D994" s="63"/>
      <c r="E994" s="62"/>
      <c r="F994" s="62"/>
      <c r="G994" s="62"/>
      <c r="I994" s="64" t="str">
        <f aca="false">IF($B994="","",IF(ISNUMBER(MATCH($B994,日別データ!$B$9:$B$28,0)),"✔ OK","⚠ 未登録"))</f>
        <v/>
      </c>
    </row>
    <row r="995" customFormat="false" ht="15" hidden="false" customHeight="false" outlineLevel="0" collapsed="false">
      <c r="A995" s="61"/>
      <c r="B995" s="62"/>
      <c r="C995" s="63"/>
      <c r="D995" s="63"/>
      <c r="E995" s="62"/>
      <c r="F995" s="62"/>
      <c r="G995" s="62"/>
      <c r="I995" s="64" t="str">
        <f aca="false">IF($B995="","",IF(ISNUMBER(MATCH($B995,日別データ!$B$9:$B$28,0)),"✔ OK","⚠ 未登録"))</f>
        <v/>
      </c>
    </row>
    <row r="996" customFormat="false" ht="15" hidden="false" customHeight="false" outlineLevel="0" collapsed="false">
      <c r="A996" s="61"/>
      <c r="B996" s="62"/>
      <c r="C996" s="63"/>
      <c r="D996" s="63"/>
      <c r="E996" s="62"/>
      <c r="F996" s="62"/>
      <c r="G996" s="62"/>
      <c r="I996" s="64" t="str">
        <f aca="false">IF($B996="","",IF(ISNUMBER(MATCH($B996,日別データ!$B$9:$B$28,0)),"✔ OK","⚠ 未登録"))</f>
        <v/>
      </c>
    </row>
    <row r="997" customFormat="false" ht="15" hidden="false" customHeight="false" outlineLevel="0" collapsed="false">
      <c r="A997" s="61"/>
      <c r="B997" s="62"/>
      <c r="C997" s="63"/>
      <c r="D997" s="63"/>
      <c r="E997" s="62"/>
      <c r="F997" s="62"/>
      <c r="G997" s="62"/>
      <c r="I997" s="64" t="str">
        <f aca="false">IF($B997="","",IF(ISNUMBER(MATCH($B997,日別データ!$B$9:$B$28,0)),"✔ OK","⚠ 未登録"))</f>
        <v/>
      </c>
    </row>
    <row r="998" customFormat="false" ht="15" hidden="false" customHeight="false" outlineLevel="0" collapsed="false">
      <c r="A998" s="61"/>
      <c r="B998" s="62"/>
      <c r="C998" s="63"/>
      <c r="D998" s="63"/>
      <c r="E998" s="62"/>
      <c r="F998" s="62"/>
      <c r="G998" s="62"/>
      <c r="I998" s="64" t="str">
        <f aca="false">IF($B998="","",IF(ISNUMBER(MATCH($B998,日別データ!$B$9:$B$28,0)),"✔ OK","⚠ 未登録"))</f>
        <v/>
      </c>
    </row>
    <row r="999" customFormat="false" ht="15" hidden="false" customHeight="false" outlineLevel="0" collapsed="false">
      <c r="A999" s="61"/>
      <c r="B999" s="62"/>
      <c r="C999" s="63"/>
      <c r="D999" s="63"/>
      <c r="E999" s="62"/>
      <c r="F999" s="62"/>
      <c r="G999" s="62"/>
      <c r="I999" s="64" t="str">
        <f aca="false">IF($B999="","",IF(ISNUMBER(MATCH($B999,日別データ!$B$9:$B$28,0)),"✔ OK","⚠ 未登録"))</f>
        <v/>
      </c>
    </row>
    <row r="1000" customFormat="false" ht="15" hidden="false" customHeight="false" outlineLevel="0" collapsed="false">
      <c r="A1000" s="61"/>
      <c r="B1000" s="62"/>
      <c r="C1000" s="63"/>
      <c r="D1000" s="63"/>
      <c r="E1000" s="62"/>
      <c r="F1000" s="62"/>
      <c r="G1000" s="62"/>
      <c r="I1000" s="64" t="str">
        <f aca="false">IF($B1000="","",IF(ISNUMBER(MATCH($B1000,日別データ!$B$9:$B$28,0)),"✔ OK","⚠ 未登録"))</f>
        <v/>
      </c>
    </row>
    <row r="1001" customFormat="false" ht="15" hidden="false" customHeight="false" outlineLevel="0" collapsed="false">
      <c r="A1001" s="61"/>
      <c r="B1001" s="62"/>
      <c r="C1001" s="63"/>
      <c r="D1001" s="63"/>
      <c r="E1001" s="62"/>
      <c r="F1001" s="62"/>
      <c r="G1001" s="62"/>
      <c r="I1001" s="64" t="str">
        <f aca="false">IF($B1001="","",IF(ISNUMBER(MATCH($B1001,日別データ!$B$9:$B$28,0)),"✔ OK","⚠ 未登録"))</f>
        <v/>
      </c>
    </row>
    <row r="1002" customFormat="false" ht="15" hidden="false" customHeight="false" outlineLevel="0" collapsed="false">
      <c r="A1002" s="61"/>
      <c r="B1002" s="62"/>
      <c r="C1002" s="63"/>
      <c r="D1002" s="63"/>
      <c r="E1002" s="62"/>
      <c r="F1002" s="62"/>
      <c r="G1002" s="62"/>
      <c r="I1002" s="64" t="str">
        <f aca="false">IF($B1002="","",IF(ISNUMBER(MATCH($B1002,日別データ!$B$9:$B$28,0)),"✔ OK","⚠ 未登録"))</f>
        <v/>
      </c>
    </row>
    <row r="1003" customFormat="false" ht="15" hidden="false" customHeight="false" outlineLevel="0" collapsed="false">
      <c r="A1003" s="61"/>
      <c r="B1003" s="62"/>
      <c r="C1003" s="63"/>
      <c r="D1003" s="63"/>
      <c r="E1003" s="62"/>
      <c r="F1003" s="62"/>
      <c r="G1003" s="62"/>
      <c r="I1003" s="64" t="str">
        <f aca="false">IF($B1003="","",IF(ISNUMBER(MATCH($B1003,日別データ!$B$9:$B$28,0)),"✔ OK","⚠ 未登録"))</f>
        <v/>
      </c>
    </row>
    <row r="1004" customFormat="false" ht="15" hidden="false" customHeight="false" outlineLevel="0" collapsed="false">
      <c r="A1004" s="61"/>
      <c r="B1004" s="62"/>
      <c r="C1004" s="63"/>
      <c r="D1004" s="63"/>
      <c r="E1004" s="62"/>
      <c r="F1004" s="62"/>
      <c r="G1004" s="62"/>
      <c r="I1004" s="64" t="str">
        <f aca="false">IF($B1004="","",IF(ISNUMBER(MATCH($B1004,日別データ!$B$9:$B$28,0)),"✔ OK","⚠ 未登録"))</f>
        <v/>
      </c>
    </row>
    <row r="1005" customFormat="false" ht="15" hidden="false" customHeight="false" outlineLevel="0" collapsed="false">
      <c r="A1005" s="61"/>
      <c r="B1005" s="62"/>
      <c r="C1005" s="63"/>
      <c r="D1005" s="63"/>
      <c r="E1005" s="62"/>
      <c r="F1005" s="62"/>
      <c r="G1005" s="62"/>
      <c r="I1005" s="64" t="str">
        <f aca="false">IF($B1005="","",IF(ISNUMBER(MATCH($B1005,日別データ!$B$9:$B$28,0)),"✔ OK","⚠ 未登録"))</f>
        <v/>
      </c>
    </row>
    <row r="1006" customFormat="false" ht="15" hidden="false" customHeight="false" outlineLevel="0" collapsed="false">
      <c r="A1006" s="61"/>
      <c r="B1006" s="62"/>
      <c r="C1006" s="63"/>
      <c r="D1006" s="63"/>
      <c r="E1006" s="62"/>
      <c r="F1006" s="62"/>
      <c r="G1006" s="62"/>
      <c r="I1006" s="64" t="str">
        <f aca="false">IF($B1006="","",IF(ISNUMBER(MATCH($B1006,日別データ!$B$9:$B$28,0)),"✔ OK","⚠ 未登録"))</f>
        <v/>
      </c>
    </row>
    <row r="1007" customFormat="false" ht="15" hidden="false" customHeight="false" outlineLevel="0" collapsed="false">
      <c r="A1007" s="61"/>
      <c r="B1007" s="62"/>
      <c r="C1007" s="63"/>
      <c r="D1007" s="63"/>
      <c r="E1007" s="62"/>
      <c r="F1007" s="62"/>
      <c r="G1007" s="62"/>
      <c r="I1007" s="64" t="str">
        <f aca="false">IF($B1007="","",IF(ISNUMBER(MATCH($B1007,日別データ!$B$9:$B$28,0)),"✔ OK","⚠ 未登録"))</f>
        <v/>
      </c>
    </row>
    <row r="1008" customFormat="false" ht="15" hidden="false" customHeight="false" outlineLevel="0" collapsed="false">
      <c r="A1008" s="61"/>
      <c r="B1008" s="62"/>
      <c r="C1008" s="63"/>
      <c r="D1008" s="63"/>
      <c r="E1008" s="62"/>
      <c r="F1008" s="62"/>
      <c r="G1008" s="62"/>
      <c r="I1008" s="64" t="str">
        <f aca="false">IF($B1008="","",IF(ISNUMBER(MATCH($B1008,日別データ!$B$9:$B$28,0)),"✔ OK","⚠ 未登録"))</f>
        <v/>
      </c>
    </row>
    <row r="1009" customFormat="false" ht="15" hidden="false" customHeight="false" outlineLevel="0" collapsed="false">
      <c r="A1009" s="61"/>
      <c r="B1009" s="62"/>
      <c r="C1009" s="63"/>
      <c r="D1009" s="63"/>
      <c r="E1009" s="62"/>
      <c r="F1009" s="62"/>
      <c r="G1009" s="62"/>
      <c r="I1009" s="64" t="str">
        <f aca="false">IF($B1009="","",IF(ISNUMBER(MATCH($B1009,日別データ!$B$9:$B$28,0)),"✔ OK","⚠ 未登録"))</f>
        <v/>
      </c>
    </row>
    <row r="1010" customFormat="false" ht="15" hidden="false" customHeight="false" outlineLevel="0" collapsed="false">
      <c r="A1010" s="61"/>
      <c r="B1010" s="62"/>
      <c r="C1010" s="63"/>
      <c r="D1010" s="63"/>
      <c r="E1010" s="62"/>
      <c r="F1010" s="62"/>
      <c r="G1010" s="62"/>
      <c r="I1010" s="64" t="str">
        <f aca="false">IF($B1010="","",IF(ISNUMBER(MATCH($B1010,日別データ!$B$9:$B$28,0)),"✔ OK","⚠ 未登録"))</f>
        <v/>
      </c>
    </row>
    <row r="1011" customFormat="false" ht="15" hidden="false" customHeight="false" outlineLevel="0" collapsed="false">
      <c r="A1011" s="61"/>
      <c r="B1011" s="62"/>
      <c r="C1011" s="63"/>
      <c r="D1011" s="63"/>
      <c r="E1011" s="62"/>
      <c r="F1011" s="62"/>
      <c r="G1011" s="62"/>
      <c r="I1011" s="64" t="str">
        <f aca="false">IF($B1011="","",IF(ISNUMBER(MATCH($B1011,日別データ!$B$9:$B$28,0)),"✔ OK","⚠ 未登録"))</f>
        <v/>
      </c>
    </row>
    <row r="1012" customFormat="false" ht="15" hidden="false" customHeight="false" outlineLevel="0" collapsed="false">
      <c r="A1012" s="61"/>
      <c r="B1012" s="62"/>
      <c r="C1012" s="63"/>
      <c r="D1012" s="63"/>
      <c r="E1012" s="62"/>
      <c r="F1012" s="62"/>
      <c r="G1012" s="62"/>
      <c r="I1012" s="64" t="str">
        <f aca="false">IF($B1012="","",IF(ISNUMBER(MATCH($B1012,日別データ!$B$9:$B$28,0)),"✔ OK","⚠ 未登録"))</f>
        <v/>
      </c>
    </row>
    <row r="1013" customFormat="false" ht="15" hidden="false" customHeight="false" outlineLevel="0" collapsed="false">
      <c r="A1013" s="61"/>
      <c r="B1013" s="62"/>
      <c r="C1013" s="63"/>
      <c r="D1013" s="63"/>
      <c r="E1013" s="62"/>
      <c r="F1013" s="62"/>
      <c r="G1013" s="62"/>
      <c r="I1013" s="64" t="str">
        <f aca="false">IF($B1013="","",IF(ISNUMBER(MATCH($B1013,日別データ!$B$9:$B$28,0)),"✔ OK","⚠ 未登録"))</f>
        <v/>
      </c>
    </row>
    <row r="1014" customFormat="false" ht="15" hidden="false" customHeight="false" outlineLevel="0" collapsed="false">
      <c r="A1014" s="61"/>
      <c r="B1014" s="62"/>
      <c r="C1014" s="63"/>
      <c r="D1014" s="63"/>
      <c r="E1014" s="62"/>
      <c r="F1014" s="62"/>
      <c r="G1014" s="62"/>
      <c r="I1014" s="64" t="str">
        <f aca="false">IF($B1014="","",IF(ISNUMBER(MATCH($B1014,日別データ!$B$9:$B$28,0)),"✔ OK","⚠ 未登録"))</f>
        <v/>
      </c>
    </row>
    <row r="1015" customFormat="false" ht="15" hidden="false" customHeight="false" outlineLevel="0" collapsed="false">
      <c r="A1015" s="61"/>
      <c r="B1015" s="62"/>
      <c r="C1015" s="63"/>
      <c r="D1015" s="63"/>
      <c r="E1015" s="62"/>
      <c r="F1015" s="62"/>
      <c r="G1015" s="62"/>
      <c r="I1015" s="64" t="str">
        <f aca="false">IF($B1015="","",IF(ISNUMBER(MATCH($B1015,日別データ!$B$9:$B$28,0)),"✔ OK","⚠ 未登録"))</f>
        <v/>
      </c>
    </row>
    <row r="1016" customFormat="false" ht="15" hidden="false" customHeight="false" outlineLevel="0" collapsed="false">
      <c r="A1016" s="61"/>
      <c r="B1016" s="62"/>
      <c r="C1016" s="63"/>
      <c r="D1016" s="63"/>
      <c r="E1016" s="62"/>
      <c r="F1016" s="62"/>
      <c r="G1016" s="62"/>
      <c r="I1016" s="64" t="str">
        <f aca="false">IF($B1016="","",IF(ISNUMBER(MATCH($B1016,日別データ!$B$9:$B$28,0)),"✔ OK","⚠ 未登録"))</f>
        <v/>
      </c>
    </row>
    <row r="1017" customFormat="false" ht="15" hidden="false" customHeight="false" outlineLevel="0" collapsed="false">
      <c r="A1017" s="61"/>
      <c r="B1017" s="62"/>
      <c r="C1017" s="63"/>
      <c r="D1017" s="63"/>
      <c r="E1017" s="62"/>
      <c r="F1017" s="62"/>
      <c r="G1017" s="62"/>
      <c r="I1017" s="64" t="str">
        <f aca="false">IF($B1017="","",IF(ISNUMBER(MATCH($B1017,日別データ!$B$9:$B$28,0)),"✔ OK","⚠ 未登録"))</f>
        <v/>
      </c>
    </row>
    <row r="1018" customFormat="false" ht="15" hidden="false" customHeight="false" outlineLevel="0" collapsed="false">
      <c r="A1018" s="61"/>
      <c r="B1018" s="62"/>
      <c r="C1018" s="63"/>
      <c r="D1018" s="63"/>
      <c r="E1018" s="62"/>
      <c r="F1018" s="62"/>
      <c r="G1018" s="62"/>
      <c r="I1018" s="64" t="str">
        <f aca="false">IF($B1018="","",IF(ISNUMBER(MATCH($B1018,日別データ!$B$9:$B$28,0)),"✔ OK","⚠ 未登録"))</f>
        <v/>
      </c>
    </row>
    <row r="1019" customFormat="false" ht="15" hidden="false" customHeight="false" outlineLevel="0" collapsed="false">
      <c r="A1019" s="61"/>
      <c r="B1019" s="62"/>
      <c r="C1019" s="63"/>
      <c r="D1019" s="63"/>
      <c r="E1019" s="62"/>
      <c r="F1019" s="62"/>
      <c r="G1019" s="62"/>
      <c r="I1019" s="64" t="str">
        <f aca="false">IF($B1019="","",IF(ISNUMBER(MATCH($B1019,日別データ!$B$9:$B$28,0)),"✔ OK","⚠ 未登録"))</f>
        <v/>
      </c>
    </row>
    <row r="1020" customFormat="false" ht="15" hidden="false" customHeight="false" outlineLevel="0" collapsed="false">
      <c r="A1020" s="61"/>
      <c r="B1020" s="62"/>
      <c r="C1020" s="63"/>
      <c r="D1020" s="63"/>
      <c r="E1020" s="62"/>
      <c r="F1020" s="62"/>
      <c r="G1020" s="62"/>
      <c r="I1020" s="64" t="str">
        <f aca="false">IF($B1020="","",IF(ISNUMBER(MATCH($B1020,日別データ!$B$9:$B$28,0)),"✔ OK","⚠ 未登録"))</f>
        <v/>
      </c>
    </row>
    <row r="1021" customFormat="false" ht="15" hidden="false" customHeight="false" outlineLevel="0" collapsed="false">
      <c r="A1021" s="61"/>
      <c r="B1021" s="62"/>
      <c r="C1021" s="63"/>
      <c r="D1021" s="63"/>
      <c r="E1021" s="62"/>
      <c r="F1021" s="62"/>
      <c r="G1021" s="62"/>
      <c r="I1021" s="64" t="str">
        <f aca="false">IF($B1021="","",IF(ISNUMBER(MATCH($B1021,日別データ!$B$9:$B$28,0)),"✔ OK","⚠ 未登録"))</f>
        <v/>
      </c>
    </row>
    <row r="1022" customFormat="false" ht="15" hidden="false" customHeight="false" outlineLevel="0" collapsed="false">
      <c r="A1022" s="61"/>
      <c r="B1022" s="62"/>
      <c r="C1022" s="63"/>
      <c r="D1022" s="63"/>
      <c r="E1022" s="62"/>
      <c r="F1022" s="62"/>
      <c r="G1022" s="62"/>
      <c r="I1022" s="64" t="str">
        <f aca="false">IF($B1022="","",IF(ISNUMBER(MATCH($B1022,日別データ!$B$9:$B$28,0)),"✔ OK","⚠ 未登録"))</f>
        <v/>
      </c>
    </row>
    <row r="1023" customFormat="false" ht="15" hidden="false" customHeight="false" outlineLevel="0" collapsed="false">
      <c r="A1023" s="61"/>
      <c r="B1023" s="62"/>
      <c r="C1023" s="63"/>
      <c r="D1023" s="63"/>
      <c r="E1023" s="62"/>
      <c r="F1023" s="62"/>
      <c r="G1023" s="62"/>
      <c r="I1023" s="64" t="str">
        <f aca="false">IF($B1023="","",IF(ISNUMBER(MATCH($B1023,日別データ!$B$9:$B$28,0)),"✔ OK","⚠ 未登録"))</f>
        <v/>
      </c>
    </row>
    <row r="1024" customFormat="false" ht="15" hidden="false" customHeight="false" outlineLevel="0" collapsed="false">
      <c r="A1024" s="61"/>
      <c r="B1024" s="62"/>
      <c r="C1024" s="63"/>
      <c r="D1024" s="63"/>
      <c r="E1024" s="62"/>
      <c r="F1024" s="62"/>
      <c r="G1024" s="62"/>
      <c r="I1024" s="64" t="str">
        <f aca="false">IF($B1024="","",IF(ISNUMBER(MATCH($B1024,日別データ!$B$9:$B$28,0)),"✔ OK","⚠ 未登録"))</f>
        <v/>
      </c>
    </row>
    <row r="1025" customFormat="false" ht="15" hidden="false" customHeight="false" outlineLevel="0" collapsed="false">
      <c r="A1025" s="61"/>
      <c r="B1025" s="62"/>
      <c r="C1025" s="63"/>
      <c r="D1025" s="63"/>
      <c r="E1025" s="62"/>
      <c r="F1025" s="62"/>
      <c r="G1025" s="62"/>
      <c r="I1025" s="64" t="str">
        <f aca="false">IF($B1025="","",IF(ISNUMBER(MATCH($B1025,日別データ!$B$9:$B$28,0)),"✔ OK","⚠ 未登録"))</f>
        <v/>
      </c>
    </row>
    <row r="1026" customFormat="false" ht="15" hidden="false" customHeight="false" outlineLevel="0" collapsed="false">
      <c r="A1026" s="61"/>
      <c r="B1026" s="62"/>
      <c r="C1026" s="63"/>
      <c r="D1026" s="63"/>
      <c r="E1026" s="62"/>
      <c r="F1026" s="62"/>
      <c r="G1026" s="62"/>
      <c r="I1026" s="64" t="str">
        <f aca="false">IF($B1026="","",IF(ISNUMBER(MATCH($B1026,日別データ!$B$9:$B$28,0)),"✔ OK","⚠ 未登録"))</f>
        <v/>
      </c>
    </row>
    <row r="1027" customFormat="false" ht="15" hidden="false" customHeight="false" outlineLevel="0" collapsed="false">
      <c r="A1027" s="61"/>
      <c r="B1027" s="62"/>
      <c r="C1027" s="63"/>
      <c r="D1027" s="63"/>
      <c r="E1027" s="62"/>
      <c r="F1027" s="62"/>
      <c r="G1027" s="62"/>
      <c r="I1027" s="64" t="str">
        <f aca="false">IF($B1027="","",IF(ISNUMBER(MATCH($B1027,日別データ!$B$9:$B$28,0)),"✔ OK","⚠ 未登録"))</f>
        <v/>
      </c>
    </row>
    <row r="1028" customFormat="false" ht="15" hidden="false" customHeight="false" outlineLevel="0" collapsed="false">
      <c r="A1028" s="61"/>
      <c r="B1028" s="62"/>
      <c r="C1028" s="63"/>
      <c r="D1028" s="63"/>
      <c r="E1028" s="62"/>
      <c r="F1028" s="62"/>
      <c r="G1028" s="62"/>
      <c r="I1028" s="64" t="str">
        <f aca="false">IF($B1028="","",IF(ISNUMBER(MATCH($B1028,日別データ!$B$9:$B$28,0)),"✔ OK","⚠ 未登録"))</f>
        <v/>
      </c>
    </row>
    <row r="1029" customFormat="false" ht="15" hidden="false" customHeight="false" outlineLevel="0" collapsed="false">
      <c r="A1029" s="61"/>
      <c r="B1029" s="62"/>
      <c r="C1029" s="63"/>
      <c r="D1029" s="63"/>
      <c r="E1029" s="62"/>
      <c r="F1029" s="62"/>
      <c r="G1029" s="62"/>
      <c r="I1029" s="64" t="str">
        <f aca="false">IF($B1029="","",IF(ISNUMBER(MATCH($B1029,日別データ!$B$9:$B$28,0)),"✔ OK","⚠ 未登録"))</f>
        <v/>
      </c>
    </row>
    <row r="1030" customFormat="false" ht="15" hidden="false" customHeight="false" outlineLevel="0" collapsed="false">
      <c r="A1030" s="61"/>
      <c r="B1030" s="62"/>
      <c r="C1030" s="63"/>
      <c r="D1030" s="63"/>
      <c r="E1030" s="62"/>
      <c r="F1030" s="62"/>
      <c r="G1030" s="62"/>
      <c r="I1030" s="64" t="str">
        <f aca="false">IF($B1030="","",IF(ISNUMBER(MATCH($B1030,日別データ!$B$9:$B$28,0)),"✔ OK","⚠ 未登録"))</f>
        <v/>
      </c>
    </row>
    <row r="1031" customFormat="false" ht="15" hidden="false" customHeight="false" outlineLevel="0" collapsed="false">
      <c r="A1031" s="61"/>
      <c r="B1031" s="62"/>
      <c r="C1031" s="63"/>
      <c r="D1031" s="63"/>
      <c r="E1031" s="62"/>
      <c r="F1031" s="62"/>
      <c r="G1031" s="62"/>
      <c r="I1031" s="64" t="str">
        <f aca="false">IF($B1031="","",IF(ISNUMBER(MATCH($B1031,日別データ!$B$9:$B$28,0)),"✔ OK","⚠ 未登録"))</f>
        <v/>
      </c>
    </row>
    <row r="1032" customFormat="false" ht="15" hidden="false" customHeight="false" outlineLevel="0" collapsed="false">
      <c r="A1032" s="61"/>
      <c r="B1032" s="62"/>
      <c r="C1032" s="63"/>
      <c r="D1032" s="63"/>
      <c r="E1032" s="62"/>
      <c r="F1032" s="62"/>
      <c r="G1032" s="62"/>
      <c r="I1032" s="64" t="str">
        <f aca="false">IF($B1032="","",IF(ISNUMBER(MATCH($B1032,日別データ!$B$9:$B$28,0)),"✔ OK","⚠ 未登録"))</f>
        <v/>
      </c>
    </row>
    <row r="1033" customFormat="false" ht="15" hidden="false" customHeight="false" outlineLevel="0" collapsed="false">
      <c r="A1033" s="61"/>
      <c r="B1033" s="62"/>
      <c r="C1033" s="63"/>
      <c r="D1033" s="63"/>
      <c r="E1033" s="62"/>
      <c r="F1033" s="62"/>
      <c r="G1033" s="62"/>
      <c r="I1033" s="64" t="str">
        <f aca="false">IF($B1033="","",IF(ISNUMBER(MATCH($B1033,日別データ!$B$9:$B$28,0)),"✔ OK","⚠ 未登録"))</f>
        <v/>
      </c>
    </row>
    <row r="1034" customFormat="false" ht="15" hidden="false" customHeight="false" outlineLevel="0" collapsed="false">
      <c r="A1034" s="61"/>
      <c r="B1034" s="62"/>
      <c r="C1034" s="63"/>
      <c r="D1034" s="63"/>
      <c r="E1034" s="62"/>
      <c r="F1034" s="62"/>
      <c r="G1034" s="62"/>
      <c r="I1034" s="64" t="str">
        <f aca="false">IF($B1034="","",IF(ISNUMBER(MATCH($B1034,日別データ!$B$9:$B$28,0)),"✔ OK","⚠ 未登録"))</f>
        <v/>
      </c>
    </row>
    <row r="1035" customFormat="false" ht="15" hidden="false" customHeight="false" outlineLevel="0" collapsed="false">
      <c r="A1035" s="61"/>
      <c r="B1035" s="62"/>
      <c r="C1035" s="63"/>
      <c r="D1035" s="63"/>
      <c r="E1035" s="62"/>
      <c r="F1035" s="62"/>
      <c r="G1035" s="62"/>
      <c r="I1035" s="64" t="str">
        <f aca="false">IF($B1035="","",IF(ISNUMBER(MATCH($B1035,日別データ!$B$9:$B$28,0)),"✔ OK","⚠ 未登録"))</f>
        <v/>
      </c>
    </row>
    <row r="1036" customFormat="false" ht="15" hidden="false" customHeight="false" outlineLevel="0" collapsed="false">
      <c r="A1036" s="61"/>
      <c r="B1036" s="62"/>
      <c r="C1036" s="63"/>
      <c r="D1036" s="63"/>
      <c r="E1036" s="62"/>
      <c r="F1036" s="62"/>
      <c r="G1036" s="62"/>
      <c r="I1036" s="64" t="str">
        <f aca="false">IF($B1036="","",IF(ISNUMBER(MATCH($B1036,日別データ!$B$9:$B$28,0)),"✔ OK","⚠ 未登録"))</f>
        <v/>
      </c>
    </row>
    <row r="1037" customFormat="false" ht="15" hidden="false" customHeight="false" outlineLevel="0" collapsed="false">
      <c r="A1037" s="61"/>
      <c r="B1037" s="62"/>
      <c r="C1037" s="63"/>
      <c r="D1037" s="63"/>
      <c r="E1037" s="62"/>
      <c r="F1037" s="62"/>
      <c r="G1037" s="62"/>
      <c r="I1037" s="64" t="str">
        <f aca="false">IF($B1037="","",IF(ISNUMBER(MATCH($B1037,日別データ!$B$9:$B$28,0)),"✔ OK","⚠ 未登録"))</f>
        <v/>
      </c>
    </row>
    <row r="1038" customFormat="false" ht="15" hidden="false" customHeight="false" outlineLevel="0" collapsed="false">
      <c r="A1038" s="61"/>
      <c r="B1038" s="62"/>
      <c r="C1038" s="63"/>
      <c r="D1038" s="63"/>
      <c r="E1038" s="62"/>
      <c r="F1038" s="62"/>
      <c r="G1038" s="62"/>
      <c r="I1038" s="64" t="str">
        <f aca="false">IF($B1038="","",IF(ISNUMBER(MATCH($B1038,日別データ!$B$9:$B$28,0)),"✔ OK","⚠ 未登録"))</f>
        <v/>
      </c>
    </row>
    <row r="1039" customFormat="false" ht="15" hidden="false" customHeight="false" outlineLevel="0" collapsed="false">
      <c r="A1039" s="61"/>
      <c r="B1039" s="62"/>
      <c r="C1039" s="63"/>
      <c r="D1039" s="63"/>
      <c r="E1039" s="62"/>
      <c r="F1039" s="62"/>
      <c r="G1039" s="62"/>
      <c r="I1039" s="64" t="str">
        <f aca="false">IF($B1039="","",IF(ISNUMBER(MATCH($B1039,日別データ!$B$9:$B$28,0)),"✔ OK","⚠ 未登録"))</f>
        <v/>
      </c>
    </row>
    <row r="1040" customFormat="false" ht="15" hidden="false" customHeight="false" outlineLevel="0" collapsed="false">
      <c r="A1040" s="61"/>
      <c r="B1040" s="62"/>
      <c r="C1040" s="63"/>
      <c r="D1040" s="63"/>
      <c r="E1040" s="62"/>
      <c r="F1040" s="62"/>
      <c r="G1040" s="62"/>
      <c r="I1040" s="64" t="str">
        <f aca="false">IF($B1040="","",IF(ISNUMBER(MATCH($B1040,日別データ!$B$9:$B$28,0)),"✔ OK","⚠ 未登録"))</f>
        <v/>
      </c>
    </row>
    <row r="1041" customFormat="false" ht="15" hidden="false" customHeight="false" outlineLevel="0" collapsed="false">
      <c r="A1041" s="61"/>
      <c r="B1041" s="62"/>
      <c r="C1041" s="63"/>
      <c r="D1041" s="63"/>
      <c r="E1041" s="62"/>
      <c r="F1041" s="62"/>
      <c r="G1041" s="62"/>
      <c r="I1041" s="64" t="str">
        <f aca="false">IF($B1041="","",IF(ISNUMBER(MATCH($B1041,日別データ!$B$9:$B$28,0)),"✔ OK","⚠ 未登録"))</f>
        <v/>
      </c>
    </row>
    <row r="1042" customFormat="false" ht="15" hidden="false" customHeight="false" outlineLevel="0" collapsed="false">
      <c r="A1042" s="61"/>
      <c r="B1042" s="62"/>
      <c r="C1042" s="63"/>
      <c r="D1042" s="63"/>
      <c r="E1042" s="62"/>
      <c r="F1042" s="62"/>
      <c r="G1042" s="62"/>
      <c r="I1042" s="64" t="str">
        <f aca="false">IF($B1042="","",IF(ISNUMBER(MATCH($B1042,日別データ!$B$9:$B$28,0)),"✔ OK","⚠ 未登録"))</f>
        <v/>
      </c>
    </row>
    <row r="1043" customFormat="false" ht="15" hidden="false" customHeight="false" outlineLevel="0" collapsed="false">
      <c r="A1043" s="61"/>
      <c r="B1043" s="62"/>
      <c r="C1043" s="63"/>
      <c r="D1043" s="63"/>
      <c r="E1043" s="62"/>
      <c r="F1043" s="62"/>
      <c r="G1043" s="62"/>
      <c r="I1043" s="64" t="str">
        <f aca="false">IF($B1043="","",IF(ISNUMBER(MATCH($B1043,日別データ!$B$9:$B$28,0)),"✔ OK","⚠ 未登録"))</f>
        <v/>
      </c>
    </row>
    <row r="1044" customFormat="false" ht="15" hidden="false" customHeight="false" outlineLevel="0" collapsed="false">
      <c r="A1044" s="61"/>
      <c r="B1044" s="62"/>
      <c r="C1044" s="63"/>
      <c r="D1044" s="63"/>
      <c r="E1044" s="62"/>
      <c r="F1044" s="62"/>
      <c r="G1044" s="62"/>
      <c r="I1044" s="64" t="str">
        <f aca="false">IF($B1044="","",IF(ISNUMBER(MATCH($B1044,日別データ!$B$9:$B$28,0)),"✔ OK","⚠ 未登録"))</f>
        <v/>
      </c>
    </row>
    <row r="1045" customFormat="false" ht="15" hidden="false" customHeight="false" outlineLevel="0" collapsed="false">
      <c r="A1045" s="61"/>
      <c r="B1045" s="62"/>
      <c r="C1045" s="63"/>
      <c r="D1045" s="63"/>
      <c r="E1045" s="62"/>
      <c r="F1045" s="62"/>
      <c r="G1045" s="62"/>
      <c r="I1045" s="64" t="str">
        <f aca="false">IF($B1045="","",IF(ISNUMBER(MATCH($B1045,日別データ!$B$9:$B$28,0)),"✔ OK","⚠ 未登録"))</f>
        <v/>
      </c>
    </row>
    <row r="1046" customFormat="false" ht="15" hidden="false" customHeight="false" outlineLevel="0" collapsed="false">
      <c r="A1046" s="61"/>
      <c r="B1046" s="62"/>
      <c r="C1046" s="63"/>
      <c r="D1046" s="63"/>
      <c r="E1046" s="62"/>
      <c r="F1046" s="62"/>
      <c r="G1046" s="62"/>
      <c r="I1046" s="64" t="str">
        <f aca="false">IF($B1046="","",IF(ISNUMBER(MATCH($B1046,日別データ!$B$9:$B$28,0)),"✔ OK","⚠ 未登録"))</f>
        <v/>
      </c>
    </row>
    <row r="1047" customFormat="false" ht="15" hidden="false" customHeight="false" outlineLevel="0" collapsed="false">
      <c r="A1047" s="61"/>
      <c r="B1047" s="62"/>
      <c r="C1047" s="63"/>
      <c r="D1047" s="63"/>
      <c r="E1047" s="62"/>
      <c r="F1047" s="62"/>
      <c r="G1047" s="62"/>
      <c r="I1047" s="64" t="str">
        <f aca="false">IF($B1047="","",IF(ISNUMBER(MATCH($B1047,日別データ!$B$9:$B$28,0)),"✔ OK","⚠ 未登録"))</f>
        <v/>
      </c>
    </row>
    <row r="1048" customFormat="false" ht="15" hidden="false" customHeight="false" outlineLevel="0" collapsed="false">
      <c r="A1048" s="61"/>
      <c r="B1048" s="62"/>
      <c r="C1048" s="63"/>
      <c r="D1048" s="63"/>
      <c r="E1048" s="62"/>
      <c r="F1048" s="62"/>
      <c r="G1048" s="62"/>
      <c r="I1048" s="64" t="str">
        <f aca="false">IF($B1048="","",IF(ISNUMBER(MATCH($B1048,日別データ!$B$9:$B$28,0)),"✔ OK","⚠ 未登録"))</f>
        <v/>
      </c>
    </row>
    <row r="1049" customFormat="false" ht="15" hidden="false" customHeight="false" outlineLevel="0" collapsed="false">
      <c r="A1049" s="61"/>
      <c r="B1049" s="62"/>
      <c r="C1049" s="63"/>
      <c r="D1049" s="63"/>
      <c r="E1049" s="62"/>
      <c r="F1049" s="62"/>
      <c r="G1049" s="62"/>
      <c r="I1049" s="64" t="str">
        <f aca="false">IF($B1049="","",IF(ISNUMBER(MATCH($B1049,日別データ!$B$9:$B$28,0)),"✔ OK","⚠ 未登録"))</f>
        <v/>
      </c>
    </row>
    <row r="1050" customFormat="false" ht="15" hidden="false" customHeight="false" outlineLevel="0" collapsed="false">
      <c r="A1050" s="61"/>
      <c r="B1050" s="62"/>
      <c r="C1050" s="63"/>
      <c r="D1050" s="63"/>
      <c r="E1050" s="62"/>
      <c r="F1050" s="62"/>
      <c r="G1050" s="62"/>
      <c r="I1050" s="64" t="str">
        <f aca="false">IF($B1050="","",IF(ISNUMBER(MATCH($B1050,日別データ!$B$9:$B$28,0)),"✔ OK","⚠ 未登録"))</f>
        <v/>
      </c>
    </row>
    <row r="1051" customFormat="false" ht="15" hidden="false" customHeight="false" outlineLevel="0" collapsed="false">
      <c r="A1051" s="61"/>
      <c r="B1051" s="62"/>
      <c r="C1051" s="63"/>
      <c r="D1051" s="63"/>
      <c r="E1051" s="62"/>
      <c r="F1051" s="62"/>
      <c r="G1051" s="62"/>
      <c r="I1051" s="64" t="str">
        <f aca="false">IF($B1051="","",IF(ISNUMBER(MATCH($B1051,日別データ!$B$9:$B$28,0)),"✔ OK","⚠ 未登録"))</f>
        <v/>
      </c>
    </row>
    <row r="1052" customFormat="false" ht="15" hidden="false" customHeight="false" outlineLevel="0" collapsed="false">
      <c r="A1052" s="61"/>
      <c r="B1052" s="62"/>
      <c r="C1052" s="63"/>
      <c r="D1052" s="63"/>
      <c r="E1052" s="62"/>
      <c r="F1052" s="62"/>
      <c r="G1052" s="62"/>
      <c r="I1052" s="64" t="str">
        <f aca="false">IF($B1052="","",IF(ISNUMBER(MATCH($B1052,日別データ!$B$9:$B$28,0)),"✔ OK","⚠ 未登録"))</f>
        <v/>
      </c>
    </row>
    <row r="1053" customFormat="false" ht="15" hidden="false" customHeight="false" outlineLevel="0" collapsed="false">
      <c r="A1053" s="61"/>
      <c r="B1053" s="62"/>
      <c r="C1053" s="63"/>
      <c r="D1053" s="63"/>
      <c r="E1053" s="62"/>
      <c r="F1053" s="62"/>
      <c r="G1053" s="62"/>
      <c r="I1053" s="64" t="str">
        <f aca="false">IF($B1053="","",IF(ISNUMBER(MATCH($B1053,日別データ!$B$9:$B$28,0)),"✔ OK","⚠ 未登録"))</f>
        <v/>
      </c>
    </row>
    <row r="1054" customFormat="false" ht="15" hidden="false" customHeight="false" outlineLevel="0" collapsed="false">
      <c r="A1054" s="61"/>
      <c r="B1054" s="62"/>
      <c r="C1054" s="63"/>
      <c r="D1054" s="63"/>
      <c r="E1054" s="62"/>
      <c r="F1054" s="62"/>
      <c r="G1054" s="62"/>
      <c r="I1054" s="64" t="str">
        <f aca="false">IF($B1054="","",IF(ISNUMBER(MATCH($B1054,日別データ!$B$9:$B$28,0)),"✔ OK","⚠ 未登録"))</f>
        <v/>
      </c>
    </row>
    <row r="1055" customFormat="false" ht="15" hidden="false" customHeight="false" outlineLevel="0" collapsed="false">
      <c r="A1055" s="61"/>
      <c r="B1055" s="62"/>
      <c r="C1055" s="63"/>
      <c r="D1055" s="63"/>
      <c r="E1055" s="62"/>
      <c r="F1055" s="62"/>
      <c r="G1055" s="62"/>
      <c r="I1055" s="64" t="str">
        <f aca="false">IF($B1055="","",IF(ISNUMBER(MATCH($B1055,日別データ!$B$9:$B$28,0)),"✔ OK","⚠ 未登録"))</f>
        <v/>
      </c>
    </row>
    <row r="1056" customFormat="false" ht="15" hidden="false" customHeight="false" outlineLevel="0" collapsed="false">
      <c r="A1056" s="61"/>
      <c r="B1056" s="62"/>
      <c r="C1056" s="63"/>
      <c r="D1056" s="63"/>
      <c r="E1056" s="62"/>
      <c r="F1056" s="62"/>
      <c r="G1056" s="62"/>
      <c r="I1056" s="64" t="str">
        <f aca="false">IF($B1056="","",IF(ISNUMBER(MATCH($B1056,日別データ!$B$9:$B$28,0)),"✔ OK","⚠ 未登録"))</f>
        <v/>
      </c>
    </row>
    <row r="1057" customFormat="false" ht="15" hidden="false" customHeight="false" outlineLevel="0" collapsed="false">
      <c r="A1057" s="61"/>
      <c r="B1057" s="62"/>
      <c r="C1057" s="63"/>
      <c r="D1057" s="63"/>
      <c r="E1057" s="62"/>
      <c r="F1057" s="62"/>
      <c r="G1057" s="62"/>
      <c r="I1057" s="64" t="str">
        <f aca="false">IF($B1057="","",IF(ISNUMBER(MATCH($B1057,日別データ!$B$9:$B$28,0)),"✔ OK","⚠ 未登録"))</f>
        <v/>
      </c>
    </row>
    <row r="1058" customFormat="false" ht="15" hidden="false" customHeight="false" outlineLevel="0" collapsed="false">
      <c r="A1058" s="61"/>
      <c r="B1058" s="62"/>
      <c r="C1058" s="63"/>
      <c r="D1058" s="63"/>
      <c r="E1058" s="62"/>
      <c r="F1058" s="62"/>
      <c r="G1058" s="62"/>
      <c r="I1058" s="64" t="str">
        <f aca="false">IF($B1058="","",IF(ISNUMBER(MATCH($B1058,日別データ!$B$9:$B$28,0)),"✔ OK","⚠ 未登録"))</f>
        <v/>
      </c>
    </row>
    <row r="1059" customFormat="false" ht="15" hidden="false" customHeight="false" outlineLevel="0" collapsed="false">
      <c r="A1059" s="61"/>
      <c r="B1059" s="62"/>
      <c r="C1059" s="63"/>
      <c r="D1059" s="63"/>
      <c r="E1059" s="62"/>
      <c r="F1059" s="62"/>
      <c r="G1059" s="62"/>
      <c r="I1059" s="64" t="str">
        <f aca="false">IF($B1059="","",IF(ISNUMBER(MATCH($B1059,日別データ!$B$9:$B$28,0)),"✔ OK","⚠ 未登録"))</f>
        <v/>
      </c>
    </row>
    <row r="1060" customFormat="false" ht="15" hidden="false" customHeight="false" outlineLevel="0" collapsed="false">
      <c r="A1060" s="61"/>
      <c r="B1060" s="62"/>
      <c r="C1060" s="63"/>
      <c r="D1060" s="63"/>
      <c r="E1060" s="62"/>
      <c r="F1060" s="62"/>
      <c r="G1060" s="62"/>
      <c r="I1060" s="64" t="str">
        <f aca="false">IF($B1060="","",IF(ISNUMBER(MATCH($B1060,日別データ!$B$9:$B$28,0)),"✔ OK","⚠ 未登録"))</f>
        <v/>
      </c>
    </row>
    <row r="1061" customFormat="false" ht="15" hidden="false" customHeight="false" outlineLevel="0" collapsed="false">
      <c r="A1061" s="61"/>
      <c r="B1061" s="62"/>
      <c r="C1061" s="63"/>
      <c r="D1061" s="63"/>
      <c r="E1061" s="62"/>
      <c r="F1061" s="62"/>
      <c r="G1061" s="62"/>
      <c r="I1061" s="64" t="str">
        <f aca="false">IF($B1061="","",IF(ISNUMBER(MATCH($B1061,日別データ!$B$9:$B$28,0)),"✔ OK","⚠ 未登録"))</f>
        <v/>
      </c>
    </row>
    <row r="1062" customFormat="false" ht="15" hidden="false" customHeight="false" outlineLevel="0" collapsed="false">
      <c r="A1062" s="61"/>
      <c r="B1062" s="62"/>
      <c r="C1062" s="63"/>
      <c r="D1062" s="63"/>
      <c r="E1062" s="62"/>
      <c r="F1062" s="62"/>
      <c r="G1062" s="62"/>
      <c r="I1062" s="64" t="str">
        <f aca="false">IF($B1062="","",IF(ISNUMBER(MATCH($B1062,日別データ!$B$9:$B$28,0)),"✔ OK","⚠ 未登録"))</f>
        <v/>
      </c>
    </row>
    <row r="1063" customFormat="false" ht="15" hidden="false" customHeight="false" outlineLevel="0" collapsed="false">
      <c r="A1063" s="61"/>
      <c r="B1063" s="62"/>
      <c r="C1063" s="63"/>
      <c r="D1063" s="63"/>
      <c r="E1063" s="62"/>
      <c r="F1063" s="62"/>
      <c r="G1063" s="62"/>
      <c r="I1063" s="64" t="str">
        <f aca="false">IF($B1063="","",IF(ISNUMBER(MATCH($B1063,日別データ!$B$9:$B$28,0)),"✔ OK","⚠ 未登録"))</f>
        <v/>
      </c>
    </row>
    <row r="1064" customFormat="false" ht="15" hidden="false" customHeight="false" outlineLevel="0" collapsed="false">
      <c r="A1064" s="61"/>
      <c r="B1064" s="62"/>
      <c r="C1064" s="63"/>
      <c r="D1064" s="63"/>
      <c r="E1064" s="62"/>
      <c r="F1064" s="62"/>
      <c r="G1064" s="62"/>
      <c r="I1064" s="64" t="str">
        <f aca="false">IF($B1064="","",IF(ISNUMBER(MATCH($B1064,日別データ!$B$9:$B$28,0)),"✔ OK","⚠ 未登録"))</f>
        <v/>
      </c>
    </row>
    <row r="1065" customFormat="false" ht="15" hidden="false" customHeight="false" outlineLevel="0" collapsed="false">
      <c r="A1065" s="61"/>
      <c r="B1065" s="62"/>
      <c r="C1065" s="63"/>
      <c r="D1065" s="63"/>
      <c r="E1065" s="62"/>
      <c r="F1065" s="62"/>
      <c r="G1065" s="62"/>
      <c r="I1065" s="64" t="str">
        <f aca="false">IF($B1065="","",IF(ISNUMBER(MATCH($B1065,日別データ!$B$9:$B$28,0)),"✔ OK","⚠ 未登録"))</f>
        <v/>
      </c>
    </row>
    <row r="1066" customFormat="false" ht="15" hidden="false" customHeight="false" outlineLevel="0" collapsed="false">
      <c r="A1066" s="61"/>
      <c r="B1066" s="62"/>
      <c r="C1066" s="63"/>
      <c r="D1066" s="63"/>
      <c r="E1066" s="62"/>
      <c r="F1066" s="62"/>
      <c r="G1066" s="62"/>
      <c r="I1066" s="64" t="str">
        <f aca="false">IF($B1066="","",IF(ISNUMBER(MATCH($B1066,日別データ!$B$9:$B$28,0)),"✔ OK","⚠ 未登録"))</f>
        <v/>
      </c>
    </row>
    <row r="1067" customFormat="false" ht="15" hidden="false" customHeight="false" outlineLevel="0" collapsed="false">
      <c r="A1067" s="61"/>
      <c r="B1067" s="62"/>
      <c r="C1067" s="63"/>
      <c r="D1067" s="63"/>
      <c r="E1067" s="62"/>
      <c r="F1067" s="62"/>
      <c r="G1067" s="62"/>
      <c r="I1067" s="64" t="str">
        <f aca="false">IF($B1067="","",IF(ISNUMBER(MATCH($B1067,日別データ!$B$9:$B$28,0)),"✔ OK","⚠ 未登録"))</f>
        <v/>
      </c>
    </row>
    <row r="1068" customFormat="false" ht="15" hidden="false" customHeight="false" outlineLevel="0" collapsed="false">
      <c r="A1068" s="61"/>
      <c r="B1068" s="62"/>
      <c r="C1068" s="63"/>
      <c r="D1068" s="63"/>
      <c r="E1068" s="62"/>
      <c r="F1068" s="62"/>
      <c r="G1068" s="62"/>
      <c r="I1068" s="64" t="str">
        <f aca="false">IF($B1068="","",IF(ISNUMBER(MATCH($B1068,日別データ!$B$9:$B$28,0)),"✔ OK","⚠ 未登録"))</f>
        <v/>
      </c>
    </row>
    <row r="1069" customFormat="false" ht="15" hidden="false" customHeight="false" outlineLevel="0" collapsed="false">
      <c r="A1069" s="61"/>
      <c r="B1069" s="62"/>
      <c r="C1069" s="63"/>
      <c r="D1069" s="63"/>
      <c r="E1069" s="62"/>
      <c r="F1069" s="62"/>
      <c r="G1069" s="62"/>
      <c r="I1069" s="64" t="str">
        <f aca="false">IF($B1069="","",IF(ISNUMBER(MATCH($B1069,日別データ!$B$9:$B$28,0)),"✔ OK","⚠ 未登録"))</f>
        <v/>
      </c>
    </row>
    <row r="1070" customFormat="false" ht="15" hidden="false" customHeight="false" outlineLevel="0" collapsed="false">
      <c r="A1070" s="61"/>
      <c r="B1070" s="62"/>
      <c r="C1070" s="63"/>
      <c r="D1070" s="63"/>
      <c r="E1070" s="62"/>
      <c r="F1070" s="62"/>
      <c r="G1070" s="62"/>
      <c r="I1070" s="64" t="str">
        <f aca="false">IF($B1070="","",IF(ISNUMBER(MATCH($B1070,日別データ!$B$9:$B$28,0)),"✔ OK","⚠ 未登録"))</f>
        <v/>
      </c>
    </row>
    <row r="1071" customFormat="false" ht="15" hidden="false" customHeight="false" outlineLevel="0" collapsed="false">
      <c r="A1071" s="61"/>
      <c r="B1071" s="62"/>
      <c r="C1071" s="63"/>
      <c r="D1071" s="63"/>
      <c r="E1071" s="62"/>
      <c r="F1071" s="62"/>
      <c r="G1071" s="62"/>
      <c r="I1071" s="64" t="str">
        <f aca="false">IF($B1071="","",IF(ISNUMBER(MATCH($B1071,日別データ!$B$9:$B$28,0)),"✔ OK","⚠ 未登録"))</f>
        <v/>
      </c>
    </row>
    <row r="1072" customFormat="false" ht="15" hidden="false" customHeight="false" outlineLevel="0" collapsed="false">
      <c r="A1072" s="61"/>
      <c r="B1072" s="62"/>
      <c r="C1072" s="63"/>
      <c r="D1072" s="63"/>
      <c r="E1072" s="62"/>
      <c r="F1072" s="62"/>
      <c r="G1072" s="62"/>
      <c r="I1072" s="64" t="str">
        <f aca="false">IF($B1072="","",IF(ISNUMBER(MATCH($B1072,日別データ!$B$9:$B$28,0)),"✔ OK","⚠ 未登録"))</f>
        <v/>
      </c>
    </row>
    <row r="1073" customFormat="false" ht="15" hidden="false" customHeight="false" outlineLevel="0" collapsed="false">
      <c r="A1073" s="61"/>
      <c r="B1073" s="62"/>
      <c r="C1073" s="63"/>
      <c r="D1073" s="63"/>
      <c r="E1073" s="62"/>
      <c r="F1073" s="62"/>
      <c r="G1073" s="62"/>
      <c r="I1073" s="64" t="str">
        <f aca="false">IF($B1073="","",IF(ISNUMBER(MATCH($B1073,日別データ!$B$9:$B$28,0)),"✔ OK","⚠ 未登録"))</f>
        <v/>
      </c>
    </row>
    <row r="1074" customFormat="false" ht="15" hidden="false" customHeight="false" outlineLevel="0" collapsed="false">
      <c r="A1074" s="61"/>
      <c r="B1074" s="62"/>
      <c r="C1074" s="63"/>
      <c r="D1074" s="63"/>
      <c r="E1074" s="62"/>
      <c r="F1074" s="62"/>
      <c r="G1074" s="62"/>
      <c r="I1074" s="64" t="str">
        <f aca="false">IF($B1074="","",IF(ISNUMBER(MATCH($B1074,日別データ!$B$9:$B$28,0)),"✔ OK","⚠ 未登録"))</f>
        <v/>
      </c>
    </row>
    <row r="1075" customFormat="false" ht="15" hidden="false" customHeight="false" outlineLevel="0" collapsed="false">
      <c r="A1075" s="61"/>
      <c r="B1075" s="62"/>
      <c r="C1075" s="63"/>
      <c r="D1075" s="63"/>
      <c r="E1075" s="62"/>
      <c r="F1075" s="62"/>
      <c r="G1075" s="62"/>
      <c r="I1075" s="64" t="str">
        <f aca="false">IF($B1075="","",IF(ISNUMBER(MATCH($B1075,日別データ!$B$9:$B$28,0)),"✔ OK","⚠ 未登録"))</f>
        <v/>
      </c>
    </row>
    <row r="1076" customFormat="false" ht="15" hidden="false" customHeight="false" outlineLevel="0" collapsed="false">
      <c r="A1076" s="61"/>
      <c r="B1076" s="62"/>
      <c r="C1076" s="63"/>
      <c r="D1076" s="63"/>
      <c r="E1076" s="62"/>
      <c r="F1076" s="62"/>
      <c r="G1076" s="62"/>
      <c r="I1076" s="64" t="str">
        <f aca="false">IF($B1076="","",IF(ISNUMBER(MATCH($B1076,日別データ!$B$9:$B$28,0)),"✔ OK","⚠ 未登録"))</f>
        <v/>
      </c>
    </row>
    <row r="1077" customFormat="false" ht="15" hidden="false" customHeight="false" outlineLevel="0" collapsed="false">
      <c r="A1077" s="61"/>
      <c r="B1077" s="62"/>
      <c r="C1077" s="63"/>
      <c r="D1077" s="63"/>
      <c r="E1077" s="62"/>
      <c r="F1077" s="62"/>
      <c r="G1077" s="62"/>
      <c r="I1077" s="64" t="str">
        <f aca="false">IF($B1077="","",IF(ISNUMBER(MATCH($B1077,日別データ!$B$9:$B$28,0)),"✔ OK","⚠ 未登録"))</f>
        <v/>
      </c>
    </row>
    <row r="1078" customFormat="false" ht="15" hidden="false" customHeight="false" outlineLevel="0" collapsed="false">
      <c r="A1078" s="61"/>
      <c r="B1078" s="62"/>
      <c r="C1078" s="63"/>
      <c r="D1078" s="63"/>
      <c r="E1078" s="62"/>
      <c r="F1078" s="62"/>
      <c r="G1078" s="62"/>
      <c r="I1078" s="64" t="str">
        <f aca="false">IF($B1078="","",IF(ISNUMBER(MATCH($B1078,日別データ!$B$9:$B$28,0)),"✔ OK","⚠ 未登録"))</f>
        <v/>
      </c>
    </row>
    <row r="1079" customFormat="false" ht="15" hidden="false" customHeight="false" outlineLevel="0" collapsed="false">
      <c r="A1079" s="61"/>
      <c r="B1079" s="62"/>
      <c r="C1079" s="63"/>
      <c r="D1079" s="63"/>
      <c r="E1079" s="62"/>
      <c r="F1079" s="62"/>
      <c r="G1079" s="62"/>
      <c r="I1079" s="64" t="str">
        <f aca="false">IF($B1079="","",IF(ISNUMBER(MATCH($B1079,日別データ!$B$9:$B$28,0)),"✔ OK","⚠ 未登録"))</f>
        <v/>
      </c>
    </row>
    <row r="1080" customFormat="false" ht="15" hidden="false" customHeight="false" outlineLevel="0" collapsed="false">
      <c r="A1080" s="61"/>
      <c r="B1080" s="62"/>
      <c r="C1080" s="63"/>
      <c r="D1080" s="63"/>
      <c r="E1080" s="62"/>
      <c r="F1080" s="62"/>
      <c r="G1080" s="62"/>
      <c r="I1080" s="64" t="str">
        <f aca="false">IF($B1080="","",IF(ISNUMBER(MATCH($B1080,日別データ!$B$9:$B$28,0)),"✔ OK","⚠ 未登録"))</f>
        <v/>
      </c>
    </row>
    <row r="1081" customFormat="false" ht="15" hidden="false" customHeight="false" outlineLevel="0" collapsed="false">
      <c r="A1081" s="61"/>
      <c r="B1081" s="62"/>
      <c r="C1081" s="63"/>
      <c r="D1081" s="63"/>
      <c r="E1081" s="62"/>
      <c r="F1081" s="62"/>
      <c r="G1081" s="62"/>
      <c r="I1081" s="64" t="str">
        <f aca="false">IF($B1081="","",IF(ISNUMBER(MATCH($B1081,日別データ!$B$9:$B$28,0)),"✔ OK","⚠ 未登録"))</f>
        <v/>
      </c>
    </row>
    <row r="1082" customFormat="false" ht="15" hidden="false" customHeight="false" outlineLevel="0" collapsed="false">
      <c r="A1082" s="61"/>
      <c r="B1082" s="62"/>
      <c r="C1082" s="63"/>
      <c r="D1082" s="63"/>
      <c r="E1082" s="62"/>
      <c r="F1082" s="62"/>
      <c r="G1082" s="62"/>
      <c r="I1082" s="64" t="str">
        <f aca="false">IF($B1082="","",IF(ISNUMBER(MATCH($B1082,日別データ!$B$9:$B$28,0)),"✔ OK","⚠ 未登録"))</f>
        <v/>
      </c>
    </row>
    <row r="1083" customFormat="false" ht="15" hidden="false" customHeight="false" outlineLevel="0" collapsed="false">
      <c r="A1083" s="61"/>
      <c r="B1083" s="62"/>
      <c r="C1083" s="63"/>
      <c r="D1083" s="63"/>
      <c r="E1083" s="62"/>
      <c r="F1083" s="62"/>
      <c r="G1083" s="62"/>
      <c r="I1083" s="64" t="str">
        <f aca="false">IF($B1083="","",IF(ISNUMBER(MATCH($B1083,日別データ!$B$9:$B$28,0)),"✔ OK","⚠ 未登録"))</f>
        <v/>
      </c>
    </row>
    <row r="1084" customFormat="false" ht="15" hidden="false" customHeight="false" outlineLevel="0" collapsed="false">
      <c r="A1084" s="61"/>
      <c r="B1084" s="62"/>
      <c r="C1084" s="63"/>
      <c r="D1084" s="63"/>
      <c r="E1084" s="62"/>
      <c r="F1084" s="62"/>
      <c r="G1084" s="62"/>
      <c r="I1084" s="64" t="str">
        <f aca="false">IF($B1084="","",IF(ISNUMBER(MATCH($B1084,日別データ!$B$9:$B$28,0)),"✔ OK","⚠ 未登録"))</f>
        <v/>
      </c>
    </row>
    <row r="1085" customFormat="false" ht="15" hidden="false" customHeight="false" outlineLevel="0" collapsed="false">
      <c r="A1085" s="61"/>
      <c r="B1085" s="62"/>
      <c r="C1085" s="63"/>
      <c r="D1085" s="63"/>
      <c r="E1085" s="62"/>
      <c r="F1085" s="62"/>
      <c r="G1085" s="62"/>
      <c r="I1085" s="64" t="str">
        <f aca="false">IF($B1085="","",IF(ISNUMBER(MATCH($B1085,日別データ!$B$9:$B$28,0)),"✔ OK","⚠ 未登録"))</f>
        <v/>
      </c>
    </row>
    <row r="1086" customFormat="false" ht="15" hidden="false" customHeight="false" outlineLevel="0" collapsed="false">
      <c r="A1086" s="61"/>
      <c r="B1086" s="62"/>
      <c r="C1086" s="63"/>
      <c r="D1086" s="63"/>
      <c r="E1086" s="62"/>
      <c r="F1086" s="62"/>
      <c r="G1086" s="62"/>
      <c r="I1086" s="64" t="str">
        <f aca="false">IF($B1086="","",IF(ISNUMBER(MATCH($B1086,日別データ!$B$9:$B$28,0)),"✔ OK","⚠ 未登録"))</f>
        <v/>
      </c>
    </row>
    <row r="1087" customFormat="false" ht="15" hidden="false" customHeight="false" outlineLevel="0" collapsed="false">
      <c r="A1087" s="61"/>
      <c r="B1087" s="62"/>
      <c r="C1087" s="63"/>
      <c r="D1087" s="63"/>
      <c r="E1087" s="62"/>
      <c r="F1087" s="62"/>
      <c r="G1087" s="62"/>
      <c r="I1087" s="64" t="str">
        <f aca="false">IF($B1087="","",IF(ISNUMBER(MATCH($B1087,日別データ!$B$9:$B$28,0)),"✔ OK","⚠ 未登録"))</f>
        <v/>
      </c>
    </row>
    <row r="1088" customFormat="false" ht="15" hidden="false" customHeight="false" outlineLevel="0" collapsed="false">
      <c r="A1088" s="61"/>
      <c r="B1088" s="62"/>
      <c r="C1088" s="63"/>
      <c r="D1088" s="63"/>
      <c r="E1088" s="62"/>
      <c r="F1088" s="62"/>
      <c r="G1088" s="62"/>
      <c r="I1088" s="64" t="str">
        <f aca="false">IF($B1088="","",IF(ISNUMBER(MATCH($B1088,日別データ!$B$9:$B$28,0)),"✔ OK","⚠ 未登録"))</f>
        <v/>
      </c>
    </row>
    <row r="1089" customFormat="false" ht="15" hidden="false" customHeight="false" outlineLevel="0" collapsed="false">
      <c r="A1089" s="61"/>
      <c r="B1089" s="62"/>
      <c r="C1089" s="63"/>
      <c r="D1089" s="63"/>
      <c r="E1089" s="62"/>
      <c r="F1089" s="62"/>
      <c r="G1089" s="62"/>
      <c r="I1089" s="64" t="str">
        <f aca="false">IF($B1089="","",IF(ISNUMBER(MATCH($B1089,日別データ!$B$9:$B$28,0)),"✔ OK","⚠ 未登録"))</f>
        <v/>
      </c>
    </row>
    <row r="1090" customFormat="false" ht="15" hidden="false" customHeight="false" outlineLevel="0" collapsed="false">
      <c r="A1090" s="61"/>
      <c r="B1090" s="62"/>
      <c r="C1090" s="63"/>
      <c r="D1090" s="63"/>
      <c r="E1090" s="62"/>
      <c r="F1090" s="62"/>
      <c r="G1090" s="62"/>
      <c r="I1090" s="64" t="str">
        <f aca="false">IF($B1090="","",IF(ISNUMBER(MATCH($B1090,日別データ!$B$9:$B$28,0)),"✔ OK","⚠ 未登録"))</f>
        <v/>
      </c>
    </row>
    <row r="1091" customFormat="false" ht="15" hidden="false" customHeight="false" outlineLevel="0" collapsed="false">
      <c r="A1091" s="61"/>
      <c r="B1091" s="62"/>
      <c r="C1091" s="63"/>
      <c r="D1091" s="63"/>
      <c r="E1091" s="62"/>
      <c r="F1091" s="62"/>
      <c r="G1091" s="62"/>
      <c r="I1091" s="64" t="str">
        <f aca="false">IF($B1091="","",IF(ISNUMBER(MATCH($B1091,日別データ!$B$9:$B$28,0)),"✔ OK","⚠ 未登録"))</f>
        <v/>
      </c>
    </row>
    <row r="1092" customFormat="false" ht="15" hidden="false" customHeight="false" outlineLevel="0" collapsed="false">
      <c r="A1092" s="61"/>
      <c r="B1092" s="62"/>
      <c r="C1092" s="63"/>
      <c r="D1092" s="63"/>
      <c r="E1092" s="62"/>
      <c r="F1092" s="62"/>
      <c r="G1092" s="62"/>
      <c r="I1092" s="64" t="str">
        <f aca="false">IF($B1092="","",IF(ISNUMBER(MATCH($B1092,日別データ!$B$9:$B$28,0)),"✔ OK","⚠ 未登録"))</f>
        <v/>
      </c>
    </row>
    <row r="1093" customFormat="false" ht="15" hidden="false" customHeight="false" outlineLevel="0" collapsed="false">
      <c r="A1093" s="61"/>
      <c r="B1093" s="62"/>
      <c r="C1093" s="63"/>
      <c r="D1093" s="63"/>
      <c r="E1093" s="62"/>
      <c r="F1093" s="62"/>
      <c r="G1093" s="62"/>
      <c r="I1093" s="64" t="str">
        <f aca="false">IF($B1093="","",IF(ISNUMBER(MATCH($B1093,日別データ!$B$9:$B$28,0)),"✔ OK","⚠ 未登録"))</f>
        <v/>
      </c>
    </row>
    <row r="1094" customFormat="false" ht="15" hidden="false" customHeight="false" outlineLevel="0" collapsed="false">
      <c r="A1094" s="61"/>
      <c r="B1094" s="62"/>
      <c r="C1094" s="63"/>
      <c r="D1094" s="63"/>
      <c r="E1094" s="62"/>
      <c r="F1094" s="62"/>
      <c r="G1094" s="62"/>
      <c r="I1094" s="64" t="str">
        <f aca="false">IF($B1094="","",IF(ISNUMBER(MATCH($B1094,日別データ!$B$9:$B$28,0)),"✔ OK","⚠ 未登録"))</f>
        <v/>
      </c>
    </row>
    <row r="1095" customFormat="false" ht="15" hidden="false" customHeight="false" outlineLevel="0" collapsed="false">
      <c r="A1095" s="61"/>
      <c r="B1095" s="62"/>
      <c r="C1095" s="63"/>
      <c r="D1095" s="63"/>
      <c r="E1095" s="62"/>
      <c r="F1095" s="62"/>
      <c r="G1095" s="62"/>
      <c r="I1095" s="64" t="str">
        <f aca="false">IF($B1095="","",IF(ISNUMBER(MATCH($B1095,日別データ!$B$9:$B$28,0)),"✔ OK","⚠ 未登録"))</f>
        <v/>
      </c>
    </row>
    <row r="1096" customFormat="false" ht="15" hidden="false" customHeight="false" outlineLevel="0" collapsed="false">
      <c r="A1096" s="61"/>
      <c r="B1096" s="62"/>
      <c r="C1096" s="63"/>
      <c r="D1096" s="63"/>
      <c r="E1096" s="62"/>
      <c r="F1096" s="62"/>
      <c r="G1096" s="62"/>
      <c r="I1096" s="64" t="str">
        <f aca="false">IF($B1096="","",IF(ISNUMBER(MATCH($B1096,日別データ!$B$9:$B$28,0)),"✔ OK","⚠ 未登録"))</f>
        <v/>
      </c>
    </row>
    <row r="1097" customFormat="false" ht="15" hidden="false" customHeight="false" outlineLevel="0" collapsed="false">
      <c r="A1097" s="61"/>
      <c r="B1097" s="62"/>
      <c r="C1097" s="63"/>
      <c r="D1097" s="63"/>
      <c r="E1097" s="62"/>
      <c r="F1097" s="62"/>
      <c r="G1097" s="62"/>
      <c r="I1097" s="64" t="str">
        <f aca="false">IF($B1097="","",IF(ISNUMBER(MATCH($B1097,日別データ!$B$9:$B$28,0)),"✔ OK","⚠ 未登録"))</f>
        <v/>
      </c>
    </row>
    <row r="1098" customFormat="false" ht="15" hidden="false" customHeight="false" outlineLevel="0" collapsed="false">
      <c r="A1098" s="61"/>
      <c r="B1098" s="62"/>
      <c r="C1098" s="63"/>
      <c r="D1098" s="63"/>
      <c r="E1098" s="62"/>
      <c r="F1098" s="62"/>
      <c r="G1098" s="62"/>
      <c r="I1098" s="64" t="str">
        <f aca="false">IF($B1098="","",IF(ISNUMBER(MATCH($B1098,日別データ!$B$9:$B$28,0)),"✔ OK","⚠ 未登録"))</f>
        <v/>
      </c>
    </row>
    <row r="1099" customFormat="false" ht="15" hidden="false" customHeight="false" outlineLevel="0" collapsed="false">
      <c r="A1099" s="61"/>
      <c r="B1099" s="62"/>
      <c r="C1099" s="63"/>
      <c r="D1099" s="63"/>
      <c r="E1099" s="62"/>
      <c r="F1099" s="62"/>
      <c r="G1099" s="62"/>
      <c r="I1099" s="64" t="str">
        <f aca="false">IF($B1099="","",IF(ISNUMBER(MATCH($B1099,日別データ!$B$9:$B$28,0)),"✔ OK","⚠ 未登録"))</f>
        <v/>
      </c>
    </row>
    <row r="1100" customFormat="false" ht="15" hidden="false" customHeight="false" outlineLevel="0" collapsed="false">
      <c r="A1100" s="61"/>
      <c r="B1100" s="62"/>
      <c r="C1100" s="63"/>
      <c r="D1100" s="63"/>
      <c r="E1100" s="62"/>
      <c r="F1100" s="62"/>
      <c r="G1100" s="62"/>
      <c r="I1100" s="64" t="str">
        <f aca="false">IF($B1100="","",IF(ISNUMBER(MATCH($B1100,日別データ!$B$9:$B$28,0)),"✔ OK","⚠ 未登録"))</f>
        <v/>
      </c>
    </row>
    <row r="1101" customFormat="false" ht="15" hidden="false" customHeight="false" outlineLevel="0" collapsed="false">
      <c r="A1101" s="61"/>
      <c r="B1101" s="62"/>
      <c r="C1101" s="63"/>
      <c r="D1101" s="63"/>
      <c r="E1101" s="62"/>
      <c r="F1101" s="62"/>
      <c r="G1101" s="62"/>
      <c r="I1101" s="64" t="str">
        <f aca="false">IF($B1101="","",IF(ISNUMBER(MATCH($B1101,日別データ!$B$9:$B$28,0)),"✔ OK","⚠ 未登録"))</f>
        <v/>
      </c>
    </row>
    <row r="1102" customFormat="false" ht="15" hidden="false" customHeight="false" outlineLevel="0" collapsed="false">
      <c r="A1102" s="61"/>
      <c r="B1102" s="62"/>
      <c r="C1102" s="63"/>
      <c r="D1102" s="63"/>
      <c r="E1102" s="62"/>
      <c r="F1102" s="62"/>
      <c r="G1102" s="62"/>
      <c r="I1102" s="64" t="str">
        <f aca="false">IF($B1102="","",IF(ISNUMBER(MATCH($B1102,日別データ!$B$9:$B$28,0)),"✔ OK","⚠ 未登録"))</f>
        <v/>
      </c>
    </row>
    <row r="1103" customFormat="false" ht="15" hidden="false" customHeight="false" outlineLevel="0" collapsed="false">
      <c r="A1103" s="61"/>
      <c r="B1103" s="62"/>
      <c r="C1103" s="63"/>
      <c r="D1103" s="63"/>
      <c r="E1103" s="62"/>
      <c r="F1103" s="62"/>
      <c r="G1103" s="62"/>
      <c r="I1103" s="64" t="str">
        <f aca="false">IF($B1103="","",IF(ISNUMBER(MATCH($B1103,日別データ!$B$9:$B$28,0)),"✔ OK","⚠ 未登録"))</f>
        <v/>
      </c>
    </row>
    <row r="1104" customFormat="false" ht="15" hidden="false" customHeight="false" outlineLevel="0" collapsed="false">
      <c r="A1104" s="61"/>
      <c r="B1104" s="62"/>
      <c r="C1104" s="63"/>
      <c r="D1104" s="63"/>
      <c r="E1104" s="62"/>
      <c r="F1104" s="62"/>
      <c r="G1104" s="62"/>
      <c r="I1104" s="64" t="str">
        <f aca="false">IF($B1104="","",IF(ISNUMBER(MATCH($B1104,日別データ!$B$9:$B$28,0)),"✔ OK","⚠ 未登録"))</f>
        <v/>
      </c>
    </row>
    <row r="1105" customFormat="false" ht="15" hidden="false" customHeight="false" outlineLevel="0" collapsed="false">
      <c r="A1105" s="61"/>
      <c r="B1105" s="62"/>
      <c r="C1105" s="63"/>
      <c r="D1105" s="63"/>
      <c r="E1105" s="62"/>
      <c r="F1105" s="62"/>
      <c r="G1105" s="62"/>
      <c r="I1105" s="64" t="str">
        <f aca="false">IF($B1105="","",IF(ISNUMBER(MATCH($B1105,日別データ!$B$9:$B$28,0)),"✔ OK","⚠ 未登録"))</f>
        <v/>
      </c>
    </row>
    <row r="1106" customFormat="false" ht="15" hidden="false" customHeight="false" outlineLevel="0" collapsed="false">
      <c r="A1106" s="61"/>
      <c r="B1106" s="62"/>
      <c r="C1106" s="63"/>
      <c r="D1106" s="63"/>
      <c r="E1106" s="62"/>
      <c r="F1106" s="62"/>
      <c r="G1106" s="62"/>
      <c r="I1106" s="64" t="str">
        <f aca="false">IF($B1106="","",IF(ISNUMBER(MATCH($B1106,日別データ!$B$9:$B$28,0)),"✔ OK","⚠ 未登録"))</f>
        <v/>
      </c>
    </row>
    <row r="1107" customFormat="false" ht="15" hidden="false" customHeight="false" outlineLevel="0" collapsed="false">
      <c r="A1107" s="61"/>
      <c r="B1107" s="62"/>
      <c r="C1107" s="63"/>
      <c r="D1107" s="63"/>
      <c r="E1107" s="62"/>
      <c r="F1107" s="62"/>
      <c r="G1107" s="62"/>
      <c r="I1107" s="64" t="str">
        <f aca="false">IF($B1107="","",IF(ISNUMBER(MATCH($B1107,日別データ!$B$9:$B$28,0)),"✔ OK","⚠ 未登録"))</f>
        <v/>
      </c>
    </row>
    <row r="1108" customFormat="false" ht="15" hidden="false" customHeight="false" outlineLevel="0" collapsed="false">
      <c r="A1108" s="61"/>
      <c r="B1108" s="62"/>
      <c r="C1108" s="63"/>
      <c r="D1108" s="63"/>
      <c r="E1108" s="62"/>
      <c r="F1108" s="62"/>
      <c r="G1108" s="62"/>
      <c r="I1108" s="64" t="str">
        <f aca="false">IF($B1108="","",IF(ISNUMBER(MATCH($B1108,日別データ!$B$9:$B$28,0)),"✔ OK","⚠ 未登録"))</f>
        <v/>
      </c>
    </row>
    <row r="1109" customFormat="false" ht="15" hidden="false" customHeight="false" outlineLevel="0" collapsed="false">
      <c r="A1109" s="61"/>
      <c r="B1109" s="62"/>
      <c r="C1109" s="63"/>
      <c r="D1109" s="63"/>
      <c r="E1109" s="62"/>
      <c r="F1109" s="62"/>
      <c r="G1109" s="62"/>
      <c r="I1109" s="64" t="str">
        <f aca="false">IF($B1109="","",IF(ISNUMBER(MATCH($B1109,日別データ!$B$9:$B$28,0)),"✔ OK","⚠ 未登録"))</f>
        <v/>
      </c>
    </row>
    <row r="1110" customFormat="false" ht="15" hidden="false" customHeight="false" outlineLevel="0" collapsed="false">
      <c r="A1110" s="61"/>
      <c r="B1110" s="62"/>
      <c r="C1110" s="63"/>
      <c r="D1110" s="63"/>
      <c r="E1110" s="62"/>
      <c r="F1110" s="62"/>
      <c r="G1110" s="62"/>
      <c r="I1110" s="64" t="str">
        <f aca="false">IF($B1110="","",IF(ISNUMBER(MATCH($B1110,日別データ!$B$9:$B$28,0)),"✔ OK","⚠ 未登録"))</f>
        <v/>
      </c>
    </row>
    <row r="1111" customFormat="false" ht="15" hidden="false" customHeight="false" outlineLevel="0" collapsed="false">
      <c r="A1111" s="61"/>
      <c r="B1111" s="62"/>
      <c r="C1111" s="63"/>
      <c r="D1111" s="63"/>
      <c r="E1111" s="62"/>
      <c r="F1111" s="62"/>
      <c r="G1111" s="62"/>
      <c r="I1111" s="64" t="str">
        <f aca="false">IF($B1111="","",IF(ISNUMBER(MATCH($B1111,日別データ!$B$9:$B$28,0)),"✔ OK","⚠ 未登録"))</f>
        <v/>
      </c>
    </row>
    <row r="1112" customFormat="false" ht="15" hidden="false" customHeight="false" outlineLevel="0" collapsed="false">
      <c r="A1112" s="61"/>
      <c r="B1112" s="62"/>
      <c r="C1112" s="63"/>
      <c r="D1112" s="63"/>
      <c r="E1112" s="62"/>
      <c r="F1112" s="62"/>
      <c r="G1112" s="62"/>
      <c r="I1112" s="64" t="str">
        <f aca="false">IF($B1112="","",IF(ISNUMBER(MATCH($B1112,日別データ!$B$9:$B$28,0)),"✔ OK","⚠ 未登録"))</f>
        <v/>
      </c>
    </row>
    <row r="1113" customFormat="false" ht="15" hidden="false" customHeight="false" outlineLevel="0" collapsed="false">
      <c r="A1113" s="61"/>
      <c r="B1113" s="62"/>
      <c r="C1113" s="63"/>
      <c r="D1113" s="63"/>
      <c r="E1113" s="62"/>
      <c r="F1113" s="62"/>
      <c r="G1113" s="62"/>
      <c r="I1113" s="64" t="str">
        <f aca="false">IF($B1113="","",IF(ISNUMBER(MATCH($B1113,日別データ!$B$9:$B$28,0)),"✔ OK","⚠ 未登録"))</f>
        <v/>
      </c>
    </row>
    <row r="1114" customFormat="false" ht="15" hidden="false" customHeight="false" outlineLevel="0" collapsed="false">
      <c r="A1114" s="61"/>
      <c r="B1114" s="62"/>
      <c r="C1114" s="63"/>
      <c r="D1114" s="63"/>
      <c r="E1114" s="62"/>
      <c r="F1114" s="62"/>
      <c r="G1114" s="62"/>
      <c r="I1114" s="64" t="str">
        <f aca="false">IF($B1114="","",IF(ISNUMBER(MATCH($B1114,日別データ!$B$9:$B$28,0)),"✔ OK","⚠ 未登録"))</f>
        <v/>
      </c>
    </row>
    <row r="1115" customFormat="false" ht="15" hidden="false" customHeight="false" outlineLevel="0" collapsed="false">
      <c r="A1115" s="61"/>
      <c r="B1115" s="62"/>
      <c r="C1115" s="63"/>
      <c r="D1115" s="63"/>
      <c r="E1115" s="62"/>
      <c r="F1115" s="62"/>
      <c r="G1115" s="62"/>
      <c r="I1115" s="64" t="str">
        <f aca="false">IF($B1115="","",IF(ISNUMBER(MATCH($B1115,日別データ!$B$9:$B$28,0)),"✔ OK","⚠ 未登録"))</f>
        <v/>
      </c>
    </row>
    <row r="1116" customFormat="false" ht="15" hidden="false" customHeight="false" outlineLevel="0" collapsed="false">
      <c r="A1116" s="61"/>
      <c r="B1116" s="62"/>
      <c r="C1116" s="63"/>
      <c r="D1116" s="63"/>
      <c r="E1116" s="62"/>
      <c r="F1116" s="62"/>
      <c r="G1116" s="62"/>
      <c r="I1116" s="64" t="str">
        <f aca="false">IF($B1116="","",IF(ISNUMBER(MATCH($B1116,日別データ!$B$9:$B$28,0)),"✔ OK","⚠ 未登録"))</f>
        <v/>
      </c>
    </row>
    <row r="1117" customFormat="false" ht="15" hidden="false" customHeight="false" outlineLevel="0" collapsed="false">
      <c r="A1117" s="61"/>
      <c r="B1117" s="62"/>
      <c r="C1117" s="63"/>
      <c r="D1117" s="63"/>
      <c r="E1117" s="62"/>
      <c r="F1117" s="62"/>
      <c r="G1117" s="62"/>
      <c r="I1117" s="64" t="str">
        <f aca="false">IF($B1117="","",IF(ISNUMBER(MATCH($B1117,日別データ!$B$9:$B$28,0)),"✔ OK","⚠ 未登録"))</f>
        <v/>
      </c>
    </row>
    <row r="1118" customFormat="false" ht="15" hidden="false" customHeight="false" outlineLevel="0" collapsed="false">
      <c r="A1118" s="61"/>
      <c r="B1118" s="62"/>
      <c r="C1118" s="63"/>
      <c r="D1118" s="63"/>
      <c r="E1118" s="62"/>
      <c r="F1118" s="62"/>
      <c r="G1118" s="62"/>
      <c r="I1118" s="64" t="str">
        <f aca="false">IF($B1118="","",IF(ISNUMBER(MATCH($B1118,日別データ!$B$9:$B$28,0)),"✔ OK","⚠ 未登録"))</f>
        <v/>
      </c>
    </row>
    <row r="1119" customFormat="false" ht="15" hidden="false" customHeight="false" outlineLevel="0" collapsed="false">
      <c r="A1119" s="61"/>
      <c r="B1119" s="62"/>
      <c r="C1119" s="63"/>
      <c r="D1119" s="63"/>
      <c r="E1119" s="62"/>
      <c r="F1119" s="62"/>
      <c r="G1119" s="62"/>
      <c r="I1119" s="64" t="str">
        <f aca="false">IF($B1119="","",IF(ISNUMBER(MATCH($B1119,日別データ!$B$9:$B$28,0)),"✔ OK","⚠ 未登録"))</f>
        <v/>
      </c>
    </row>
    <row r="1120" customFormat="false" ht="15" hidden="false" customHeight="false" outlineLevel="0" collapsed="false">
      <c r="A1120" s="61"/>
      <c r="B1120" s="62"/>
      <c r="C1120" s="63"/>
      <c r="D1120" s="63"/>
      <c r="E1120" s="62"/>
      <c r="F1120" s="62"/>
      <c r="G1120" s="62"/>
      <c r="I1120" s="64" t="str">
        <f aca="false">IF($B1120="","",IF(ISNUMBER(MATCH($B1120,日別データ!$B$9:$B$28,0)),"✔ OK","⚠ 未登録"))</f>
        <v/>
      </c>
    </row>
    <row r="1121" customFormat="false" ht="15" hidden="false" customHeight="false" outlineLevel="0" collapsed="false">
      <c r="A1121" s="61"/>
      <c r="B1121" s="62"/>
      <c r="C1121" s="63"/>
      <c r="D1121" s="63"/>
      <c r="E1121" s="62"/>
      <c r="F1121" s="62"/>
      <c r="G1121" s="62"/>
      <c r="I1121" s="64" t="str">
        <f aca="false">IF($B1121="","",IF(ISNUMBER(MATCH($B1121,日別データ!$B$9:$B$28,0)),"✔ OK","⚠ 未登録"))</f>
        <v/>
      </c>
    </row>
    <row r="1122" customFormat="false" ht="15" hidden="false" customHeight="false" outlineLevel="0" collapsed="false">
      <c r="A1122" s="61"/>
      <c r="B1122" s="62"/>
      <c r="C1122" s="63"/>
      <c r="D1122" s="63"/>
      <c r="E1122" s="62"/>
      <c r="F1122" s="62"/>
      <c r="G1122" s="62"/>
      <c r="I1122" s="64" t="str">
        <f aca="false">IF($B1122="","",IF(ISNUMBER(MATCH($B1122,日別データ!$B$9:$B$28,0)),"✔ OK","⚠ 未登録"))</f>
        <v/>
      </c>
    </row>
    <row r="1123" customFormat="false" ht="15" hidden="false" customHeight="false" outlineLevel="0" collapsed="false">
      <c r="A1123" s="61"/>
      <c r="B1123" s="62"/>
      <c r="C1123" s="63"/>
      <c r="D1123" s="63"/>
      <c r="E1123" s="62"/>
      <c r="F1123" s="62"/>
      <c r="G1123" s="62"/>
      <c r="I1123" s="64" t="str">
        <f aca="false">IF($B1123="","",IF(ISNUMBER(MATCH($B1123,日別データ!$B$9:$B$28,0)),"✔ OK","⚠ 未登録"))</f>
        <v/>
      </c>
    </row>
    <row r="1124" customFormat="false" ht="15" hidden="false" customHeight="false" outlineLevel="0" collapsed="false">
      <c r="A1124" s="61"/>
      <c r="B1124" s="62"/>
      <c r="C1124" s="63"/>
      <c r="D1124" s="63"/>
      <c r="E1124" s="62"/>
      <c r="F1124" s="62"/>
      <c r="G1124" s="62"/>
      <c r="I1124" s="64" t="str">
        <f aca="false">IF($B1124="","",IF(ISNUMBER(MATCH($B1124,日別データ!$B$9:$B$28,0)),"✔ OK","⚠ 未登録"))</f>
        <v/>
      </c>
    </row>
    <row r="1125" customFormat="false" ht="15" hidden="false" customHeight="false" outlineLevel="0" collapsed="false">
      <c r="A1125" s="61"/>
      <c r="B1125" s="62"/>
      <c r="C1125" s="63"/>
      <c r="D1125" s="63"/>
      <c r="E1125" s="62"/>
      <c r="F1125" s="62"/>
      <c r="G1125" s="62"/>
      <c r="I1125" s="64" t="str">
        <f aca="false">IF($B1125="","",IF(ISNUMBER(MATCH($B1125,日別データ!$B$9:$B$28,0)),"✔ OK","⚠ 未登録"))</f>
        <v/>
      </c>
    </row>
    <row r="1126" customFormat="false" ht="15" hidden="false" customHeight="false" outlineLevel="0" collapsed="false">
      <c r="A1126" s="61"/>
      <c r="B1126" s="62"/>
      <c r="C1126" s="63"/>
      <c r="D1126" s="63"/>
      <c r="E1126" s="62"/>
      <c r="F1126" s="62"/>
      <c r="G1126" s="62"/>
      <c r="I1126" s="64" t="str">
        <f aca="false">IF($B1126="","",IF(ISNUMBER(MATCH($B1126,日別データ!$B$9:$B$28,0)),"✔ OK","⚠ 未登録"))</f>
        <v/>
      </c>
    </row>
    <row r="1127" customFormat="false" ht="15" hidden="false" customHeight="false" outlineLevel="0" collapsed="false">
      <c r="A1127" s="61"/>
      <c r="B1127" s="62"/>
      <c r="C1127" s="63"/>
      <c r="D1127" s="63"/>
      <c r="E1127" s="62"/>
      <c r="F1127" s="62"/>
      <c r="G1127" s="62"/>
      <c r="I1127" s="64" t="str">
        <f aca="false">IF($B1127="","",IF(ISNUMBER(MATCH($B1127,日別データ!$B$9:$B$28,0)),"✔ OK","⚠ 未登録"))</f>
        <v/>
      </c>
    </row>
    <row r="1128" customFormat="false" ht="15" hidden="false" customHeight="false" outlineLevel="0" collapsed="false">
      <c r="A1128" s="61"/>
      <c r="B1128" s="62"/>
      <c r="C1128" s="63"/>
      <c r="D1128" s="63"/>
      <c r="E1128" s="62"/>
      <c r="F1128" s="62"/>
      <c r="G1128" s="62"/>
      <c r="I1128" s="64" t="str">
        <f aca="false">IF($B1128="","",IF(ISNUMBER(MATCH($B1128,日別データ!$B$9:$B$28,0)),"✔ OK","⚠ 未登録"))</f>
        <v/>
      </c>
    </row>
    <row r="1129" customFormat="false" ht="15" hidden="false" customHeight="false" outlineLevel="0" collapsed="false">
      <c r="A1129" s="61"/>
      <c r="B1129" s="62"/>
      <c r="C1129" s="63"/>
      <c r="D1129" s="63"/>
      <c r="E1129" s="62"/>
      <c r="F1129" s="62"/>
      <c r="G1129" s="62"/>
      <c r="I1129" s="64" t="str">
        <f aca="false">IF($B1129="","",IF(ISNUMBER(MATCH($B1129,日別データ!$B$9:$B$28,0)),"✔ OK","⚠ 未登録"))</f>
        <v/>
      </c>
    </row>
    <row r="1130" customFormat="false" ht="15" hidden="false" customHeight="false" outlineLevel="0" collapsed="false">
      <c r="A1130" s="61"/>
      <c r="B1130" s="62"/>
      <c r="C1130" s="63"/>
      <c r="D1130" s="63"/>
      <c r="E1130" s="62"/>
      <c r="F1130" s="62"/>
      <c r="G1130" s="62"/>
      <c r="I1130" s="64" t="str">
        <f aca="false">IF($B1130="","",IF(ISNUMBER(MATCH($B1130,日別データ!$B$9:$B$28,0)),"✔ OK","⚠ 未登録"))</f>
        <v/>
      </c>
    </row>
    <row r="1131" customFormat="false" ht="15" hidden="false" customHeight="false" outlineLevel="0" collapsed="false">
      <c r="A1131" s="61"/>
      <c r="B1131" s="62"/>
      <c r="C1131" s="63"/>
      <c r="D1131" s="63"/>
      <c r="E1131" s="62"/>
      <c r="F1131" s="62"/>
      <c r="G1131" s="62"/>
      <c r="I1131" s="64" t="str">
        <f aca="false">IF($B1131="","",IF(ISNUMBER(MATCH($B1131,日別データ!$B$9:$B$28,0)),"✔ OK","⚠ 未登録"))</f>
        <v/>
      </c>
    </row>
    <row r="1132" customFormat="false" ht="15" hidden="false" customHeight="false" outlineLevel="0" collapsed="false">
      <c r="A1132" s="61"/>
      <c r="B1132" s="62"/>
      <c r="C1132" s="63"/>
      <c r="D1132" s="63"/>
      <c r="E1132" s="62"/>
      <c r="F1132" s="62"/>
      <c r="G1132" s="62"/>
      <c r="I1132" s="64" t="str">
        <f aca="false">IF($B1132="","",IF(ISNUMBER(MATCH($B1132,日別データ!$B$9:$B$28,0)),"✔ OK","⚠ 未登録"))</f>
        <v/>
      </c>
    </row>
    <row r="1133" customFormat="false" ht="15" hidden="false" customHeight="false" outlineLevel="0" collapsed="false">
      <c r="A1133" s="61"/>
      <c r="B1133" s="62"/>
      <c r="C1133" s="63"/>
      <c r="D1133" s="63"/>
      <c r="E1133" s="62"/>
      <c r="F1133" s="62"/>
      <c r="G1133" s="62"/>
      <c r="I1133" s="64" t="str">
        <f aca="false">IF($B1133="","",IF(ISNUMBER(MATCH($B1133,日別データ!$B$9:$B$28,0)),"✔ OK","⚠ 未登録"))</f>
        <v/>
      </c>
    </row>
    <row r="1134" customFormat="false" ht="15" hidden="false" customHeight="false" outlineLevel="0" collapsed="false">
      <c r="A1134" s="61"/>
      <c r="B1134" s="62"/>
      <c r="C1134" s="63"/>
      <c r="D1134" s="63"/>
      <c r="E1134" s="62"/>
      <c r="F1134" s="62"/>
      <c r="G1134" s="62"/>
      <c r="I1134" s="64" t="str">
        <f aca="false">IF($B1134="","",IF(ISNUMBER(MATCH($B1134,日別データ!$B$9:$B$28,0)),"✔ OK","⚠ 未登録"))</f>
        <v/>
      </c>
    </row>
    <row r="1135" customFormat="false" ht="15" hidden="false" customHeight="false" outlineLevel="0" collapsed="false">
      <c r="A1135" s="61"/>
      <c r="B1135" s="62"/>
      <c r="C1135" s="63"/>
      <c r="D1135" s="63"/>
      <c r="E1135" s="62"/>
      <c r="F1135" s="62"/>
      <c r="G1135" s="62"/>
      <c r="I1135" s="64" t="str">
        <f aca="false">IF($B1135="","",IF(ISNUMBER(MATCH($B1135,日別データ!$B$9:$B$28,0)),"✔ OK","⚠ 未登録"))</f>
        <v/>
      </c>
    </row>
    <row r="1136" customFormat="false" ht="15" hidden="false" customHeight="false" outlineLevel="0" collapsed="false">
      <c r="A1136" s="61"/>
      <c r="B1136" s="62"/>
      <c r="C1136" s="63"/>
      <c r="D1136" s="63"/>
      <c r="E1136" s="62"/>
      <c r="F1136" s="62"/>
      <c r="G1136" s="62"/>
      <c r="I1136" s="64" t="str">
        <f aca="false">IF($B1136="","",IF(ISNUMBER(MATCH($B1136,日別データ!$B$9:$B$28,0)),"✔ OK","⚠ 未登録"))</f>
        <v/>
      </c>
    </row>
    <row r="1137" customFormat="false" ht="15" hidden="false" customHeight="false" outlineLevel="0" collapsed="false">
      <c r="A1137" s="61"/>
      <c r="B1137" s="62"/>
      <c r="C1137" s="63"/>
      <c r="D1137" s="63"/>
      <c r="E1137" s="62"/>
      <c r="F1137" s="62"/>
      <c r="G1137" s="62"/>
      <c r="I1137" s="64" t="str">
        <f aca="false">IF($B1137="","",IF(ISNUMBER(MATCH($B1137,日別データ!$B$9:$B$28,0)),"✔ OK","⚠ 未登録"))</f>
        <v/>
      </c>
    </row>
    <row r="1138" customFormat="false" ht="15" hidden="false" customHeight="false" outlineLevel="0" collapsed="false">
      <c r="A1138" s="61"/>
      <c r="B1138" s="62"/>
      <c r="C1138" s="63"/>
      <c r="D1138" s="63"/>
      <c r="E1138" s="62"/>
      <c r="F1138" s="62"/>
      <c r="G1138" s="62"/>
      <c r="I1138" s="64" t="str">
        <f aca="false">IF($B1138="","",IF(ISNUMBER(MATCH($B1138,日別データ!$B$9:$B$28,0)),"✔ OK","⚠ 未登録"))</f>
        <v/>
      </c>
    </row>
    <row r="1139" customFormat="false" ht="15" hidden="false" customHeight="false" outlineLevel="0" collapsed="false">
      <c r="A1139" s="61"/>
      <c r="B1139" s="62"/>
      <c r="C1139" s="63"/>
      <c r="D1139" s="63"/>
      <c r="E1139" s="62"/>
      <c r="F1139" s="62"/>
      <c r="G1139" s="62"/>
      <c r="I1139" s="64" t="str">
        <f aca="false">IF($B1139="","",IF(ISNUMBER(MATCH($B1139,日別データ!$B$9:$B$28,0)),"✔ OK","⚠ 未登録"))</f>
        <v/>
      </c>
    </row>
    <row r="1140" customFormat="false" ht="15" hidden="false" customHeight="false" outlineLevel="0" collapsed="false">
      <c r="A1140" s="61"/>
      <c r="B1140" s="62"/>
      <c r="C1140" s="63"/>
      <c r="D1140" s="63"/>
      <c r="E1140" s="62"/>
      <c r="F1140" s="62"/>
      <c r="G1140" s="62"/>
      <c r="I1140" s="64" t="str">
        <f aca="false">IF($B1140="","",IF(ISNUMBER(MATCH($B1140,日別データ!$B$9:$B$28,0)),"✔ OK","⚠ 未登録"))</f>
        <v/>
      </c>
    </row>
    <row r="1141" customFormat="false" ht="15" hidden="false" customHeight="false" outlineLevel="0" collapsed="false">
      <c r="A1141" s="61"/>
      <c r="B1141" s="62"/>
      <c r="C1141" s="63"/>
      <c r="D1141" s="63"/>
      <c r="E1141" s="62"/>
      <c r="F1141" s="62"/>
      <c r="G1141" s="62"/>
      <c r="I1141" s="64" t="str">
        <f aca="false">IF($B1141="","",IF(ISNUMBER(MATCH($B1141,日別データ!$B$9:$B$28,0)),"✔ OK","⚠ 未登録"))</f>
        <v/>
      </c>
    </row>
    <row r="1142" customFormat="false" ht="15" hidden="false" customHeight="false" outlineLevel="0" collapsed="false">
      <c r="A1142" s="61"/>
      <c r="B1142" s="62"/>
      <c r="C1142" s="63"/>
      <c r="D1142" s="63"/>
      <c r="E1142" s="62"/>
      <c r="F1142" s="62"/>
      <c r="G1142" s="62"/>
      <c r="I1142" s="64" t="str">
        <f aca="false">IF($B1142="","",IF(ISNUMBER(MATCH($B1142,日別データ!$B$9:$B$28,0)),"✔ OK","⚠ 未登録"))</f>
        <v/>
      </c>
    </row>
    <row r="1143" customFormat="false" ht="15" hidden="false" customHeight="false" outlineLevel="0" collapsed="false">
      <c r="A1143" s="61"/>
      <c r="B1143" s="62"/>
      <c r="C1143" s="63"/>
      <c r="D1143" s="63"/>
      <c r="E1143" s="62"/>
      <c r="F1143" s="62"/>
      <c r="G1143" s="62"/>
      <c r="I1143" s="64" t="str">
        <f aca="false">IF($B1143="","",IF(ISNUMBER(MATCH($B1143,日別データ!$B$9:$B$28,0)),"✔ OK","⚠ 未登録"))</f>
        <v/>
      </c>
    </row>
    <row r="1144" customFormat="false" ht="15" hidden="false" customHeight="false" outlineLevel="0" collapsed="false">
      <c r="A1144" s="61"/>
      <c r="B1144" s="62"/>
      <c r="C1144" s="63"/>
      <c r="D1144" s="63"/>
      <c r="E1144" s="62"/>
      <c r="F1144" s="62"/>
      <c r="G1144" s="62"/>
      <c r="I1144" s="64" t="str">
        <f aca="false">IF($B1144="","",IF(ISNUMBER(MATCH($B1144,日別データ!$B$9:$B$28,0)),"✔ OK","⚠ 未登録"))</f>
        <v/>
      </c>
    </row>
    <row r="1145" customFormat="false" ht="15" hidden="false" customHeight="false" outlineLevel="0" collapsed="false">
      <c r="A1145" s="61"/>
      <c r="B1145" s="62"/>
      <c r="C1145" s="63"/>
      <c r="D1145" s="63"/>
      <c r="E1145" s="62"/>
      <c r="F1145" s="62"/>
      <c r="G1145" s="62"/>
      <c r="I1145" s="64" t="str">
        <f aca="false">IF($B1145="","",IF(ISNUMBER(MATCH($B1145,日別データ!$B$9:$B$28,0)),"✔ OK","⚠ 未登録"))</f>
        <v/>
      </c>
    </row>
    <row r="1146" customFormat="false" ht="15" hidden="false" customHeight="false" outlineLevel="0" collapsed="false">
      <c r="A1146" s="61"/>
      <c r="B1146" s="62"/>
      <c r="C1146" s="63"/>
      <c r="D1146" s="63"/>
      <c r="E1146" s="62"/>
      <c r="F1146" s="62"/>
      <c r="G1146" s="62"/>
      <c r="I1146" s="64" t="str">
        <f aca="false">IF($B1146="","",IF(ISNUMBER(MATCH($B1146,日別データ!$B$9:$B$28,0)),"✔ OK","⚠ 未登録"))</f>
        <v/>
      </c>
    </row>
    <row r="1147" customFormat="false" ht="15" hidden="false" customHeight="false" outlineLevel="0" collapsed="false">
      <c r="A1147" s="61"/>
      <c r="B1147" s="62"/>
      <c r="C1147" s="63"/>
      <c r="D1147" s="63"/>
      <c r="E1147" s="62"/>
      <c r="F1147" s="62"/>
      <c r="G1147" s="62"/>
      <c r="I1147" s="64" t="str">
        <f aca="false">IF($B1147="","",IF(ISNUMBER(MATCH($B1147,日別データ!$B$9:$B$28,0)),"✔ OK","⚠ 未登録"))</f>
        <v/>
      </c>
    </row>
    <row r="1148" customFormat="false" ht="15" hidden="false" customHeight="false" outlineLevel="0" collapsed="false">
      <c r="A1148" s="61"/>
      <c r="B1148" s="62"/>
      <c r="C1148" s="63"/>
      <c r="D1148" s="63"/>
      <c r="E1148" s="62"/>
      <c r="F1148" s="62"/>
      <c r="G1148" s="62"/>
      <c r="I1148" s="64" t="str">
        <f aca="false">IF($B1148="","",IF(ISNUMBER(MATCH($B1148,日別データ!$B$9:$B$28,0)),"✔ OK","⚠ 未登録"))</f>
        <v/>
      </c>
    </row>
    <row r="1149" customFormat="false" ht="15" hidden="false" customHeight="false" outlineLevel="0" collapsed="false">
      <c r="A1149" s="61"/>
      <c r="B1149" s="62"/>
      <c r="C1149" s="63"/>
      <c r="D1149" s="63"/>
      <c r="E1149" s="62"/>
      <c r="F1149" s="62"/>
      <c r="G1149" s="62"/>
      <c r="I1149" s="64" t="str">
        <f aca="false">IF($B1149="","",IF(ISNUMBER(MATCH($B1149,日別データ!$B$9:$B$28,0)),"✔ OK","⚠ 未登録"))</f>
        <v/>
      </c>
    </row>
    <row r="1150" customFormat="false" ht="15" hidden="false" customHeight="false" outlineLevel="0" collapsed="false">
      <c r="A1150" s="61"/>
      <c r="B1150" s="62"/>
      <c r="C1150" s="63"/>
      <c r="D1150" s="63"/>
      <c r="E1150" s="62"/>
      <c r="F1150" s="62"/>
      <c r="G1150" s="62"/>
      <c r="I1150" s="64" t="str">
        <f aca="false">IF($B1150="","",IF(ISNUMBER(MATCH($B1150,日別データ!$B$9:$B$28,0)),"✔ OK","⚠ 未登録"))</f>
        <v/>
      </c>
    </row>
    <row r="1151" customFormat="false" ht="15" hidden="false" customHeight="false" outlineLevel="0" collapsed="false">
      <c r="A1151" s="61"/>
      <c r="B1151" s="62"/>
      <c r="C1151" s="63"/>
      <c r="D1151" s="63"/>
      <c r="E1151" s="62"/>
      <c r="F1151" s="62"/>
      <c r="G1151" s="62"/>
      <c r="I1151" s="64" t="str">
        <f aca="false">IF($B1151="","",IF(ISNUMBER(MATCH($B1151,日別データ!$B$9:$B$28,0)),"✔ OK","⚠ 未登録"))</f>
        <v/>
      </c>
    </row>
    <row r="1152" customFormat="false" ht="15" hidden="false" customHeight="false" outlineLevel="0" collapsed="false">
      <c r="A1152" s="61"/>
      <c r="B1152" s="62"/>
      <c r="C1152" s="63"/>
      <c r="D1152" s="63"/>
      <c r="E1152" s="62"/>
      <c r="F1152" s="62"/>
      <c r="G1152" s="62"/>
      <c r="I1152" s="64" t="str">
        <f aca="false">IF($B1152="","",IF(ISNUMBER(MATCH($B1152,日別データ!$B$9:$B$28,0)),"✔ OK","⚠ 未登録"))</f>
        <v/>
      </c>
    </row>
    <row r="1153" customFormat="false" ht="15" hidden="false" customHeight="false" outlineLevel="0" collapsed="false">
      <c r="A1153" s="61"/>
      <c r="B1153" s="62"/>
      <c r="C1153" s="63"/>
      <c r="D1153" s="63"/>
      <c r="E1153" s="62"/>
      <c r="F1153" s="62"/>
      <c r="G1153" s="62"/>
      <c r="I1153" s="64" t="str">
        <f aca="false">IF($B1153="","",IF(ISNUMBER(MATCH($B1153,日別データ!$B$9:$B$28,0)),"✔ OK","⚠ 未登録"))</f>
        <v/>
      </c>
    </row>
    <row r="1154" customFormat="false" ht="15" hidden="false" customHeight="false" outlineLevel="0" collapsed="false">
      <c r="A1154" s="61"/>
      <c r="B1154" s="62"/>
      <c r="C1154" s="63"/>
      <c r="D1154" s="63"/>
      <c r="E1154" s="62"/>
      <c r="F1154" s="62"/>
      <c r="G1154" s="62"/>
      <c r="I1154" s="64" t="str">
        <f aca="false">IF($B1154="","",IF(ISNUMBER(MATCH($B1154,日別データ!$B$9:$B$28,0)),"✔ OK","⚠ 未登録"))</f>
        <v/>
      </c>
    </row>
    <row r="1155" customFormat="false" ht="15" hidden="false" customHeight="false" outlineLevel="0" collapsed="false">
      <c r="A1155" s="61"/>
      <c r="B1155" s="62"/>
      <c r="C1155" s="63"/>
      <c r="D1155" s="63"/>
      <c r="E1155" s="62"/>
      <c r="F1155" s="62"/>
      <c r="G1155" s="62"/>
      <c r="I1155" s="64" t="str">
        <f aca="false">IF($B1155="","",IF(ISNUMBER(MATCH($B1155,日別データ!$B$9:$B$28,0)),"✔ OK","⚠ 未登録"))</f>
        <v/>
      </c>
    </row>
    <row r="1156" customFormat="false" ht="15" hidden="false" customHeight="false" outlineLevel="0" collapsed="false">
      <c r="A1156" s="61"/>
      <c r="B1156" s="62"/>
      <c r="C1156" s="63"/>
      <c r="D1156" s="63"/>
      <c r="E1156" s="62"/>
      <c r="F1156" s="62"/>
      <c r="G1156" s="62"/>
      <c r="I1156" s="64" t="str">
        <f aca="false">IF($B1156="","",IF(ISNUMBER(MATCH($B1156,日別データ!$B$9:$B$28,0)),"✔ OK","⚠ 未登録"))</f>
        <v/>
      </c>
    </row>
    <row r="1157" customFormat="false" ht="15" hidden="false" customHeight="false" outlineLevel="0" collapsed="false">
      <c r="A1157" s="61"/>
      <c r="B1157" s="62"/>
      <c r="C1157" s="63"/>
      <c r="D1157" s="63"/>
      <c r="E1157" s="62"/>
      <c r="F1157" s="62"/>
      <c r="G1157" s="62"/>
      <c r="I1157" s="64" t="str">
        <f aca="false">IF($B1157="","",IF(ISNUMBER(MATCH($B1157,日別データ!$B$9:$B$28,0)),"✔ OK","⚠ 未登録"))</f>
        <v/>
      </c>
    </row>
    <row r="1158" customFormat="false" ht="15" hidden="false" customHeight="false" outlineLevel="0" collapsed="false">
      <c r="A1158" s="61"/>
      <c r="B1158" s="62"/>
      <c r="C1158" s="63"/>
      <c r="D1158" s="63"/>
      <c r="E1158" s="62"/>
      <c r="F1158" s="62"/>
      <c r="G1158" s="62"/>
      <c r="I1158" s="64" t="str">
        <f aca="false">IF($B1158="","",IF(ISNUMBER(MATCH($B1158,日別データ!$B$9:$B$28,0)),"✔ OK","⚠ 未登録"))</f>
        <v/>
      </c>
    </row>
    <row r="1159" customFormat="false" ht="15" hidden="false" customHeight="false" outlineLevel="0" collapsed="false">
      <c r="A1159" s="61"/>
      <c r="B1159" s="62"/>
      <c r="C1159" s="63"/>
      <c r="D1159" s="63"/>
      <c r="E1159" s="62"/>
      <c r="F1159" s="62"/>
      <c r="G1159" s="62"/>
      <c r="I1159" s="64" t="str">
        <f aca="false">IF($B1159="","",IF(ISNUMBER(MATCH($B1159,日別データ!$B$9:$B$28,0)),"✔ OK","⚠ 未登録"))</f>
        <v/>
      </c>
    </row>
    <row r="1160" customFormat="false" ht="15" hidden="false" customHeight="false" outlineLevel="0" collapsed="false">
      <c r="A1160" s="61"/>
      <c r="B1160" s="62"/>
      <c r="C1160" s="63"/>
      <c r="D1160" s="63"/>
      <c r="E1160" s="62"/>
      <c r="F1160" s="62"/>
      <c r="G1160" s="62"/>
      <c r="I1160" s="64" t="str">
        <f aca="false">IF($B1160="","",IF(ISNUMBER(MATCH($B1160,日別データ!$B$9:$B$28,0)),"✔ OK","⚠ 未登録"))</f>
        <v/>
      </c>
    </row>
    <row r="1161" customFormat="false" ht="15" hidden="false" customHeight="false" outlineLevel="0" collapsed="false">
      <c r="A1161" s="61"/>
      <c r="B1161" s="62"/>
      <c r="C1161" s="63"/>
      <c r="D1161" s="63"/>
      <c r="E1161" s="62"/>
      <c r="F1161" s="62"/>
      <c r="G1161" s="62"/>
      <c r="I1161" s="64" t="str">
        <f aca="false">IF($B1161="","",IF(ISNUMBER(MATCH($B1161,日別データ!$B$9:$B$28,0)),"✔ OK","⚠ 未登録"))</f>
        <v/>
      </c>
    </row>
    <row r="1162" customFormat="false" ht="15" hidden="false" customHeight="false" outlineLevel="0" collapsed="false">
      <c r="A1162" s="61"/>
      <c r="B1162" s="62"/>
      <c r="C1162" s="63"/>
      <c r="D1162" s="63"/>
      <c r="E1162" s="62"/>
      <c r="F1162" s="62"/>
      <c r="G1162" s="62"/>
      <c r="I1162" s="64" t="str">
        <f aca="false">IF($B1162="","",IF(ISNUMBER(MATCH($B1162,日別データ!$B$9:$B$28,0)),"✔ OK","⚠ 未登録"))</f>
        <v/>
      </c>
    </row>
    <row r="1163" customFormat="false" ht="15" hidden="false" customHeight="false" outlineLevel="0" collapsed="false">
      <c r="A1163" s="61"/>
      <c r="B1163" s="62"/>
      <c r="C1163" s="63"/>
      <c r="D1163" s="63"/>
      <c r="E1163" s="62"/>
      <c r="F1163" s="62"/>
      <c r="G1163" s="62"/>
      <c r="I1163" s="64" t="str">
        <f aca="false">IF($B1163="","",IF(ISNUMBER(MATCH($B1163,日別データ!$B$9:$B$28,0)),"✔ OK","⚠ 未登録"))</f>
        <v/>
      </c>
    </row>
    <row r="1164" customFormat="false" ht="15" hidden="false" customHeight="false" outlineLevel="0" collapsed="false">
      <c r="A1164" s="61"/>
      <c r="B1164" s="62"/>
      <c r="C1164" s="63"/>
      <c r="D1164" s="63"/>
      <c r="E1164" s="62"/>
      <c r="F1164" s="62"/>
      <c r="G1164" s="62"/>
      <c r="I1164" s="64" t="str">
        <f aca="false">IF($B1164="","",IF(ISNUMBER(MATCH($B1164,日別データ!$B$9:$B$28,0)),"✔ OK","⚠ 未登録"))</f>
        <v/>
      </c>
    </row>
    <row r="1165" customFormat="false" ht="15" hidden="false" customHeight="false" outlineLevel="0" collapsed="false">
      <c r="A1165" s="61"/>
      <c r="B1165" s="62"/>
      <c r="C1165" s="63"/>
      <c r="D1165" s="63"/>
      <c r="E1165" s="62"/>
      <c r="F1165" s="62"/>
      <c r="G1165" s="62"/>
      <c r="I1165" s="64" t="str">
        <f aca="false">IF($B1165="","",IF(ISNUMBER(MATCH($B1165,日別データ!$B$9:$B$28,0)),"✔ OK","⚠ 未登録"))</f>
        <v/>
      </c>
    </row>
    <row r="1166" customFormat="false" ht="15" hidden="false" customHeight="false" outlineLevel="0" collapsed="false">
      <c r="A1166" s="61"/>
      <c r="B1166" s="62"/>
      <c r="C1166" s="63"/>
      <c r="D1166" s="63"/>
      <c r="E1166" s="62"/>
      <c r="F1166" s="62"/>
      <c r="G1166" s="62"/>
      <c r="I1166" s="64" t="str">
        <f aca="false">IF($B1166="","",IF(ISNUMBER(MATCH($B1166,日別データ!$B$9:$B$28,0)),"✔ OK","⚠ 未登録"))</f>
        <v/>
      </c>
    </row>
    <row r="1167" customFormat="false" ht="15" hidden="false" customHeight="false" outlineLevel="0" collapsed="false">
      <c r="A1167" s="61"/>
      <c r="B1167" s="62"/>
      <c r="C1167" s="63"/>
      <c r="D1167" s="63"/>
      <c r="E1167" s="62"/>
      <c r="F1167" s="62"/>
      <c r="G1167" s="62"/>
      <c r="I1167" s="64" t="str">
        <f aca="false">IF($B1167="","",IF(ISNUMBER(MATCH($B1167,日別データ!$B$9:$B$28,0)),"✔ OK","⚠ 未登録"))</f>
        <v/>
      </c>
    </row>
    <row r="1168" customFormat="false" ht="15" hidden="false" customHeight="false" outlineLevel="0" collapsed="false">
      <c r="A1168" s="61"/>
      <c r="B1168" s="62"/>
      <c r="C1168" s="63"/>
      <c r="D1168" s="63"/>
      <c r="E1168" s="62"/>
      <c r="F1168" s="62"/>
      <c r="G1168" s="62"/>
      <c r="I1168" s="64" t="str">
        <f aca="false">IF($B1168="","",IF(ISNUMBER(MATCH($B1168,日別データ!$B$9:$B$28,0)),"✔ OK","⚠ 未登録"))</f>
        <v/>
      </c>
    </row>
    <row r="1169" customFormat="false" ht="15" hidden="false" customHeight="false" outlineLevel="0" collapsed="false">
      <c r="A1169" s="61"/>
      <c r="B1169" s="62"/>
      <c r="C1169" s="63"/>
      <c r="D1169" s="63"/>
      <c r="E1169" s="62"/>
      <c r="F1169" s="62"/>
      <c r="G1169" s="62"/>
      <c r="I1169" s="64" t="str">
        <f aca="false">IF($B1169="","",IF(ISNUMBER(MATCH($B1169,日別データ!$B$9:$B$28,0)),"✔ OK","⚠ 未登録"))</f>
        <v/>
      </c>
    </row>
    <row r="1170" customFormat="false" ht="15" hidden="false" customHeight="false" outlineLevel="0" collapsed="false">
      <c r="A1170" s="61"/>
      <c r="B1170" s="62"/>
      <c r="C1170" s="63"/>
      <c r="D1170" s="63"/>
      <c r="E1170" s="62"/>
      <c r="F1170" s="62"/>
      <c r="G1170" s="62"/>
      <c r="I1170" s="64" t="str">
        <f aca="false">IF($B1170="","",IF(ISNUMBER(MATCH($B1170,日別データ!$B$9:$B$28,0)),"✔ OK","⚠ 未登録"))</f>
        <v/>
      </c>
    </row>
    <row r="1171" customFormat="false" ht="15" hidden="false" customHeight="false" outlineLevel="0" collapsed="false">
      <c r="A1171" s="61"/>
      <c r="B1171" s="62"/>
      <c r="C1171" s="63"/>
      <c r="D1171" s="63"/>
      <c r="E1171" s="62"/>
      <c r="F1171" s="62"/>
      <c r="G1171" s="62"/>
      <c r="I1171" s="64" t="str">
        <f aca="false">IF($B1171="","",IF(ISNUMBER(MATCH($B1171,日別データ!$B$9:$B$28,0)),"✔ OK","⚠ 未登録"))</f>
        <v/>
      </c>
    </row>
    <row r="1172" customFormat="false" ht="15" hidden="false" customHeight="false" outlineLevel="0" collapsed="false">
      <c r="A1172" s="61"/>
      <c r="B1172" s="62"/>
      <c r="C1172" s="63"/>
      <c r="D1172" s="63"/>
      <c r="E1172" s="62"/>
      <c r="F1172" s="62"/>
      <c r="G1172" s="62"/>
      <c r="I1172" s="64" t="str">
        <f aca="false">IF($B1172="","",IF(ISNUMBER(MATCH($B1172,日別データ!$B$9:$B$28,0)),"✔ OK","⚠ 未登録"))</f>
        <v/>
      </c>
    </row>
    <row r="1173" customFormat="false" ht="15" hidden="false" customHeight="false" outlineLevel="0" collapsed="false">
      <c r="A1173" s="61"/>
      <c r="B1173" s="62"/>
      <c r="C1173" s="63"/>
      <c r="D1173" s="63"/>
      <c r="E1173" s="62"/>
      <c r="F1173" s="62"/>
      <c r="G1173" s="62"/>
      <c r="I1173" s="64" t="str">
        <f aca="false">IF($B1173="","",IF(ISNUMBER(MATCH($B1173,日別データ!$B$9:$B$28,0)),"✔ OK","⚠ 未登録"))</f>
        <v/>
      </c>
    </row>
    <row r="1174" customFormat="false" ht="15" hidden="false" customHeight="false" outlineLevel="0" collapsed="false">
      <c r="A1174" s="61"/>
      <c r="B1174" s="62"/>
      <c r="C1174" s="63"/>
      <c r="D1174" s="63"/>
      <c r="E1174" s="62"/>
      <c r="F1174" s="62"/>
      <c r="G1174" s="62"/>
      <c r="I1174" s="64" t="str">
        <f aca="false">IF($B1174="","",IF(ISNUMBER(MATCH($B1174,日別データ!$B$9:$B$28,0)),"✔ OK","⚠ 未登録"))</f>
        <v/>
      </c>
    </row>
    <row r="1175" customFormat="false" ht="15" hidden="false" customHeight="false" outlineLevel="0" collapsed="false">
      <c r="A1175" s="61"/>
      <c r="B1175" s="62"/>
      <c r="C1175" s="63"/>
      <c r="D1175" s="63"/>
      <c r="E1175" s="62"/>
      <c r="F1175" s="62"/>
      <c r="G1175" s="62"/>
      <c r="I1175" s="64" t="str">
        <f aca="false">IF($B1175="","",IF(ISNUMBER(MATCH($B1175,日別データ!$B$9:$B$28,0)),"✔ OK","⚠ 未登録"))</f>
        <v/>
      </c>
    </row>
    <row r="1176" customFormat="false" ht="15" hidden="false" customHeight="false" outlineLevel="0" collapsed="false">
      <c r="A1176" s="61"/>
      <c r="B1176" s="62"/>
      <c r="C1176" s="63"/>
      <c r="D1176" s="63"/>
      <c r="E1176" s="62"/>
      <c r="F1176" s="62"/>
      <c r="G1176" s="62"/>
      <c r="I1176" s="64" t="str">
        <f aca="false">IF($B1176="","",IF(ISNUMBER(MATCH($B1176,日別データ!$B$9:$B$28,0)),"✔ OK","⚠ 未登録"))</f>
        <v/>
      </c>
    </row>
    <row r="1177" customFormat="false" ht="15" hidden="false" customHeight="false" outlineLevel="0" collapsed="false">
      <c r="A1177" s="61"/>
      <c r="B1177" s="62"/>
      <c r="C1177" s="63"/>
      <c r="D1177" s="63"/>
      <c r="E1177" s="62"/>
      <c r="F1177" s="62"/>
      <c r="G1177" s="62"/>
      <c r="I1177" s="64" t="str">
        <f aca="false">IF($B1177="","",IF(ISNUMBER(MATCH($B1177,日別データ!$B$9:$B$28,0)),"✔ OK","⚠ 未登録"))</f>
        <v/>
      </c>
    </row>
    <row r="1178" customFormat="false" ht="15" hidden="false" customHeight="false" outlineLevel="0" collapsed="false">
      <c r="A1178" s="61"/>
      <c r="B1178" s="62"/>
      <c r="C1178" s="63"/>
      <c r="D1178" s="63"/>
      <c r="E1178" s="62"/>
      <c r="F1178" s="62"/>
      <c r="G1178" s="62"/>
      <c r="I1178" s="64" t="str">
        <f aca="false">IF($B1178="","",IF(ISNUMBER(MATCH($B1178,日別データ!$B$9:$B$28,0)),"✔ OK","⚠ 未登録"))</f>
        <v/>
      </c>
    </row>
    <row r="1179" customFormat="false" ht="15" hidden="false" customHeight="false" outlineLevel="0" collapsed="false">
      <c r="A1179" s="61"/>
      <c r="B1179" s="62"/>
      <c r="C1179" s="63"/>
      <c r="D1179" s="63"/>
      <c r="E1179" s="62"/>
      <c r="F1179" s="62"/>
      <c r="G1179" s="62"/>
      <c r="I1179" s="64" t="str">
        <f aca="false">IF($B1179="","",IF(ISNUMBER(MATCH($B1179,日別データ!$B$9:$B$28,0)),"✔ OK","⚠ 未登録"))</f>
        <v/>
      </c>
    </row>
    <row r="1180" customFormat="false" ht="15" hidden="false" customHeight="false" outlineLevel="0" collapsed="false">
      <c r="A1180" s="61"/>
      <c r="B1180" s="62"/>
      <c r="C1180" s="63"/>
      <c r="D1180" s="63"/>
      <c r="E1180" s="62"/>
      <c r="F1180" s="62"/>
      <c r="G1180" s="62"/>
      <c r="I1180" s="64" t="str">
        <f aca="false">IF($B1180="","",IF(ISNUMBER(MATCH($B1180,日別データ!$B$9:$B$28,0)),"✔ OK","⚠ 未登録"))</f>
        <v/>
      </c>
    </row>
    <row r="1181" customFormat="false" ht="15" hidden="false" customHeight="false" outlineLevel="0" collapsed="false">
      <c r="A1181" s="61"/>
      <c r="B1181" s="62"/>
      <c r="C1181" s="63"/>
      <c r="D1181" s="63"/>
      <c r="E1181" s="62"/>
      <c r="F1181" s="62"/>
      <c r="G1181" s="62"/>
      <c r="I1181" s="64" t="str">
        <f aca="false">IF($B1181="","",IF(ISNUMBER(MATCH($B1181,日別データ!$B$9:$B$28,0)),"✔ OK","⚠ 未登録"))</f>
        <v/>
      </c>
    </row>
    <row r="1182" customFormat="false" ht="15" hidden="false" customHeight="false" outlineLevel="0" collapsed="false">
      <c r="A1182" s="61"/>
      <c r="B1182" s="62"/>
      <c r="C1182" s="63"/>
      <c r="D1182" s="63"/>
      <c r="E1182" s="62"/>
      <c r="F1182" s="62"/>
      <c r="G1182" s="62"/>
      <c r="I1182" s="64" t="str">
        <f aca="false">IF($B1182="","",IF(ISNUMBER(MATCH($B1182,日別データ!$B$9:$B$28,0)),"✔ OK","⚠ 未登録"))</f>
        <v/>
      </c>
    </row>
    <row r="1183" customFormat="false" ht="15" hidden="false" customHeight="false" outlineLevel="0" collapsed="false">
      <c r="A1183" s="61"/>
      <c r="B1183" s="62"/>
      <c r="C1183" s="63"/>
      <c r="D1183" s="63"/>
      <c r="E1183" s="62"/>
      <c r="F1183" s="62"/>
      <c r="G1183" s="62"/>
      <c r="I1183" s="64" t="str">
        <f aca="false">IF($B1183="","",IF(ISNUMBER(MATCH($B1183,日別データ!$B$9:$B$28,0)),"✔ OK","⚠ 未登録"))</f>
        <v/>
      </c>
    </row>
    <row r="1184" customFormat="false" ht="15" hidden="false" customHeight="false" outlineLevel="0" collapsed="false">
      <c r="A1184" s="61"/>
      <c r="B1184" s="62"/>
      <c r="C1184" s="63"/>
      <c r="D1184" s="63"/>
      <c r="E1184" s="62"/>
      <c r="F1184" s="62"/>
      <c r="G1184" s="62"/>
      <c r="I1184" s="64" t="str">
        <f aca="false">IF($B1184="","",IF(ISNUMBER(MATCH($B1184,日別データ!$B$9:$B$28,0)),"✔ OK","⚠ 未登録"))</f>
        <v/>
      </c>
    </row>
    <row r="1185" customFormat="false" ht="15" hidden="false" customHeight="false" outlineLevel="0" collapsed="false">
      <c r="A1185" s="61"/>
      <c r="B1185" s="62"/>
      <c r="C1185" s="63"/>
      <c r="D1185" s="63"/>
      <c r="E1185" s="62"/>
      <c r="F1185" s="62"/>
      <c r="G1185" s="62"/>
      <c r="I1185" s="64" t="str">
        <f aca="false">IF($B1185="","",IF(ISNUMBER(MATCH($B1185,日別データ!$B$9:$B$28,0)),"✔ OK","⚠ 未登録"))</f>
        <v/>
      </c>
    </row>
    <row r="1186" customFormat="false" ht="15" hidden="false" customHeight="false" outlineLevel="0" collapsed="false">
      <c r="A1186" s="61"/>
      <c r="B1186" s="62"/>
      <c r="C1186" s="63"/>
      <c r="D1186" s="63"/>
      <c r="E1186" s="62"/>
      <c r="F1186" s="62"/>
      <c r="G1186" s="62"/>
      <c r="I1186" s="64" t="str">
        <f aca="false">IF($B1186="","",IF(ISNUMBER(MATCH($B1186,日別データ!$B$9:$B$28,0)),"✔ OK","⚠ 未登録"))</f>
        <v/>
      </c>
    </row>
    <row r="1187" customFormat="false" ht="15" hidden="false" customHeight="false" outlineLevel="0" collapsed="false">
      <c r="A1187" s="61"/>
      <c r="B1187" s="62"/>
      <c r="C1187" s="63"/>
      <c r="D1187" s="63"/>
      <c r="E1187" s="62"/>
      <c r="F1187" s="62"/>
      <c r="G1187" s="62"/>
      <c r="I1187" s="64" t="str">
        <f aca="false">IF($B1187="","",IF(ISNUMBER(MATCH($B1187,日別データ!$B$9:$B$28,0)),"✔ OK","⚠ 未登録"))</f>
        <v/>
      </c>
    </row>
    <row r="1188" customFormat="false" ht="15" hidden="false" customHeight="false" outlineLevel="0" collapsed="false">
      <c r="A1188" s="61"/>
      <c r="B1188" s="62"/>
      <c r="C1188" s="63"/>
      <c r="D1188" s="63"/>
      <c r="E1188" s="62"/>
      <c r="F1188" s="62"/>
      <c r="G1188" s="62"/>
      <c r="I1188" s="64" t="str">
        <f aca="false">IF($B1188="","",IF(ISNUMBER(MATCH($B1188,日別データ!$B$9:$B$28,0)),"✔ OK","⚠ 未登録"))</f>
        <v/>
      </c>
    </row>
    <row r="1189" customFormat="false" ht="15" hidden="false" customHeight="false" outlineLevel="0" collapsed="false">
      <c r="A1189" s="61"/>
      <c r="B1189" s="62"/>
      <c r="C1189" s="63"/>
      <c r="D1189" s="63"/>
      <c r="E1189" s="62"/>
      <c r="F1189" s="62"/>
      <c r="G1189" s="62"/>
      <c r="I1189" s="64" t="str">
        <f aca="false">IF($B1189="","",IF(ISNUMBER(MATCH($B1189,日別データ!$B$9:$B$28,0)),"✔ OK","⚠ 未登録"))</f>
        <v/>
      </c>
    </row>
    <row r="1190" customFormat="false" ht="15" hidden="false" customHeight="false" outlineLevel="0" collapsed="false">
      <c r="A1190" s="61"/>
      <c r="B1190" s="62"/>
      <c r="C1190" s="63"/>
      <c r="D1190" s="63"/>
      <c r="E1190" s="62"/>
      <c r="F1190" s="62"/>
      <c r="G1190" s="62"/>
      <c r="I1190" s="64" t="str">
        <f aca="false">IF($B1190="","",IF(ISNUMBER(MATCH($B1190,日別データ!$B$9:$B$28,0)),"✔ OK","⚠ 未登録"))</f>
        <v/>
      </c>
    </row>
    <row r="1191" customFormat="false" ht="15" hidden="false" customHeight="false" outlineLevel="0" collapsed="false">
      <c r="A1191" s="61"/>
      <c r="B1191" s="62"/>
      <c r="C1191" s="63"/>
      <c r="D1191" s="63"/>
      <c r="E1191" s="62"/>
      <c r="F1191" s="62"/>
      <c r="G1191" s="62"/>
      <c r="I1191" s="64" t="str">
        <f aca="false">IF($B1191="","",IF(ISNUMBER(MATCH($B1191,日別データ!$B$9:$B$28,0)),"✔ OK","⚠ 未登録"))</f>
        <v/>
      </c>
    </row>
    <row r="1192" customFormat="false" ht="15" hidden="false" customHeight="false" outlineLevel="0" collapsed="false">
      <c r="A1192" s="61"/>
      <c r="B1192" s="62"/>
      <c r="C1192" s="63"/>
      <c r="D1192" s="63"/>
      <c r="E1192" s="62"/>
      <c r="F1192" s="62"/>
      <c r="G1192" s="62"/>
      <c r="I1192" s="64" t="str">
        <f aca="false">IF($B1192="","",IF(ISNUMBER(MATCH($B1192,日別データ!$B$9:$B$28,0)),"✔ OK","⚠ 未登録"))</f>
        <v/>
      </c>
    </row>
    <row r="1193" customFormat="false" ht="15" hidden="false" customHeight="false" outlineLevel="0" collapsed="false">
      <c r="A1193" s="61"/>
      <c r="B1193" s="62"/>
      <c r="C1193" s="63"/>
      <c r="D1193" s="63"/>
      <c r="E1193" s="62"/>
      <c r="F1193" s="62"/>
      <c r="G1193" s="62"/>
      <c r="I1193" s="64" t="str">
        <f aca="false">IF($B1193="","",IF(ISNUMBER(MATCH($B1193,日別データ!$B$9:$B$28,0)),"✔ OK","⚠ 未登録"))</f>
        <v/>
      </c>
    </row>
    <row r="1194" customFormat="false" ht="15" hidden="false" customHeight="false" outlineLevel="0" collapsed="false">
      <c r="A1194" s="61"/>
      <c r="B1194" s="62"/>
      <c r="C1194" s="63"/>
      <c r="D1194" s="63"/>
      <c r="E1194" s="62"/>
      <c r="F1194" s="62"/>
      <c r="G1194" s="62"/>
      <c r="I1194" s="64" t="str">
        <f aca="false">IF($B1194="","",IF(ISNUMBER(MATCH($B1194,日別データ!$B$9:$B$28,0)),"✔ OK","⚠ 未登録"))</f>
        <v/>
      </c>
    </row>
    <row r="1195" customFormat="false" ht="15" hidden="false" customHeight="false" outlineLevel="0" collapsed="false">
      <c r="A1195" s="61"/>
      <c r="B1195" s="62"/>
      <c r="C1195" s="63"/>
      <c r="D1195" s="63"/>
      <c r="E1195" s="62"/>
      <c r="F1195" s="62"/>
      <c r="G1195" s="62"/>
      <c r="I1195" s="64" t="str">
        <f aca="false">IF($B1195="","",IF(ISNUMBER(MATCH($B1195,日別データ!$B$9:$B$28,0)),"✔ OK","⚠ 未登録"))</f>
        <v/>
      </c>
    </row>
    <row r="1196" customFormat="false" ht="15" hidden="false" customHeight="false" outlineLevel="0" collapsed="false">
      <c r="A1196" s="61"/>
      <c r="B1196" s="62"/>
      <c r="C1196" s="63"/>
      <c r="D1196" s="63"/>
      <c r="E1196" s="62"/>
      <c r="F1196" s="62"/>
      <c r="G1196" s="62"/>
      <c r="I1196" s="64" t="str">
        <f aca="false">IF($B1196="","",IF(ISNUMBER(MATCH($B1196,日別データ!$B$9:$B$28,0)),"✔ OK","⚠ 未登録"))</f>
        <v/>
      </c>
    </row>
    <row r="1197" customFormat="false" ht="15" hidden="false" customHeight="false" outlineLevel="0" collapsed="false">
      <c r="A1197" s="61"/>
      <c r="B1197" s="62"/>
      <c r="C1197" s="63"/>
      <c r="D1197" s="63"/>
      <c r="E1197" s="62"/>
      <c r="F1197" s="62"/>
      <c r="G1197" s="62"/>
      <c r="I1197" s="64" t="str">
        <f aca="false">IF($B1197="","",IF(ISNUMBER(MATCH($B1197,日別データ!$B$9:$B$28,0)),"✔ OK","⚠ 未登録"))</f>
        <v/>
      </c>
    </row>
    <row r="1198" customFormat="false" ht="15" hidden="false" customHeight="false" outlineLevel="0" collapsed="false">
      <c r="A1198" s="61"/>
      <c r="B1198" s="62"/>
      <c r="C1198" s="63"/>
      <c r="D1198" s="63"/>
      <c r="E1198" s="62"/>
      <c r="F1198" s="62"/>
      <c r="G1198" s="62"/>
      <c r="I1198" s="64" t="str">
        <f aca="false">IF($B1198="","",IF(ISNUMBER(MATCH($B1198,日別データ!$B$9:$B$28,0)),"✔ OK","⚠ 未登録"))</f>
        <v/>
      </c>
    </row>
    <row r="1199" customFormat="false" ht="15" hidden="false" customHeight="false" outlineLevel="0" collapsed="false">
      <c r="A1199" s="61"/>
      <c r="B1199" s="62"/>
      <c r="C1199" s="63"/>
      <c r="D1199" s="63"/>
      <c r="E1199" s="62"/>
      <c r="F1199" s="62"/>
      <c r="G1199" s="62"/>
      <c r="I1199" s="64" t="str">
        <f aca="false">IF($B1199="","",IF(ISNUMBER(MATCH($B1199,日別データ!$B$9:$B$28,0)),"✔ OK","⚠ 未登録"))</f>
        <v/>
      </c>
    </row>
    <row r="1200" customFormat="false" ht="15" hidden="false" customHeight="false" outlineLevel="0" collapsed="false">
      <c r="A1200" s="61"/>
      <c r="B1200" s="62"/>
      <c r="C1200" s="63"/>
      <c r="D1200" s="63"/>
      <c r="E1200" s="62"/>
      <c r="F1200" s="62"/>
      <c r="G1200" s="62"/>
      <c r="I1200" s="64" t="str">
        <f aca="false">IF($B1200="","",IF(ISNUMBER(MATCH($B1200,日別データ!$B$9:$B$28,0)),"✔ OK","⚠ 未登録"))</f>
        <v/>
      </c>
    </row>
    <row r="1201" customFormat="false" ht="15" hidden="false" customHeight="false" outlineLevel="0" collapsed="false">
      <c r="A1201" s="61"/>
      <c r="B1201" s="62"/>
      <c r="C1201" s="63"/>
      <c r="D1201" s="63"/>
      <c r="E1201" s="62"/>
      <c r="F1201" s="62"/>
      <c r="G1201" s="62"/>
      <c r="I1201" s="64" t="str">
        <f aca="false">IF($B1201="","",IF(ISNUMBER(MATCH($B1201,日別データ!$B$9:$B$28,0)),"✔ OK","⚠ 未登録"))</f>
        <v/>
      </c>
    </row>
    <row r="1202" customFormat="false" ht="15" hidden="false" customHeight="false" outlineLevel="0" collapsed="false">
      <c r="A1202" s="61"/>
      <c r="B1202" s="62"/>
      <c r="C1202" s="63"/>
      <c r="D1202" s="63"/>
      <c r="E1202" s="62"/>
      <c r="F1202" s="62"/>
      <c r="G1202" s="62"/>
      <c r="I1202" s="64" t="str">
        <f aca="false">IF($B1202="","",IF(ISNUMBER(MATCH($B1202,日別データ!$B$9:$B$28,0)),"✔ OK","⚠ 未登録"))</f>
        <v/>
      </c>
    </row>
    <row r="1203" customFormat="false" ht="15" hidden="false" customHeight="false" outlineLevel="0" collapsed="false">
      <c r="A1203" s="61"/>
      <c r="B1203" s="62"/>
      <c r="C1203" s="63"/>
      <c r="D1203" s="63"/>
      <c r="E1203" s="62"/>
      <c r="F1203" s="62"/>
      <c r="G1203" s="62"/>
      <c r="I1203" s="64" t="str">
        <f aca="false">IF($B1203="","",IF(ISNUMBER(MATCH($B1203,日別データ!$B$9:$B$28,0)),"✔ OK","⚠ 未登録"))</f>
        <v/>
      </c>
    </row>
    <row r="1204" customFormat="false" ht="15" hidden="false" customHeight="false" outlineLevel="0" collapsed="false">
      <c r="A1204" s="61"/>
      <c r="B1204" s="62"/>
      <c r="C1204" s="63"/>
      <c r="D1204" s="63"/>
      <c r="E1204" s="62"/>
      <c r="F1204" s="62"/>
      <c r="G1204" s="62"/>
      <c r="I1204" s="64" t="str">
        <f aca="false">IF($B1204="","",IF(ISNUMBER(MATCH($B1204,日別データ!$B$9:$B$28,0)),"✔ OK","⚠ 未登録"))</f>
        <v/>
      </c>
    </row>
    <row r="1205" customFormat="false" ht="15" hidden="false" customHeight="false" outlineLevel="0" collapsed="false">
      <c r="A1205" s="61"/>
      <c r="B1205" s="62"/>
      <c r="C1205" s="63"/>
      <c r="D1205" s="63"/>
      <c r="E1205" s="62"/>
      <c r="F1205" s="62"/>
      <c r="G1205" s="62"/>
      <c r="I1205" s="64" t="str">
        <f aca="false">IF($B1205="","",IF(ISNUMBER(MATCH($B1205,日別データ!$B$9:$B$28,0)),"✔ OK","⚠ 未登録"))</f>
        <v/>
      </c>
    </row>
    <row r="1206" customFormat="false" ht="15" hidden="false" customHeight="false" outlineLevel="0" collapsed="false">
      <c r="A1206" s="61"/>
      <c r="B1206" s="62"/>
      <c r="C1206" s="63"/>
      <c r="D1206" s="63"/>
      <c r="E1206" s="62"/>
      <c r="F1206" s="62"/>
      <c r="G1206" s="62"/>
      <c r="I1206" s="64" t="str">
        <f aca="false">IF($B1206="","",IF(ISNUMBER(MATCH($B1206,日別データ!$B$9:$B$28,0)),"✔ OK","⚠ 未登録"))</f>
        <v/>
      </c>
    </row>
    <row r="1207" customFormat="false" ht="15" hidden="false" customHeight="false" outlineLevel="0" collapsed="false">
      <c r="A1207" s="61"/>
      <c r="B1207" s="62"/>
      <c r="C1207" s="63"/>
      <c r="D1207" s="63"/>
      <c r="E1207" s="62"/>
      <c r="F1207" s="62"/>
      <c r="G1207" s="62"/>
      <c r="I1207" s="64" t="str">
        <f aca="false">IF($B1207="","",IF(ISNUMBER(MATCH($B1207,日別データ!$B$9:$B$28,0)),"✔ OK","⚠ 未登録"))</f>
        <v/>
      </c>
    </row>
    <row r="1208" customFormat="false" ht="15" hidden="false" customHeight="false" outlineLevel="0" collapsed="false">
      <c r="A1208" s="61"/>
      <c r="B1208" s="62"/>
      <c r="C1208" s="63"/>
      <c r="D1208" s="63"/>
      <c r="E1208" s="62"/>
      <c r="F1208" s="62"/>
      <c r="G1208" s="62"/>
      <c r="I1208" s="64" t="str">
        <f aca="false">IF($B1208="","",IF(ISNUMBER(MATCH($B1208,日別データ!$B$9:$B$28,0)),"✔ OK","⚠ 未登録"))</f>
        <v/>
      </c>
    </row>
    <row r="1209" customFormat="false" ht="15" hidden="false" customHeight="false" outlineLevel="0" collapsed="false">
      <c r="A1209" s="61"/>
      <c r="B1209" s="62"/>
      <c r="C1209" s="63"/>
      <c r="D1209" s="63"/>
      <c r="E1209" s="62"/>
      <c r="F1209" s="62"/>
      <c r="G1209" s="62"/>
      <c r="I1209" s="64" t="str">
        <f aca="false">IF($B1209="","",IF(ISNUMBER(MATCH($B1209,日別データ!$B$9:$B$28,0)),"✔ OK","⚠ 未登録"))</f>
        <v/>
      </c>
    </row>
    <row r="1210" customFormat="false" ht="15" hidden="false" customHeight="false" outlineLevel="0" collapsed="false">
      <c r="A1210" s="61"/>
      <c r="B1210" s="62"/>
      <c r="C1210" s="63"/>
      <c r="D1210" s="63"/>
      <c r="E1210" s="62"/>
      <c r="F1210" s="62"/>
      <c r="G1210" s="62"/>
      <c r="I1210" s="64" t="str">
        <f aca="false">IF($B1210="","",IF(ISNUMBER(MATCH($B1210,日別データ!$B$9:$B$28,0)),"✔ OK","⚠ 未登録"))</f>
        <v/>
      </c>
    </row>
    <row r="1211" customFormat="false" ht="15" hidden="false" customHeight="false" outlineLevel="0" collapsed="false">
      <c r="A1211" s="61"/>
      <c r="B1211" s="62"/>
      <c r="C1211" s="63"/>
      <c r="D1211" s="63"/>
      <c r="E1211" s="62"/>
      <c r="F1211" s="62"/>
      <c r="G1211" s="62"/>
      <c r="I1211" s="64" t="str">
        <f aca="false">IF($B1211="","",IF(ISNUMBER(MATCH($B1211,日別データ!$B$9:$B$28,0)),"✔ OK","⚠ 未登録"))</f>
        <v/>
      </c>
    </row>
    <row r="1212" customFormat="false" ht="15" hidden="false" customHeight="false" outlineLevel="0" collapsed="false">
      <c r="A1212" s="61"/>
      <c r="B1212" s="62"/>
      <c r="C1212" s="63"/>
      <c r="D1212" s="63"/>
      <c r="E1212" s="62"/>
      <c r="F1212" s="62"/>
      <c r="G1212" s="62"/>
      <c r="I1212" s="64" t="str">
        <f aca="false">IF($B1212="","",IF(ISNUMBER(MATCH($B1212,日別データ!$B$9:$B$28,0)),"✔ OK","⚠ 未登録"))</f>
        <v/>
      </c>
    </row>
    <row r="1213" customFormat="false" ht="15" hidden="false" customHeight="false" outlineLevel="0" collapsed="false">
      <c r="A1213" s="61"/>
      <c r="B1213" s="62"/>
      <c r="C1213" s="63"/>
      <c r="D1213" s="63"/>
      <c r="E1213" s="62"/>
      <c r="F1213" s="62"/>
      <c r="G1213" s="62"/>
      <c r="I1213" s="64" t="str">
        <f aca="false">IF($B1213="","",IF(ISNUMBER(MATCH($B1213,日別データ!$B$9:$B$28,0)),"✔ OK","⚠ 未登録"))</f>
        <v/>
      </c>
    </row>
    <row r="1214" customFormat="false" ht="15" hidden="false" customHeight="false" outlineLevel="0" collapsed="false">
      <c r="A1214" s="61"/>
      <c r="B1214" s="62"/>
      <c r="C1214" s="63"/>
      <c r="D1214" s="63"/>
      <c r="E1214" s="62"/>
      <c r="F1214" s="62"/>
      <c r="G1214" s="62"/>
      <c r="I1214" s="64" t="str">
        <f aca="false">IF($B1214="","",IF(ISNUMBER(MATCH($B1214,日別データ!$B$9:$B$28,0)),"✔ OK","⚠ 未登録"))</f>
        <v/>
      </c>
    </row>
    <row r="1215" customFormat="false" ht="15" hidden="false" customHeight="false" outlineLevel="0" collapsed="false">
      <c r="A1215" s="61"/>
      <c r="B1215" s="62"/>
      <c r="C1215" s="63"/>
      <c r="D1215" s="63"/>
      <c r="E1215" s="62"/>
      <c r="F1215" s="62"/>
      <c r="G1215" s="62"/>
      <c r="I1215" s="64" t="str">
        <f aca="false">IF($B1215="","",IF(ISNUMBER(MATCH($B1215,日別データ!$B$9:$B$28,0)),"✔ OK","⚠ 未登録"))</f>
        <v/>
      </c>
    </row>
    <row r="1216" customFormat="false" ht="15" hidden="false" customHeight="false" outlineLevel="0" collapsed="false">
      <c r="A1216" s="61"/>
      <c r="B1216" s="62"/>
      <c r="C1216" s="63"/>
      <c r="D1216" s="63"/>
      <c r="E1216" s="62"/>
      <c r="F1216" s="62"/>
      <c r="G1216" s="62"/>
      <c r="I1216" s="64" t="str">
        <f aca="false">IF($B1216="","",IF(ISNUMBER(MATCH($B1216,日別データ!$B$9:$B$28,0)),"✔ OK","⚠ 未登録"))</f>
        <v/>
      </c>
    </row>
    <row r="1217" customFormat="false" ht="15" hidden="false" customHeight="false" outlineLevel="0" collapsed="false">
      <c r="A1217" s="61"/>
      <c r="B1217" s="62"/>
      <c r="C1217" s="63"/>
      <c r="D1217" s="63"/>
      <c r="E1217" s="62"/>
      <c r="F1217" s="62"/>
      <c r="G1217" s="62"/>
      <c r="I1217" s="64" t="str">
        <f aca="false">IF($B1217="","",IF(ISNUMBER(MATCH($B1217,日別データ!$B$9:$B$28,0)),"✔ OK","⚠ 未登録"))</f>
        <v/>
      </c>
    </row>
    <row r="1218" customFormat="false" ht="15" hidden="false" customHeight="false" outlineLevel="0" collapsed="false">
      <c r="A1218" s="61"/>
      <c r="B1218" s="62"/>
      <c r="C1218" s="63"/>
      <c r="D1218" s="63"/>
      <c r="E1218" s="62"/>
      <c r="F1218" s="62"/>
      <c r="G1218" s="62"/>
      <c r="I1218" s="64" t="str">
        <f aca="false">IF($B1218="","",IF(ISNUMBER(MATCH($B1218,日別データ!$B$9:$B$28,0)),"✔ OK","⚠ 未登録"))</f>
        <v/>
      </c>
    </row>
    <row r="1219" customFormat="false" ht="15" hidden="false" customHeight="false" outlineLevel="0" collapsed="false">
      <c r="A1219" s="61"/>
      <c r="B1219" s="62"/>
      <c r="C1219" s="63"/>
      <c r="D1219" s="63"/>
      <c r="E1219" s="62"/>
      <c r="F1219" s="62"/>
      <c r="G1219" s="62"/>
      <c r="I1219" s="64" t="str">
        <f aca="false">IF($B1219="","",IF(ISNUMBER(MATCH($B1219,日別データ!$B$9:$B$28,0)),"✔ OK","⚠ 未登録"))</f>
        <v/>
      </c>
    </row>
    <row r="1220" customFormat="false" ht="15" hidden="false" customHeight="false" outlineLevel="0" collapsed="false">
      <c r="A1220" s="61"/>
      <c r="B1220" s="62"/>
      <c r="C1220" s="63"/>
      <c r="D1220" s="63"/>
      <c r="E1220" s="62"/>
      <c r="F1220" s="62"/>
      <c r="G1220" s="62"/>
      <c r="I1220" s="64" t="str">
        <f aca="false">IF($B1220="","",IF(ISNUMBER(MATCH($B1220,日別データ!$B$9:$B$28,0)),"✔ OK","⚠ 未登録"))</f>
        <v/>
      </c>
    </row>
    <row r="1221" customFormat="false" ht="15" hidden="false" customHeight="false" outlineLevel="0" collapsed="false">
      <c r="A1221" s="61"/>
      <c r="B1221" s="62"/>
      <c r="C1221" s="63"/>
      <c r="D1221" s="63"/>
      <c r="E1221" s="62"/>
      <c r="F1221" s="62"/>
      <c r="G1221" s="62"/>
      <c r="I1221" s="64" t="str">
        <f aca="false">IF($B1221="","",IF(ISNUMBER(MATCH($B1221,日別データ!$B$9:$B$28,0)),"✔ OK","⚠ 未登録"))</f>
        <v/>
      </c>
    </row>
    <row r="1222" customFormat="false" ht="15" hidden="false" customHeight="false" outlineLevel="0" collapsed="false">
      <c r="A1222" s="61"/>
      <c r="B1222" s="62"/>
      <c r="C1222" s="63"/>
      <c r="D1222" s="63"/>
      <c r="E1222" s="62"/>
      <c r="F1222" s="62"/>
      <c r="G1222" s="62"/>
      <c r="I1222" s="64" t="str">
        <f aca="false">IF($B1222="","",IF(ISNUMBER(MATCH($B1222,日別データ!$B$9:$B$28,0)),"✔ OK","⚠ 未登録"))</f>
        <v/>
      </c>
    </row>
    <row r="1223" customFormat="false" ht="15" hidden="false" customHeight="false" outlineLevel="0" collapsed="false">
      <c r="A1223" s="61"/>
      <c r="B1223" s="62"/>
      <c r="C1223" s="63"/>
      <c r="D1223" s="63"/>
      <c r="E1223" s="62"/>
      <c r="F1223" s="62"/>
      <c r="G1223" s="62"/>
      <c r="I1223" s="64" t="str">
        <f aca="false">IF($B1223="","",IF(ISNUMBER(MATCH($B1223,日別データ!$B$9:$B$28,0)),"✔ OK","⚠ 未登録"))</f>
        <v/>
      </c>
    </row>
    <row r="1224" customFormat="false" ht="15" hidden="false" customHeight="false" outlineLevel="0" collapsed="false">
      <c r="A1224" s="61"/>
      <c r="B1224" s="62"/>
      <c r="C1224" s="63"/>
      <c r="D1224" s="63"/>
      <c r="E1224" s="62"/>
      <c r="F1224" s="62"/>
      <c r="G1224" s="62"/>
      <c r="I1224" s="64" t="str">
        <f aca="false">IF($B1224="","",IF(ISNUMBER(MATCH($B1224,日別データ!$B$9:$B$28,0)),"✔ OK","⚠ 未登録"))</f>
        <v/>
      </c>
    </row>
    <row r="1225" customFormat="false" ht="15" hidden="false" customHeight="false" outlineLevel="0" collapsed="false">
      <c r="A1225" s="61"/>
      <c r="B1225" s="62"/>
      <c r="C1225" s="63"/>
      <c r="D1225" s="63"/>
      <c r="E1225" s="62"/>
      <c r="F1225" s="62"/>
      <c r="G1225" s="62"/>
      <c r="I1225" s="64" t="str">
        <f aca="false">IF($B1225="","",IF(ISNUMBER(MATCH($B1225,日別データ!$B$9:$B$28,0)),"✔ OK","⚠ 未登録"))</f>
        <v/>
      </c>
    </row>
    <row r="1226" customFormat="false" ht="15" hidden="false" customHeight="false" outlineLevel="0" collapsed="false">
      <c r="A1226" s="61"/>
      <c r="B1226" s="62"/>
      <c r="C1226" s="63"/>
      <c r="D1226" s="63"/>
      <c r="E1226" s="62"/>
      <c r="F1226" s="62"/>
      <c r="G1226" s="62"/>
      <c r="I1226" s="64" t="str">
        <f aca="false">IF($B1226="","",IF(ISNUMBER(MATCH($B1226,日別データ!$B$9:$B$28,0)),"✔ OK","⚠ 未登録"))</f>
        <v/>
      </c>
    </row>
    <row r="1227" customFormat="false" ht="15" hidden="false" customHeight="false" outlineLevel="0" collapsed="false">
      <c r="A1227" s="61"/>
      <c r="B1227" s="62"/>
      <c r="C1227" s="63"/>
      <c r="D1227" s="63"/>
      <c r="E1227" s="62"/>
      <c r="F1227" s="62"/>
      <c r="G1227" s="62"/>
      <c r="I1227" s="64" t="str">
        <f aca="false">IF($B1227="","",IF(ISNUMBER(MATCH($B1227,日別データ!$B$9:$B$28,0)),"✔ OK","⚠ 未登録"))</f>
        <v/>
      </c>
    </row>
    <row r="1228" customFormat="false" ht="15" hidden="false" customHeight="false" outlineLevel="0" collapsed="false">
      <c r="A1228" s="61"/>
      <c r="B1228" s="62"/>
      <c r="C1228" s="63"/>
      <c r="D1228" s="63"/>
      <c r="E1228" s="62"/>
      <c r="F1228" s="62"/>
      <c r="G1228" s="62"/>
      <c r="I1228" s="64" t="str">
        <f aca="false">IF($B1228="","",IF(ISNUMBER(MATCH($B1228,日別データ!$B$9:$B$28,0)),"✔ OK","⚠ 未登録"))</f>
        <v/>
      </c>
    </row>
    <row r="1229" customFormat="false" ht="15" hidden="false" customHeight="false" outlineLevel="0" collapsed="false">
      <c r="A1229" s="61"/>
      <c r="B1229" s="62"/>
      <c r="C1229" s="63"/>
      <c r="D1229" s="63"/>
      <c r="E1229" s="62"/>
      <c r="F1229" s="62"/>
      <c r="G1229" s="62"/>
      <c r="I1229" s="64" t="str">
        <f aca="false">IF($B1229="","",IF(ISNUMBER(MATCH($B1229,日別データ!$B$9:$B$28,0)),"✔ OK","⚠ 未登録"))</f>
        <v/>
      </c>
    </row>
    <row r="1230" customFormat="false" ht="15" hidden="false" customHeight="false" outlineLevel="0" collapsed="false">
      <c r="A1230" s="61"/>
      <c r="B1230" s="62"/>
      <c r="C1230" s="63"/>
      <c r="D1230" s="63"/>
      <c r="E1230" s="62"/>
      <c r="F1230" s="62"/>
      <c r="G1230" s="62"/>
      <c r="I1230" s="64" t="str">
        <f aca="false">IF($B1230="","",IF(ISNUMBER(MATCH($B1230,日別データ!$B$9:$B$28,0)),"✔ OK","⚠ 未登録"))</f>
        <v/>
      </c>
    </row>
    <row r="1231" customFormat="false" ht="15" hidden="false" customHeight="false" outlineLevel="0" collapsed="false">
      <c r="A1231" s="61"/>
      <c r="B1231" s="62"/>
      <c r="C1231" s="63"/>
      <c r="D1231" s="63"/>
      <c r="E1231" s="62"/>
      <c r="F1231" s="62"/>
      <c r="G1231" s="62"/>
      <c r="I1231" s="64" t="str">
        <f aca="false">IF($B1231="","",IF(ISNUMBER(MATCH($B1231,日別データ!$B$9:$B$28,0)),"✔ OK","⚠ 未登録"))</f>
        <v/>
      </c>
    </row>
    <row r="1232" customFormat="false" ht="15" hidden="false" customHeight="false" outlineLevel="0" collapsed="false">
      <c r="A1232" s="61"/>
      <c r="B1232" s="62"/>
      <c r="C1232" s="63"/>
      <c r="D1232" s="63"/>
      <c r="E1232" s="62"/>
      <c r="F1232" s="62"/>
      <c r="G1232" s="62"/>
      <c r="I1232" s="64" t="str">
        <f aca="false">IF($B1232="","",IF(ISNUMBER(MATCH($B1232,日別データ!$B$9:$B$28,0)),"✔ OK","⚠ 未登録"))</f>
        <v/>
      </c>
    </row>
    <row r="1233" customFormat="false" ht="15" hidden="false" customHeight="false" outlineLevel="0" collapsed="false">
      <c r="A1233" s="61"/>
      <c r="B1233" s="62"/>
      <c r="C1233" s="63"/>
      <c r="D1233" s="63"/>
      <c r="E1233" s="62"/>
      <c r="F1233" s="62"/>
      <c r="G1233" s="62"/>
      <c r="I1233" s="64" t="str">
        <f aca="false">IF($B1233="","",IF(ISNUMBER(MATCH($B1233,日別データ!$B$9:$B$28,0)),"✔ OK","⚠ 未登録"))</f>
        <v/>
      </c>
    </row>
    <row r="1234" customFormat="false" ht="15" hidden="false" customHeight="false" outlineLevel="0" collapsed="false">
      <c r="A1234" s="61"/>
      <c r="B1234" s="62"/>
      <c r="C1234" s="63"/>
      <c r="D1234" s="63"/>
      <c r="E1234" s="62"/>
      <c r="F1234" s="62"/>
      <c r="G1234" s="62"/>
      <c r="I1234" s="64" t="str">
        <f aca="false">IF($B1234="","",IF(ISNUMBER(MATCH($B1234,日別データ!$B$9:$B$28,0)),"✔ OK","⚠ 未登録"))</f>
        <v/>
      </c>
    </row>
    <row r="1235" customFormat="false" ht="15" hidden="false" customHeight="false" outlineLevel="0" collapsed="false">
      <c r="A1235" s="61"/>
      <c r="B1235" s="62"/>
      <c r="C1235" s="63"/>
      <c r="D1235" s="63"/>
      <c r="E1235" s="62"/>
      <c r="F1235" s="62"/>
      <c r="G1235" s="62"/>
      <c r="I1235" s="64" t="str">
        <f aca="false">IF($B1235="","",IF(ISNUMBER(MATCH($B1235,日別データ!$B$9:$B$28,0)),"✔ OK","⚠ 未登録"))</f>
        <v/>
      </c>
    </row>
    <row r="1236" customFormat="false" ht="15" hidden="false" customHeight="false" outlineLevel="0" collapsed="false">
      <c r="A1236" s="61"/>
      <c r="B1236" s="62"/>
      <c r="C1236" s="63"/>
      <c r="D1236" s="63"/>
      <c r="E1236" s="62"/>
      <c r="F1236" s="62"/>
      <c r="G1236" s="62"/>
      <c r="I1236" s="64" t="str">
        <f aca="false">IF($B1236="","",IF(ISNUMBER(MATCH($B1236,日別データ!$B$9:$B$28,0)),"✔ OK","⚠ 未登録"))</f>
        <v/>
      </c>
    </row>
    <row r="1237" customFormat="false" ht="15" hidden="false" customHeight="false" outlineLevel="0" collapsed="false">
      <c r="A1237" s="61"/>
      <c r="B1237" s="62"/>
      <c r="C1237" s="63"/>
      <c r="D1237" s="63"/>
      <c r="E1237" s="62"/>
      <c r="F1237" s="62"/>
      <c r="G1237" s="62"/>
      <c r="I1237" s="64" t="str">
        <f aca="false">IF($B1237="","",IF(ISNUMBER(MATCH($B1237,日別データ!$B$9:$B$28,0)),"✔ OK","⚠ 未登録"))</f>
        <v/>
      </c>
    </row>
    <row r="1238" customFormat="false" ht="15" hidden="false" customHeight="false" outlineLevel="0" collapsed="false">
      <c r="A1238" s="61"/>
      <c r="B1238" s="62"/>
      <c r="C1238" s="63"/>
      <c r="D1238" s="63"/>
      <c r="E1238" s="62"/>
      <c r="F1238" s="62"/>
      <c r="G1238" s="62"/>
      <c r="I1238" s="64" t="str">
        <f aca="false">IF($B1238="","",IF(ISNUMBER(MATCH($B1238,日別データ!$B$9:$B$28,0)),"✔ OK","⚠ 未登録"))</f>
        <v/>
      </c>
    </row>
    <row r="1239" customFormat="false" ht="15" hidden="false" customHeight="false" outlineLevel="0" collapsed="false">
      <c r="A1239" s="61"/>
      <c r="B1239" s="62"/>
      <c r="C1239" s="63"/>
      <c r="D1239" s="63"/>
      <c r="E1239" s="62"/>
      <c r="F1239" s="62"/>
      <c r="G1239" s="62"/>
      <c r="I1239" s="64" t="str">
        <f aca="false">IF($B1239="","",IF(ISNUMBER(MATCH($B1239,日別データ!$B$9:$B$28,0)),"✔ OK","⚠ 未登録"))</f>
        <v/>
      </c>
    </row>
    <row r="1240" customFormat="false" ht="15" hidden="false" customHeight="false" outlineLevel="0" collapsed="false">
      <c r="A1240" s="61"/>
      <c r="B1240" s="62"/>
      <c r="C1240" s="63"/>
      <c r="D1240" s="63"/>
      <c r="E1240" s="62"/>
      <c r="F1240" s="62"/>
      <c r="G1240" s="62"/>
      <c r="I1240" s="64" t="str">
        <f aca="false">IF($B1240="","",IF(ISNUMBER(MATCH($B1240,日別データ!$B$9:$B$28,0)),"✔ OK","⚠ 未登録"))</f>
        <v/>
      </c>
    </row>
    <row r="1241" customFormat="false" ht="15" hidden="false" customHeight="false" outlineLevel="0" collapsed="false">
      <c r="A1241" s="61"/>
      <c r="B1241" s="62"/>
      <c r="C1241" s="63"/>
      <c r="D1241" s="63"/>
      <c r="E1241" s="62"/>
      <c r="F1241" s="62"/>
      <c r="G1241" s="62"/>
      <c r="I1241" s="64" t="str">
        <f aca="false">IF($B1241="","",IF(ISNUMBER(MATCH($B1241,日別データ!$B$9:$B$28,0)),"✔ OK","⚠ 未登録"))</f>
        <v/>
      </c>
    </row>
    <row r="1242" customFormat="false" ht="15" hidden="false" customHeight="false" outlineLevel="0" collapsed="false">
      <c r="A1242" s="61"/>
      <c r="B1242" s="62"/>
      <c r="C1242" s="63"/>
      <c r="D1242" s="63"/>
      <c r="E1242" s="62"/>
      <c r="F1242" s="62"/>
      <c r="G1242" s="62"/>
      <c r="I1242" s="64" t="str">
        <f aca="false">IF($B1242="","",IF(ISNUMBER(MATCH($B1242,日別データ!$B$9:$B$28,0)),"✔ OK","⚠ 未登録"))</f>
        <v/>
      </c>
    </row>
    <row r="1243" customFormat="false" ht="15" hidden="false" customHeight="false" outlineLevel="0" collapsed="false">
      <c r="A1243" s="61"/>
      <c r="B1243" s="62"/>
      <c r="C1243" s="63"/>
      <c r="D1243" s="63"/>
      <c r="E1243" s="62"/>
      <c r="F1243" s="62"/>
      <c r="G1243" s="62"/>
      <c r="I1243" s="64" t="str">
        <f aca="false">IF($B1243="","",IF(ISNUMBER(MATCH($B1243,日別データ!$B$9:$B$28,0)),"✔ OK","⚠ 未登録"))</f>
        <v/>
      </c>
    </row>
    <row r="1244" customFormat="false" ht="15" hidden="false" customHeight="false" outlineLevel="0" collapsed="false">
      <c r="A1244" s="61"/>
      <c r="B1244" s="62"/>
      <c r="C1244" s="63"/>
      <c r="D1244" s="63"/>
      <c r="E1244" s="62"/>
      <c r="F1244" s="62"/>
      <c r="G1244" s="62"/>
      <c r="I1244" s="64" t="str">
        <f aca="false">IF($B1244="","",IF(ISNUMBER(MATCH($B1244,日別データ!$B$9:$B$28,0)),"✔ OK","⚠ 未登録"))</f>
        <v/>
      </c>
    </row>
    <row r="1245" customFormat="false" ht="15" hidden="false" customHeight="false" outlineLevel="0" collapsed="false">
      <c r="A1245" s="61"/>
      <c r="B1245" s="62"/>
      <c r="C1245" s="63"/>
      <c r="D1245" s="63"/>
      <c r="E1245" s="62"/>
      <c r="F1245" s="62"/>
      <c r="G1245" s="62"/>
      <c r="I1245" s="64" t="str">
        <f aca="false">IF($B1245="","",IF(ISNUMBER(MATCH($B1245,日別データ!$B$9:$B$28,0)),"✔ OK","⚠ 未登録"))</f>
        <v/>
      </c>
    </row>
    <row r="1246" customFormat="false" ht="15" hidden="false" customHeight="false" outlineLevel="0" collapsed="false">
      <c r="A1246" s="61"/>
      <c r="B1246" s="62"/>
      <c r="C1246" s="63"/>
      <c r="D1246" s="63"/>
      <c r="E1246" s="62"/>
      <c r="F1246" s="62"/>
      <c r="G1246" s="62"/>
      <c r="I1246" s="64" t="str">
        <f aca="false">IF($B1246="","",IF(ISNUMBER(MATCH($B1246,日別データ!$B$9:$B$28,0)),"✔ OK","⚠ 未登録"))</f>
        <v/>
      </c>
    </row>
    <row r="1247" customFormat="false" ht="15" hidden="false" customHeight="false" outlineLevel="0" collapsed="false">
      <c r="A1247" s="61"/>
      <c r="B1247" s="62"/>
      <c r="C1247" s="63"/>
      <c r="D1247" s="63"/>
      <c r="E1247" s="62"/>
      <c r="F1247" s="62"/>
      <c r="G1247" s="62"/>
      <c r="I1247" s="64" t="str">
        <f aca="false">IF($B1247="","",IF(ISNUMBER(MATCH($B1247,日別データ!$B$9:$B$28,0)),"✔ OK","⚠ 未登録"))</f>
        <v/>
      </c>
    </row>
    <row r="1248" customFormat="false" ht="15" hidden="false" customHeight="false" outlineLevel="0" collapsed="false">
      <c r="A1248" s="61"/>
      <c r="B1248" s="62"/>
      <c r="C1248" s="63"/>
      <c r="D1248" s="63"/>
      <c r="E1248" s="62"/>
      <c r="F1248" s="62"/>
      <c r="G1248" s="62"/>
      <c r="I1248" s="64" t="str">
        <f aca="false">IF($B1248="","",IF(ISNUMBER(MATCH($B1248,日別データ!$B$9:$B$28,0)),"✔ OK","⚠ 未登録"))</f>
        <v/>
      </c>
    </row>
    <row r="1249" customFormat="false" ht="15" hidden="false" customHeight="false" outlineLevel="0" collapsed="false">
      <c r="A1249" s="61"/>
      <c r="B1249" s="62"/>
      <c r="C1249" s="63"/>
      <c r="D1249" s="63"/>
      <c r="E1249" s="62"/>
      <c r="F1249" s="62"/>
      <c r="G1249" s="62"/>
      <c r="I1249" s="64" t="str">
        <f aca="false">IF($B1249="","",IF(ISNUMBER(MATCH($B1249,日別データ!$B$9:$B$28,0)),"✔ OK","⚠ 未登録"))</f>
        <v/>
      </c>
    </row>
    <row r="1250" customFormat="false" ht="15" hidden="false" customHeight="false" outlineLevel="0" collapsed="false">
      <c r="A1250" s="61"/>
      <c r="B1250" s="62"/>
      <c r="C1250" s="63"/>
      <c r="D1250" s="63"/>
      <c r="E1250" s="62"/>
      <c r="F1250" s="62"/>
      <c r="G1250" s="62"/>
      <c r="I1250" s="64" t="str">
        <f aca="false">IF($B1250="","",IF(ISNUMBER(MATCH($B1250,日別データ!$B$9:$B$28,0)),"✔ OK","⚠ 未登録"))</f>
        <v/>
      </c>
    </row>
    <row r="1251" customFormat="false" ht="15" hidden="false" customHeight="false" outlineLevel="0" collapsed="false">
      <c r="A1251" s="61"/>
      <c r="B1251" s="62"/>
      <c r="C1251" s="63"/>
      <c r="D1251" s="63"/>
      <c r="E1251" s="62"/>
      <c r="F1251" s="62"/>
      <c r="G1251" s="62"/>
      <c r="I1251" s="64" t="str">
        <f aca="false">IF($B1251="","",IF(ISNUMBER(MATCH($B1251,日別データ!$B$9:$B$28,0)),"✔ OK","⚠ 未登録"))</f>
        <v/>
      </c>
    </row>
    <row r="1252" customFormat="false" ht="15" hidden="false" customHeight="false" outlineLevel="0" collapsed="false">
      <c r="A1252" s="61"/>
      <c r="B1252" s="62"/>
      <c r="C1252" s="63"/>
      <c r="D1252" s="63"/>
      <c r="E1252" s="62"/>
      <c r="F1252" s="62"/>
      <c r="G1252" s="62"/>
      <c r="I1252" s="64" t="str">
        <f aca="false">IF($B1252="","",IF(ISNUMBER(MATCH($B1252,日別データ!$B$9:$B$28,0)),"✔ OK","⚠ 未登録"))</f>
        <v/>
      </c>
    </row>
    <row r="1253" customFormat="false" ht="15" hidden="false" customHeight="false" outlineLevel="0" collapsed="false">
      <c r="A1253" s="61"/>
      <c r="B1253" s="62"/>
      <c r="C1253" s="63"/>
      <c r="D1253" s="63"/>
      <c r="E1253" s="62"/>
      <c r="F1253" s="62"/>
      <c r="G1253" s="62"/>
      <c r="I1253" s="64" t="str">
        <f aca="false">IF($B1253="","",IF(ISNUMBER(MATCH($B1253,日別データ!$B$9:$B$28,0)),"✔ OK","⚠ 未登録"))</f>
        <v/>
      </c>
    </row>
    <row r="1254" customFormat="false" ht="15" hidden="false" customHeight="false" outlineLevel="0" collapsed="false">
      <c r="A1254" s="61"/>
      <c r="B1254" s="62"/>
      <c r="C1254" s="63"/>
      <c r="D1254" s="63"/>
      <c r="E1254" s="62"/>
      <c r="F1254" s="62"/>
      <c r="G1254" s="62"/>
      <c r="I1254" s="64" t="str">
        <f aca="false">IF($B1254="","",IF(ISNUMBER(MATCH($B1254,日別データ!$B$9:$B$28,0)),"✔ OK","⚠ 未登録"))</f>
        <v/>
      </c>
    </row>
    <row r="1255" customFormat="false" ht="15" hidden="false" customHeight="false" outlineLevel="0" collapsed="false">
      <c r="A1255" s="61"/>
      <c r="B1255" s="62"/>
      <c r="C1255" s="63"/>
      <c r="D1255" s="63"/>
      <c r="E1255" s="62"/>
      <c r="F1255" s="62"/>
      <c r="G1255" s="62"/>
      <c r="I1255" s="64" t="str">
        <f aca="false">IF($B1255="","",IF(ISNUMBER(MATCH($B1255,日別データ!$B$9:$B$28,0)),"✔ OK","⚠ 未登録"))</f>
        <v/>
      </c>
    </row>
    <row r="1256" customFormat="false" ht="15" hidden="false" customHeight="false" outlineLevel="0" collapsed="false">
      <c r="A1256" s="61"/>
      <c r="B1256" s="62"/>
      <c r="C1256" s="63"/>
      <c r="D1256" s="63"/>
      <c r="E1256" s="62"/>
      <c r="F1256" s="62"/>
      <c r="G1256" s="62"/>
      <c r="I1256" s="64" t="str">
        <f aca="false">IF($B1256="","",IF(ISNUMBER(MATCH($B1256,日別データ!$B$9:$B$28,0)),"✔ OK","⚠ 未登録"))</f>
        <v/>
      </c>
    </row>
    <row r="1257" customFormat="false" ht="15" hidden="false" customHeight="false" outlineLevel="0" collapsed="false">
      <c r="A1257" s="61"/>
      <c r="B1257" s="62"/>
      <c r="C1257" s="63"/>
      <c r="D1257" s="63"/>
      <c r="E1257" s="62"/>
      <c r="F1257" s="62"/>
      <c r="G1257" s="62"/>
      <c r="I1257" s="64" t="str">
        <f aca="false">IF($B1257="","",IF(ISNUMBER(MATCH($B1257,日別データ!$B$9:$B$28,0)),"✔ OK","⚠ 未登録"))</f>
        <v/>
      </c>
    </row>
    <row r="1258" customFormat="false" ht="15" hidden="false" customHeight="false" outlineLevel="0" collapsed="false">
      <c r="A1258" s="61"/>
      <c r="B1258" s="62"/>
      <c r="C1258" s="63"/>
      <c r="D1258" s="63"/>
      <c r="E1258" s="62"/>
      <c r="F1258" s="62"/>
      <c r="G1258" s="62"/>
      <c r="I1258" s="64" t="str">
        <f aca="false">IF($B1258="","",IF(ISNUMBER(MATCH($B1258,日別データ!$B$9:$B$28,0)),"✔ OK","⚠ 未登録"))</f>
        <v/>
      </c>
    </row>
    <row r="1259" customFormat="false" ht="15" hidden="false" customHeight="false" outlineLevel="0" collapsed="false">
      <c r="A1259" s="61"/>
      <c r="B1259" s="62"/>
      <c r="C1259" s="63"/>
      <c r="D1259" s="63"/>
      <c r="E1259" s="62"/>
      <c r="F1259" s="62"/>
      <c r="G1259" s="62"/>
      <c r="I1259" s="64" t="str">
        <f aca="false">IF($B1259="","",IF(ISNUMBER(MATCH($B1259,日別データ!$B$9:$B$28,0)),"✔ OK","⚠ 未登録"))</f>
        <v/>
      </c>
    </row>
    <row r="1260" customFormat="false" ht="15" hidden="false" customHeight="false" outlineLevel="0" collapsed="false">
      <c r="A1260" s="61"/>
      <c r="B1260" s="62"/>
      <c r="C1260" s="63"/>
      <c r="D1260" s="63"/>
      <c r="E1260" s="62"/>
      <c r="F1260" s="62"/>
      <c r="G1260" s="62"/>
      <c r="I1260" s="64" t="str">
        <f aca="false">IF($B1260="","",IF(ISNUMBER(MATCH($B1260,日別データ!$B$9:$B$28,0)),"✔ OK","⚠ 未登録"))</f>
        <v/>
      </c>
    </row>
    <row r="1261" customFormat="false" ht="15" hidden="false" customHeight="false" outlineLevel="0" collapsed="false">
      <c r="A1261" s="61"/>
      <c r="B1261" s="62"/>
      <c r="C1261" s="63"/>
      <c r="D1261" s="63"/>
      <c r="E1261" s="62"/>
      <c r="F1261" s="62"/>
      <c r="G1261" s="62"/>
      <c r="I1261" s="64" t="str">
        <f aca="false">IF($B1261="","",IF(ISNUMBER(MATCH($B1261,日別データ!$B$9:$B$28,0)),"✔ OK","⚠ 未登録"))</f>
        <v/>
      </c>
    </row>
    <row r="1262" customFormat="false" ht="15" hidden="false" customHeight="false" outlineLevel="0" collapsed="false">
      <c r="A1262" s="61"/>
      <c r="B1262" s="62"/>
      <c r="C1262" s="63"/>
      <c r="D1262" s="63"/>
      <c r="E1262" s="62"/>
      <c r="F1262" s="62"/>
      <c r="G1262" s="62"/>
      <c r="I1262" s="64" t="str">
        <f aca="false">IF($B1262="","",IF(ISNUMBER(MATCH($B1262,日別データ!$B$9:$B$28,0)),"✔ OK","⚠ 未登録"))</f>
        <v/>
      </c>
    </row>
    <row r="1263" customFormat="false" ht="15" hidden="false" customHeight="false" outlineLevel="0" collapsed="false">
      <c r="A1263" s="61"/>
      <c r="B1263" s="62"/>
      <c r="C1263" s="63"/>
      <c r="D1263" s="63"/>
      <c r="E1263" s="62"/>
      <c r="F1263" s="62"/>
      <c r="G1263" s="62"/>
      <c r="I1263" s="64" t="str">
        <f aca="false">IF($B1263="","",IF(ISNUMBER(MATCH($B1263,日別データ!$B$9:$B$28,0)),"✔ OK","⚠ 未登録"))</f>
        <v/>
      </c>
    </row>
    <row r="1264" customFormat="false" ht="15" hidden="false" customHeight="false" outlineLevel="0" collapsed="false">
      <c r="A1264" s="61"/>
      <c r="B1264" s="62"/>
      <c r="C1264" s="63"/>
      <c r="D1264" s="63"/>
      <c r="E1264" s="62"/>
      <c r="F1264" s="62"/>
      <c r="G1264" s="62"/>
      <c r="I1264" s="64" t="str">
        <f aca="false">IF($B1264="","",IF(ISNUMBER(MATCH($B1264,日別データ!$B$9:$B$28,0)),"✔ OK","⚠ 未登録"))</f>
        <v/>
      </c>
    </row>
    <row r="1265" customFormat="false" ht="15" hidden="false" customHeight="false" outlineLevel="0" collapsed="false">
      <c r="A1265" s="61"/>
      <c r="B1265" s="62"/>
      <c r="C1265" s="63"/>
      <c r="D1265" s="63"/>
      <c r="E1265" s="62"/>
      <c r="F1265" s="62"/>
      <c r="G1265" s="62"/>
      <c r="I1265" s="64" t="str">
        <f aca="false">IF($B1265="","",IF(ISNUMBER(MATCH($B1265,日別データ!$B$9:$B$28,0)),"✔ OK","⚠ 未登録"))</f>
        <v/>
      </c>
    </row>
    <row r="1266" customFormat="false" ht="15" hidden="false" customHeight="false" outlineLevel="0" collapsed="false">
      <c r="A1266" s="61"/>
      <c r="B1266" s="62"/>
      <c r="C1266" s="63"/>
      <c r="D1266" s="63"/>
      <c r="E1266" s="62"/>
      <c r="F1266" s="62"/>
      <c r="G1266" s="62"/>
      <c r="I1266" s="64" t="str">
        <f aca="false">IF($B1266="","",IF(ISNUMBER(MATCH($B1266,日別データ!$B$9:$B$28,0)),"✔ OK","⚠ 未登録"))</f>
        <v/>
      </c>
    </row>
    <row r="1267" customFormat="false" ht="15" hidden="false" customHeight="false" outlineLevel="0" collapsed="false">
      <c r="A1267" s="61"/>
      <c r="B1267" s="62"/>
      <c r="C1267" s="63"/>
      <c r="D1267" s="63"/>
      <c r="E1267" s="62"/>
      <c r="F1267" s="62"/>
      <c r="G1267" s="62"/>
      <c r="I1267" s="64" t="str">
        <f aca="false">IF($B1267="","",IF(ISNUMBER(MATCH($B1267,日別データ!$B$9:$B$28,0)),"✔ OK","⚠ 未登録"))</f>
        <v/>
      </c>
    </row>
    <row r="1268" customFormat="false" ht="15" hidden="false" customHeight="false" outlineLevel="0" collapsed="false">
      <c r="A1268" s="61"/>
      <c r="B1268" s="62"/>
      <c r="C1268" s="63"/>
      <c r="D1268" s="63"/>
      <c r="E1268" s="62"/>
      <c r="F1268" s="62"/>
      <c r="G1268" s="62"/>
      <c r="I1268" s="64" t="str">
        <f aca="false">IF($B1268="","",IF(ISNUMBER(MATCH($B1268,日別データ!$B$9:$B$28,0)),"✔ OK","⚠ 未登録"))</f>
        <v/>
      </c>
    </row>
    <row r="1269" customFormat="false" ht="15" hidden="false" customHeight="false" outlineLevel="0" collapsed="false">
      <c r="A1269" s="61"/>
      <c r="B1269" s="62"/>
      <c r="C1269" s="63"/>
      <c r="D1269" s="63"/>
      <c r="E1269" s="62"/>
      <c r="F1269" s="62"/>
      <c r="G1269" s="62"/>
      <c r="I1269" s="64" t="str">
        <f aca="false">IF($B1269="","",IF(ISNUMBER(MATCH($B1269,日別データ!$B$9:$B$28,0)),"✔ OK","⚠ 未登録"))</f>
        <v/>
      </c>
    </row>
    <row r="1270" customFormat="false" ht="15" hidden="false" customHeight="false" outlineLevel="0" collapsed="false">
      <c r="A1270" s="61"/>
      <c r="B1270" s="62"/>
      <c r="C1270" s="63"/>
      <c r="D1270" s="63"/>
      <c r="E1270" s="62"/>
      <c r="F1270" s="62"/>
      <c r="G1270" s="62"/>
      <c r="I1270" s="64" t="str">
        <f aca="false">IF($B1270="","",IF(ISNUMBER(MATCH($B1270,日別データ!$B$9:$B$28,0)),"✔ OK","⚠ 未登録"))</f>
        <v/>
      </c>
    </row>
    <row r="1271" customFormat="false" ht="15" hidden="false" customHeight="false" outlineLevel="0" collapsed="false">
      <c r="A1271" s="61"/>
      <c r="B1271" s="62"/>
      <c r="C1271" s="63"/>
      <c r="D1271" s="63"/>
      <c r="E1271" s="62"/>
      <c r="F1271" s="62"/>
      <c r="G1271" s="62"/>
      <c r="I1271" s="64" t="str">
        <f aca="false">IF($B1271="","",IF(ISNUMBER(MATCH($B1271,日別データ!$B$9:$B$28,0)),"✔ OK","⚠ 未登録"))</f>
        <v/>
      </c>
    </row>
    <row r="1272" customFormat="false" ht="15" hidden="false" customHeight="false" outlineLevel="0" collapsed="false">
      <c r="A1272" s="61"/>
      <c r="B1272" s="62"/>
      <c r="C1272" s="63"/>
      <c r="D1272" s="63"/>
      <c r="E1272" s="62"/>
      <c r="F1272" s="62"/>
      <c r="G1272" s="62"/>
      <c r="I1272" s="64" t="str">
        <f aca="false">IF($B1272="","",IF(ISNUMBER(MATCH($B1272,日別データ!$B$9:$B$28,0)),"✔ OK","⚠ 未登録"))</f>
        <v/>
      </c>
    </row>
    <row r="1273" customFormat="false" ht="15" hidden="false" customHeight="false" outlineLevel="0" collapsed="false">
      <c r="A1273" s="61"/>
      <c r="B1273" s="62"/>
      <c r="C1273" s="63"/>
      <c r="D1273" s="63"/>
      <c r="E1273" s="62"/>
      <c r="F1273" s="62"/>
      <c r="G1273" s="62"/>
      <c r="I1273" s="64" t="str">
        <f aca="false">IF($B1273="","",IF(ISNUMBER(MATCH($B1273,日別データ!$B$9:$B$28,0)),"✔ OK","⚠ 未登録"))</f>
        <v/>
      </c>
    </row>
    <row r="1274" customFormat="false" ht="15" hidden="false" customHeight="false" outlineLevel="0" collapsed="false">
      <c r="A1274" s="61"/>
      <c r="B1274" s="62"/>
      <c r="C1274" s="63"/>
      <c r="D1274" s="63"/>
      <c r="E1274" s="62"/>
      <c r="F1274" s="62"/>
      <c r="G1274" s="62"/>
      <c r="I1274" s="64" t="str">
        <f aca="false">IF($B1274="","",IF(ISNUMBER(MATCH($B1274,日別データ!$B$9:$B$28,0)),"✔ OK","⚠ 未登録"))</f>
        <v/>
      </c>
    </row>
    <row r="1275" customFormat="false" ht="15" hidden="false" customHeight="false" outlineLevel="0" collapsed="false">
      <c r="A1275" s="61"/>
      <c r="B1275" s="62"/>
      <c r="C1275" s="63"/>
      <c r="D1275" s="63"/>
      <c r="E1275" s="62"/>
      <c r="F1275" s="62"/>
      <c r="G1275" s="62"/>
      <c r="I1275" s="64" t="str">
        <f aca="false">IF($B1275="","",IF(ISNUMBER(MATCH($B1275,日別データ!$B$9:$B$28,0)),"✔ OK","⚠ 未登録"))</f>
        <v/>
      </c>
    </row>
    <row r="1276" customFormat="false" ht="15" hidden="false" customHeight="false" outlineLevel="0" collapsed="false">
      <c r="A1276" s="61"/>
      <c r="B1276" s="62"/>
      <c r="C1276" s="63"/>
      <c r="D1276" s="63"/>
      <c r="E1276" s="62"/>
      <c r="F1276" s="62"/>
      <c r="G1276" s="62"/>
      <c r="I1276" s="64" t="str">
        <f aca="false">IF($B1276="","",IF(ISNUMBER(MATCH($B1276,日別データ!$B$9:$B$28,0)),"✔ OK","⚠ 未登録"))</f>
        <v/>
      </c>
    </row>
    <row r="1277" customFormat="false" ht="15" hidden="false" customHeight="false" outlineLevel="0" collapsed="false">
      <c r="A1277" s="61"/>
      <c r="B1277" s="62"/>
      <c r="C1277" s="63"/>
      <c r="D1277" s="63"/>
      <c r="E1277" s="62"/>
      <c r="F1277" s="62"/>
      <c r="G1277" s="62"/>
      <c r="I1277" s="64" t="str">
        <f aca="false">IF($B1277="","",IF(ISNUMBER(MATCH($B1277,日別データ!$B$9:$B$28,0)),"✔ OK","⚠ 未登録"))</f>
        <v/>
      </c>
    </row>
    <row r="1278" customFormat="false" ht="15" hidden="false" customHeight="false" outlineLevel="0" collapsed="false">
      <c r="A1278" s="61"/>
      <c r="B1278" s="62"/>
      <c r="C1278" s="63"/>
      <c r="D1278" s="63"/>
      <c r="E1278" s="62"/>
      <c r="F1278" s="62"/>
      <c r="G1278" s="62"/>
      <c r="I1278" s="64" t="str">
        <f aca="false">IF($B1278="","",IF(ISNUMBER(MATCH($B1278,日別データ!$B$9:$B$28,0)),"✔ OK","⚠ 未登録"))</f>
        <v/>
      </c>
    </row>
    <row r="1279" customFormat="false" ht="15" hidden="false" customHeight="false" outlineLevel="0" collapsed="false">
      <c r="A1279" s="61"/>
      <c r="B1279" s="62"/>
      <c r="C1279" s="63"/>
      <c r="D1279" s="63"/>
      <c r="E1279" s="62"/>
      <c r="F1279" s="62"/>
      <c r="G1279" s="62"/>
      <c r="I1279" s="64" t="str">
        <f aca="false">IF($B1279="","",IF(ISNUMBER(MATCH($B1279,日別データ!$B$9:$B$28,0)),"✔ OK","⚠ 未登録"))</f>
        <v/>
      </c>
    </row>
    <row r="1280" customFormat="false" ht="15" hidden="false" customHeight="false" outlineLevel="0" collapsed="false">
      <c r="A1280" s="61"/>
      <c r="B1280" s="62"/>
      <c r="C1280" s="63"/>
      <c r="D1280" s="63"/>
      <c r="E1280" s="62"/>
      <c r="F1280" s="62"/>
      <c r="G1280" s="62"/>
      <c r="I1280" s="64" t="str">
        <f aca="false">IF($B1280="","",IF(ISNUMBER(MATCH($B1280,日別データ!$B$9:$B$28,0)),"✔ OK","⚠ 未登録"))</f>
        <v/>
      </c>
    </row>
    <row r="1281" customFormat="false" ht="15" hidden="false" customHeight="false" outlineLevel="0" collapsed="false">
      <c r="A1281" s="61"/>
      <c r="B1281" s="62"/>
      <c r="C1281" s="63"/>
      <c r="D1281" s="63"/>
      <c r="E1281" s="62"/>
      <c r="F1281" s="62"/>
      <c r="G1281" s="62"/>
      <c r="I1281" s="64" t="str">
        <f aca="false">IF($B1281="","",IF(ISNUMBER(MATCH($B1281,日別データ!$B$9:$B$28,0)),"✔ OK","⚠ 未登録"))</f>
        <v/>
      </c>
    </row>
    <row r="1282" customFormat="false" ht="15" hidden="false" customHeight="false" outlineLevel="0" collapsed="false">
      <c r="A1282" s="61"/>
      <c r="B1282" s="62"/>
      <c r="C1282" s="63"/>
      <c r="D1282" s="63"/>
      <c r="E1282" s="62"/>
      <c r="F1282" s="62"/>
      <c r="G1282" s="62"/>
      <c r="I1282" s="64" t="str">
        <f aca="false">IF($B1282="","",IF(ISNUMBER(MATCH($B1282,日別データ!$B$9:$B$28,0)),"✔ OK","⚠ 未登録"))</f>
        <v/>
      </c>
    </row>
    <row r="1283" customFormat="false" ht="15" hidden="false" customHeight="false" outlineLevel="0" collapsed="false">
      <c r="A1283" s="61"/>
      <c r="B1283" s="62"/>
      <c r="C1283" s="63"/>
      <c r="D1283" s="63"/>
      <c r="E1283" s="62"/>
      <c r="F1283" s="62"/>
      <c r="G1283" s="62"/>
      <c r="I1283" s="64" t="str">
        <f aca="false">IF($B1283="","",IF(ISNUMBER(MATCH($B1283,日別データ!$B$9:$B$28,0)),"✔ OK","⚠ 未登録"))</f>
        <v/>
      </c>
    </row>
    <row r="1284" customFormat="false" ht="15" hidden="false" customHeight="false" outlineLevel="0" collapsed="false">
      <c r="A1284" s="61"/>
      <c r="B1284" s="62"/>
      <c r="C1284" s="63"/>
      <c r="D1284" s="63"/>
      <c r="E1284" s="62"/>
      <c r="F1284" s="62"/>
      <c r="G1284" s="62"/>
      <c r="I1284" s="64" t="str">
        <f aca="false">IF($B1284="","",IF(ISNUMBER(MATCH($B1284,日別データ!$B$9:$B$28,0)),"✔ OK","⚠ 未登録"))</f>
        <v/>
      </c>
    </row>
    <row r="1285" customFormat="false" ht="15" hidden="false" customHeight="false" outlineLevel="0" collapsed="false">
      <c r="A1285" s="61"/>
      <c r="B1285" s="62"/>
      <c r="C1285" s="63"/>
      <c r="D1285" s="63"/>
      <c r="E1285" s="62"/>
      <c r="F1285" s="62"/>
      <c r="G1285" s="62"/>
      <c r="I1285" s="64" t="str">
        <f aca="false">IF($B1285="","",IF(ISNUMBER(MATCH($B1285,日別データ!$B$9:$B$28,0)),"✔ OK","⚠ 未登録"))</f>
        <v/>
      </c>
    </row>
    <row r="1286" customFormat="false" ht="15" hidden="false" customHeight="false" outlineLevel="0" collapsed="false">
      <c r="A1286" s="61"/>
      <c r="B1286" s="62"/>
      <c r="C1286" s="63"/>
      <c r="D1286" s="63"/>
      <c r="E1286" s="62"/>
      <c r="F1286" s="62"/>
      <c r="G1286" s="62"/>
      <c r="I1286" s="64" t="str">
        <f aca="false">IF($B1286="","",IF(ISNUMBER(MATCH($B1286,日別データ!$B$9:$B$28,0)),"✔ OK","⚠ 未登録"))</f>
        <v/>
      </c>
    </row>
    <row r="1287" customFormat="false" ht="15" hidden="false" customHeight="false" outlineLevel="0" collapsed="false">
      <c r="A1287" s="61"/>
      <c r="B1287" s="62"/>
      <c r="C1287" s="63"/>
      <c r="D1287" s="63"/>
      <c r="E1287" s="62"/>
      <c r="F1287" s="62"/>
      <c r="G1287" s="62"/>
      <c r="I1287" s="64" t="str">
        <f aca="false">IF($B1287="","",IF(ISNUMBER(MATCH($B1287,日別データ!$B$9:$B$28,0)),"✔ OK","⚠ 未登録"))</f>
        <v/>
      </c>
    </row>
    <row r="1288" customFormat="false" ht="15" hidden="false" customHeight="false" outlineLevel="0" collapsed="false">
      <c r="A1288" s="61"/>
      <c r="B1288" s="62"/>
      <c r="C1288" s="63"/>
      <c r="D1288" s="63"/>
      <c r="E1288" s="62"/>
      <c r="F1288" s="62"/>
      <c r="G1288" s="62"/>
      <c r="I1288" s="64" t="str">
        <f aca="false">IF($B1288="","",IF(ISNUMBER(MATCH($B1288,日別データ!$B$9:$B$28,0)),"✔ OK","⚠ 未登録"))</f>
        <v/>
      </c>
    </row>
    <row r="1289" customFormat="false" ht="15" hidden="false" customHeight="false" outlineLevel="0" collapsed="false">
      <c r="A1289" s="61"/>
      <c r="B1289" s="62"/>
      <c r="C1289" s="63"/>
      <c r="D1289" s="63"/>
      <c r="E1289" s="62"/>
      <c r="F1289" s="62"/>
      <c r="G1289" s="62"/>
      <c r="I1289" s="64" t="str">
        <f aca="false">IF($B1289="","",IF(ISNUMBER(MATCH($B1289,日別データ!$B$9:$B$28,0)),"✔ OK","⚠ 未登録"))</f>
        <v/>
      </c>
    </row>
    <row r="1290" customFormat="false" ht="15" hidden="false" customHeight="false" outlineLevel="0" collapsed="false">
      <c r="A1290" s="61"/>
      <c r="B1290" s="62"/>
      <c r="C1290" s="63"/>
      <c r="D1290" s="63"/>
      <c r="E1290" s="62"/>
      <c r="F1290" s="62"/>
      <c r="G1290" s="62"/>
      <c r="I1290" s="64" t="str">
        <f aca="false">IF($B1290="","",IF(ISNUMBER(MATCH($B1290,日別データ!$B$9:$B$28,0)),"✔ OK","⚠ 未登録"))</f>
        <v/>
      </c>
    </row>
    <row r="1291" customFormat="false" ht="15" hidden="false" customHeight="false" outlineLevel="0" collapsed="false">
      <c r="A1291" s="61"/>
      <c r="B1291" s="62"/>
      <c r="C1291" s="63"/>
      <c r="D1291" s="63"/>
      <c r="E1291" s="62"/>
      <c r="F1291" s="62"/>
      <c r="G1291" s="62"/>
      <c r="I1291" s="64" t="str">
        <f aca="false">IF($B1291="","",IF(ISNUMBER(MATCH($B1291,日別データ!$B$9:$B$28,0)),"✔ OK","⚠ 未登録"))</f>
        <v/>
      </c>
    </row>
    <row r="1292" customFormat="false" ht="15" hidden="false" customHeight="false" outlineLevel="0" collapsed="false">
      <c r="A1292" s="61"/>
      <c r="B1292" s="62"/>
      <c r="C1292" s="63"/>
      <c r="D1292" s="63"/>
      <c r="E1292" s="62"/>
      <c r="F1292" s="62"/>
      <c r="G1292" s="62"/>
      <c r="I1292" s="64" t="str">
        <f aca="false">IF($B1292="","",IF(ISNUMBER(MATCH($B1292,日別データ!$B$9:$B$28,0)),"✔ OK","⚠ 未登録"))</f>
        <v/>
      </c>
    </row>
    <row r="1293" customFormat="false" ht="15" hidden="false" customHeight="false" outlineLevel="0" collapsed="false">
      <c r="A1293" s="61"/>
      <c r="B1293" s="62"/>
      <c r="C1293" s="63"/>
      <c r="D1293" s="63"/>
      <c r="E1293" s="62"/>
      <c r="F1293" s="62"/>
      <c r="G1293" s="62"/>
      <c r="I1293" s="64" t="str">
        <f aca="false">IF($B1293="","",IF(ISNUMBER(MATCH($B1293,日別データ!$B$9:$B$28,0)),"✔ OK","⚠ 未登録"))</f>
        <v/>
      </c>
    </row>
    <row r="1294" customFormat="false" ht="15" hidden="false" customHeight="false" outlineLevel="0" collapsed="false">
      <c r="A1294" s="61"/>
      <c r="B1294" s="62"/>
      <c r="C1294" s="63"/>
      <c r="D1294" s="63"/>
      <c r="E1294" s="62"/>
      <c r="F1294" s="62"/>
      <c r="G1294" s="62"/>
      <c r="I1294" s="64" t="str">
        <f aca="false">IF($B1294="","",IF(ISNUMBER(MATCH($B1294,日別データ!$B$9:$B$28,0)),"✔ OK","⚠ 未登録"))</f>
        <v/>
      </c>
    </row>
    <row r="1295" customFormat="false" ht="15" hidden="false" customHeight="false" outlineLevel="0" collapsed="false">
      <c r="A1295" s="61"/>
      <c r="B1295" s="62"/>
      <c r="C1295" s="63"/>
      <c r="D1295" s="63"/>
      <c r="E1295" s="62"/>
      <c r="F1295" s="62"/>
      <c r="G1295" s="62"/>
      <c r="I1295" s="64" t="str">
        <f aca="false">IF($B1295="","",IF(ISNUMBER(MATCH($B1295,日別データ!$B$9:$B$28,0)),"✔ OK","⚠ 未登録"))</f>
        <v/>
      </c>
    </row>
    <row r="1296" customFormat="false" ht="15" hidden="false" customHeight="false" outlineLevel="0" collapsed="false">
      <c r="A1296" s="61"/>
      <c r="B1296" s="62"/>
      <c r="C1296" s="63"/>
      <c r="D1296" s="63"/>
      <c r="E1296" s="62"/>
      <c r="F1296" s="62"/>
      <c r="G1296" s="62"/>
      <c r="I1296" s="64" t="str">
        <f aca="false">IF($B1296="","",IF(ISNUMBER(MATCH($B1296,日別データ!$B$9:$B$28,0)),"✔ OK","⚠ 未登録"))</f>
        <v/>
      </c>
    </row>
    <row r="1297" customFormat="false" ht="15" hidden="false" customHeight="false" outlineLevel="0" collapsed="false">
      <c r="A1297" s="61"/>
      <c r="B1297" s="62"/>
      <c r="C1297" s="63"/>
      <c r="D1297" s="63"/>
      <c r="E1297" s="62"/>
      <c r="F1297" s="62"/>
      <c r="G1297" s="62"/>
      <c r="I1297" s="64" t="str">
        <f aca="false">IF($B1297="","",IF(ISNUMBER(MATCH($B1297,日別データ!$B$9:$B$28,0)),"✔ OK","⚠ 未登録"))</f>
        <v/>
      </c>
    </row>
    <row r="1298" customFormat="false" ht="15" hidden="false" customHeight="false" outlineLevel="0" collapsed="false">
      <c r="A1298" s="61"/>
      <c r="B1298" s="62"/>
      <c r="C1298" s="63"/>
      <c r="D1298" s="63"/>
      <c r="E1298" s="62"/>
      <c r="F1298" s="62"/>
      <c r="G1298" s="62"/>
      <c r="I1298" s="64" t="str">
        <f aca="false">IF($B1298="","",IF(ISNUMBER(MATCH($B1298,日別データ!$B$9:$B$28,0)),"✔ OK","⚠ 未登録"))</f>
        <v/>
      </c>
    </row>
    <row r="1299" customFormat="false" ht="15" hidden="false" customHeight="false" outlineLevel="0" collapsed="false">
      <c r="A1299" s="61"/>
      <c r="B1299" s="62"/>
      <c r="C1299" s="63"/>
      <c r="D1299" s="63"/>
      <c r="E1299" s="62"/>
      <c r="F1299" s="62"/>
      <c r="G1299" s="62"/>
      <c r="I1299" s="64" t="str">
        <f aca="false">IF($B1299="","",IF(ISNUMBER(MATCH($B1299,日別データ!$B$9:$B$28,0)),"✔ OK","⚠ 未登録"))</f>
        <v/>
      </c>
    </row>
    <row r="1300" customFormat="false" ht="15" hidden="false" customHeight="false" outlineLevel="0" collapsed="false">
      <c r="A1300" s="61"/>
      <c r="B1300" s="62"/>
      <c r="C1300" s="63"/>
      <c r="D1300" s="63"/>
      <c r="E1300" s="62"/>
      <c r="F1300" s="62"/>
      <c r="G1300" s="62"/>
      <c r="I1300" s="64" t="str">
        <f aca="false">IF($B1300="","",IF(ISNUMBER(MATCH($B1300,日別データ!$B$9:$B$28,0)),"✔ OK","⚠ 未登録"))</f>
        <v/>
      </c>
    </row>
    <row r="1301" customFormat="false" ht="15" hidden="false" customHeight="false" outlineLevel="0" collapsed="false">
      <c r="A1301" s="61"/>
      <c r="B1301" s="62"/>
      <c r="C1301" s="63"/>
      <c r="D1301" s="63"/>
      <c r="E1301" s="62"/>
      <c r="F1301" s="62"/>
      <c r="G1301" s="62"/>
      <c r="I1301" s="64" t="str">
        <f aca="false">IF($B1301="","",IF(ISNUMBER(MATCH($B1301,日別データ!$B$9:$B$28,0)),"✔ OK","⚠ 未登録"))</f>
        <v/>
      </c>
    </row>
    <row r="1302" customFormat="false" ht="15" hidden="false" customHeight="false" outlineLevel="0" collapsed="false">
      <c r="A1302" s="61"/>
      <c r="B1302" s="62"/>
      <c r="C1302" s="63"/>
      <c r="D1302" s="63"/>
      <c r="E1302" s="62"/>
      <c r="F1302" s="62"/>
      <c r="G1302" s="62"/>
      <c r="I1302" s="64" t="str">
        <f aca="false">IF($B1302="","",IF(ISNUMBER(MATCH($B1302,日別データ!$B$9:$B$28,0)),"✔ OK","⚠ 未登録"))</f>
        <v/>
      </c>
    </row>
    <row r="1303" customFormat="false" ht="15" hidden="false" customHeight="false" outlineLevel="0" collapsed="false">
      <c r="A1303" s="61"/>
      <c r="B1303" s="62"/>
      <c r="C1303" s="63"/>
      <c r="D1303" s="63"/>
      <c r="E1303" s="62"/>
      <c r="F1303" s="62"/>
      <c r="G1303" s="62"/>
      <c r="I1303" s="64" t="str">
        <f aca="false">IF($B1303="","",IF(ISNUMBER(MATCH($B1303,日別データ!$B$9:$B$28,0)),"✔ OK","⚠ 未登録"))</f>
        <v/>
      </c>
    </row>
    <row r="1304" customFormat="false" ht="15" hidden="false" customHeight="false" outlineLevel="0" collapsed="false">
      <c r="A1304" s="61"/>
      <c r="B1304" s="62"/>
      <c r="C1304" s="63"/>
      <c r="D1304" s="63"/>
      <c r="E1304" s="62"/>
      <c r="F1304" s="62"/>
      <c r="G1304" s="62"/>
      <c r="I1304" s="64" t="str">
        <f aca="false">IF($B1304="","",IF(ISNUMBER(MATCH($B1304,日別データ!$B$9:$B$28,0)),"✔ OK","⚠ 未登録"))</f>
        <v/>
      </c>
    </row>
    <row r="1305" customFormat="false" ht="15" hidden="false" customHeight="false" outlineLevel="0" collapsed="false">
      <c r="A1305" s="61"/>
      <c r="B1305" s="62"/>
      <c r="C1305" s="63"/>
      <c r="D1305" s="63"/>
      <c r="E1305" s="62"/>
      <c r="F1305" s="62"/>
      <c r="G1305" s="62"/>
      <c r="I1305" s="64" t="str">
        <f aca="false">IF($B1305="","",IF(ISNUMBER(MATCH($B1305,日別データ!$B$9:$B$28,0)),"✔ OK","⚠ 未登録"))</f>
        <v/>
      </c>
    </row>
    <row r="1306" customFormat="false" ht="15" hidden="false" customHeight="false" outlineLevel="0" collapsed="false">
      <c r="A1306" s="61"/>
      <c r="B1306" s="62"/>
      <c r="C1306" s="63"/>
      <c r="D1306" s="63"/>
      <c r="E1306" s="62"/>
      <c r="F1306" s="62"/>
      <c r="G1306" s="62"/>
      <c r="I1306" s="64" t="str">
        <f aca="false">IF($B1306="","",IF(ISNUMBER(MATCH($B1306,日別データ!$B$9:$B$28,0)),"✔ OK","⚠ 未登録"))</f>
        <v/>
      </c>
    </row>
    <row r="1307" customFormat="false" ht="15" hidden="false" customHeight="false" outlineLevel="0" collapsed="false">
      <c r="A1307" s="61"/>
      <c r="B1307" s="62"/>
      <c r="C1307" s="63"/>
      <c r="D1307" s="63"/>
      <c r="E1307" s="62"/>
      <c r="F1307" s="62"/>
      <c r="G1307" s="62"/>
      <c r="I1307" s="64" t="str">
        <f aca="false">IF($B1307="","",IF(ISNUMBER(MATCH($B1307,日別データ!$B$9:$B$28,0)),"✔ OK","⚠ 未登録"))</f>
        <v/>
      </c>
    </row>
    <row r="1308" customFormat="false" ht="15" hidden="false" customHeight="false" outlineLevel="0" collapsed="false">
      <c r="A1308" s="61"/>
      <c r="B1308" s="62"/>
      <c r="C1308" s="63"/>
      <c r="D1308" s="63"/>
      <c r="E1308" s="62"/>
      <c r="F1308" s="62"/>
      <c r="G1308" s="62"/>
      <c r="I1308" s="64" t="str">
        <f aca="false">IF($B1308="","",IF(ISNUMBER(MATCH($B1308,日別データ!$B$9:$B$28,0)),"✔ OK","⚠ 未登録"))</f>
        <v/>
      </c>
    </row>
    <row r="1309" customFormat="false" ht="15" hidden="false" customHeight="false" outlineLevel="0" collapsed="false">
      <c r="A1309" s="61"/>
      <c r="B1309" s="62"/>
      <c r="C1309" s="63"/>
      <c r="D1309" s="63"/>
      <c r="E1309" s="62"/>
      <c r="F1309" s="62"/>
      <c r="G1309" s="62"/>
      <c r="I1309" s="64" t="str">
        <f aca="false">IF($B1309="","",IF(ISNUMBER(MATCH($B1309,日別データ!$B$9:$B$28,0)),"✔ OK","⚠ 未登録"))</f>
        <v/>
      </c>
    </row>
    <row r="1310" customFormat="false" ht="15" hidden="false" customHeight="false" outlineLevel="0" collapsed="false">
      <c r="A1310" s="61"/>
      <c r="B1310" s="62"/>
      <c r="C1310" s="63"/>
      <c r="D1310" s="63"/>
      <c r="E1310" s="62"/>
      <c r="F1310" s="62"/>
      <c r="G1310" s="62"/>
      <c r="I1310" s="64" t="str">
        <f aca="false">IF($B1310="","",IF(ISNUMBER(MATCH($B1310,日別データ!$B$9:$B$28,0)),"✔ OK","⚠ 未登録"))</f>
        <v/>
      </c>
    </row>
    <row r="1311" customFormat="false" ht="15" hidden="false" customHeight="false" outlineLevel="0" collapsed="false">
      <c r="A1311" s="61"/>
      <c r="B1311" s="62"/>
      <c r="C1311" s="63"/>
      <c r="D1311" s="63"/>
      <c r="E1311" s="62"/>
      <c r="F1311" s="62"/>
      <c r="G1311" s="62"/>
      <c r="I1311" s="64" t="str">
        <f aca="false">IF($B1311="","",IF(ISNUMBER(MATCH($B1311,日別データ!$B$9:$B$28,0)),"✔ OK","⚠ 未登録"))</f>
        <v/>
      </c>
    </row>
    <row r="1312" customFormat="false" ht="15" hidden="false" customHeight="false" outlineLevel="0" collapsed="false">
      <c r="A1312" s="61"/>
      <c r="B1312" s="62"/>
      <c r="C1312" s="63"/>
      <c r="D1312" s="63"/>
      <c r="E1312" s="62"/>
      <c r="F1312" s="62"/>
      <c r="G1312" s="62"/>
      <c r="I1312" s="64" t="str">
        <f aca="false">IF($B1312="","",IF(ISNUMBER(MATCH($B1312,日別データ!$B$9:$B$28,0)),"✔ OK","⚠ 未登録"))</f>
        <v/>
      </c>
    </row>
    <row r="1313" customFormat="false" ht="15" hidden="false" customHeight="false" outlineLevel="0" collapsed="false">
      <c r="A1313" s="61"/>
      <c r="B1313" s="62"/>
      <c r="C1313" s="63"/>
      <c r="D1313" s="63"/>
      <c r="E1313" s="62"/>
      <c r="F1313" s="62"/>
      <c r="G1313" s="62"/>
      <c r="I1313" s="64" t="str">
        <f aca="false">IF($B1313="","",IF(ISNUMBER(MATCH($B1313,日別データ!$B$9:$B$28,0)),"✔ OK","⚠ 未登録"))</f>
        <v/>
      </c>
    </row>
    <row r="1314" customFormat="false" ht="15" hidden="false" customHeight="false" outlineLevel="0" collapsed="false">
      <c r="A1314" s="61"/>
      <c r="B1314" s="62"/>
      <c r="C1314" s="63"/>
      <c r="D1314" s="63"/>
      <c r="E1314" s="62"/>
      <c r="F1314" s="62"/>
      <c r="G1314" s="62"/>
      <c r="I1314" s="64" t="str">
        <f aca="false">IF($B1314="","",IF(ISNUMBER(MATCH($B1314,日別データ!$B$9:$B$28,0)),"✔ OK","⚠ 未登録"))</f>
        <v/>
      </c>
    </row>
    <row r="1315" customFormat="false" ht="15" hidden="false" customHeight="false" outlineLevel="0" collapsed="false">
      <c r="A1315" s="61"/>
      <c r="B1315" s="62"/>
      <c r="C1315" s="63"/>
      <c r="D1315" s="63"/>
      <c r="E1315" s="62"/>
      <c r="F1315" s="62"/>
      <c r="G1315" s="62"/>
      <c r="I1315" s="64" t="str">
        <f aca="false">IF($B1315="","",IF(ISNUMBER(MATCH($B1315,日別データ!$B$9:$B$28,0)),"✔ OK","⚠ 未登録"))</f>
        <v/>
      </c>
    </row>
    <row r="1316" customFormat="false" ht="15" hidden="false" customHeight="false" outlineLevel="0" collapsed="false">
      <c r="A1316" s="61"/>
      <c r="B1316" s="62"/>
      <c r="C1316" s="63"/>
      <c r="D1316" s="63"/>
      <c r="E1316" s="62"/>
      <c r="F1316" s="62"/>
      <c r="G1316" s="62"/>
      <c r="I1316" s="64" t="str">
        <f aca="false">IF($B1316="","",IF(ISNUMBER(MATCH($B1316,日別データ!$B$9:$B$28,0)),"✔ OK","⚠ 未登録"))</f>
        <v/>
      </c>
    </row>
    <row r="1317" customFormat="false" ht="15" hidden="false" customHeight="false" outlineLevel="0" collapsed="false">
      <c r="A1317" s="61"/>
      <c r="B1317" s="62"/>
      <c r="C1317" s="63"/>
      <c r="D1317" s="63"/>
      <c r="E1317" s="62"/>
      <c r="F1317" s="62"/>
      <c r="G1317" s="62"/>
      <c r="I1317" s="64" t="str">
        <f aca="false">IF($B1317="","",IF(ISNUMBER(MATCH($B1317,日別データ!$B$9:$B$28,0)),"✔ OK","⚠ 未登録"))</f>
        <v/>
      </c>
    </row>
    <row r="1318" customFormat="false" ht="15" hidden="false" customHeight="false" outlineLevel="0" collapsed="false">
      <c r="A1318" s="61"/>
      <c r="B1318" s="62"/>
      <c r="C1318" s="63"/>
      <c r="D1318" s="63"/>
      <c r="E1318" s="62"/>
      <c r="F1318" s="62"/>
      <c r="G1318" s="62"/>
      <c r="I1318" s="64" t="str">
        <f aca="false">IF($B1318="","",IF(ISNUMBER(MATCH($B1318,日別データ!$B$9:$B$28,0)),"✔ OK","⚠ 未登録"))</f>
        <v/>
      </c>
    </row>
    <row r="1319" customFormat="false" ht="15" hidden="false" customHeight="false" outlineLevel="0" collapsed="false">
      <c r="A1319" s="61"/>
      <c r="B1319" s="62"/>
      <c r="C1319" s="63"/>
      <c r="D1319" s="63"/>
      <c r="E1319" s="62"/>
      <c r="F1319" s="62"/>
      <c r="G1319" s="62"/>
      <c r="I1319" s="64" t="str">
        <f aca="false">IF($B1319="","",IF(ISNUMBER(MATCH($B1319,日別データ!$B$9:$B$28,0)),"✔ OK","⚠ 未登録"))</f>
        <v/>
      </c>
    </row>
    <row r="1320" customFormat="false" ht="15" hidden="false" customHeight="false" outlineLevel="0" collapsed="false">
      <c r="A1320" s="61"/>
      <c r="B1320" s="62"/>
      <c r="C1320" s="63"/>
      <c r="D1320" s="63"/>
      <c r="E1320" s="62"/>
      <c r="F1320" s="62"/>
      <c r="G1320" s="62"/>
      <c r="I1320" s="64" t="str">
        <f aca="false">IF($B1320="","",IF(ISNUMBER(MATCH($B1320,日別データ!$B$9:$B$28,0)),"✔ OK","⚠ 未登録"))</f>
        <v/>
      </c>
    </row>
    <row r="1321" customFormat="false" ht="15" hidden="false" customHeight="false" outlineLevel="0" collapsed="false">
      <c r="A1321" s="61"/>
      <c r="B1321" s="62"/>
      <c r="C1321" s="63"/>
      <c r="D1321" s="63"/>
      <c r="E1321" s="62"/>
      <c r="F1321" s="62"/>
      <c r="G1321" s="62"/>
      <c r="I1321" s="64" t="str">
        <f aca="false">IF($B1321="","",IF(ISNUMBER(MATCH($B1321,日別データ!$B$9:$B$28,0)),"✔ OK","⚠ 未登録"))</f>
        <v/>
      </c>
    </row>
    <row r="1322" customFormat="false" ht="15" hidden="false" customHeight="false" outlineLevel="0" collapsed="false">
      <c r="A1322" s="61"/>
      <c r="B1322" s="62"/>
      <c r="C1322" s="63"/>
      <c r="D1322" s="63"/>
      <c r="E1322" s="62"/>
      <c r="F1322" s="62"/>
      <c r="G1322" s="62"/>
      <c r="I1322" s="64" t="str">
        <f aca="false">IF($B1322="","",IF(ISNUMBER(MATCH($B1322,日別データ!$B$9:$B$28,0)),"✔ OK","⚠ 未登録"))</f>
        <v/>
      </c>
    </row>
    <row r="1323" customFormat="false" ht="15" hidden="false" customHeight="false" outlineLevel="0" collapsed="false">
      <c r="A1323" s="61"/>
      <c r="B1323" s="62"/>
      <c r="C1323" s="63"/>
      <c r="D1323" s="63"/>
      <c r="E1323" s="62"/>
      <c r="F1323" s="62"/>
      <c r="G1323" s="62"/>
      <c r="I1323" s="64" t="str">
        <f aca="false">IF($B1323="","",IF(ISNUMBER(MATCH($B1323,日別データ!$B$9:$B$28,0)),"✔ OK","⚠ 未登録"))</f>
        <v/>
      </c>
    </row>
    <row r="1324" customFormat="false" ht="15" hidden="false" customHeight="false" outlineLevel="0" collapsed="false">
      <c r="A1324" s="61"/>
      <c r="B1324" s="62"/>
      <c r="C1324" s="63"/>
      <c r="D1324" s="63"/>
      <c r="E1324" s="62"/>
      <c r="F1324" s="62"/>
      <c r="G1324" s="62"/>
      <c r="I1324" s="64" t="str">
        <f aca="false">IF($B1324="","",IF(ISNUMBER(MATCH($B1324,日別データ!$B$9:$B$28,0)),"✔ OK","⚠ 未登録"))</f>
        <v/>
      </c>
    </row>
    <row r="1325" customFormat="false" ht="15" hidden="false" customHeight="false" outlineLevel="0" collapsed="false">
      <c r="A1325" s="61"/>
      <c r="B1325" s="62"/>
      <c r="C1325" s="63"/>
      <c r="D1325" s="63"/>
      <c r="E1325" s="62"/>
      <c r="F1325" s="62"/>
      <c r="G1325" s="62"/>
      <c r="I1325" s="64" t="str">
        <f aca="false">IF($B1325="","",IF(ISNUMBER(MATCH($B1325,日別データ!$B$9:$B$28,0)),"✔ OK","⚠ 未登録"))</f>
        <v/>
      </c>
    </row>
    <row r="1326" customFormat="false" ht="15" hidden="false" customHeight="false" outlineLevel="0" collapsed="false">
      <c r="A1326" s="61"/>
      <c r="B1326" s="62"/>
      <c r="C1326" s="63"/>
      <c r="D1326" s="63"/>
      <c r="E1326" s="62"/>
      <c r="F1326" s="62"/>
      <c r="G1326" s="62"/>
      <c r="I1326" s="64" t="str">
        <f aca="false">IF($B1326="","",IF(ISNUMBER(MATCH($B1326,日別データ!$B$9:$B$28,0)),"✔ OK","⚠ 未登録"))</f>
        <v/>
      </c>
    </row>
    <row r="1327" customFormat="false" ht="15" hidden="false" customHeight="false" outlineLevel="0" collapsed="false">
      <c r="A1327" s="61"/>
      <c r="B1327" s="62"/>
      <c r="C1327" s="63"/>
      <c r="D1327" s="63"/>
      <c r="E1327" s="62"/>
      <c r="F1327" s="62"/>
      <c r="G1327" s="62"/>
      <c r="I1327" s="64" t="str">
        <f aca="false">IF($B1327="","",IF(ISNUMBER(MATCH($B1327,日別データ!$B$9:$B$28,0)),"✔ OK","⚠ 未登録"))</f>
        <v/>
      </c>
    </row>
    <row r="1328" customFormat="false" ht="15" hidden="false" customHeight="false" outlineLevel="0" collapsed="false">
      <c r="A1328" s="61"/>
      <c r="B1328" s="62"/>
      <c r="C1328" s="63"/>
      <c r="D1328" s="63"/>
      <c r="E1328" s="62"/>
      <c r="F1328" s="62"/>
      <c r="G1328" s="62"/>
      <c r="I1328" s="64" t="str">
        <f aca="false">IF($B1328="","",IF(ISNUMBER(MATCH($B1328,日別データ!$B$9:$B$28,0)),"✔ OK","⚠ 未登録"))</f>
        <v/>
      </c>
    </row>
    <row r="1329" customFormat="false" ht="15" hidden="false" customHeight="false" outlineLevel="0" collapsed="false">
      <c r="A1329" s="61"/>
      <c r="B1329" s="62"/>
      <c r="C1329" s="63"/>
      <c r="D1329" s="63"/>
      <c r="E1329" s="62"/>
      <c r="F1329" s="62"/>
      <c r="G1329" s="62"/>
      <c r="I1329" s="64" t="str">
        <f aca="false">IF($B1329="","",IF(ISNUMBER(MATCH($B1329,日別データ!$B$9:$B$28,0)),"✔ OK","⚠ 未登録"))</f>
        <v/>
      </c>
    </row>
    <row r="1330" customFormat="false" ht="15" hidden="false" customHeight="false" outlineLevel="0" collapsed="false">
      <c r="A1330" s="61"/>
      <c r="B1330" s="62"/>
      <c r="C1330" s="63"/>
      <c r="D1330" s="63"/>
      <c r="E1330" s="62"/>
      <c r="F1330" s="62"/>
      <c r="G1330" s="62"/>
      <c r="I1330" s="64" t="str">
        <f aca="false">IF($B1330="","",IF(ISNUMBER(MATCH($B1330,日別データ!$B$9:$B$28,0)),"✔ OK","⚠ 未登録"))</f>
        <v/>
      </c>
    </row>
    <row r="1331" customFormat="false" ht="15" hidden="false" customHeight="false" outlineLevel="0" collapsed="false">
      <c r="A1331" s="61"/>
      <c r="B1331" s="62"/>
      <c r="C1331" s="63"/>
      <c r="D1331" s="63"/>
      <c r="E1331" s="62"/>
      <c r="F1331" s="62"/>
      <c r="G1331" s="62"/>
      <c r="I1331" s="64" t="str">
        <f aca="false">IF($B1331="","",IF(ISNUMBER(MATCH($B1331,日別データ!$B$9:$B$28,0)),"✔ OK","⚠ 未登録"))</f>
        <v/>
      </c>
    </row>
    <row r="1332" customFormat="false" ht="15" hidden="false" customHeight="false" outlineLevel="0" collapsed="false">
      <c r="A1332" s="61"/>
      <c r="B1332" s="62"/>
      <c r="C1332" s="63"/>
      <c r="D1332" s="63"/>
      <c r="E1332" s="62"/>
      <c r="F1332" s="62"/>
      <c r="G1332" s="62"/>
      <c r="I1332" s="64" t="str">
        <f aca="false">IF($B1332="","",IF(ISNUMBER(MATCH($B1332,日別データ!$B$9:$B$28,0)),"✔ OK","⚠ 未登録"))</f>
        <v/>
      </c>
    </row>
    <row r="1333" customFormat="false" ht="15" hidden="false" customHeight="false" outlineLevel="0" collapsed="false">
      <c r="A1333" s="61"/>
      <c r="B1333" s="62"/>
      <c r="C1333" s="63"/>
      <c r="D1333" s="63"/>
      <c r="E1333" s="62"/>
      <c r="F1333" s="62"/>
      <c r="G1333" s="62"/>
      <c r="I1333" s="64" t="str">
        <f aca="false">IF($B1333="","",IF(ISNUMBER(MATCH($B1333,日別データ!$B$9:$B$28,0)),"✔ OK","⚠ 未登録"))</f>
        <v/>
      </c>
    </row>
    <row r="1334" customFormat="false" ht="15" hidden="false" customHeight="false" outlineLevel="0" collapsed="false">
      <c r="A1334" s="61"/>
      <c r="B1334" s="62"/>
      <c r="C1334" s="63"/>
      <c r="D1334" s="63"/>
      <c r="E1334" s="62"/>
      <c r="F1334" s="62"/>
      <c r="G1334" s="62"/>
      <c r="I1334" s="64" t="str">
        <f aca="false">IF($B1334="","",IF(ISNUMBER(MATCH($B1334,日別データ!$B$9:$B$28,0)),"✔ OK","⚠ 未登録"))</f>
        <v/>
      </c>
    </row>
    <row r="1335" customFormat="false" ht="15" hidden="false" customHeight="false" outlineLevel="0" collapsed="false">
      <c r="A1335" s="61"/>
      <c r="B1335" s="62"/>
      <c r="C1335" s="63"/>
      <c r="D1335" s="63"/>
      <c r="E1335" s="62"/>
      <c r="F1335" s="62"/>
      <c r="G1335" s="62"/>
      <c r="I1335" s="64" t="str">
        <f aca="false">IF($B1335="","",IF(ISNUMBER(MATCH($B1335,日別データ!$B$9:$B$28,0)),"✔ OK","⚠ 未登録"))</f>
        <v/>
      </c>
    </row>
    <row r="1336" customFormat="false" ht="15" hidden="false" customHeight="false" outlineLevel="0" collapsed="false">
      <c r="A1336" s="61"/>
      <c r="B1336" s="62"/>
      <c r="C1336" s="63"/>
      <c r="D1336" s="63"/>
      <c r="E1336" s="62"/>
      <c r="F1336" s="62"/>
      <c r="G1336" s="62"/>
      <c r="I1336" s="64" t="str">
        <f aca="false">IF($B1336="","",IF(ISNUMBER(MATCH($B1336,日別データ!$B$9:$B$28,0)),"✔ OK","⚠ 未登録"))</f>
        <v/>
      </c>
    </row>
    <row r="1337" customFormat="false" ht="15" hidden="false" customHeight="false" outlineLevel="0" collapsed="false">
      <c r="A1337" s="61"/>
      <c r="B1337" s="62"/>
      <c r="C1337" s="63"/>
      <c r="D1337" s="63"/>
      <c r="E1337" s="62"/>
      <c r="F1337" s="62"/>
      <c r="G1337" s="62"/>
      <c r="I1337" s="64" t="str">
        <f aca="false">IF($B1337="","",IF(ISNUMBER(MATCH($B1337,日別データ!$B$9:$B$28,0)),"✔ OK","⚠ 未登録"))</f>
        <v/>
      </c>
    </row>
    <row r="1338" customFormat="false" ht="15" hidden="false" customHeight="false" outlineLevel="0" collapsed="false">
      <c r="A1338" s="61"/>
      <c r="B1338" s="62"/>
      <c r="C1338" s="63"/>
      <c r="D1338" s="63"/>
      <c r="E1338" s="62"/>
      <c r="F1338" s="62"/>
      <c r="G1338" s="62"/>
      <c r="I1338" s="64" t="str">
        <f aca="false">IF($B1338="","",IF(ISNUMBER(MATCH($B1338,日別データ!$B$9:$B$28,0)),"✔ OK","⚠ 未登録"))</f>
        <v/>
      </c>
    </row>
    <row r="1339" customFormat="false" ht="15" hidden="false" customHeight="false" outlineLevel="0" collapsed="false">
      <c r="A1339" s="61"/>
      <c r="B1339" s="62"/>
      <c r="C1339" s="63"/>
      <c r="D1339" s="63"/>
      <c r="E1339" s="62"/>
      <c r="F1339" s="62"/>
      <c r="G1339" s="62"/>
      <c r="I1339" s="64" t="str">
        <f aca="false">IF($B1339="","",IF(ISNUMBER(MATCH($B1339,日別データ!$B$9:$B$28,0)),"✔ OK","⚠ 未登録"))</f>
        <v/>
      </c>
    </row>
    <row r="1340" customFormat="false" ht="15" hidden="false" customHeight="false" outlineLevel="0" collapsed="false">
      <c r="A1340" s="61"/>
      <c r="B1340" s="62"/>
      <c r="C1340" s="63"/>
      <c r="D1340" s="63"/>
      <c r="E1340" s="62"/>
      <c r="F1340" s="62"/>
      <c r="G1340" s="62"/>
      <c r="I1340" s="64" t="str">
        <f aca="false">IF($B1340="","",IF(ISNUMBER(MATCH($B1340,日別データ!$B$9:$B$28,0)),"✔ OK","⚠ 未登録"))</f>
        <v/>
      </c>
    </row>
    <row r="1341" customFormat="false" ht="15" hidden="false" customHeight="false" outlineLevel="0" collapsed="false">
      <c r="A1341" s="61"/>
      <c r="B1341" s="62"/>
      <c r="C1341" s="63"/>
      <c r="D1341" s="63"/>
      <c r="E1341" s="62"/>
      <c r="F1341" s="62"/>
      <c r="G1341" s="62"/>
      <c r="I1341" s="64" t="str">
        <f aca="false">IF($B1341="","",IF(ISNUMBER(MATCH($B1341,日別データ!$B$9:$B$28,0)),"✔ OK","⚠ 未登録"))</f>
        <v/>
      </c>
    </row>
    <row r="1342" customFormat="false" ht="15" hidden="false" customHeight="false" outlineLevel="0" collapsed="false">
      <c r="A1342" s="61"/>
      <c r="B1342" s="62"/>
      <c r="C1342" s="63"/>
      <c r="D1342" s="63"/>
      <c r="E1342" s="62"/>
      <c r="F1342" s="62"/>
      <c r="G1342" s="62"/>
      <c r="I1342" s="64" t="str">
        <f aca="false">IF($B1342="","",IF(ISNUMBER(MATCH($B1342,日別データ!$B$9:$B$28,0)),"✔ OK","⚠ 未登録"))</f>
        <v/>
      </c>
    </row>
    <row r="1343" customFormat="false" ht="15" hidden="false" customHeight="false" outlineLevel="0" collapsed="false">
      <c r="A1343" s="61"/>
      <c r="B1343" s="62"/>
      <c r="C1343" s="63"/>
      <c r="D1343" s="63"/>
      <c r="E1343" s="62"/>
      <c r="F1343" s="62"/>
      <c r="G1343" s="62"/>
      <c r="I1343" s="64" t="str">
        <f aca="false">IF($B1343="","",IF(ISNUMBER(MATCH($B1343,日別データ!$B$9:$B$28,0)),"✔ OK","⚠ 未登録"))</f>
        <v/>
      </c>
    </row>
    <row r="1344" customFormat="false" ht="15" hidden="false" customHeight="false" outlineLevel="0" collapsed="false">
      <c r="A1344" s="61"/>
      <c r="B1344" s="62"/>
      <c r="C1344" s="63"/>
      <c r="D1344" s="63"/>
      <c r="E1344" s="62"/>
      <c r="F1344" s="62"/>
      <c r="G1344" s="62"/>
      <c r="I1344" s="64" t="str">
        <f aca="false">IF($B1344="","",IF(ISNUMBER(MATCH($B1344,日別データ!$B$9:$B$28,0)),"✔ OK","⚠ 未登録"))</f>
        <v/>
      </c>
    </row>
    <row r="1345" customFormat="false" ht="15" hidden="false" customHeight="false" outlineLevel="0" collapsed="false">
      <c r="A1345" s="61"/>
      <c r="B1345" s="62"/>
      <c r="C1345" s="63"/>
      <c r="D1345" s="63"/>
      <c r="E1345" s="62"/>
      <c r="F1345" s="62"/>
      <c r="G1345" s="62"/>
      <c r="I1345" s="64" t="str">
        <f aca="false">IF($B1345="","",IF(ISNUMBER(MATCH($B1345,日別データ!$B$9:$B$28,0)),"✔ OK","⚠ 未登録"))</f>
        <v/>
      </c>
    </row>
    <row r="1346" customFormat="false" ht="15" hidden="false" customHeight="false" outlineLevel="0" collapsed="false">
      <c r="A1346" s="61"/>
      <c r="B1346" s="62"/>
      <c r="C1346" s="63"/>
      <c r="D1346" s="63"/>
      <c r="E1346" s="62"/>
      <c r="F1346" s="62"/>
      <c r="G1346" s="62"/>
      <c r="I1346" s="64" t="str">
        <f aca="false">IF($B1346="","",IF(ISNUMBER(MATCH($B1346,日別データ!$B$9:$B$28,0)),"✔ OK","⚠ 未登録"))</f>
        <v/>
      </c>
    </row>
    <row r="1347" customFormat="false" ht="15" hidden="false" customHeight="false" outlineLevel="0" collapsed="false">
      <c r="A1347" s="61"/>
      <c r="B1347" s="62"/>
      <c r="C1347" s="63"/>
      <c r="D1347" s="63"/>
      <c r="E1347" s="62"/>
      <c r="F1347" s="62"/>
      <c r="G1347" s="62"/>
      <c r="I1347" s="64" t="str">
        <f aca="false">IF($B1347="","",IF(ISNUMBER(MATCH($B1347,日別データ!$B$9:$B$28,0)),"✔ OK","⚠ 未登録"))</f>
        <v/>
      </c>
    </row>
    <row r="1348" customFormat="false" ht="15" hidden="false" customHeight="false" outlineLevel="0" collapsed="false">
      <c r="A1348" s="61"/>
      <c r="B1348" s="62"/>
      <c r="C1348" s="63"/>
      <c r="D1348" s="63"/>
      <c r="E1348" s="62"/>
      <c r="F1348" s="62"/>
      <c r="G1348" s="62"/>
      <c r="I1348" s="64" t="str">
        <f aca="false">IF($B1348="","",IF(ISNUMBER(MATCH($B1348,日別データ!$B$9:$B$28,0)),"✔ OK","⚠ 未登録"))</f>
        <v/>
      </c>
    </row>
    <row r="1349" customFormat="false" ht="15" hidden="false" customHeight="false" outlineLevel="0" collapsed="false">
      <c r="A1349" s="61"/>
      <c r="B1349" s="62"/>
      <c r="C1349" s="63"/>
      <c r="D1349" s="63"/>
      <c r="E1349" s="62"/>
      <c r="F1349" s="62"/>
      <c r="G1349" s="62"/>
      <c r="I1349" s="64" t="str">
        <f aca="false">IF($B1349="","",IF(ISNUMBER(MATCH($B1349,日別データ!$B$9:$B$28,0)),"✔ OK","⚠ 未登録"))</f>
        <v/>
      </c>
    </row>
    <row r="1350" customFormat="false" ht="15" hidden="false" customHeight="false" outlineLevel="0" collapsed="false">
      <c r="A1350" s="61"/>
      <c r="B1350" s="62"/>
      <c r="C1350" s="63"/>
      <c r="D1350" s="63"/>
      <c r="E1350" s="62"/>
      <c r="F1350" s="62"/>
      <c r="G1350" s="62"/>
      <c r="I1350" s="64" t="str">
        <f aca="false">IF($B1350="","",IF(ISNUMBER(MATCH($B1350,日別データ!$B$9:$B$28,0)),"✔ OK","⚠ 未登録"))</f>
        <v/>
      </c>
    </row>
    <row r="1351" customFormat="false" ht="15" hidden="false" customHeight="false" outlineLevel="0" collapsed="false">
      <c r="A1351" s="61"/>
      <c r="B1351" s="62"/>
      <c r="C1351" s="63"/>
      <c r="D1351" s="63"/>
      <c r="E1351" s="62"/>
      <c r="F1351" s="62"/>
      <c r="G1351" s="62"/>
      <c r="I1351" s="64" t="str">
        <f aca="false">IF($B1351="","",IF(ISNUMBER(MATCH($B1351,日別データ!$B$9:$B$28,0)),"✔ OK","⚠ 未登録"))</f>
        <v/>
      </c>
    </row>
    <row r="1352" customFormat="false" ht="15" hidden="false" customHeight="false" outlineLevel="0" collapsed="false">
      <c r="A1352" s="61"/>
      <c r="B1352" s="62"/>
      <c r="C1352" s="63"/>
      <c r="D1352" s="63"/>
      <c r="E1352" s="62"/>
      <c r="F1352" s="62"/>
      <c r="G1352" s="62"/>
      <c r="I1352" s="64" t="str">
        <f aca="false">IF($B1352="","",IF(ISNUMBER(MATCH($B1352,日別データ!$B$9:$B$28,0)),"✔ OK","⚠ 未登録"))</f>
        <v/>
      </c>
    </row>
    <row r="1353" customFormat="false" ht="15" hidden="false" customHeight="false" outlineLevel="0" collapsed="false">
      <c r="A1353" s="61"/>
      <c r="B1353" s="62"/>
      <c r="C1353" s="63"/>
      <c r="D1353" s="63"/>
      <c r="E1353" s="62"/>
      <c r="F1353" s="62"/>
      <c r="G1353" s="62"/>
      <c r="I1353" s="64" t="str">
        <f aca="false">IF($B1353="","",IF(ISNUMBER(MATCH($B1353,日別データ!$B$9:$B$28,0)),"✔ OK","⚠ 未登録"))</f>
        <v/>
      </c>
    </row>
    <row r="1354" customFormat="false" ht="15" hidden="false" customHeight="false" outlineLevel="0" collapsed="false">
      <c r="A1354" s="61"/>
      <c r="B1354" s="62"/>
      <c r="C1354" s="63"/>
      <c r="D1354" s="63"/>
      <c r="E1354" s="62"/>
      <c r="F1354" s="62"/>
      <c r="G1354" s="62"/>
      <c r="I1354" s="64" t="str">
        <f aca="false">IF($B1354="","",IF(ISNUMBER(MATCH($B1354,日別データ!$B$9:$B$28,0)),"✔ OK","⚠ 未登録"))</f>
        <v/>
      </c>
    </row>
    <row r="1355" customFormat="false" ht="15" hidden="false" customHeight="false" outlineLevel="0" collapsed="false">
      <c r="A1355" s="61"/>
      <c r="B1355" s="62"/>
      <c r="C1355" s="63"/>
      <c r="D1355" s="63"/>
      <c r="E1355" s="62"/>
      <c r="F1355" s="62"/>
      <c r="G1355" s="62"/>
      <c r="I1355" s="64" t="str">
        <f aca="false">IF($B1355="","",IF(ISNUMBER(MATCH($B1355,日別データ!$B$9:$B$28,0)),"✔ OK","⚠ 未登録"))</f>
        <v/>
      </c>
    </row>
    <row r="1356" customFormat="false" ht="15" hidden="false" customHeight="false" outlineLevel="0" collapsed="false">
      <c r="A1356" s="61"/>
      <c r="B1356" s="62"/>
      <c r="C1356" s="63"/>
      <c r="D1356" s="63"/>
      <c r="E1356" s="62"/>
      <c r="F1356" s="62"/>
      <c r="G1356" s="62"/>
      <c r="I1356" s="64" t="str">
        <f aca="false">IF($B1356="","",IF(ISNUMBER(MATCH($B1356,日別データ!$B$9:$B$28,0)),"✔ OK","⚠ 未登録"))</f>
        <v/>
      </c>
    </row>
    <row r="1357" customFormat="false" ht="15" hidden="false" customHeight="false" outlineLevel="0" collapsed="false">
      <c r="A1357" s="61"/>
      <c r="B1357" s="62"/>
      <c r="C1357" s="63"/>
      <c r="D1357" s="63"/>
      <c r="E1357" s="62"/>
      <c r="F1357" s="62"/>
      <c r="G1357" s="62"/>
      <c r="I1357" s="64" t="str">
        <f aca="false">IF($B1357="","",IF(ISNUMBER(MATCH($B1357,日別データ!$B$9:$B$28,0)),"✔ OK","⚠ 未登録"))</f>
        <v/>
      </c>
    </row>
    <row r="1358" customFormat="false" ht="15" hidden="false" customHeight="false" outlineLevel="0" collapsed="false">
      <c r="A1358" s="61"/>
      <c r="B1358" s="62"/>
      <c r="C1358" s="63"/>
      <c r="D1358" s="63"/>
      <c r="E1358" s="62"/>
      <c r="F1358" s="62"/>
      <c r="G1358" s="62"/>
      <c r="I1358" s="64" t="str">
        <f aca="false">IF($B1358="","",IF(ISNUMBER(MATCH($B1358,日別データ!$B$9:$B$28,0)),"✔ OK","⚠ 未登録"))</f>
        <v/>
      </c>
    </row>
    <row r="1359" customFormat="false" ht="15" hidden="false" customHeight="false" outlineLevel="0" collapsed="false">
      <c r="A1359" s="61"/>
      <c r="B1359" s="62"/>
      <c r="C1359" s="63"/>
      <c r="D1359" s="63"/>
      <c r="E1359" s="62"/>
      <c r="F1359" s="62"/>
      <c r="G1359" s="62"/>
      <c r="I1359" s="64" t="str">
        <f aca="false">IF($B1359="","",IF(ISNUMBER(MATCH($B1359,日別データ!$B$9:$B$28,0)),"✔ OK","⚠ 未登録"))</f>
        <v/>
      </c>
    </row>
    <row r="1360" customFormat="false" ht="15" hidden="false" customHeight="false" outlineLevel="0" collapsed="false">
      <c r="A1360" s="61"/>
      <c r="B1360" s="62"/>
      <c r="C1360" s="63"/>
      <c r="D1360" s="63"/>
      <c r="E1360" s="62"/>
      <c r="F1360" s="62"/>
      <c r="G1360" s="62"/>
      <c r="I1360" s="64" t="str">
        <f aca="false">IF($B1360="","",IF(ISNUMBER(MATCH($B1360,日別データ!$B$9:$B$28,0)),"✔ OK","⚠ 未登録"))</f>
        <v/>
      </c>
    </row>
    <row r="1361" customFormat="false" ht="15" hidden="false" customHeight="false" outlineLevel="0" collapsed="false">
      <c r="A1361" s="61"/>
      <c r="B1361" s="62"/>
      <c r="C1361" s="63"/>
      <c r="D1361" s="63"/>
      <c r="E1361" s="62"/>
      <c r="F1361" s="62"/>
      <c r="G1361" s="62"/>
      <c r="I1361" s="64" t="str">
        <f aca="false">IF($B1361="","",IF(ISNUMBER(MATCH($B1361,日別データ!$B$9:$B$28,0)),"✔ OK","⚠ 未登録"))</f>
        <v/>
      </c>
    </row>
    <row r="1362" customFormat="false" ht="15" hidden="false" customHeight="false" outlineLevel="0" collapsed="false">
      <c r="A1362" s="61"/>
      <c r="B1362" s="62"/>
      <c r="C1362" s="63"/>
      <c r="D1362" s="63"/>
      <c r="E1362" s="62"/>
      <c r="F1362" s="62"/>
      <c r="G1362" s="62"/>
      <c r="I1362" s="64" t="str">
        <f aca="false">IF($B1362="","",IF(ISNUMBER(MATCH($B1362,日別データ!$B$9:$B$28,0)),"✔ OK","⚠ 未登録"))</f>
        <v/>
      </c>
    </row>
    <row r="1363" customFormat="false" ht="15" hidden="false" customHeight="false" outlineLevel="0" collapsed="false">
      <c r="A1363" s="61"/>
      <c r="B1363" s="62"/>
      <c r="C1363" s="63"/>
      <c r="D1363" s="63"/>
      <c r="E1363" s="62"/>
      <c r="F1363" s="62"/>
      <c r="G1363" s="62"/>
      <c r="I1363" s="64" t="str">
        <f aca="false">IF($B1363="","",IF(ISNUMBER(MATCH($B1363,日別データ!$B$9:$B$28,0)),"✔ OK","⚠ 未登録"))</f>
        <v/>
      </c>
    </row>
    <row r="1364" customFormat="false" ht="15" hidden="false" customHeight="false" outlineLevel="0" collapsed="false">
      <c r="A1364" s="61"/>
      <c r="B1364" s="62"/>
      <c r="C1364" s="63"/>
      <c r="D1364" s="63"/>
      <c r="E1364" s="62"/>
      <c r="F1364" s="62"/>
      <c r="G1364" s="62"/>
      <c r="I1364" s="64" t="str">
        <f aca="false">IF($B1364="","",IF(ISNUMBER(MATCH($B1364,日別データ!$B$9:$B$28,0)),"✔ OK","⚠ 未登録"))</f>
        <v/>
      </c>
    </row>
    <row r="1365" customFormat="false" ht="15" hidden="false" customHeight="false" outlineLevel="0" collapsed="false">
      <c r="A1365" s="61"/>
      <c r="B1365" s="62"/>
      <c r="C1365" s="63"/>
      <c r="D1365" s="63"/>
      <c r="E1365" s="62"/>
      <c r="F1365" s="62"/>
      <c r="G1365" s="62"/>
      <c r="I1365" s="64" t="str">
        <f aca="false">IF($B1365="","",IF(ISNUMBER(MATCH($B1365,日別データ!$B$9:$B$28,0)),"✔ OK","⚠ 未登録"))</f>
        <v/>
      </c>
    </row>
    <row r="1366" customFormat="false" ht="15" hidden="false" customHeight="false" outlineLevel="0" collapsed="false">
      <c r="A1366" s="61"/>
      <c r="B1366" s="62"/>
      <c r="C1366" s="63"/>
      <c r="D1366" s="63"/>
      <c r="E1366" s="62"/>
      <c r="F1366" s="62"/>
      <c r="G1366" s="62"/>
      <c r="I1366" s="64" t="str">
        <f aca="false">IF($B1366="","",IF(ISNUMBER(MATCH($B1366,日別データ!$B$9:$B$28,0)),"✔ OK","⚠ 未登録"))</f>
        <v/>
      </c>
    </row>
    <row r="1367" customFormat="false" ht="15" hidden="false" customHeight="false" outlineLevel="0" collapsed="false">
      <c r="A1367" s="61"/>
      <c r="B1367" s="62"/>
      <c r="C1367" s="63"/>
      <c r="D1367" s="63"/>
      <c r="E1367" s="62"/>
      <c r="F1367" s="62"/>
      <c r="G1367" s="62"/>
      <c r="I1367" s="64" t="str">
        <f aca="false">IF($B1367="","",IF(ISNUMBER(MATCH($B1367,日別データ!$B$9:$B$28,0)),"✔ OK","⚠ 未登録"))</f>
        <v/>
      </c>
    </row>
    <row r="1368" customFormat="false" ht="15" hidden="false" customHeight="false" outlineLevel="0" collapsed="false">
      <c r="A1368" s="61"/>
      <c r="B1368" s="62"/>
      <c r="C1368" s="63"/>
      <c r="D1368" s="63"/>
      <c r="E1368" s="62"/>
      <c r="F1368" s="62"/>
      <c r="G1368" s="62"/>
      <c r="I1368" s="64" t="str">
        <f aca="false">IF($B1368="","",IF(ISNUMBER(MATCH($B1368,日別データ!$B$9:$B$28,0)),"✔ OK","⚠ 未登録"))</f>
        <v/>
      </c>
    </row>
    <row r="1369" customFormat="false" ht="15" hidden="false" customHeight="false" outlineLevel="0" collapsed="false">
      <c r="A1369" s="61"/>
      <c r="B1369" s="62"/>
      <c r="C1369" s="63"/>
      <c r="D1369" s="63"/>
      <c r="E1369" s="62"/>
      <c r="F1369" s="62"/>
      <c r="G1369" s="62"/>
      <c r="I1369" s="64" t="str">
        <f aca="false">IF($B1369="","",IF(ISNUMBER(MATCH($B1369,日別データ!$B$9:$B$28,0)),"✔ OK","⚠ 未登録"))</f>
        <v/>
      </c>
    </row>
    <row r="1370" customFormat="false" ht="15" hidden="false" customHeight="false" outlineLevel="0" collapsed="false">
      <c r="A1370" s="61"/>
      <c r="B1370" s="62"/>
      <c r="C1370" s="63"/>
      <c r="D1370" s="63"/>
      <c r="E1370" s="62"/>
      <c r="F1370" s="62"/>
      <c r="G1370" s="62"/>
      <c r="I1370" s="64" t="str">
        <f aca="false">IF($B1370="","",IF(ISNUMBER(MATCH($B1370,日別データ!$B$9:$B$28,0)),"✔ OK","⚠ 未登録"))</f>
        <v/>
      </c>
    </row>
    <row r="1371" customFormat="false" ht="15" hidden="false" customHeight="false" outlineLevel="0" collapsed="false">
      <c r="A1371" s="61"/>
      <c r="B1371" s="62"/>
      <c r="C1371" s="63"/>
      <c r="D1371" s="63"/>
      <c r="E1371" s="62"/>
      <c r="F1371" s="62"/>
      <c r="G1371" s="62"/>
      <c r="I1371" s="64" t="str">
        <f aca="false">IF($B1371="","",IF(ISNUMBER(MATCH($B1371,日別データ!$B$9:$B$28,0)),"✔ OK","⚠ 未登録"))</f>
        <v/>
      </c>
    </row>
    <row r="1372" customFormat="false" ht="15" hidden="false" customHeight="false" outlineLevel="0" collapsed="false">
      <c r="A1372" s="61"/>
      <c r="B1372" s="62"/>
      <c r="C1372" s="63"/>
      <c r="D1372" s="63"/>
      <c r="E1372" s="62"/>
      <c r="F1372" s="62"/>
      <c r="G1372" s="62"/>
      <c r="I1372" s="64" t="str">
        <f aca="false">IF($B1372="","",IF(ISNUMBER(MATCH($B1372,日別データ!$B$9:$B$28,0)),"✔ OK","⚠ 未登録"))</f>
        <v/>
      </c>
    </row>
    <row r="1373" customFormat="false" ht="15" hidden="false" customHeight="false" outlineLevel="0" collapsed="false">
      <c r="A1373" s="61"/>
      <c r="B1373" s="62"/>
      <c r="C1373" s="63"/>
      <c r="D1373" s="63"/>
      <c r="E1373" s="62"/>
      <c r="F1373" s="62"/>
      <c r="G1373" s="62"/>
      <c r="I1373" s="64" t="str">
        <f aca="false">IF($B1373="","",IF(ISNUMBER(MATCH($B1373,日別データ!$B$9:$B$28,0)),"✔ OK","⚠ 未登録"))</f>
        <v/>
      </c>
    </row>
    <row r="1374" customFormat="false" ht="15" hidden="false" customHeight="false" outlineLevel="0" collapsed="false">
      <c r="A1374" s="61"/>
      <c r="B1374" s="62"/>
      <c r="C1374" s="63"/>
      <c r="D1374" s="63"/>
      <c r="E1374" s="62"/>
      <c r="F1374" s="62"/>
      <c r="G1374" s="62"/>
      <c r="I1374" s="64" t="str">
        <f aca="false">IF($B1374="","",IF(ISNUMBER(MATCH($B1374,日別データ!$B$9:$B$28,0)),"✔ OK","⚠ 未登録"))</f>
        <v/>
      </c>
    </row>
    <row r="1375" customFormat="false" ht="15" hidden="false" customHeight="false" outlineLevel="0" collapsed="false">
      <c r="A1375" s="61"/>
      <c r="B1375" s="62"/>
      <c r="C1375" s="63"/>
      <c r="D1375" s="63"/>
      <c r="E1375" s="62"/>
      <c r="F1375" s="62"/>
      <c r="G1375" s="62"/>
      <c r="I1375" s="64" t="str">
        <f aca="false">IF($B1375="","",IF(ISNUMBER(MATCH($B1375,日別データ!$B$9:$B$28,0)),"✔ OK","⚠ 未登録"))</f>
        <v/>
      </c>
    </row>
    <row r="1376" customFormat="false" ht="15" hidden="false" customHeight="false" outlineLevel="0" collapsed="false">
      <c r="A1376" s="61"/>
      <c r="B1376" s="62"/>
      <c r="C1376" s="63"/>
      <c r="D1376" s="63"/>
      <c r="E1376" s="62"/>
      <c r="F1376" s="62"/>
      <c r="G1376" s="62"/>
      <c r="I1376" s="64" t="str">
        <f aca="false">IF($B1376="","",IF(ISNUMBER(MATCH($B1376,日別データ!$B$9:$B$28,0)),"✔ OK","⚠ 未登録"))</f>
        <v/>
      </c>
    </row>
    <row r="1377" customFormat="false" ht="15" hidden="false" customHeight="false" outlineLevel="0" collapsed="false">
      <c r="A1377" s="61"/>
      <c r="B1377" s="62"/>
      <c r="C1377" s="63"/>
      <c r="D1377" s="63"/>
      <c r="E1377" s="62"/>
      <c r="F1377" s="62"/>
      <c r="G1377" s="62"/>
      <c r="I1377" s="64" t="str">
        <f aca="false">IF($B1377="","",IF(ISNUMBER(MATCH($B1377,日別データ!$B$9:$B$28,0)),"✔ OK","⚠ 未登録"))</f>
        <v/>
      </c>
    </row>
    <row r="1378" customFormat="false" ht="15" hidden="false" customHeight="false" outlineLevel="0" collapsed="false">
      <c r="A1378" s="61"/>
      <c r="B1378" s="62"/>
      <c r="C1378" s="63"/>
      <c r="D1378" s="63"/>
      <c r="E1378" s="62"/>
      <c r="F1378" s="62"/>
      <c r="G1378" s="62"/>
      <c r="I1378" s="64" t="str">
        <f aca="false">IF($B1378="","",IF(ISNUMBER(MATCH($B1378,日別データ!$B$9:$B$28,0)),"✔ OK","⚠ 未登録"))</f>
        <v/>
      </c>
    </row>
    <row r="1379" customFormat="false" ht="15" hidden="false" customHeight="false" outlineLevel="0" collapsed="false">
      <c r="A1379" s="61"/>
      <c r="B1379" s="62"/>
      <c r="C1379" s="63"/>
      <c r="D1379" s="63"/>
      <c r="E1379" s="62"/>
      <c r="F1379" s="62"/>
      <c r="G1379" s="62"/>
      <c r="I1379" s="64" t="str">
        <f aca="false">IF($B1379="","",IF(ISNUMBER(MATCH($B1379,日別データ!$B$9:$B$28,0)),"✔ OK","⚠ 未登録"))</f>
        <v/>
      </c>
    </row>
    <row r="1380" customFormat="false" ht="15" hidden="false" customHeight="false" outlineLevel="0" collapsed="false">
      <c r="A1380" s="61"/>
      <c r="B1380" s="62"/>
      <c r="C1380" s="63"/>
      <c r="D1380" s="63"/>
      <c r="E1380" s="62"/>
      <c r="F1380" s="62"/>
      <c r="G1380" s="62"/>
      <c r="I1380" s="64" t="str">
        <f aca="false">IF($B1380="","",IF(ISNUMBER(MATCH($B1380,日別データ!$B$9:$B$28,0)),"✔ OK","⚠ 未登録"))</f>
        <v/>
      </c>
    </row>
    <row r="1381" customFormat="false" ht="15" hidden="false" customHeight="false" outlineLevel="0" collapsed="false">
      <c r="A1381" s="61"/>
      <c r="B1381" s="62"/>
      <c r="C1381" s="63"/>
      <c r="D1381" s="63"/>
      <c r="E1381" s="62"/>
      <c r="F1381" s="62"/>
      <c r="G1381" s="62"/>
      <c r="I1381" s="64" t="str">
        <f aca="false">IF($B1381="","",IF(ISNUMBER(MATCH($B1381,日別データ!$B$9:$B$28,0)),"✔ OK","⚠ 未登録"))</f>
        <v/>
      </c>
    </row>
    <row r="1382" customFormat="false" ht="15" hidden="false" customHeight="false" outlineLevel="0" collapsed="false">
      <c r="A1382" s="61"/>
      <c r="B1382" s="62"/>
      <c r="C1382" s="63"/>
      <c r="D1382" s="63"/>
      <c r="E1382" s="62"/>
      <c r="F1382" s="62"/>
      <c r="G1382" s="62"/>
      <c r="I1382" s="64" t="str">
        <f aca="false">IF($B1382="","",IF(ISNUMBER(MATCH($B1382,日別データ!$B$9:$B$28,0)),"✔ OK","⚠ 未登録"))</f>
        <v/>
      </c>
    </row>
    <row r="1383" customFormat="false" ht="15" hidden="false" customHeight="false" outlineLevel="0" collapsed="false">
      <c r="A1383" s="61"/>
      <c r="B1383" s="62"/>
      <c r="C1383" s="63"/>
      <c r="D1383" s="63"/>
      <c r="E1383" s="62"/>
      <c r="F1383" s="62"/>
      <c r="G1383" s="62"/>
      <c r="I1383" s="64" t="str">
        <f aca="false">IF($B1383="","",IF(ISNUMBER(MATCH($B1383,日別データ!$B$9:$B$28,0)),"✔ OK","⚠ 未登録"))</f>
        <v/>
      </c>
    </row>
    <row r="1384" customFormat="false" ht="15" hidden="false" customHeight="false" outlineLevel="0" collapsed="false">
      <c r="A1384" s="61"/>
      <c r="B1384" s="62"/>
      <c r="C1384" s="63"/>
      <c r="D1384" s="63"/>
      <c r="E1384" s="62"/>
      <c r="F1384" s="62"/>
      <c r="G1384" s="62"/>
      <c r="I1384" s="64" t="str">
        <f aca="false">IF($B1384="","",IF(ISNUMBER(MATCH($B1384,日別データ!$B$9:$B$28,0)),"✔ OK","⚠ 未登録"))</f>
        <v/>
      </c>
    </row>
    <row r="1385" customFormat="false" ht="15" hidden="false" customHeight="false" outlineLevel="0" collapsed="false">
      <c r="A1385" s="61"/>
      <c r="B1385" s="62"/>
      <c r="C1385" s="63"/>
      <c r="D1385" s="63"/>
      <c r="E1385" s="62"/>
      <c r="F1385" s="62"/>
      <c r="G1385" s="62"/>
      <c r="I1385" s="64" t="str">
        <f aca="false">IF($B1385="","",IF(ISNUMBER(MATCH($B1385,日別データ!$B$9:$B$28,0)),"✔ OK","⚠ 未登録"))</f>
        <v/>
      </c>
    </row>
    <row r="1386" customFormat="false" ht="15" hidden="false" customHeight="false" outlineLevel="0" collapsed="false">
      <c r="A1386" s="61"/>
      <c r="B1386" s="62"/>
      <c r="C1386" s="63"/>
      <c r="D1386" s="63"/>
      <c r="E1386" s="62"/>
      <c r="F1386" s="62"/>
      <c r="G1386" s="62"/>
      <c r="I1386" s="64" t="str">
        <f aca="false">IF($B1386="","",IF(ISNUMBER(MATCH($B1386,日別データ!$B$9:$B$28,0)),"✔ OK","⚠ 未登録"))</f>
        <v/>
      </c>
    </row>
    <row r="1387" customFormat="false" ht="15" hidden="false" customHeight="false" outlineLevel="0" collapsed="false">
      <c r="A1387" s="61"/>
      <c r="B1387" s="62"/>
      <c r="C1387" s="63"/>
      <c r="D1387" s="63"/>
      <c r="E1387" s="62"/>
      <c r="F1387" s="62"/>
      <c r="G1387" s="62"/>
      <c r="I1387" s="64" t="str">
        <f aca="false">IF($B1387="","",IF(ISNUMBER(MATCH($B1387,日別データ!$B$9:$B$28,0)),"✔ OK","⚠ 未登録"))</f>
        <v/>
      </c>
    </row>
    <row r="1388" customFormat="false" ht="15" hidden="false" customHeight="false" outlineLevel="0" collapsed="false">
      <c r="A1388" s="61"/>
      <c r="B1388" s="62"/>
      <c r="C1388" s="63"/>
      <c r="D1388" s="63"/>
      <c r="E1388" s="62"/>
      <c r="F1388" s="62"/>
      <c r="G1388" s="62"/>
      <c r="I1388" s="64" t="str">
        <f aca="false">IF($B1388="","",IF(ISNUMBER(MATCH($B1388,日別データ!$B$9:$B$28,0)),"✔ OK","⚠ 未登録"))</f>
        <v/>
      </c>
    </row>
    <row r="1389" customFormat="false" ht="15" hidden="false" customHeight="false" outlineLevel="0" collapsed="false">
      <c r="A1389" s="61"/>
      <c r="B1389" s="62"/>
      <c r="C1389" s="63"/>
      <c r="D1389" s="63"/>
      <c r="E1389" s="62"/>
      <c r="F1389" s="62"/>
      <c r="G1389" s="62"/>
      <c r="I1389" s="64" t="str">
        <f aca="false">IF($B1389="","",IF(ISNUMBER(MATCH($B1389,日別データ!$B$9:$B$28,0)),"✔ OK","⚠ 未登録"))</f>
        <v/>
      </c>
    </row>
    <row r="1390" customFormat="false" ht="15" hidden="false" customHeight="false" outlineLevel="0" collapsed="false">
      <c r="A1390" s="61"/>
      <c r="B1390" s="62"/>
      <c r="C1390" s="63"/>
      <c r="D1390" s="63"/>
      <c r="E1390" s="62"/>
      <c r="F1390" s="62"/>
      <c r="G1390" s="62"/>
      <c r="I1390" s="64" t="str">
        <f aca="false">IF($B1390="","",IF(ISNUMBER(MATCH($B1390,日別データ!$B$9:$B$28,0)),"✔ OK","⚠ 未登録"))</f>
        <v/>
      </c>
    </row>
    <row r="1391" customFormat="false" ht="15" hidden="false" customHeight="false" outlineLevel="0" collapsed="false">
      <c r="A1391" s="61"/>
      <c r="B1391" s="62"/>
      <c r="C1391" s="63"/>
      <c r="D1391" s="63"/>
      <c r="E1391" s="62"/>
      <c r="F1391" s="62"/>
      <c r="G1391" s="62"/>
      <c r="I1391" s="64" t="str">
        <f aca="false">IF($B1391="","",IF(ISNUMBER(MATCH($B1391,日別データ!$B$9:$B$28,0)),"✔ OK","⚠ 未登録"))</f>
        <v/>
      </c>
    </row>
    <row r="1392" customFormat="false" ht="15" hidden="false" customHeight="false" outlineLevel="0" collapsed="false">
      <c r="A1392" s="61"/>
      <c r="B1392" s="62"/>
      <c r="C1392" s="63"/>
      <c r="D1392" s="63"/>
      <c r="E1392" s="62"/>
      <c r="F1392" s="62"/>
      <c r="G1392" s="62"/>
      <c r="I1392" s="64" t="str">
        <f aca="false">IF($B1392="","",IF(ISNUMBER(MATCH($B1392,日別データ!$B$9:$B$28,0)),"✔ OK","⚠ 未登録"))</f>
        <v/>
      </c>
    </row>
    <row r="1393" customFormat="false" ht="15" hidden="false" customHeight="false" outlineLevel="0" collapsed="false">
      <c r="A1393" s="61"/>
      <c r="B1393" s="62"/>
      <c r="C1393" s="63"/>
      <c r="D1393" s="63"/>
      <c r="E1393" s="62"/>
      <c r="F1393" s="62"/>
      <c r="G1393" s="62"/>
      <c r="I1393" s="64" t="str">
        <f aca="false">IF($B1393="","",IF(ISNUMBER(MATCH($B1393,日別データ!$B$9:$B$28,0)),"✔ OK","⚠ 未登録"))</f>
        <v/>
      </c>
    </row>
    <row r="1394" customFormat="false" ht="15" hidden="false" customHeight="false" outlineLevel="0" collapsed="false">
      <c r="A1394" s="61"/>
      <c r="B1394" s="62"/>
      <c r="C1394" s="63"/>
      <c r="D1394" s="63"/>
      <c r="E1394" s="62"/>
      <c r="F1394" s="62"/>
      <c r="G1394" s="62"/>
      <c r="I1394" s="64" t="str">
        <f aca="false">IF($B1394="","",IF(ISNUMBER(MATCH($B1394,日別データ!$B$9:$B$28,0)),"✔ OK","⚠ 未登録"))</f>
        <v/>
      </c>
    </row>
    <row r="1395" customFormat="false" ht="15" hidden="false" customHeight="false" outlineLevel="0" collapsed="false">
      <c r="A1395" s="61"/>
      <c r="B1395" s="62"/>
      <c r="C1395" s="63"/>
      <c r="D1395" s="63"/>
      <c r="E1395" s="62"/>
      <c r="F1395" s="62"/>
      <c r="G1395" s="62"/>
      <c r="I1395" s="64" t="str">
        <f aca="false">IF($B1395="","",IF(ISNUMBER(MATCH($B1395,日別データ!$B$9:$B$28,0)),"✔ OK","⚠ 未登録"))</f>
        <v/>
      </c>
    </row>
    <row r="1396" customFormat="false" ht="15" hidden="false" customHeight="false" outlineLevel="0" collapsed="false">
      <c r="A1396" s="61"/>
      <c r="B1396" s="62"/>
      <c r="C1396" s="63"/>
      <c r="D1396" s="63"/>
      <c r="E1396" s="62"/>
      <c r="F1396" s="62"/>
      <c r="G1396" s="62"/>
      <c r="I1396" s="64" t="str">
        <f aca="false">IF($B1396="","",IF(ISNUMBER(MATCH($B1396,日別データ!$B$9:$B$28,0)),"✔ OK","⚠ 未登録"))</f>
        <v/>
      </c>
    </row>
    <row r="1397" customFormat="false" ht="15" hidden="false" customHeight="false" outlineLevel="0" collapsed="false">
      <c r="A1397" s="61"/>
      <c r="B1397" s="62"/>
      <c r="C1397" s="63"/>
      <c r="D1397" s="63"/>
      <c r="E1397" s="62"/>
      <c r="F1397" s="62"/>
      <c r="G1397" s="62"/>
      <c r="I1397" s="64" t="str">
        <f aca="false">IF($B1397="","",IF(ISNUMBER(MATCH($B1397,日別データ!$B$9:$B$28,0)),"✔ OK","⚠ 未登録"))</f>
        <v/>
      </c>
    </row>
    <row r="1398" customFormat="false" ht="15" hidden="false" customHeight="false" outlineLevel="0" collapsed="false">
      <c r="A1398" s="61"/>
      <c r="B1398" s="62"/>
      <c r="C1398" s="63"/>
      <c r="D1398" s="63"/>
      <c r="E1398" s="62"/>
      <c r="F1398" s="62"/>
      <c r="G1398" s="62"/>
      <c r="I1398" s="64" t="str">
        <f aca="false">IF($B1398="","",IF(ISNUMBER(MATCH($B1398,日別データ!$B$9:$B$28,0)),"✔ OK","⚠ 未登録"))</f>
        <v/>
      </c>
    </row>
    <row r="1399" customFormat="false" ht="15" hidden="false" customHeight="false" outlineLevel="0" collapsed="false">
      <c r="A1399" s="61"/>
      <c r="B1399" s="62"/>
      <c r="C1399" s="63"/>
      <c r="D1399" s="63"/>
      <c r="E1399" s="62"/>
      <c r="F1399" s="62"/>
      <c r="G1399" s="62"/>
      <c r="I1399" s="64" t="str">
        <f aca="false">IF($B1399="","",IF(ISNUMBER(MATCH($B1399,日別データ!$B$9:$B$28,0)),"✔ OK","⚠ 未登録"))</f>
        <v/>
      </c>
    </row>
    <row r="1400" customFormat="false" ht="15" hidden="false" customHeight="false" outlineLevel="0" collapsed="false">
      <c r="A1400" s="61"/>
      <c r="B1400" s="62"/>
      <c r="C1400" s="63"/>
      <c r="D1400" s="63"/>
      <c r="E1400" s="62"/>
      <c r="F1400" s="62"/>
      <c r="G1400" s="62"/>
      <c r="I1400" s="64" t="str">
        <f aca="false">IF($B1400="","",IF(ISNUMBER(MATCH($B1400,日別データ!$B$9:$B$28,0)),"✔ OK","⚠ 未登録"))</f>
        <v/>
      </c>
    </row>
    <row r="1401" customFormat="false" ht="15" hidden="false" customHeight="false" outlineLevel="0" collapsed="false">
      <c r="A1401" s="61"/>
      <c r="B1401" s="62"/>
      <c r="C1401" s="63"/>
      <c r="D1401" s="63"/>
      <c r="E1401" s="62"/>
      <c r="F1401" s="62"/>
      <c r="G1401" s="62"/>
      <c r="I1401" s="64" t="str">
        <f aca="false">IF($B1401="","",IF(ISNUMBER(MATCH($B1401,日別データ!$B$9:$B$28,0)),"✔ OK","⚠ 未登録"))</f>
        <v/>
      </c>
    </row>
    <row r="1402" customFormat="false" ht="15" hidden="false" customHeight="false" outlineLevel="0" collapsed="false">
      <c r="A1402" s="61"/>
      <c r="B1402" s="62"/>
      <c r="C1402" s="63"/>
      <c r="D1402" s="63"/>
      <c r="E1402" s="62"/>
      <c r="F1402" s="62"/>
      <c r="G1402" s="62"/>
      <c r="I1402" s="64" t="str">
        <f aca="false">IF($B1402="","",IF(ISNUMBER(MATCH($B1402,日別データ!$B$9:$B$28,0)),"✔ OK","⚠ 未登録"))</f>
        <v/>
      </c>
    </row>
    <row r="1403" customFormat="false" ht="15" hidden="false" customHeight="false" outlineLevel="0" collapsed="false">
      <c r="A1403" s="61"/>
      <c r="B1403" s="62"/>
      <c r="C1403" s="63"/>
      <c r="D1403" s="63"/>
      <c r="E1403" s="62"/>
      <c r="F1403" s="62"/>
      <c r="G1403" s="62"/>
      <c r="I1403" s="64" t="str">
        <f aca="false">IF($B1403="","",IF(ISNUMBER(MATCH($B1403,日別データ!$B$9:$B$28,0)),"✔ OK","⚠ 未登録"))</f>
        <v/>
      </c>
    </row>
    <row r="1404" customFormat="false" ht="15" hidden="false" customHeight="false" outlineLevel="0" collapsed="false">
      <c r="A1404" s="61"/>
      <c r="B1404" s="62"/>
      <c r="C1404" s="63"/>
      <c r="D1404" s="63"/>
      <c r="E1404" s="62"/>
      <c r="F1404" s="62"/>
      <c r="G1404" s="62"/>
      <c r="I1404" s="64" t="str">
        <f aca="false">IF($B1404="","",IF(ISNUMBER(MATCH($B1404,日別データ!$B$9:$B$28,0)),"✔ OK","⚠ 未登録"))</f>
        <v/>
      </c>
    </row>
    <row r="1405" customFormat="false" ht="15" hidden="false" customHeight="false" outlineLevel="0" collapsed="false">
      <c r="A1405" s="61"/>
      <c r="B1405" s="62"/>
      <c r="C1405" s="63"/>
      <c r="D1405" s="63"/>
      <c r="E1405" s="62"/>
      <c r="F1405" s="62"/>
      <c r="G1405" s="62"/>
      <c r="I1405" s="64" t="str">
        <f aca="false">IF($B1405="","",IF(ISNUMBER(MATCH($B1405,日別データ!$B$9:$B$28,0)),"✔ OK","⚠ 未登録"))</f>
        <v/>
      </c>
    </row>
    <row r="1406" customFormat="false" ht="15" hidden="false" customHeight="false" outlineLevel="0" collapsed="false">
      <c r="A1406" s="61"/>
      <c r="B1406" s="62"/>
      <c r="C1406" s="63"/>
      <c r="D1406" s="63"/>
      <c r="E1406" s="62"/>
      <c r="F1406" s="62"/>
      <c r="G1406" s="62"/>
      <c r="I1406" s="64" t="str">
        <f aca="false">IF($B1406="","",IF(ISNUMBER(MATCH($B1406,日別データ!$B$9:$B$28,0)),"✔ OK","⚠ 未登録"))</f>
        <v/>
      </c>
    </row>
    <row r="1407" customFormat="false" ht="15" hidden="false" customHeight="false" outlineLevel="0" collapsed="false">
      <c r="A1407" s="61"/>
      <c r="B1407" s="62"/>
      <c r="C1407" s="63"/>
      <c r="D1407" s="63"/>
      <c r="E1407" s="62"/>
      <c r="F1407" s="62"/>
      <c r="G1407" s="62"/>
      <c r="I1407" s="64" t="str">
        <f aca="false">IF($B1407="","",IF(ISNUMBER(MATCH($B1407,日別データ!$B$9:$B$28,0)),"✔ OK","⚠ 未登録"))</f>
        <v/>
      </c>
    </row>
    <row r="1408" customFormat="false" ht="15" hidden="false" customHeight="false" outlineLevel="0" collapsed="false">
      <c r="A1408" s="61"/>
      <c r="B1408" s="62"/>
      <c r="C1408" s="63"/>
      <c r="D1408" s="63"/>
      <c r="E1408" s="62"/>
      <c r="F1408" s="62"/>
      <c r="G1408" s="62"/>
      <c r="I1408" s="64" t="str">
        <f aca="false">IF($B1408="","",IF(ISNUMBER(MATCH($B1408,日別データ!$B$9:$B$28,0)),"✔ OK","⚠ 未登録"))</f>
        <v/>
      </c>
    </row>
    <row r="1409" customFormat="false" ht="15" hidden="false" customHeight="false" outlineLevel="0" collapsed="false">
      <c r="A1409" s="61"/>
      <c r="B1409" s="62"/>
      <c r="C1409" s="63"/>
      <c r="D1409" s="63"/>
      <c r="E1409" s="62"/>
      <c r="F1409" s="62"/>
      <c r="G1409" s="62"/>
      <c r="I1409" s="64" t="str">
        <f aca="false">IF($B1409="","",IF(ISNUMBER(MATCH($B1409,日別データ!$B$9:$B$28,0)),"✔ OK","⚠ 未登録"))</f>
        <v/>
      </c>
    </row>
    <row r="1410" customFormat="false" ht="15" hidden="false" customHeight="false" outlineLevel="0" collapsed="false">
      <c r="A1410" s="61"/>
      <c r="B1410" s="62"/>
      <c r="C1410" s="63"/>
      <c r="D1410" s="63"/>
      <c r="E1410" s="62"/>
      <c r="F1410" s="62"/>
      <c r="G1410" s="62"/>
      <c r="I1410" s="64" t="str">
        <f aca="false">IF($B1410="","",IF(ISNUMBER(MATCH($B1410,日別データ!$B$9:$B$28,0)),"✔ OK","⚠ 未登録"))</f>
        <v/>
      </c>
    </row>
    <row r="1411" customFormat="false" ht="15" hidden="false" customHeight="false" outlineLevel="0" collapsed="false">
      <c r="A1411" s="61"/>
      <c r="B1411" s="62"/>
      <c r="C1411" s="63"/>
      <c r="D1411" s="63"/>
      <c r="E1411" s="62"/>
      <c r="F1411" s="62"/>
      <c r="G1411" s="62"/>
      <c r="I1411" s="64" t="str">
        <f aca="false">IF($B1411="","",IF(ISNUMBER(MATCH($B1411,日別データ!$B$9:$B$28,0)),"✔ OK","⚠ 未登録"))</f>
        <v/>
      </c>
    </row>
    <row r="1412" customFormat="false" ht="15" hidden="false" customHeight="false" outlineLevel="0" collapsed="false">
      <c r="A1412" s="61"/>
      <c r="B1412" s="62"/>
      <c r="C1412" s="63"/>
      <c r="D1412" s="63"/>
      <c r="E1412" s="62"/>
      <c r="F1412" s="62"/>
      <c r="G1412" s="62"/>
      <c r="I1412" s="64" t="str">
        <f aca="false">IF($B1412="","",IF(ISNUMBER(MATCH($B1412,日別データ!$B$9:$B$28,0)),"✔ OK","⚠ 未登録"))</f>
        <v/>
      </c>
    </row>
    <row r="1413" customFormat="false" ht="15" hidden="false" customHeight="false" outlineLevel="0" collapsed="false">
      <c r="A1413" s="61"/>
      <c r="B1413" s="62"/>
      <c r="C1413" s="63"/>
      <c r="D1413" s="63"/>
      <c r="E1413" s="62"/>
      <c r="F1413" s="62"/>
      <c r="G1413" s="62"/>
      <c r="I1413" s="64" t="str">
        <f aca="false">IF($B1413="","",IF(ISNUMBER(MATCH($B1413,日別データ!$B$9:$B$28,0)),"✔ OK","⚠ 未登録"))</f>
        <v/>
      </c>
    </row>
    <row r="1414" customFormat="false" ht="15" hidden="false" customHeight="false" outlineLevel="0" collapsed="false">
      <c r="A1414" s="61"/>
      <c r="B1414" s="62"/>
      <c r="C1414" s="63"/>
      <c r="D1414" s="63"/>
      <c r="E1414" s="62"/>
      <c r="F1414" s="62"/>
      <c r="G1414" s="62"/>
      <c r="I1414" s="64" t="str">
        <f aca="false">IF($B1414="","",IF(ISNUMBER(MATCH($B1414,日別データ!$B$9:$B$28,0)),"✔ OK","⚠ 未登録"))</f>
        <v/>
      </c>
    </row>
    <row r="1415" customFormat="false" ht="15" hidden="false" customHeight="false" outlineLevel="0" collapsed="false">
      <c r="A1415" s="61"/>
      <c r="B1415" s="62"/>
      <c r="C1415" s="63"/>
      <c r="D1415" s="63"/>
      <c r="E1415" s="62"/>
      <c r="F1415" s="62"/>
      <c r="G1415" s="62"/>
      <c r="I1415" s="64" t="str">
        <f aca="false">IF($B1415="","",IF(ISNUMBER(MATCH($B1415,日別データ!$B$9:$B$28,0)),"✔ OK","⚠ 未登録"))</f>
        <v/>
      </c>
    </row>
    <row r="1416" customFormat="false" ht="15" hidden="false" customHeight="false" outlineLevel="0" collapsed="false">
      <c r="A1416" s="61"/>
      <c r="B1416" s="62"/>
      <c r="C1416" s="63"/>
      <c r="D1416" s="63"/>
      <c r="E1416" s="62"/>
      <c r="F1416" s="62"/>
      <c r="G1416" s="62"/>
      <c r="I1416" s="64" t="str">
        <f aca="false">IF($B1416="","",IF(ISNUMBER(MATCH($B1416,日別データ!$B$9:$B$28,0)),"✔ OK","⚠ 未登録"))</f>
        <v/>
      </c>
    </row>
    <row r="1417" customFormat="false" ht="15" hidden="false" customHeight="false" outlineLevel="0" collapsed="false">
      <c r="A1417" s="61"/>
      <c r="B1417" s="62"/>
      <c r="C1417" s="63"/>
      <c r="D1417" s="63"/>
      <c r="E1417" s="62"/>
      <c r="F1417" s="62"/>
      <c r="G1417" s="62"/>
      <c r="I1417" s="64" t="str">
        <f aca="false">IF($B1417="","",IF(ISNUMBER(MATCH($B1417,日別データ!$B$9:$B$28,0)),"✔ OK","⚠ 未登録"))</f>
        <v/>
      </c>
    </row>
    <row r="1418" customFormat="false" ht="15" hidden="false" customHeight="false" outlineLevel="0" collapsed="false">
      <c r="A1418" s="61"/>
      <c r="B1418" s="62"/>
      <c r="C1418" s="63"/>
      <c r="D1418" s="63"/>
      <c r="E1418" s="62"/>
      <c r="F1418" s="62"/>
      <c r="G1418" s="62"/>
      <c r="I1418" s="64" t="str">
        <f aca="false">IF($B1418="","",IF(ISNUMBER(MATCH($B1418,日別データ!$B$9:$B$28,0)),"✔ OK","⚠ 未登録"))</f>
        <v/>
      </c>
    </row>
    <row r="1419" customFormat="false" ht="15" hidden="false" customHeight="false" outlineLevel="0" collapsed="false">
      <c r="A1419" s="61"/>
      <c r="B1419" s="62"/>
      <c r="C1419" s="63"/>
      <c r="D1419" s="63"/>
      <c r="E1419" s="62"/>
      <c r="F1419" s="62"/>
      <c r="G1419" s="62"/>
      <c r="I1419" s="64" t="str">
        <f aca="false">IF($B1419="","",IF(ISNUMBER(MATCH($B1419,日別データ!$B$9:$B$28,0)),"✔ OK","⚠ 未登録"))</f>
        <v/>
      </c>
    </row>
    <row r="1420" customFormat="false" ht="15" hidden="false" customHeight="false" outlineLevel="0" collapsed="false">
      <c r="A1420" s="61"/>
      <c r="B1420" s="62"/>
      <c r="C1420" s="63"/>
      <c r="D1420" s="63"/>
      <c r="E1420" s="62"/>
      <c r="F1420" s="62"/>
      <c r="G1420" s="62"/>
      <c r="I1420" s="64" t="str">
        <f aca="false">IF($B1420="","",IF(ISNUMBER(MATCH($B1420,日別データ!$B$9:$B$28,0)),"✔ OK","⚠ 未登録"))</f>
        <v/>
      </c>
    </row>
    <row r="1421" customFormat="false" ht="15" hidden="false" customHeight="false" outlineLevel="0" collapsed="false">
      <c r="A1421" s="61"/>
      <c r="B1421" s="62"/>
      <c r="C1421" s="63"/>
      <c r="D1421" s="63"/>
      <c r="E1421" s="62"/>
      <c r="F1421" s="62"/>
      <c r="G1421" s="62"/>
      <c r="I1421" s="64" t="str">
        <f aca="false">IF($B1421="","",IF(ISNUMBER(MATCH($B1421,日別データ!$B$9:$B$28,0)),"✔ OK","⚠ 未登録"))</f>
        <v/>
      </c>
    </row>
    <row r="1422" customFormat="false" ht="15" hidden="false" customHeight="false" outlineLevel="0" collapsed="false">
      <c r="A1422" s="61"/>
      <c r="B1422" s="62"/>
      <c r="C1422" s="63"/>
      <c r="D1422" s="63"/>
      <c r="E1422" s="62"/>
      <c r="F1422" s="62"/>
      <c r="G1422" s="62"/>
      <c r="I1422" s="64" t="str">
        <f aca="false">IF($B1422="","",IF(ISNUMBER(MATCH($B1422,日別データ!$B$9:$B$28,0)),"✔ OK","⚠ 未登録"))</f>
        <v/>
      </c>
    </row>
    <row r="1423" customFormat="false" ht="15" hidden="false" customHeight="false" outlineLevel="0" collapsed="false">
      <c r="A1423" s="61"/>
      <c r="B1423" s="62"/>
      <c r="C1423" s="63"/>
      <c r="D1423" s="63"/>
      <c r="E1423" s="62"/>
      <c r="F1423" s="62"/>
      <c r="G1423" s="62"/>
      <c r="I1423" s="64" t="str">
        <f aca="false">IF($B1423="","",IF(ISNUMBER(MATCH($B1423,日別データ!$B$9:$B$28,0)),"✔ OK","⚠ 未登録"))</f>
        <v/>
      </c>
    </row>
    <row r="1424" customFormat="false" ht="15" hidden="false" customHeight="false" outlineLevel="0" collapsed="false">
      <c r="A1424" s="61"/>
      <c r="B1424" s="62"/>
      <c r="C1424" s="63"/>
      <c r="D1424" s="63"/>
      <c r="E1424" s="62"/>
      <c r="F1424" s="62"/>
      <c r="G1424" s="62"/>
      <c r="I1424" s="64" t="str">
        <f aca="false">IF($B1424="","",IF(ISNUMBER(MATCH($B1424,日別データ!$B$9:$B$28,0)),"✔ OK","⚠ 未登録"))</f>
        <v/>
      </c>
    </row>
    <row r="1425" customFormat="false" ht="15" hidden="false" customHeight="false" outlineLevel="0" collapsed="false">
      <c r="A1425" s="61"/>
      <c r="B1425" s="62"/>
      <c r="C1425" s="63"/>
      <c r="D1425" s="63"/>
      <c r="E1425" s="62"/>
      <c r="F1425" s="62"/>
      <c r="G1425" s="62"/>
      <c r="I1425" s="64" t="str">
        <f aca="false">IF($B1425="","",IF(ISNUMBER(MATCH($B1425,日別データ!$B$9:$B$28,0)),"✔ OK","⚠ 未登録"))</f>
        <v/>
      </c>
    </row>
    <row r="1426" customFormat="false" ht="15" hidden="false" customHeight="false" outlineLevel="0" collapsed="false">
      <c r="A1426" s="61"/>
      <c r="B1426" s="62"/>
      <c r="C1426" s="63"/>
      <c r="D1426" s="63"/>
      <c r="E1426" s="62"/>
      <c r="F1426" s="62"/>
      <c r="G1426" s="62"/>
      <c r="I1426" s="64" t="str">
        <f aca="false">IF($B1426="","",IF(ISNUMBER(MATCH($B1426,日別データ!$B$9:$B$28,0)),"✔ OK","⚠ 未登録"))</f>
        <v/>
      </c>
    </row>
    <row r="1427" customFormat="false" ht="15" hidden="false" customHeight="false" outlineLevel="0" collapsed="false">
      <c r="A1427" s="61"/>
      <c r="B1427" s="62"/>
      <c r="C1427" s="63"/>
      <c r="D1427" s="63"/>
      <c r="E1427" s="62"/>
      <c r="F1427" s="62"/>
      <c r="G1427" s="62"/>
      <c r="I1427" s="64" t="str">
        <f aca="false">IF($B1427="","",IF(ISNUMBER(MATCH($B1427,日別データ!$B$9:$B$28,0)),"✔ OK","⚠ 未登録"))</f>
        <v/>
      </c>
    </row>
    <row r="1428" customFormat="false" ht="15" hidden="false" customHeight="false" outlineLevel="0" collapsed="false">
      <c r="A1428" s="61"/>
      <c r="B1428" s="62"/>
      <c r="C1428" s="63"/>
      <c r="D1428" s="63"/>
      <c r="E1428" s="62"/>
      <c r="F1428" s="62"/>
      <c r="G1428" s="62"/>
      <c r="I1428" s="64" t="str">
        <f aca="false">IF($B1428="","",IF(ISNUMBER(MATCH($B1428,日別データ!$B$9:$B$28,0)),"✔ OK","⚠ 未登録"))</f>
        <v/>
      </c>
    </row>
    <row r="1429" customFormat="false" ht="15" hidden="false" customHeight="false" outlineLevel="0" collapsed="false">
      <c r="A1429" s="61"/>
      <c r="B1429" s="62"/>
      <c r="C1429" s="63"/>
      <c r="D1429" s="63"/>
      <c r="E1429" s="62"/>
      <c r="F1429" s="62"/>
      <c r="G1429" s="62"/>
      <c r="I1429" s="64" t="str">
        <f aca="false">IF($B1429="","",IF(ISNUMBER(MATCH($B1429,日別データ!$B$9:$B$28,0)),"✔ OK","⚠ 未登録"))</f>
        <v/>
      </c>
    </row>
    <row r="1430" customFormat="false" ht="15" hidden="false" customHeight="false" outlineLevel="0" collapsed="false">
      <c r="A1430" s="61"/>
      <c r="B1430" s="62"/>
      <c r="C1430" s="63"/>
      <c r="D1430" s="63"/>
      <c r="E1430" s="62"/>
      <c r="F1430" s="62"/>
      <c r="G1430" s="62"/>
      <c r="I1430" s="64" t="str">
        <f aca="false">IF($B1430="","",IF(ISNUMBER(MATCH($B1430,日別データ!$B$9:$B$28,0)),"✔ OK","⚠ 未登録"))</f>
        <v/>
      </c>
    </row>
    <row r="1431" customFormat="false" ht="15" hidden="false" customHeight="false" outlineLevel="0" collapsed="false">
      <c r="A1431" s="61"/>
      <c r="B1431" s="62"/>
      <c r="C1431" s="63"/>
      <c r="D1431" s="63"/>
      <c r="E1431" s="62"/>
      <c r="F1431" s="62"/>
      <c r="G1431" s="62"/>
      <c r="I1431" s="64" t="str">
        <f aca="false">IF($B1431="","",IF(ISNUMBER(MATCH($B1431,日別データ!$B$9:$B$28,0)),"✔ OK","⚠ 未登録"))</f>
        <v/>
      </c>
    </row>
    <row r="1432" customFormat="false" ht="15" hidden="false" customHeight="false" outlineLevel="0" collapsed="false">
      <c r="A1432" s="61"/>
      <c r="B1432" s="62"/>
      <c r="C1432" s="63"/>
      <c r="D1432" s="63"/>
      <c r="E1432" s="62"/>
      <c r="F1432" s="62"/>
      <c r="G1432" s="62"/>
      <c r="I1432" s="64" t="str">
        <f aca="false">IF($B1432="","",IF(ISNUMBER(MATCH($B1432,日別データ!$B$9:$B$28,0)),"✔ OK","⚠ 未登録"))</f>
        <v/>
      </c>
    </row>
    <row r="1433" customFormat="false" ht="15" hidden="false" customHeight="false" outlineLevel="0" collapsed="false">
      <c r="A1433" s="61"/>
      <c r="B1433" s="62"/>
      <c r="C1433" s="63"/>
      <c r="D1433" s="63"/>
      <c r="E1433" s="62"/>
      <c r="F1433" s="62"/>
      <c r="G1433" s="62"/>
      <c r="I1433" s="64" t="str">
        <f aca="false">IF($B1433="","",IF(ISNUMBER(MATCH($B1433,日別データ!$B$9:$B$28,0)),"✔ OK","⚠ 未登録"))</f>
        <v/>
      </c>
    </row>
    <row r="1434" customFormat="false" ht="15" hidden="false" customHeight="false" outlineLevel="0" collapsed="false">
      <c r="A1434" s="61"/>
      <c r="B1434" s="62"/>
      <c r="C1434" s="63"/>
      <c r="D1434" s="63"/>
      <c r="E1434" s="62"/>
      <c r="F1434" s="62"/>
      <c r="G1434" s="62"/>
      <c r="I1434" s="64" t="str">
        <f aca="false">IF($B1434="","",IF(ISNUMBER(MATCH($B1434,日別データ!$B$9:$B$28,0)),"✔ OK","⚠ 未登録"))</f>
        <v/>
      </c>
    </row>
    <row r="1435" customFormat="false" ht="15" hidden="false" customHeight="false" outlineLevel="0" collapsed="false">
      <c r="A1435" s="61"/>
      <c r="B1435" s="62"/>
      <c r="C1435" s="63"/>
      <c r="D1435" s="63"/>
      <c r="E1435" s="62"/>
      <c r="F1435" s="62"/>
      <c r="G1435" s="62"/>
      <c r="I1435" s="64" t="str">
        <f aca="false">IF($B1435="","",IF(ISNUMBER(MATCH($B1435,日別データ!$B$9:$B$28,0)),"✔ OK","⚠ 未登録"))</f>
        <v/>
      </c>
    </row>
    <row r="1436" customFormat="false" ht="15" hidden="false" customHeight="false" outlineLevel="0" collapsed="false">
      <c r="A1436" s="61"/>
      <c r="B1436" s="62"/>
      <c r="C1436" s="63"/>
      <c r="D1436" s="63"/>
      <c r="E1436" s="62"/>
      <c r="F1436" s="62"/>
      <c r="G1436" s="62"/>
      <c r="I1436" s="64" t="str">
        <f aca="false">IF($B1436="","",IF(ISNUMBER(MATCH($B1436,日別データ!$B$9:$B$28,0)),"✔ OK","⚠ 未登録"))</f>
        <v/>
      </c>
    </row>
    <row r="1437" customFormat="false" ht="15" hidden="false" customHeight="false" outlineLevel="0" collapsed="false">
      <c r="A1437" s="61"/>
      <c r="B1437" s="62"/>
      <c r="C1437" s="63"/>
      <c r="D1437" s="63"/>
      <c r="E1437" s="62"/>
      <c r="F1437" s="62"/>
      <c r="G1437" s="62"/>
      <c r="I1437" s="64" t="str">
        <f aca="false">IF($B1437="","",IF(ISNUMBER(MATCH($B1437,日別データ!$B$9:$B$28,0)),"✔ OK","⚠ 未登録"))</f>
        <v/>
      </c>
    </row>
    <row r="1438" customFormat="false" ht="15" hidden="false" customHeight="false" outlineLevel="0" collapsed="false">
      <c r="A1438" s="61"/>
      <c r="B1438" s="62"/>
      <c r="C1438" s="63"/>
      <c r="D1438" s="63"/>
      <c r="E1438" s="62"/>
      <c r="F1438" s="62"/>
      <c r="G1438" s="62"/>
      <c r="I1438" s="64" t="str">
        <f aca="false">IF($B1438="","",IF(ISNUMBER(MATCH($B1438,日別データ!$B$9:$B$28,0)),"✔ OK","⚠ 未登録"))</f>
        <v/>
      </c>
    </row>
    <row r="1439" customFormat="false" ht="15" hidden="false" customHeight="false" outlineLevel="0" collapsed="false">
      <c r="A1439" s="61"/>
      <c r="B1439" s="62"/>
      <c r="C1439" s="63"/>
      <c r="D1439" s="63"/>
      <c r="E1439" s="62"/>
      <c r="F1439" s="62"/>
      <c r="G1439" s="62"/>
      <c r="I1439" s="64" t="str">
        <f aca="false">IF($B1439="","",IF(ISNUMBER(MATCH($B1439,日別データ!$B$9:$B$28,0)),"✔ OK","⚠ 未登録"))</f>
        <v/>
      </c>
    </row>
    <row r="1440" customFormat="false" ht="15" hidden="false" customHeight="false" outlineLevel="0" collapsed="false">
      <c r="A1440" s="61"/>
      <c r="B1440" s="62"/>
      <c r="C1440" s="63"/>
      <c r="D1440" s="63"/>
      <c r="E1440" s="62"/>
      <c r="F1440" s="62"/>
      <c r="G1440" s="62"/>
      <c r="I1440" s="64" t="str">
        <f aca="false">IF($B1440="","",IF(ISNUMBER(MATCH($B1440,日別データ!$B$9:$B$28,0)),"✔ OK","⚠ 未登録"))</f>
        <v/>
      </c>
    </row>
    <row r="1441" customFormat="false" ht="15" hidden="false" customHeight="false" outlineLevel="0" collapsed="false">
      <c r="A1441" s="61"/>
      <c r="B1441" s="62"/>
      <c r="C1441" s="63"/>
      <c r="D1441" s="63"/>
      <c r="E1441" s="62"/>
      <c r="F1441" s="62"/>
      <c r="G1441" s="62"/>
      <c r="I1441" s="64" t="str">
        <f aca="false">IF($B1441="","",IF(ISNUMBER(MATCH($B1441,日別データ!$B$9:$B$28,0)),"✔ OK","⚠ 未登録"))</f>
        <v/>
      </c>
    </row>
    <row r="1442" customFormat="false" ht="15" hidden="false" customHeight="false" outlineLevel="0" collapsed="false">
      <c r="A1442" s="61"/>
      <c r="B1442" s="62"/>
      <c r="C1442" s="63"/>
      <c r="D1442" s="63"/>
      <c r="E1442" s="62"/>
      <c r="F1442" s="62"/>
      <c r="G1442" s="62"/>
      <c r="I1442" s="64" t="str">
        <f aca="false">IF($B1442="","",IF(ISNUMBER(MATCH($B1442,日別データ!$B$9:$B$28,0)),"✔ OK","⚠ 未登録"))</f>
        <v/>
      </c>
    </row>
    <row r="1443" customFormat="false" ht="15" hidden="false" customHeight="false" outlineLevel="0" collapsed="false">
      <c r="A1443" s="61"/>
      <c r="B1443" s="62"/>
      <c r="C1443" s="63"/>
      <c r="D1443" s="63"/>
      <c r="E1443" s="62"/>
      <c r="F1443" s="62"/>
      <c r="G1443" s="62"/>
      <c r="I1443" s="64" t="str">
        <f aca="false">IF($B1443="","",IF(ISNUMBER(MATCH($B1443,日別データ!$B$9:$B$28,0)),"✔ OK","⚠ 未登録"))</f>
        <v/>
      </c>
    </row>
    <row r="1444" customFormat="false" ht="15" hidden="false" customHeight="false" outlineLevel="0" collapsed="false">
      <c r="A1444" s="61"/>
      <c r="B1444" s="62"/>
      <c r="C1444" s="63"/>
      <c r="D1444" s="63"/>
      <c r="E1444" s="62"/>
      <c r="F1444" s="62"/>
      <c r="G1444" s="62"/>
      <c r="I1444" s="64" t="str">
        <f aca="false">IF($B1444="","",IF(ISNUMBER(MATCH($B1444,日別データ!$B$9:$B$28,0)),"✔ OK","⚠ 未登録"))</f>
        <v/>
      </c>
    </row>
    <row r="1445" customFormat="false" ht="15" hidden="false" customHeight="false" outlineLevel="0" collapsed="false">
      <c r="A1445" s="61"/>
      <c r="B1445" s="62"/>
      <c r="C1445" s="63"/>
      <c r="D1445" s="63"/>
      <c r="E1445" s="62"/>
      <c r="F1445" s="62"/>
      <c r="G1445" s="62"/>
      <c r="I1445" s="64" t="str">
        <f aca="false">IF($B1445="","",IF(ISNUMBER(MATCH($B1445,日別データ!$B$9:$B$28,0)),"✔ OK","⚠ 未登録"))</f>
        <v/>
      </c>
    </row>
    <row r="1446" customFormat="false" ht="15" hidden="false" customHeight="false" outlineLevel="0" collapsed="false">
      <c r="A1446" s="61"/>
      <c r="B1446" s="62"/>
      <c r="C1446" s="63"/>
      <c r="D1446" s="63"/>
      <c r="E1446" s="62"/>
      <c r="F1446" s="62"/>
      <c r="G1446" s="62"/>
      <c r="I1446" s="64" t="str">
        <f aca="false">IF($B1446="","",IF(ISNUMBER(MATCH($B1446,日別データ!$B$9:$B$28,0)),"✔ OK","⚠ 未登録"))</f>
        <v/>
      </c>
    </row>
    <row r="1447" customFormat="false" ht="15" hidden="false" customHeight="false" outlineLevel="0" collapsed="false">
      <c r="A1447" s="61"/>
      <c r="B1447" s="62"/>
      <c r="C1447" s="63"/>
      <c r="D1447" s="63"/>
      <c r="E1447" s="62"/>
      <c r="F1447" s="62"/>
      <c r="G1447" s="62"/>
      <c r="I1447" s="64" t="str">
        <f aca="false">IF($B1447="","",IF(ISNUMBER(MATCH($B1447,日別データ!$B$9:$B$28,0)),"✔ OK","⚠ 未登録"))</f>
        <v/>
      </c>
    </row>
    <row r="1448" customFormat="false" ht="15" hidden="false" customHeight="false" outlineLevel="0" collapsed="false">
      <c r="A1448" s="61"/>
      <c r="B1448" s="62"/>
      <c r="C1448" s="63"/>
      <c r="D1448" s="63"/>
      <c r="E1448" s="62"/>
      <c r="F1448" s="62"/>
      <c r="G1448" s="62"/>
      <c r="I1448" s="64" t="str">
        <f aca="false">IF($B1448="","",IF(ISNUMBER(MATCH($B1448,日別データ!$B$9:$B$28,0)),"✔ OK","⚠ 未登録"))</f>
        <v/>
      </c>
    </row>
    <row r="1449" customFormat="false" ht="15" hidden="false" customHeight="false" outlineLevel="0" collapsed="false">
      <c r="A1449" s="61"/>
      <c r="B1449" s="62"/>
      <c r="C1449" s="63"/>
      <c r="D1449" s="63"/>
      <c r="E1449" s="62"/>
      <c r="F1449" s="62"/>
      <c r="G1449" s="62"/>
      <c r="I1449" s="64" t="str">
        <f aca="false">IF($B1449="","",IF(ISNUMBER(MATCH($B1449,日別データ!$B$9:$B$28,0)),"✔ OK","⚠ 未登録"))</f>
        <v/>
      </c>
    </row>
    <row r="1450" customFormat="false" ht="15" hidden="false" customHeight="false" outlineLevel="0" collapsed="false">
      <c r="A1450" s="61"/>
      <c r="B1450" s="62"/>
      <c r="C1450" s="63"/>
      <c r="D1450" s="63"/>
      <c r="E1450" s="62"/>
      <c r="F1450" s="62"/>
      <c r="G1450" s="62"/>
      <c r="I1450" s="64" t="str">
        <f aca="false">IF($B1450="","",IF(ISNUMBER(MATCH($B1450,日別データ!$B$9:$B$28,0)),"✔ OK","⚠ 未登録"))</f>
        <v/>
      </c>
    </row>
    <row r="1451" customFormat="false" ht="15" hidden="false" customHeight="false" outlineLevel="0" collapsed="false">
      <c r="A1451" s="61"/>
      <c r="B1451" s="62"/>
      <c r="C1451" s="63"/>
      <c r="D1451" s="63"/>
      <c r="E1451" s="62"/>
      <c r="F1451" s="62"/>
      <c r="G1451" s="62"/>
      <c r="I1451" s="64" t="str">
        <f aca="false">IF($B1451="","",IF(ISNUMBER(MATCH($B1451,日別データ!$B$9:$B$28,0)),"✔ OK","⚠ 未登録"))</f>
        <v/>
      </c>
    </row>
    <row r="1452" customFormat="false" ht="15" hidden="false" customHeight="false" outlineLevel="0" collapsed="false">
      <c r="A1452" s="61"/>
      <c r="B1452" s="62"/>
      <c r="C1452" s="63"/>
      <c r="D1452" s="63"/>
      <c r="E1452" s="62"/>
      <c r="F1452" s="62"/>
      <c r="G1452" s="62"/>
      <c r="I1452" s="64" t="str">
        <f aca="false">IF($B1452="","",IF(ISNUMBER(MATCH($B1452,日別データ!$B$9:$B$28,0)),"✔ OK","⚠ 未登録"))</f>
        <v/>
      </c>
    </row>
    <row r="1453" customFormat="false" ht="15" hidden="false" customHeight="false" outlineLevel="0" collapsed="false">
      <c r="A1453" s="61"/>
      <c r="B1453" s="62"/>
      <c r="C1453" s="63"/>
      <c r="D1453" s="63"/>
      <c r="E1453" s="62"/>
      <c r="F1453" s="62"/>
      <c r="G1453" s="62"/>
      <c r="I1453" s="64" t="str">
        <f aca="false">IF($B1453="","",IF(ISNUMBER(MATCH($B1453,日別データ!$B$9:$B$28,0)),"✔ OK","⚠ 未登録"))</f>
        <v/>
      </c>
    </row>
    <row r="1454" customFormat="false" ht="15" hidden="false" customHeight="false" outlineLevel="0" collapsed="false">
      <c r="A1454" s="61"/>
      <c r="B1454" s="62"/>
      <c r="C1454" s="63"/>
      <c r="D1454" s="63"/>
      <c r="E1454" s="62"/>
      <c r="F1454" s="62"/>
      <c r="G1454" s="62"/>
      <c r="I1454" s="64" t="str">
        <f aca="false">IF($B1454="","",IF(ISNUMBER(MATCH($B1454,日別データ!$B$9:$B$28,0)),"✔ OK","⚠ 未登録"))</f>
        <v/>
      </c>
    </row>
    <row r="1455" customFormat="false" ht="15" hidden="false" customHeight="false" outlineLevel="0" collapsed="false">
      <c r="A1455" s="61"/>
      <c r="B1455" s="62"/>
      <c r="C1455" s="63"/>
      <c r="D1455" s="63"/>
      <c r="E1455" s="62"/>
      <c r="F1455" s="62"/>
      <c r="G1455" s="62"/>
      <c r="I1455" s="64" t="str">
        <f aca="false">IF($B1455="","",IF(ISNUMBER(MATCH($B1455,日別データ!$B$9:$B$28,0)),"✔ OK","⚠ 未登録"))</f>
        <v/>
      </c>
    </row>
    <row r="1456" customFormat="false" ht="15" hidden="false" customHeight="false" outlineLevel="0" collapsed="false">
      <c r="A1456" s="61"/>
      <c r="B1456" s="62"/>
      <c r="C1456" s="63"/>
      <c r="D1456" s="63"/>
      <c r="E1456" s="62"/>
      <c r="F1456" s="62"/>
      <c r="G1456" s="62"/>
      <c r="I1456" s="64" t="str">
        <f aca="false">IF($B1456="","",IF(ISNUMBER(MATCH($B1456,日別データ!$B$9:$B$28,0)),"✔ OK","⚠ 未登録"))</f>
        <v/>
      </c>
    </row>
    <row r="1457" customFormat="false" ht="15" hidden="false" customHeight="false" outlineLevel="0" collapsed="false">
      <c r="A1457" s="61"/>
      <c r="B1457" s="62"/>
      <c r="C1457" s="63"/>
      <c r="D1457" s="63"/>
      <c r="E1457" s="62"/>
      <c r="F1457" s="62"/>
      <c r="G1457" s="62"/>
      <c r="I1457" s="64" t="str">
        <f aca="false">IF($B1457="","",IF(ISNUMBER(MATCH($B1457,日別データ!$B$9:$B$28,0)),"✔ OK","⚠ 未登録"))</f>
        <v/>
      </c>
    </row>
    <row r="1458" customFormat="false" ht="15" hidden="false" customHeight="false" outlineLevel="0" collapsed="false">
      <c r="A1458" s="61"/>
      <c r="B1458" s="62"/>
      <c r="C1458" s="63"/>
      <c r="D1458" s="63"/>
      <c r="E1458" s="62"/>
      <c r="F1458" s="62"/>
      <c r="G1458" s="62"/>
      <c r="I1458" s="64" t="str">
        <f aca="false">IF($B1458="","",IF(ISNUMBER(MATCH($B1458,日別データ!$B$9:$B$28,0)),"✔ OK","⚠ 未登録"))</f>
        <v/>
      </c>
    </row>
    <row r="1459" customFormat="false" ht="15" hidden="false" customHeight="false" outlineLevel="0" collapsed="false">
      <c r="A1459" s="61"/>
      <c r="B1459" s="62"/>
      <c r="C1459" s="63"/>
      <c r="D1459" s="63"/>
      <c r="E1459" s="62"/>
      <c r="F1459" s="62"/>
      <c r="G1459" s="62"/>
      <c r="I1459" s="64" t="str">
        <f aca="false">IF($B1459="","",IF(ISNUMBER(MATCH($B1459,日別データ!$B$9:$B$28,0)),"✔ OK","⚠ 未登録"))</f>
        <v/>
      </c>
    </row>
    <row r="1460" customFormat="false" ht="15" hidden="false" customHeight="false" outlineLevel="0" collapsed="false">
      <c r="A1460" s="61"/>
      <c r="B1460" s="62"/>
      <c r="C1460" s="63"/>
      <c r="D1460" s="63"/>
      <c r="E1460" s="62"/>
      <c r="F1460" s="62"/>
      <c r="G1460" s="62"/>
      <c r="I1460" s="64" t="str">
        <f aca="false">IF($B1460="","",IF(ISNUMBER(MATCH($B1460,日別データ!$B$9:$B$28,0)),"✔ OK","⚠ 未登録"))</f>
        <v/>
      </c>
    </row>
    <row r="1461" customFormat="false" ht="15" hidden="false" customHeight="false" outlineLevel="0" collapsed="false">
      <c r="A1461" s="61"/>
      <c r="B1461" s="62"/>
      <c r="C1461" s="63"/>
      <c r="D1461" s="63"/>
      <c r="E1461" s="62"/>
      <c r="F1461" s="62"/>
      <c r="G1461" s="62"/>
      <c r="I1461" s="64" t="str">
        <f aca="false">IF($B1461="","",IF(ISNUMBER(MATCH($B1461,日別データ!$B$9:$B$28,0)),"✔ OK","⚠ 未登録"))</f>
        <v/>
      </c>
    </row>
    <row r="1462" customFormat="false" ht="15" hidden="false" customHeight="false" outlineLevel="0" collapsed="false">
      <c r="A1462" s="61"/>
      <c r="B1462" s="62"/>
      <c r="C1462" s="63"/>
      <c r="D1462" s="63"/>
      <c r="E1462" s="62"/>
      <c r="F1462" s="62"/>
      <c r="G1462" s="62"/>
      <c r="I1462" s="64" t="str">
        <f aca="false">IF($B1462="","",IF(ISNUMBER(MATCH($B1462,日別データ!$B$9:$B$28,0)),"✔ OK","⚠ 未登録"))</f>
        <v/>
      </c>
    </row>
    <row r="1463" customFormat="false" ht="15" hidden="false" customHeight="false" outlineLevel="0" collapsed="false">
      <c r="A1463" s="61"/>
      <c r="B1463" s="62"/>
      <c r="C1463" s="63"/>
      <c r="D1463" s="63"/>
      <c r="E1463" s="62"/>
      <c r="F1463" s="62"/>
      <c r="G1463" s="62"/>
      <c r="I1463" s="64" t="str">
        <f aca="false">IF($B1463="","",IF(ISNUMBER(MATCH($B1463,日別データ!$B$9:$B$28,0)),"✔ OK","⚠ 未登録"))</f>
        <v/>
      </c>
    </row>
    <row r="1464" customFormat="false" ht="15" hidden="false" customHeight="false" outlineLevel="0" collapsed="false">
      <c r="A1464" s="61"/>
      <c r="B1464" s="62"/>
      <c r="C1464" s="63"/>
      <c r="D1464" s="63"/>
      <c r="E1464" s="62"/>
      <c r="F1464" s="62"/>
      <c r="G1464" s="62"/>
      <c r="I1464" s="64" t="str">
        <f aca="false">IF($B1464="","",IF(ISNUMBER(MATCH($B1464,日別データ!$B$9:$B$28,0)),"✔ OK","⚠ 未登録"))</f>
        <v/>
      </c>
    </row>
    <row r="1465" customFormat="false" ht="15" hidden="false" customHeight="false" outlineLevel="0" collapsed="false">
      <c r="A1465" s="61"/>
      <c r="B1465" s="62"/>
      <c r="C1465" s="63"/>
      <c r="D1465" s="63"/>
      <c r="E1465" s="62"/>
      <c r="F1465" s="62"/>
      <c r="G1465" s="62"/>
      <c r="I1465" s="64" t="str">
        <f aca="false">IF($B1465="","",IF(ISNUMBER(MATCH($B1465,日別データ!$B$9:$B$28,0)),"✔ OK","⚠ 未登録"))</f>
        <v/>
      </c>
    </row>
    <row r="1466" customFormat="false" ht="15" hidden="false" customHeight="false" outlineLevel="0" collapsed="false">
      <c r="A1466" s="61"/>
      <c r="B1466" s="62"/>
      <c r="C1466" s="63"/>
      <c r="D1466" s="63"/>
      <c r="E1466" s="62"/>
      <c r="F1466" s="62"/>
      <c r="G1466" s="62"/>
      <c r="I1466" s="64" t="str">
        <f aca="false">IF($B1466="","",IF(ISNUMBER(MATCH($B1466,日別データ!$B$9:$B$28,0)),"✔ OK","⚠ 未登録"))</f>
        <v/>
      </c>
    </row>
    <row r="1467" customFormat="false" ht="15" hidden="false" customHeight="false" outlineLevel="0" collapsed="false">
      <c r="A1467" s="61"/>
      <c r="B1467" s="62"/>
      <c r="C1467" s="63"/>
      <c r="D1467" s="63"/>
      <c r="E1467" s="62"/>
      <c r="F1467" s="62"/>
      <c r="G1467" s="62"/>
      <c r="I1467" s="64" t="str">
        <f aca="false">IF($B1467="","",IF(ISNUMBER(MATCH($B1467,日別データ!$B$9:$B$28,0)),"✔ OK","⚠ 未登録"))</f>
        <v/>
      </c>
    </row>
    <row r="1468" customFormat="false" ht="15" hidden="false" customHeight="false" outlineLevel="0" collapsed="false">
      <c r="A1468" s="61"/>
      <c r="B1468" s="62"/>
      <c r="C1468" s="63"/>
      <c r="D1468" s="63"/>
      <c r="E1468" s="62"/>
      <c r="F1468" s="62"/>
      <c r="G1468" s="62"/>
      <c r="I1468" s="64" t="str">
        <f aca="false">IF($B1468="","",IF(ISNUMBER(MATCH($B1468,日別データ!$B$9:$B$28,0)),"✔ OK","⚠ 未登録"))</f>
        <v/>
      </c>
    </row>
    <row r="1469" customFormat="false" ht="15" hidden="false" customHeight="false" outlineLevel="0" collapsed="false">
      <c r="A1469" s="61"/>
      <c r="B1469" s="62"/>
      <c r="C1469" s="63"/>
      <c r="D1469" s="63"/>
      <c r="E1469" s="62"/>
      <c r="F1469" s="62"/>
      <c r="G1469" s="62"/>
      <c r="I1469" s="64" t="str">
        <f aca="false">IF($B1469="","",IF(ISNUMBER(MATCH($B1469,日別データ!$B$9:$B$28,0)),"✔ OK","⚠ 未登録"))</f>
        <v/>
      </c>
    </row>
    <row r="1470" customFormat="false" ht="15" hidden="false" customHeight="false" outlineLevel="0" collapsed="false">
      <c r="A1470" s="61"/>
      <c r="B1470" s="62"/>
      <c r="C1470" s="63"/>
      <c r="D1470" s="63"/>
      <c r="E1470" s="62"/>
      <c r="F1470" s="62"/>
      <c r="G1470" s="62"/>
      <c r="I1470" s="64" t="str">
        <f aca="false">IF($B1470="","",IF(ISNUMBER(MATCH($B1470,日別データ!$B$9:$B$28,0)),"✔ OK","⚠ 未登録"))</f>
        <v/>
      </c>
    </row>
    <row r="1471" customFormat="false" ht="15" hidden="false" customHeight="false" outlineLevel="0" collapsed="false">
      <c r="A1471" s="61"/>
      <c r="B1471" s="62"/>
      <c r="C1471" s="63"/>
      <c r="D1471" s="63"/>
      <c r="E1471" s="62"/>
      <c r="F1471" s="62"/>
      <c r="G1471" s="62"/>
      <c r="I1471" s="64" t="str">
        <f aca="false">IF($B1471="","",IF(ISNUMBER(MATCH($B1471,日別データ!$B$9:$B$28,0)),"✔ OK","⚠ 未登録"))</f>
        <v/>
      </c>
    </row>
    <row r="1472" customFormat="false" ht="15" hidden="false" customHeight="false" outlineLevel="0" collapsed="false">
      <c r="A1472" s="61"/>
      <c r="B1472" s="62"/>
      <c r="C1472" s="63"/>
      <c r="D1472" s="63"/>
      <c r="E1472" s="62"/>
      <c r="F1472" s="62"/>
      <c r="G1472" s="62"/>
      <c r="I1472" s="64" t="str">
        <f aca="false">IF($B1472="","",IF(ISNUMBER(MATCH($B1472,日別データ!$B$9:$B$28,0)),"✔ OK","⚠ 未登録"))</f>
        <v/>
      </c>
    </row>
    <row r="1473" customFormat="false" ht="15" hidden="false" customHeight="false" outlineLevel="0" collapsed="false">
      <c r="A1473" s="61"/>
      <c r="B1473" s="62"/>
      <c r="C1473" s="63"/>
      <c r="D1473" s="63"/>
      <c r="E1473" s="62"/>
      <c r="F1473" s="62"/>
      <c r="G1473" s="62"/>
      <c r="I1473" s="64" t="str">
        <f aca="false">IF($B1473="","",IF(ISNUMBER(MATCH($B1473,日別データ!$B$9:$B$28,0)),"✔ OK","⚠ 未登録"))</f>
        <v/>
      </c>
    </row>
    <row r="1474" customFormat="false" ht="15" hidden="false" customHeight="false" outlineLevel="0" collapsed="false">
      <c r="A1474" s="61"/>
      <c r="B1474" s="62"/>
      <c r="C1474" s="63"/>
      <c r="D1474" s="63"/>
      <c r="E1474" s="62"/>
      <c r="F1474" s="62"/>
      <c r="G1474" s="62"/>
      <c r="I1474" s="64" t="str">
        <f aca="false">IF($B1474="","",IF(ISNUMBER(MATCH($B1474,日別データ!$B$9:$B$28,0)),"✔ OK","⚠ 未登録"))</f>
        <v/>
      </c>
    </row>
    <row r="1475" customFormat="false" ht="15" hidden="false" customHeight="false" outlineLevel="0" collapsed="false">
      <c r="A1475" s="61"/>
      <c r="B1475" s="62"/>
      <c r="C1475" s="63"/>
      <c r="D1475" s="63"/>
      <c r="E1475" s="62"/>
      <c r="F1475" s="62"/>
      <c r="G1475" s="62"/>
      <c r="I1475" s="64" t="str">
        <f aca="false">IF($B1475="","",IF(ISNUMBER(MATCH($B1475,日別データ!$B$9:$B$28,0)),"✔ OK","⚠ 未登録"))</f>
        <v/>
      </c>
    </row>
    <row r="1476" customFormat="false" ht="15" hidden="false" customHeight="false" outlineLevel="0" collapsed="false">
      <c r="A1476" s="61"/>
      <c r="B1476" s="62"/>
      <c r="C1476" s="63"/>
      <c r="D1476" s="63"/>
      <c r="E1476" s="62"/>
      <c r="F1476" s="62"/>
      <c r="G1476" s="62"/>
      <c r="I1476" s="64" t="str">
        <f aca="false">IF($B1476="","",IF(ISNUMBER(MATCH($B1476,日別データ!$B$9:$B$28,0)),"✔ OK","⚠ 未登録"))</f>
        <v/>
      </c>
    </row>
    <row r="1477" customFormat="false" ht="15" hidden="false" customHeight="false" outlineLevel="0" collapsed="false">
      <c r="A1477" s="61"/>
      <c r="B1477" s="62"/>
      <c r="C1477" s="63"/>
      <c r="D1477" s="63"/>
      <c r="E1477" s="62"/>
      <c r="F1477" s="62"/>
      <c r="G1477" s="62"/>
      <c r="I1477" s="64" t="str">
        <f aca="false">IF($B1477="","",IF(ISNUMBER(MATCH($B1477,日別データ!$B$9:$B$28,0)),"✔ OK","⚠ 未登録"))</f>
        <v/>
      </c>
    </row>
    <row r="1478" customFormat="false" ht="15" hidden="false" customHeight="false" outlineLevel="0" collapsed="false">
      <c r="A1478" s="61"/>
      <c r="B1478" s="62"/>
      <c r="C1478" s="63"/>
      <c r="D1478" s="63"/>
      <c r="E1478" s="62"/>
      <c r="F1478" s="62"/>
      <c r="G1478" s="62"/>
      <c r="I1478" s="64" t="str">
        <f aca="false">IF($B1478="","",IF(ISNUMBER(MATCH($B1478,日別データ!$B$9:$B$28,0)),"✔ OK","⚠ 未登録"))</f>
        <v/>
      </c>
    </row>
    <row r="1479" customFormat="false" ht="15" hidden="false" customHeight="false" outlineLevel="0" collapsed="false">
      <c r="A1479" s="61"/>
      <c r="B1479" s="62"/>
      <c r="C1479" s="63"/>
      <c r="D1479" s="63"/>
      <c r="E1479" s="62"/>
      <c r="F1479" s="62"/>
      <c r="G1479" s="62"/>
      <c r="I1479" s="64" t="str">
        <f aca="false">IF($B1479="","",IF(ISNUMBER(MATCH($B1479,日別データ!$B$9:$B$28,0)),"✔ OK","⚠ 未登録"))</f>
        <v/>
      </c>
    </row>
    <row r="1480" customFormat="false" ht="15" hidden="false" customHeight="false" outlineLevel="0" collapsed="false">
      <c r="A1480" s="61"/>
      <c r="B1480" s="62"/>
      <c r="C1480" s="63"/>
      <c r="D1480" s="63"/>
      <c r="E1480" s="62"/>
      <c r="F1480" s="62"/>
      <c r="G1480" s="62"/>
      <c r="I1480" s="64" t="str">
        <f aca="false">IF($B1480="","",IF(ISNUMBER(MATCH($B1480,日別データ!$B$9:$B$28,0)),"✔ OK","⚠ 未登録"))</f>
        <v/>
      </c>
    </row>
    <row r="1481" customFormat="false" ht="15" hidden="false" customHeight="false" outlineLevel="0" collapsed="false">
      <c r="A1481" s="61"/>
      <c r="B1481" s="62"/>
      <c r="C1481" s="63"/>
      <c r="D1481" s="63"/>
      <c r="E1481" s="62"/>
      <c r="F1481" s="62"/>
      <c r="G1481" s="62"/>
      <c r="I1481" s="64" t="str">
        <f aca="false">IF($B1481="","",IF(ISNUMBER(MATCH($B1481,日別データ!$B$9:$B$28,0)),"✔ OK","⚠ 未登録"))</f>
        <v/>
      </c>
    </row>
    <row r="1482" customFormat="false" ht="15" hidden="false" customHeight="false" outlineLevel="0" collapsed="false">
      <c r="A1482" s="61"/>
      <c r="B1482" s="62"/>
      <c r="C1482" s="63"/>
      <c r="D1482" s="63"/>
      <c r="E1482" s="62"/>
      <c r="F1482" s="62"/>
      <c r="G1482" s="62"/>
      <c r="I1482" s="64" t="str">
        <f aca="false">IF($B1482="","",IF(ISNUMBER(MATCH($B1482,日別データ!$B$9:$B$28,0)),"✔ OK","⚠ 未登録"))</f>
        <v/>
      </c>
    </row>
    <row r="1483" customFormat="false" ht="15" hidden="false" customHeight="false" outlineLevel="0" collapsed="false">
      <c r="A1483" s="61"/>
      <c r="B1483" s="62"/>
      <c r="C1483" s="63"/>
      <c r="D1483" s="63"/>
      <c r="E1483" s="62"/>
      <c r="F1483" s="62"/>
      <c r="G1483" s="62"/>
      <c r="I1483" s="64" t="str">
        <f aca="false">IF($B1483="","",IF(ISNUMBER(MATCH($B1483,日別データ!$B$9:$B$28,0)),"✔ OK","⚠ 未登録"))</f>
        <v/>
      </c>
    </row>
    <row r="1484" customFormat="false" ht="15" hidden="false" customHeight="false" outlineLevel="0" collapsed="false">
      <c r="A1484" s="61"/>
      <c r="B1484" s="62"/>
      <c r="C1484" s="63"/>
      <c r="D1484" s="63"/>
      <c r="E1484" s="62"/>
      <c r="F1484" s="62"/>
      <c r="G1484" s="62"/>
      <c r="I1484" s="64" t="str">
        <f aca="false">IF($B1484="","",IF(ISNUMBER(MATCH($B1484,日別データ!$B$9:$B$28,0)),"✔ OK","⚠ 未登録"))</f>
        <v/>
      </c>
    </row>
    <row r="1485" customFormat="false" ht="15" hidden="false" customHeight="false" outlineLevel="0" collapsed="false">
      <c r="A1485" s="61"/>
      <c r="B1485" s="62"/>
      <c r="C1485" s="63"/>
      <c r="D1485" s="63"/>
      <c r="E1485" s="62"/>
      <c r="F1485" s="62"/>
      <c r="G1485" s="62"/>
      <c r="I1485" s="64" t="str">
        <f aca="false">IF($B1485="","",IF(ISNUMBER(MATCH($B1485,日別データ!$B$9:$B$28,0)),"✔ OK","⚠ 未登録"))</f>
        <v/>
      </c>
    </row>
    <row r="1486" customFormat="false" ht="15" hidden="false" customHeight="false" outlineLevel="0" collapsed="false">
      <c r="A1486" s="61"/>
      <c r="B1486" s="62"/>
      <c r="C1486" s="63"/>
      <c r="D1486" s="63"/>
      <c r="E1486" s="62"/>
      <c r="F1486" s="62"/>
      <c r="G1486" s="62"/>
      <c r="I1486" s="64" t="str">
        <f aca="false">IF($B1486="","",IF(ISNUMBER(MATCH($B1486,日別データ!$B$9:$B$28,0)),"✔ OK","⚠ 未登録"))</f>
        <v/>
      </c>
    </row>
    <row r="1487" customFormat="false" ht="15" hidden="false" customHeight="false" outlineLevel="0" collapsed="false">
      <c r="A1487" s="61"/>
      <c r="B1487" s="62"/>
      <c r="C1487" s="63"/>
      <c r="D1487" s="63"/>
      <c r="E1487" s="62"/>
      <c r="F1487" s="62"/>
      <c r="G1487" s="62"/>
      <c r="I1487" s="64" t="str">
        <f aca="false">IF($B1487="","",IF(ISNUMBER(MATCH($B1487,日別データ!$B$9:$B$28,0)),"✔ OK","⚠ 未登録"))</f>
        <v/>
      </c>
    </row>
    <row r="1488" customFormat="false" ht="15" hidden="false" customHeight="false" outlineLevel="0" collapsed="false">
      <c r="A1488" s="61"/>
      <c r="B1488" s="62"/>
      <c r="C1488" s="63"/>
      <c r="D1488" s="63"/>
      <c r="E1488" s="62"/>
      <c r="F1488" s="62"/>
      <c r="G1488" s="62"/>
      <c r="I1488" s="64" t="str">
        <f aca="false">IF($B1488="","",IF(ISNUMBER(MATCH($B1488,日別データ!$B$9:$B$28,0)),"✔ OK","⚠ 未登録"))</f>
        <v/>
      </c>
    </row>
    <row r="1489" customFormat="false" ht="15" hidden="false" customHeight="false" outlineLevel="0" collapsed="false">
      <c r="A1489" s="61"/>
      <c r="B1489" s="62"/>
      <c r="C1489" s="63"/>
      <c r="D1489" s="63"/>
      <c r="E1489" s="62"/>
      <c r="F1489" s="62"/>
      <c r="G1489" s="62"/>
      <c r="I1489" s="64" t="str">
        <f aca="false">IF($B1489="","",IF(ISNUMBER(MATCH($B1489,日別データ!$B$9:$B$28,0)),"✔ OK","⚠ 未登録"))</f>
        <v/>
      </c>
    </row>
    <row r="1490" customFormat="false" ht="15" hidden="false" customHeight="false" outlineLevel="0" collapsed="false">
      <c r="A1490" s="61"/>
      <c r="B1490" s="62"/>
      <c r="C1490" s="63"/>
      <c r="D1490" s="63"/>
      <c r="E1490" s="62"/>
      <c r="F1490" s="62"/>
      <c r="G1490" s="62"/>
      <c r="I1490" s="64" t="str">
        <f aca="false">IF($B1490="","",IF(ISNUMBER(MATCH($B1490,日別データ!$B$9:$B$28,0)),"✔ OK","⚠ 未登録"))</f>
        <v/>
      </c>
    </row>
    <row r="1491" customFormat="false" ht="15" hidden="false" customHeight="false" outlineLevel="0" collapsed="false">
      <c r="A1491" s="61"/>
      <c r="B1491" s="62"/>
      <c r="C1491" s="63"/>
      <c r="D1491" s="63"/>
      <c r="E1491" s="62"/>
      <c r="F1491" s="62"/>
      <c r="G1491" s="62"/>
      <c r="I1491" s="64" t="str">
        <f aca="false">IF($B1491="","",IF(ISNUMBER(MATCH($B1491,日別データ!$B$9:$B$28,0)),"✔ OK","⚠ 未登録"))</f>
        <v/>
      </c>
    </row>
    <row r="1492" customFormat="false" ht="15" hidden="false" customHeight="false" outlineLevel="0" collapsed="false">
      <c r="A1492" s="61"/>
      <c r="B1492" s="62"/>
      <c r="C1492" s="63"/>
      <c r="D1492" s="63"/>
      <c r="E1492" s="62"/>
      <c r="F1492" s="62"/>
      <c r="G1492" s="62"/>
      <c r="I1492" s="64" t="str">
        <f aca="false">IF($B1492="","",IF(ISNUMBER(MATCH($B1492,日別データ!$B$9:$B$28,0)),"✔ OK","⚠ 未登録"))</f>
        <v/>
      </c>
    </row>
    <row r="1493" customFormat="false" ht="15" hidden="false" customHeight="false" outlineLevel="0" collapsed="false">
      <c r="A1493" s="61"/>
      <c r="B1493" s="62"/>
      <c r="C1493" s="63"/>
      <c r="D1493" s="63"/>
      <c r="E1493" s="62"/>
      <c r="F1493" s="62"/>
      <c r="G1493" s="62"/>
      <c r="I1493" s="64" t="str">
        <f aca="false">IF($B1493="","",IF(ISNUMBER(MATCH($B1493,日別データ!$B$9:$B$28,0)),"✔ OK","⚠ 未登録"))</f>
        <v/>
      </c>
    </row>
    <row r="1494" customFormat="false" ht="15" hidden="false" customHeight="false" outlineLevel="0" collapsed="false">
      <c r="A1494" s="61"/>
      <c r="B1494" s="62"/>
      <c r="C1494" s="63"/>
      <c r="D1494" s="63"/>
      <c r="E1494" s="62"/>
      <c r="F1494" s="62"/>
      <c r="G1494" s="62"/>
      <c r="I1494" s="64" t="str">
        <f aca="false">IF($B1494="","",IF(ISNUMBER(MATCH($B1494,日別データ!$B$9:$B$28,0)),"✔ OK","⚠ 未登録"))</f>
        <v/>
      </c>
    </row>
    <row r="1495" customFormat="false" ht="15" hidden="false" customHeight="false" outlineLevel="0" collapsed="false">
      <c r="A1495" s="61"/>
      <c r="B1495" s="62"/>
      <c r="C1495" s="63"/>
      <c r="D1495" s="63"/>
      <c r="E1495" s="62"/>
      <c r="F1495" s="62"/>
      <c r="G1495" s="62"/>
      <c r="I1495" s="64" t="str">
        <f aca="false">IF($B1495="","",IF(ISNUMBER(MATCH($B1495,日別データ!$B$9:$B$28,0)),"✔ OK","⚠ 未登録"))</f>
        <v/>
      </c>
    </row>
    <row r="1496" customFormat="false" ht="15" hidden="false" customHeight="false" outlineLevel="0" collapsed="false">
      <c r="A1496" s="61"/>
      <c r="B1496" s="62"/>
      <c r="C1496" s="63"/>
      <c r="D1496" s="63"/>
      <c r="E1496" s="62"/>
      <c r="F1496" s="62"/>
      <c r="G1496" s="62"/>
      <c r="I1496" s="64" t="str">
        <f aca="false">IF($B1496="","",IF(ISNUMBER(MATCH($B1496,日別データ!$B$9:$B$28,0)),"✔ OK","⚠ 未登録"))</f>
        <v/>
      </c>
    </row>
    <row r="1497" customFormat="false" ht="15" hidden="false" customHeight="false" outlineLevel="0" collapsed="false">
      <c r="A1497" s="61"/>
      <c r="B1497" s="62"/>
      <c r="C1497" s="63"/>
      <c r="D1497" s="63"/>
      <c r="E1497" s="62"/>
      <c r="F1497" s="62"/>
      <c r="G1497" s="62"/>
      <c r="I1497" s="64" t="str">
        <f aca="false">IF($B1497="","",IF(ISNUMBER(MATCH($B1497,日別データ!$B$9:$B$28,0)),"✔ OK","⚠ 未登録"))</f>
        <v/>
      </c>
    </row>
    <row r="1498" customFormat="false" ht="15" hidden="false" customHeight="false" outlineLevel="0" collapsed="false">
      <c r="A1498" s="61"/>
      <c r="B1498" s="62"/>
      <c r="C1498" s="63"/>
      <c r="D1498" s="63"/>
      <c r="E1498" s="62"/>
      <c r="F1498" s="62"/>
      <c r="G1498" s="62"/>
      <c r="I1498" s="64" t="str">
        <f aca="false">IF($B1498="","",IF(ISNUMBER(MATCH($B1498,日別データ!$B$9:$B$28,0)),"✔ OK","⚠ 未登録"))</f>
        <v/>
      </c>
    </row>
    <row r="1499" customFormat="false" ht="15" hidden="false" customHeight="false" outlineLevel="0" collapsed="false">
      <c r="A1499" s="61"/>
      <c r="B1499" s="62"/>
      <c r="C1499" s="63"/>
      <c r="D1499" s="63"/>
      <c r="E1499" s="62"/>
      <c r="F1499" s="62"/>
      <c r="G1499" s="62"/>
      <c r="I1499" s="64" t="str">
        <f aca="false">IF($B1499="","",IF(ISNUMBER(MATCH($B1499,日別データ!$B$9:$B$28,0)),"✔ OK","⚠ 未登録"))</f>
        <v/>
      </c>
    </row>
    <row r="1500" customFormat="false" ht="15" hidden="false" customHeight="false" outlineLevel="0" collapsed="false">
      <c r="A1500" s="61"/>
      <c r="B1500" s="62"/>
      <c r="C1500" s="63"/>
      <c r="D1500" s="63"/>
      <c r="E1500" s="62"/>
      <c r="F1500" s="62"/>
      <c r="G1500" s="62"/>
      <c r="I1500" s="64" t="str">
        <f aca="false">IF($B1500="","",IF(ISNUMBER(MATCH($B1500,日別データ!$B$9:$B$28,0)),"✔ OK","⚠ 未登録"))</f>
        <v/>
      </c>
    </row>
    <row r="1501" customFormat="false" ht="15" hidden="false" customHeight="false" outlineLevel="0" collapsed="false">
      <c r="A1501" s="61"/>
      <c r="B1501" s="62"/>
      <c r="C1501" s="63"/>
      <c r="D1501" s="63"/>
      <c r="E1501" s="62"/>
      <c r="F1501" s="62"/>
      <c r="G1501" s="62"/>
      <c r="I1501" s="64" t="str">
        <f aca="false">IF($B1501="","",IF(ISNUMBER(MATCH($B1501,日別データ!$B$9:$B$28,0)),"✔ OK","⚠ 未登録"))</f>
        <v/>
      </c>
    </row>
    <row r="1502" customFormat="false" ht="15" hidden="false" customHeight="false" outlineLevel="0" collapsed="false">
      <c r="A1502" s="61"/>
      <c r="B1502" s="62"/>
      <c r="C1502" s="63"/>
      <c r="D1502" s="63"/>
      <c r="E1502" s="62"/>
      <c r="F1502" s="62"/>
      <c r="G1502" s="62"/>
      <c r="I1502" s="64" t="str">
        <f aca="false">IF($B1502="","",IF(ISNUMBER(MATCH($B1502,日別データ!$B$9:$B$28,0)),"✔ OK","⚠ 未登録"))</f>
        <v/>
      </c>
    </row>
    <row r="1503" customFormat="false" ht="15" hidden="false" customHeight="false" outlineLevel="0" collapsed="false">
      <c r="A1503" s="61"/>
      <c r="B1503" s="62"/>
      <c r="C1503" s="63"/>
      <c r="D1503" s="63"/>
      <c r="E1503" s="62"/>
      <c r="F1503" s="62"/>
      <c r="G1503" s="62"/>
      <c r="I1503" s="64" t="str">
        <f aca="false">IF($B1503="","",IF(ISNUMBER(MATCH($B1503,日別データ!$B$9:$B$28,0)),"✔ OK","⚠ 未登録"))</f>
        <v/>
      </c>
    </row>
    <row r="1504" customFormat="false" ht="15" hidden="false" customHeight="false" outlineLevel="0" collapsed="false">
      <c r="A1504" s="61"/>
      <c r="B1504" s="62"/>
      <c r="C1504" s="63"/>
      <c r="D1504" s="63"/>
      <c r="E1504" s="62"/>
      <c r="F1504" s="62"/>
      <c r="G1504" s="62"/>
      <c r="I1504" s="64" t="str">
        <f aca="false">IF($B1504="","",IF(ISNUMBER(MATCH($B1504,日別データ!$B$9:$B$28,0)),"✔ OK","⚠ 未登録"))</f>
        <v/>
      </c>
    </row>
    <row r="1505" customFormat="false" ht="15" hidden="false" customHeight="false" outlineLevel="0" collapsed="false">
      <c r="A1505" s="61"/>
      <c r="B1505" s="62"/>
      <c r="C1505" s="63"/>
      <c r="D1505" s="63"/>
      <c r="E1505" s="62"/>
      <c r="F1505" s="62"/>
      <c r="G1505" s="62"/>
      <c r="I1505" s="64" t="str">
        <f aca="false">IF($B1505="","",IF(ISNUMBER(MATCH($B1505,日別データ!$B$9:$B$28,0)),"✔ OK","⚠ 未登録"))</f>
        <v/>
      </c>
    </row>
    <row r="1506" customFormat="false" ht="15" hidden="false" customHeight="false" outlineLevel="0" collapsed="false">
      <c r="A1506" s="61"/>
      <c r="B1506" s="62"/>
      <c r="C1506" s="63"/>
      <c r="D1506" s="63"/>
      <c r="E1506" s="62"/>
      <c r="F1506" s="62"/>
      <c r="G1506" s="62"/>
      <c r="I1506" s="64" t="str">
        <f aca="false">IF($B1506="","",IF(ISNUMBER(MATCH($B1506,日別データ!$B$9:$B$28,0)),"✔ OK","⚠ 未登録"))</f>
        <v/>
      </c>
    </row>
    <row r="1507" customFormat="false" ht="15" hidden="false" customHeight="false" outlineLevel="0" collapsed="false">
      <c r="A1507" s="61"/>
      <c r="B1507" s="62"/>
      <c r="C1507" s="63"/>
      <c r="D1507" s="63"/>
      <c r="E1507" s="62"/>
      <c r="F1507" s="62"/>
      <c r="G1507" s="62"/>
      <c r="I1507" s="64" t="str">
        <f aca="false">IF($B1507="","",IF(ISNUMBER(MATCH($B1507,日別データ!$B$9:$B$28,0)),"✔ OK","⚠ 未登録"))</f>
        <v/>
      </c>
    </row>
    <row r="1508" customFormat="false" ht="15" hidden="false" customHeight="false" outlineLevel="0" collapsed="false">
      <c r="A1508" s="61"/>
      <c r="B1508" s="62"/>
      <c r="C1508" s="63"/>
      <c r="D1508" s="63"/>
      <c r="E1508" s="62"/>
      <c r="F1508" s="62"/>
      <c r="G1508" s="62"/>
      <c r="I1508" s="64" t="str">
        <f aca="false">IF($B1508="","",IF(ISNUMBER(MATCH($B1508,日別データ!$B$9:$B$28,0)),"✔ OK","⚠ 未登録"))</f>
        <v/>
      </c>
    </row>
    <row r="1509" customFormat="false" ht="15" hidden="false" customHeight="false" outlineLevel="0" collapsed="false">
      <c r="A1509" s="61"/>
      <c r="B1509" s="62"/>
      <c r="C1509" s="63"/>
      <c r="D1509" s="63"/>
      <c r="E1509" s="62"/>
      <c r="F1509" s="62"/>
      <c r="G1509" s="62"/>
      <c r="I1509" s="64" t="str">
        <f aca="false">IF($B1509="","",IF(ISNUMBER(MATCH($B1509,日別データ!$B$9:$B$28,0)),"✔ OK","⚠ 未登録"))</f>
        <v/>
      </c>
    </row>
    <row r="1510" customFormat="false" ht="15" hidden="false" customHeight="false" outlineLevel="0" collapsed="false">
      <c r="A1510" s="61"/>
      <c r="B1510" s="62"/>
      <c r="C1510" s="63"/>
      <c r="D1510" s="63"/>
      <c r="E1510" s="62"/>
      <c r="F1510" s="62"/>
      <c r="G1510" s="62"/>
      <c r="I1510" s="64" t="str">
        <f aca="false">IF($B1510="","",IF(ISNUMBER(MATCH($B1510,日別データ!$B$9:$B$28,0)),"✔ OK","⚠ 未登録"))</f>
        <v/>
      </c>
    </row>
    <row r="1511" customFormat="false" ht="15" hidden="false" customHeight="false" outlineLevel="0" collapsed="false">
      <c r="A1511" s="61"/>
      <c r="B1511" s="62"/>
      <c r="C1511" s="63"/>
      <c r="D1511" s="63"/>
      <c r="E1511" s="62"/>
      <c r="F1511" s="62"/>
      <c r="G1511" s="62"/>
      <c r="I1511" s="64" t="str">
        <f aca="false">IF($B1511="","",IF(ISNUMBER(MATCH($B1511,日別データ!$B$9:$B$28,0)),"✔ OK","⚠ 未登録"))</f>
        <v/>
      </c>
    </row>
    <row r="1512" customFormat="false" ht="15" hidden="false" customHeight="false" outlineLevel="0" collapsed="false">
      <c r="A1512" s="61"/>
      <c r="B1512" s="62"/>
      <c r="C1512" s="63"/>
      <c r="D1512" s="63"/>
      <c r="E1512" s="62"/>
      <c r="F1512" s="62"/>
      <c r="G1512" s="62"/>
      <c r="I1512" s="64" t="str">
        <f aca="false">IF($B1512="","",IF(ISNUMBER(MATCH($B1512,日別データ!$B$9:$B$28,0)),"✔ OK","⚠ 未登録"))</f>
        <v/>
      </c>
    </row>
    <row r="1513" customFormat="false" ht="15" hidden="false" customHeight="false" outlineLevel="0" collapsed="false">
      <c r="A1513" s="61"/>
      <c r="B1513" s="62"/>
      <c r="C1513" s="63"/>
      <c r="D1513" s="63"/>
      <c r="E1513" s="62"/>
      <c r="F1513" s="62"/>
      <c r="G1513" s="62"/>
      <c r="I1513" s="64" t="str">
        <f aca="false">IF($B1513="","",IF(ISNUMBER(MATCH($B1513,日別データ!$B$9:$B$28,0)),"✔ OK","⚠ 未登録"))</f>
        <v/>
      </c>
    </row>
    <row r="1514" customFormat="false" ht="15" hidden="false" customHeight="false" outlineLevel="0" collapsed="false">
      <c r="A1514" s="61"/>
      <c r="B1514" s="62"/>
      <c r="C1514" s="63"/>
      <c r="D1514" s="63"/>
      <c r="E1514" s="62"/>
      <c r="F1514" s="62"/>
      <c r="G1514" s="62"/>
      <c r="I1514" s="64" t="str">
        <f aca="false">IF($B1514="","",IF(ISNUMBER(MATCH($B1514,日別データ!$B$9:$B$28,0)),"✔ OK","⚠ 未登録"))</f>
        <v/>
      </c>
    </row>
    <row r="1515" customFormat="false" ht="15" hidden="false" customHeight="false" outlineLevel="0" collapsed="false">
      <c r="A1515" s="61"/>
      <c r="B1515" s="62"/>
      <c r="C1515" s="63"/>
      <c r="D1515" s="63"/>
      <c r="E1515" s="62"/>
      <c r="F1515" s="62"/>
      <c r="G1515" s="62"/>
      <c r="I1515" s="64" t="str">
        <f aca="false">IF($B1515="","",IF(ISNUMBER(MATCH($B1515,日別データ!$B$9:$B$28,0)),"✔ OK","⚠ 未登録"))</f>
        <v/>
      </c>
    </row>
    <row r="1516" customFormat="false" ht="15" hidden="false" customHeight="false" outlineLevel="0" collapsed="false">
      <c r="A1516" s="61"/>
      <c r="B1516" s="62"/>
      <c r="C1516" s="63"/>
      <c r="D1516" s="63"/>
      <c r="E1516" s="62"/>
      <c r="F1516" s="62"/>
      <c r="G1516" s="62"/>
      <c r="I1516" s="64" t="str">
        <f aca="false">IF($B1516="","",IF(ISNUMBER(MATCH($B1516,日別データ!$B$9:$B$28,0)),"✔ OK","⚠ 未登録"))</f>
        <v/>
      </c>
    </row>
    <row r="1517" customFormat="false" ht="15" hidden="false" customHeight="false" outlineLevel="0" collapsed="false">
      <c r="A1517" s="61"/>
      <c r="B1517" s="62"/>
      <c r="C1517" s="63"/>
      <c r="D1517" s="63"/>
      <c r="E1517" s="62"/>
      <c r="F1517" s="62"/>
      <c r="G1517" s="62"/>
      <c r="I1517" s="64" t="str">
        <f aca="false">IF($B1517="","",IF(ISNUMBER(MATCH($B1517,日別データ!$B$9:$B$28,0)),"✔ OK","⚠ 未登録"))</f>
        <v/>
      </c>
    </row>
    <row r="1518" customFormat="false" ht="15" hidden="false" customHeight="false" outlineLevel="0" collapsed="false">
      <c r="A1518" s="61"/>
      <c r="B1518" s="62"/>
      <c r="C1518" s="63"/>
      <c r="D1518" s="63"/>
      <c r="E1518" s="62"/>
      <c r="F1518" s="62"/>
      <c r="G1518" s="62"/>
      <c r="I1518" s="64" t="str">
        <f aca="false">IF($B1518="","",IF(ISNUMBER(MATCH($B1518,日別データ!$B$9:$B$28,0)),"✔ OK","⚠ 未登録"))</f>
        <v/>
      </c>
    </row>
    <row r="1519" customFormat="false" ht="15" hidden="false" customHeight="false" outlineLevel="0" collapsed="false">
      <c r="A1519" s="61"/>
      <c r="B1519" s="62"/>
      <c r="C1519" s="63"/>
      <c r="D1519" s="63"/>
      <c r="E1519" s="62"/>
      <c r="F1519" s="62"/>
      <c r="G1519" s="62"/>
      <c r="I1519" s="64" t="str">
        <f aca="false">IF($B1519="","",IF(ISNUMBER(MATCH($B1519,日別データ!$B$9:$B$28,0)),"✔ OK","⚠ 未登録"))</f>
        <v/>
      </c>
    </row>
    <row r="1520" customFormat="false" ht="15" hidden="false" customHeight="false" outlineLevel="0" collapsed="false">
      <c r="A1520" s="61"/>
      <c r="B1520" s="62"/>
      <c r="C1520" s="63"/>
      <c r="D1520" s="63"/>
      <c r="E1520" s="62"/>
      <c r="F1520" s="62"/>
      <c r="G1520" s="62"/>
      <c r="I1520" s="64" t="str">
        <f aca="false">IF($B1520="","",IF(ISNUMBER(MATCH($B1520,日別データ!$B$9:$B$28,0)),"✔ OK","⚠ 未登録"))</f>
        <v/>
      </c>
    </row>
    <row r="1521" customFormat="false" ht="15" hidden="false" customHeight="false" outlineLevel="0" collapsed="false">
      <c r="A1521" s="61"/>
      <c r="B1521" s="62"/>
      <c r="C1521" s="63"/>
      <c r="D1521" s="63"/>
      <c r="E1521" s="62"/>
      <c r="F1521" s="62"/>
      <c r="G1521" s="62"/>
      <c r="I1521" s="64" t="str">
        <f aca="false">IF($B1521="","",IF(ISNUMBER(MATCH($B1521,日別データ!$B$9:$B$28,0)),"✔ OK","⚠ 未登録"))</f>
        <v/>
      </c>
    </row>
    <row r="1522" customFormat="false" ht="15" hidden="false" customHeight="false" outlineLevel="0" collapsed="false">
      <c r="A1522" s="61"/>
      <c r="B1522" s="62"/>
      <c r="C1522" s="63"/>
      <c r="D1522" s="63"/>
      <c r="E1522" s="62"/>
      <c r="F1522" s="62"/>
      <c r="G1522" s="62"/>
      <c r="I1522" s="64" t="str">
        <f aca="false">IF($B1522="","",IF(ISNUMBER(MATCH($B1522,日別データ!$B$9:$B$28,0)),"✔ OK","⚠ 未登録"))</f>
        <v/>
      </c>
    </row>
    <row r="1523" customFormat="false" ht="15" hidden="false" customHeight="false" outlineLevel="0" collapsed="false">
      <c r="A1523" s="61"/>
      <c r="B1523" s="62"/>
      <c r="C1523" s="63"/>
      <c r="D1523" s="63"/>
      <c r="E1523" s="62"/>
      <c r="F1523" s="62"/>
      <c r="G1523" s="62"/>
      <c r="I1523" s="64" t="str">
        <f aca="false">IF($B1523="","",IF(ISNUMBER(MATCH($B1523,日別データ!$B$9:$B$28,0)),"✔ OK","⚠ 未登録"))</f>
        <v/>
      </c>
    </row>
    <row r="1524" customFormat="false" ht="15" hidden="false" customHeight="false" outlineLevel="0" collapsed="false">
      <c r="A1524" s="61"/>
      <c r="B1524" s="62"/>
      <c r="C1524" s="63"/>
      <c r="D1524" s="63"/>
      <c r="E1524" s="62"/>
      <c r="F1524" s="62"/>
      <c r="G1524" s="62"/>
      <c r="I1524" s="64" t="str">
        <f aca="false">IF($B1524="","",IF(ISNUMBER(MATCH($B1524,日別データ!$B$9:$B$28,0)),"✔ OK","⚠ 未登録"))</f>
        <v/>
      </c>
    </row>
    <row r="1525" customFormat="false" ht="15" hidden="false" customHeight="false" outlineLevel="0" collapsed="false">
      <c r="A1525" s="61"/>
      <c r="B1525" s="62"/>
      <c r="C1525" s="63"/>
      <c r="D1525" s="63"/>
      <c r="E1525" s="62"/>
      <c r="F1525" s="62"/>
      <c r="G1525" s="62"/>
      <c r="I1525" s="64" t="str">
        <f aca="false">IF($B1525="","",IF(ISNUMBER(MATCH($B1525,日別データ!$B$9:$B$28,0)),"✔ OK","⚠ 未登録"))</f>
        <v/>
      </c>
    </row>
    <row r="1526" customFormat="false" ht="15" hidden="false" customHeight="false" outlineLevel="0" collapsed="false">
      <c r="A1526" s="61"/>
      <c r="B1526" s="62"/>
      <c r="C1526" s="63"/>
      <c r="D1526" s="63"/>
      <c r="E1526" s="62"/>
      <c r="F1526" s="62"/>
      <c r="G1526" s="62"/>
      <c r="I1526" s="64" t="str">
        <f aca="false">IF($B1526="","",IF(ISNUMBER(MATCH($B1526,日別データ!$B$9:$B$28,0)),"✔ OK","⚠ 未登録"))</f>
        <v/>
      </c>
    </row>
    <row r="1527" customFormat="false" ht="15" hidden="false" customHeight="false" outlineLevel="0" collapsed="false">
      <c r="A1527" s="61"/>
      <c r="B1527" s="62"/>
      <c r="C1527" s="63"/>
      <c r="D1527" s="63"/>
      <c r="E1527" s="62"/>
      <c r="F1527" s="62"/>
      <c r="G1527" s="62"/>
      <c r="I1527" s="64" t="str">
        <f aca="false">IF($B1527="","",IF(ISNUMBER(MATCH($B1527,日別データ!$B$9:$B$28,0)),"✔ OK","⚠ 未登録"))</f>
        <v/>
      </c>
    </row>
    <row r="1528" customFormat="false" ht="15" hidden="false" customHeight="false" outlineLevel="0" collapsed="false">
      <c r="A1528" s="61"/>
      <c r="B1528" s="62"/>
      <c r="C1528" s="63"/>
      <c r="D1528" s="63"/>
      <c r="E1528" s="62"/>
      <c r="F1528" s="62"/>
      <c r="G1528" s="62"/>
      <c r="I1528" s="64" t="str">
        <f aca="false">IF($B1528="","",IF(ISNUMBER(MATCH($B1528,日別データ!$B$9:$B$28,0)),"✔ OK","⚠ 未登録"))</f>
        <v/>
      </c>
    </row>
    <row r="1529" customFormat="false" ht="15" hidden="false" customHeight="false" outlineLevel="0" collapsed="false">
      <c r="A1529" s="61"/>
      <c r="B1529" s="62"/>
      <c r="C1529" s="63"/>
      <c r="D1529" s="63"/>
      <c r="E1529" s="62"/>
      <c r="F1529" s="62"/>
      <c r="G1529" s="62"/>
      <c r="I1529" s="64" t="str">
        <f aca="false">IF($B1529="","",IF(ISNUMBER(MATCH($B1529,日別データ!$B$9:$B$28,0)),"✔ OK","⚠ 未登録"))</f>
        <v/>
      </c>
    </row>
    <row r="1530" customFormat="false" ht="15" hidden="false" customHeight="false" outlineLevel="0" collapsed="false">
      <c r="A1530" s="61"/>
      <c r="B1530" s="62"/>
      <c r="C1530" s="63"/>
      <c r="D1530" s="63"/>
      <c r="E1530" s="62"/>
      <c r="F1530" s="62"/>
      <c r="G1530" s="62"/>
      <c r="I1530" s="64" t="str">
        <f aca="false">IF($B1530="","",IF(ISNUMBER(MATCH($B1530,日別データ!$B$9:$B$28,0)),"✔ OK","⚠ 未登録"))</f>
        <v/>
      </c>
    </row>
    <row r="1531" customFormat="false" ht="15" hidden="false" customHeight="false" outlineLevel="0" collapsed="false">
      <c r="A1531" s="61"/>
      <c r="B1531" s="62"/>
      <c r="C1531" s="63"/>
      <c r="D1531" s="63"/>
      <c r="E1531" s="62"/>
      <c r="F1531" s="62"/>
      <c r="G1531" s="62"/>
      <c r="I1531" s="64" t="str">
        <f aca="false">IF($B1531="","",IF(ISNUMBER(MATCH($B1531,日別データ!$B$9:$B$28,0)),"✔ OK","⚠ 未登録"))</f>
        <v/>
      </c>
    </row>
    <row r="1532" customFormat="false" ht="15" hidden="false" customHeight="false" outlineLevel="0" collapsed="false">
      <c r="A1532" s="61"/>
      <c r="B1532" s="62"/>
      <c r="C1532" s="63"/>
      <c r="D1532" s="63"/>
      <c r="E1532" s="62"/>
      <c r="F1532" s="62"/>
      <c r="G1532" s="62"/>
      <c r="I1532" s="64" t="str">
        <f aca="false">IF($B1532="","",IF(ISNUMBER(MATCH($B1532,日別データ!$B$9:$B$28,0)),"✔ OK","⚠ 未登録"))</f>
        <v/>
      </c>
    </row>
    <row r="1533" customFormat="false" ht="15" hidden="false" customHeight="false" outlineLevel="0" collapsed="false">
      <c r="A1533" s="61"/>
      <c r="B1533" s="62"/>
      <c r="C1533" s="63"/>
      <c r="D1533" s="63"/>
      <c r="E1533" s="62"/>
      <c r="F1533" s="62"/>
      <c r="G1533" s="62"/>
      <c r="I1533" s="64" t="str">
        <f aca="false">IF($B1533="","",IF(ISNUMBER(MATCH($B1533,日別データ!$B$9:$B$28,0)),"✔ OK","⚠ 未登録"))</f>
        <v/>
      </c>
    </row>
    <row r="1534" customFormat="false" ht="15" hidden="false" customHeight="false" outlineLevel="0" collapsed="false">
      <c r="A1534" s="61"/>
      <c r="B1534" s="62"/>
      <c r="C1534" s="63"/>
      <c r="D1534" s="63"/>
      <c r="E1534" s="62"/>
      <c r="F1534" s="62"/>
      <c r="G1534" s="62"/>
      <c r="I1534" s="64" t="str">
        <f aca="false">IF($B1534="","",IF(ISNUMBER(MATCH($B1534,日別データ!$B$9:$B$28,0)),"✔ OK","⚠ 未登録"))</f>
        <v/>
      </c>
    </row>
    <row r="1535" customFormat="false" ht="15" hidden="false" customHeight="false" outlineLevel="0" collapsed="false">
      <c r="A1535" s="61"/>
      <c r="B1535" s="62"/>
      <c r="C1535" s="63"/>
      <c r="D1535" s="63"/>
      <c r="E1535" s="62"/>
      <c r="F1535" s="62"/>
      <c r="G1535" s="62"/>
      <c r="I1535" s="64" t="str">
        <f aca="false">IF($B1535="","",IF(ISNUMBER(MATCH($B1535,日別データ!$B$9:$B$28,0)),"✔ OK","⚠ 未登録"))</f>
        <v/>
      </c>
    </row>
    <row r="1536" customFormat="false" ht="15" hidden="false" customHeight="false" outlineLevel="0" collapsed="false">
      <c r="A1536" s="61"/>
      <c r="B1536" s="62"/>
      <c r="C1536" s="63"/>
      <c r="D1536" s="63"/>
      <c r="E1536" s="62"/>
      <c r="F1536" s="62"/>
      <c r="G1536" s="62"/>
      <c r="I1536" s="64" t="str">
        <f aca="false">IF($B1536="","",IF(ISNUMBER(MATCH($B1536,日別データ!$B$9:$B$28,0)),"✔ OK","⚠ 未登録"))</f>
        <v/>
      </c>
    </row>
    <row r="1537" customFormat="false" ht="15" hidden="false" customHeight="false" outlineLevel="0" collapsed="false">
      <c r="A1537" s="61"/>
      <c r="B1537" s="62"/>
      <c r="C1537" s="63"/>
      <c r="D1537" s="63"/>
      <c r="E1537" s="62"/>
      <c r="F1537" s="62"/>
      <c r="G1537" s="62"/>
      <c r="I1537" s="64" t="str">
        <f aca="false">IF($B1537="","",IF(ISNUMBER(MATCH($B1537,日別データ!$B$9:$B$28,0)),"✔ OK","⚠ 未登録"))</f>
        <v/>
      </c>
    </row>
    <row r="1538" customFormat="false" ht="15" hidden="false" customHeight="false" outlineLevel="0" collapsed="false">
      <c r="A1538" s="61"/>
      <c r="B1538" s="62"/>
      <c r="C1538" s="63"/>
      <c r="D1538" s="63"/>
      <c r="E1538" s="62"/>
      <c r="F1538" s="62"/>
      <c r="G1538" s="62"/>
      <c r="I1538" s="64" t="str">
        <f aca="false">IF($B1538="","",IF(ISNUMBER(MATCH($B1538,日別データ!$B$9:$B$28,0)),"✔ OK","⚠ 未登録"))</f>
        <v/>
      </c>
    </row>
    <row r="1539" customFormat="false" ht="15" hidden="false" customHeight="false" outlineLevel="0" collapsed="false">
      <c r="A1539" s="61"/>
      <c r="B1539" s="62"/>
      <c r="C1539" s="63"/>
      <c r="D1539" s="63"/>
      <c r="E1539" s="62"/>
      <c r="F1539" s="62"/>
      <c r="G1539" s="62"/>
      <c r="I1539" s="64" t="str">
        <f aca="false">IF($B1539="","",IF(ISNUMBER(MATCH($B1539,日別データ!$B$9:$B$28,0)),"✔ OK","⚠ 未登録"))</f>
        <v/>
      </c>
    </row>
    <row r="1540" customFormat="false" ht="15" hidden="false" customHeight="false" outlineLevel="0" collapsed="false">
      <c r="A1540" s="61"/>
      <c r="B1540" s="62"/>
      <c r="C1540" s="63"/>
      <c r="D1540" s="63"/>
      <c r="E1540" s="62"/>
      <c r="F1540" s="62"/>
      <c r="G1540" s="62"/>
      <c r="I1540" s="64" t="str">
        <f aca="false">IF($B1540="","",IF(ISNUMBER(MATCH($B1540,日別データ!$B$9:$B$28,0)),"✔ OK","⚠ 未登録"))</f>
        <v/>
      </c>
    </row>
    <row r="1541" customFormat="false" ht="15" hidden="false" customHeight="false" outlineLevel="0" collapsed="false">
      <c r="A1541" s="61"/>
      <c r="B1541" s="62"/>
      <c r="C1541" s="63"/>
      <c r="D1541" s="63"/>
      <c r="E1541" s="62"/>
      <c r="F1541" s="62"/>
      <c r="G1541" s="62"/>
      <c r="I1541" s="64" t="str">
        <f aca="false">IF($B1541="","",IF(ISNUMBER(MATCH($B1541,日別データ!$B$9:$B$28,0)),"✔ OK","⚠ 未登録"))</f>
        <v/>
      </c>
    </row>
    <row r="1542" customFormat="false" ht="15" hidden="false" customHeight="false" outlineLevel="0" collapsed="false">
      <c r="A1542" s="61"/>
      <c r="B1542" s="62"/>
      <c r="C1542" s="63"/>
      <c r="D1542" s="63"/>
      <c r="E1542" s="62"/>
      <c r="F1542" s="62"/>
      <c r="G1542" s="62"/>
      <c r="I1542" s="64" t="str">
        <f aca="false">IF($B1542="","",IF(ISNUMBER(MATCH($B1542,日別データ!$B$9:$B$28,0)),"✔ OK","⚠ 未登録"))</f>
        <v/>
      </c>
    </row>
    <row r="1543" customFormat="false" ht="15" hidden="false" customHeight="false" outlineLevel="0" collapsed="false">
      <c r="A1543" s="61"/>
      <c r="B1543" s="62"/>
      <c r="C1543" s="63"/>
      <c r="D1543" s="63"/>
      <c r="E1543" s="62"/>
      <c r="F1543" s="62"/>
      <c r="G1543" s="62"/>
      <c r="I1543" s="64" t="str">
        <f aca="false">IF($B1543="","",IF(ISNUMBER(MATCH($B1543,日別データ!$B$9:$B$28,0)),"✔ OK","⚠ 未登録"))</f>
        <v/>
      </c>
    </row>
    <row r="1544" customFormat="false" ht="15" hidden="false" customHeight="false" outlineLevel="0" collapsed="false">
      <c r="A1544" s="61"/>
      <c r="B1544" s="62"/>
      <c r="C1544" s="63"/>
      <c r="D1544" s="63"/>
      <c r="E1544" s="62"/>
      <c r="F1544" s="62"/>
      <c r="G1544" s="62"/>
      <c r="I1544" s="64" t="str">
        <f aca="false">IF($B1544="","",IF(ISNUMBER(MATCH($B1544,日別データ!$B$9:$B$28,0)),"✔ OK","⚠ 未登録"))</f>
        <v/>
      </c>
    </row>
    <row r="1545" customFormat="false" ht="15" hidden="false" customHeight="false" outlineLevel="0" collapsed="false">
      <c r="A1545" s="61"/>
      <c r="B1545" s="62"/>
      <c r="C1545" s="63"/>
      <c r="D1545" s="63"/>
      <c r="E1545" s="62"/>
      <c r="F1545" s="62"/>
      <c r="G1545" s="62"/>
      <c r="I1545" s="64" t="str">
        <f aca="false">IF($B1545="","",IF(ISNUMBER(MATCH($B1545,日別データ!$B$9:$B$28,0)),"✔ OK","⚠ 未登録"))</f>
        <v/>
      </c>
    </row>
    <row r="1546" customFormat="false" ht="15" hidden="false" customHeight="false" outlineLevel="0" collapsed="false">
      <c r="A1546" s="61"/>
      <c r="B1546" s="62"/>
      <c r="C1546" s="63"/>
      <c r="D1546" s="63"/>
      <c r="E1546" s="62"/>
      <c r="F1546" s="62"/>
      <c r="G1546" s="62"/>
      <c r="I1546" s="64" t="str">
        <f aca="false">IF($B1546="","",IF(ISNUMBER(MATCH($B1546,日別データ!$B$9:$B$28,0)),"✔ OK","⚠ 未登録"))</f>
        <v/>
      </c>
    </row>
    <row r="1547" customFormat="false" ht="15" hidden="false" customHeight="false" outlineLevel="0" collapsed="false">
      <c r="A1547" s="61"/>
      <c r="B1547" s="62"/>
      <c r="C1547" s="63"/>
      <c r="D1547" s="63"/>
      <c r="E1547" s="62"/>
      <c r="F1547" s="62"/>
      <c r="G1547" s="62"/>
      <c r="I1547" s="64" t="str">
        <f aca="false">IF($B1547="","",IF(ISNUMBER(MATCH($B1547,日別データ!$B$9:$B$28,0)),"✔ OK","⚠ 未登録"))</f>
        <v/>
      </c>
    </row>
    <row r="1548" customFormat="false" ht="15" hidden="false" customHeight="false" outlineLevel="0" collapsed="false">
      <c r="A1548" s="61"/>
      <c r="B1548" s="62"/>
      <c r="C1548" s="63"/>
      <c r="D1548" s="63"/>
      <c r="E1548" s="62"/>
      <c r="F1548" s="62"/>
      <c r="G1548" s="62"/>
      <c r="I1548" s="64" t="str">
        <f aca="false">IF($B1548="","",IF(ISNUMBER(MATCH($B1548,日別データ!$B$9:$B$28,0)),"✔ OK","⚠ 未登録"))</f>
        <v/>
      </c>
    </row>
    <row r="1549" customFormat="false" ht="15" hidden="false" customHeight="false" outlineLevel="0" collapsed="false">
      <c r="A1549" s="61"/>
      <c r="B1549" s="62"/>
      <c r="C1549" s="63"/>
      <c r="D1549" s="63"/>
      <c r="E1549" s="62"/>
      <c r="F1549" s="62"/>
      <c r="G1549" s="62"/>
      <c r="I1549" s="64" t="str">
        <f aca="false">IF($B1549="","",IF(ISNUMBER(MATCH($B1549,日別データ!$B$9:$B$28,0)),"✔ OK","⚠ 未登録"))</f>
        <v/>
      </c>
    </row>
    <row r="1550" customFormat="false" ht="15" hidden="false" customHeight="false" outlineLevel="0" collapsed="false">
      <c r="A1550" s="61"/>
      <c r="B1550" s="62"/>
      <c r="C1550" s="63"/>
      <c r="D1550" s="63"/>
      <c r="E1550" s="62"/>
      <c r="F1550" s="62"/>
      <c r="G1550" s="62"/>
      <c r="I1550" s="64" t="str">
        <f aca="false">IF($B1550="","",IF(ISNUMBER(MATCH($B1550,日別データ!$B$9:$B$28,0)),"✔ OK","⚠ 未登録"))</f>
        <v/>
      </c>
    </row>
    <row r="1551" customFormat="false" ht="15" hidden="false" customHeight="false" outlineLevel="0" collapsed="false">
      <c r="A1551" s="61"/>
      <c r="B1551" s="62"/>
      <c r="C1551" s="63"/>
      <c r="D1551" s="63"/>
      <c r="E1551" s="62"/>
      <c r="F1551" s="62"/>
      <c r="G1551" s="62"/>
      <c r="I1551" s="64" t="str">
        <f aca="false">IF($B1551="","",IF(ISNUMBER(MATCH($B1551,日別データ!$B$9:$B$28,0)),"✔ OK","⚠ 未登録"))</f>
        <v/>
      </c>
    </row>
    <row r="1552" customFormat="false" ht="15" hidden="false" customHeight="false" outlineLevel="0" collapsed="false">
      <c r="A1552" s="61"/>
      <c r="B1552" s="62"/>
      <c r="C1552" s="63"/>
      <c r="D1552" s="63"/>
      <c r="E1552" s="62"/>
      <c r="F1552" s="62"/>
      <c r="G1552" s="62"/>
      <c r="I1552" s="64" t="str">
        <f aca="false">IF($B1552="","",IF(ISNUMBER(MATCH($B1552,日別データ!$B$9:$B$28,0)),"✔ OK","⚠ 未登録"))</f>
        <v/>
      </c>
    </row>
    <row r="1553" customFormat="false" ht="15" hidden="false" customHeight="false" outlineLevel="0" collapsed="false">
      <c r="A1553" s="61"/>
      <c r="B1553" s="62"/>
      <c r="C1553" s="63"/>
      <c r="D1553" s="63"/>
      <c r="E1553" s="62"/>
      <c r="F1553" s="62"/>
      <c r="G1553" s="62"/>
      <c r="I1553" s="64" t="str">
        <f aca="false">IF($B1553="","",IF(ISNUMBER(MATCH($B1553,日別データ!$B$9:$B$28,0)),"✔ OK","⚠ 未登録"))</f>
        <v/>
      </c>
    </row>
    <row r="1554" customFormat="false" ht="15" hidden="false" customHeight="false" outlineLevel="0" collapsed="false">
      <c r="A1554" s="61"/>
      <c r="B1554" s="62"/>
      <c r="C1554" s="63"/>
      <c r="D1554" s="63"/>
      <c r="E1554" s="62"/>
      <c r="F1554" s="62"/>
      <c r="G1554" s="62"/>
      <c r="I1554" s="64" t="str">
        <f aca="false">IF($B1554="","",IF(ISNUMBER(MATCH($B1554,日別データ!$B$9:$B$28,0)),"✔ OK","⚠ 未登録"))</f>
        <v/>
      </c>
    </row>
    <row r="1555" customFormat="false" ht="15" hidden="false" customHeight="false" outlineLevel="0" collapsed="false">
      <c r="A1555" s="61"/>
      <c r="B1555" s="62"/>
      <c r="C1555" s="63"/>
      <c r="D1555" s="63"/>
      <c r="E1555" s="62"/>
      <c r="F1555" s="62"/>
      <c r="G1555" s="62"/>
      <c r="I1555" s="64" t="str">
        <f aca="false">IF($B1555="","",IF(ISNUMBER(MATCH($B1555,日別データ!$B$9:$B$28,0)),"✔ OK","⚠ 未登録"))</f>
        <v/>
      </c>
    </row>
    <row r="1556" customFormat="false" ht="15" hidden="false" customHeight="false" outlineLevel="0" collapsed="false">
      <c r="A1556" s="61"/>
      <c r="B1556" s="62"/>
      <c r="C1556" s="63"/>
      <c r="D1556" s="63"/>
      <c r="E1556" s="62"/>
      <c r="F1556" s="62"/>
      <c r="G1556" s="62"/>
      <c r="I1556" s="64" t="str">
        <f aca="false">IF($B1556="","",IF(ISNUMBER(MATCH($B1556,日別データ!$B$9:$B$28,0)),"✔ OK","⚠ 未登録"))</f>
        <v/>
      </c>
    </row>
    <row r="1557" customFormat="false" ht="15" hidden="false" customHeight="false" outlineLevel="0" collapsed="false">
      <c r="A1557" s="61"/>
      <c r="B1557" s="62"/>
      <c r="C1557" s="63"/>
      <c r="D1557" s="63"/>
      <c r="E1557" s="62"/>
      <c r="F1557" s="62"/>
      <c r="G1557" s="62"/>
      <c r="I1557" s="64" t="str">
        <f aca="false">IF($B1557="","",IF(ISNUMBER(MATCH($B1557,日別データ!$B$9:$B$28,0)),"✔ OK","⚠ 未登録"))</f>
        <v/>
      </c>
    </row>
    <row r="1558" customFormat="false" ht="15" hidden="false" customHeight="false" outlineLevel="0" collapsed="false">
      <c r="A1558" s="61"/>
      <c r="B1558" s="62"/>
      <c r="C1558" s="63"/>
      <c r="D1558" s="63"/>
      <c r="E1558" s="62"/>
      <c r="F1558" s="62"/>
      <c r="G1558" s="62"/>
      <c r="I1558" s="64" t="str">
        <f aca="false">IF($B1558="","",IF(ISNUMBER(MATCH($B1558,日別データ!$B$9:$B$28,0)),"✔ OK","⚠ 未登録"))</f>
        <v/>
      </c>
    </row>
    <row r="1559" customFormat="false" ht="15" hidden="false" customHeight="false" outlineLevel="0" collapsed="false">
      <c r="A1559" s="61"/>
      <c r="B1559" s="62"/>
      <c r="C1559" s="63"/>
      <c r="D1559" s="63"/>
      <c r="E1559" s="62"/>
      <c r="F1559" s="62"/>
      <c r="G1559" s="62"/>
      <c r="I1559" s="64" t="str">
        <f aca="false">IF($B1559="","",IF(ISNUMBER(MATCH($B1559,日別データ!$B$9:$B$28,0)),"✔ OK","⚠ 未登録"))</f>
        <v/>
      </c>
    </row>
    <row r="1560" customFormat="false" ht="15" hidden="false" customHeight="false" outlineLevel="0" collapsed="false">
      <c r="A1560" s="61"/>
      <c r="B1560" s="62"/>
      <c r="C1560" s="63"/>
      <c r="D1560" s="63"/>
      <c r="E1560" s="62"/>
      <c r="F1560" s="62"/>
      <c r="G1560" s="62"/>
      <c r="I1560" s="64" t="str">
        <f aca="false">IF($B1560="","",IF(ISNUMBER(MATCH($B1560,日別データ!$B$9:$B$28,0)),"✔ OK","⚠ 未登録"))</f>
        <v/>
      </c>
    </row>
    <row r="1561" customFormat="false" ht="15" hidden="false" customHeight="false" outlineLevel="0" collapsed="false">
      <c r="A1561" s="61"/>
      <c r="B1561" s="62"/>
      <c r="C1561" s="63"/>
      <c r="D1561" s="63"/>
      <c r="E1561" s="62"/>
      <c r="F1561" s="62"/>
      <c r="G1561" s="62"/>
      <c r="I1561" s="64" t="str">
        <f aca="false">IF($B1561="","",IF(ISNUMBER(MATCH($B1561,日別データ!$B$9:$B$28,0)),"✔ OK","⚠ 未登録"))</f>
        <v/>
      </c>
    </row>
    <row r="1562" customFormat="false" ht="15" hidden="false" customHeight="false" outlineLevel="0" collapsed="false">
      <c r="A1562" s="61"/>
      <c r="B1562" s="62"/>
      <c r="C1562" s="63"/>
      <c r="D1562" s="63"/>
      <c r="E1562" s="62"/>
      <c r="F1562" s="62"/>
      <c r="G1562" s="62"/>
      <c r="I1562" s="64" t="str">
        <f aca="false">IF($B1562="","",IF(ISNUMBER(MATCH($B1562,日別データ!$B$9:$B$28,0)),"✔ OK","⚠ 未登録"))</f>
        <v/>
      </c>
    </row>
    <row r="1563" customFormat="false" ht="15" hidden="false" customHeight="false" outlineLevel="0" collapsed="false">
      <c r="A1563" s="61"/>
      <c r="B1563" s="62"/>
      <c r="C1563" s="63"/>
      <c r="D1563" s="63"/>
      <c r="E1563" s="62"/>
      <c r="F1563" s="62"/>
      <c r="G1563" s="62"/>
      <c r="I1563" s="64" t="str">
        <f aca="false">IF($B1563="","",IF(ISNUMBER(MATCH($B1563,日別データ!$B$9:$B$28,0)),"✔ OK","⚠ 未登録"))</f>
        <v/>
      </c>
    </row>
    <row r="1564" customFormat="false" ht="15" hidden="false" customHeight="false" outlineLevel="0" collapsed="false">
      <c r="A1564" s="61"/>
      <c r="B1564" s="62"/>
      <c r="C1564" s="63"/>
      <c r="D1564" s="63"/>
      <c r="E1564" s="62"/>
      <c r="F1564" s="62"/>
      <c r="G1564" s="62"/>
      <c r="I1564" s="64" t="str">
        <f aca="false">IF($B1564="","",IF(ISNUMBER(MATCH($B1564,日別データ!$B$9:$B$28,0)),"✔ OK","⚠ 未登録"))</f>
        <v/>
      </c>
    </row>
    <row r="1565" customFormat="false" ht="15" hidden="false" customHeight="false" outlineLevel="0" collapsed="false">
      <c r="A1565" s="61"/>
      <c r="B1565" s="62"/>
      <c r="C1565" s="63"/>
      <c r="D1565" s="63"/>
      <c r="E1565" s="62"/>
      <c r="F1565" s="62"/>
      <c r="G1565" s="62"/>
      <c r="I1565" s="64" t="str">
        <f aca="false">IF($B1565="","",IF(ISNUMBER(MATCH($B1565,日別データ!$B$9:$B$28,0)),"✔ OK","⚠ 未登録"))</f>
        <v/>
      </c>
    </row>
    <row r="1566" customFormat="false" ht="15" hidden="false" customHeight="false" outlineLevel="0" collapsed="false">
      <c r="A1566" s="61"/>
      <c r="B1566" s="62"/>
      <c r="C1566" s="63"/>
      <c r="D1566" s="63"/>
      <c r="E1566" s="62"/>
      <c r="F1566" s="62"/>
      <c r="G1566" s="62"/>
      <c r="I1566" s="64" t="str">
        <f aca="false">IF($B1566="","",IF(ISNUMBER(MATCH($B1566,日別データ!$B$9:$B$28,0)),"✔ OK","⚠ 未登録"))</f>
        <v/>
      </c>
    </row>
    <row r="1567" customFormat="false" ht="15" hidden="false" customHeight="false" outlineLevel="0" collapsed="false">
      <c r="A1567" s="61"/>
      <c r="B1567" s="62"/>
      <c r="C1567" s="63"/>
      <c r="D1567" s="63"/>
      <c r="E1567" s="62"/>
      <c r="F1567" s="62"/>
      <c r="G1567" s="62"/>
      <c r="I1567" s="64" t="str">
        <f aca="false">IF($B1567="","",IF(ISNUMBER(MATCH($B1567,日別データ!$B$9:$B$28,0)),"✔ OK","⚠ 未登録"))</f>
        <v/>
      </c>
    </row>
    <row r="1568" customFormat="false" ht="15" hidden="false" customHeight="false" outlineLevel="0" collapsed="false">
      <c r="A1568" s="61"/>
      <c r="B1568" s="62"/>
      <c r="C1568" s="63"/>
      <c r="D1568" s="63"/>
      <c r="E1568" s="62"/>
      <c r="F1568" s="62"/>
      <c r="G1568" s="62"/>
      <c r="I1568" s="64" t="str">
        <f aca="false">IF($B1568="","",IF(ISNUMBER(MATCH($B1568,日別データ!$B$9:$B$28,0)),"✔ OK","⚠ 未登録"))</f>
        <v/>
      </c>
    </row>
    <row r="1569" customFormat="false" ht="15" hidden="false" customHeight="false" outlineLevel="0" collapsed="false">
      <c r="A1569" s="61"/>
      <c r="B1569" s="62"/>
      <c r="C1569" s="63"/>
      <c r="D1569" s="63"/>
      <c r="E1569" s="62"/>
      <c r="F1569" s="62"/>
      <c r="G1569" s="62"/>
      <c r="I1569" s="64" t="str">
        <f aca="false">IF($B1569="","",IF(ISNUMBER(MATCH($B1569,日別データ!$B$9:$B$28,0)),"✔ OK","⚠ 未登録"))</f>
        <v/>
      </c>
    </row>
    <row r="1570" customFormat="false" ht="15" hidden="false" customHeight="false" outlineLevel="0" collapsed="false">
      <c r="A1570" s="61"/>
      <c r="B1570" s="62"/>
      <c r="C1570" s="63"/>
      <c r="D1570" s="63"/>
      <c r="E1570" s="62"/>
      <c r="F1570" s="62"/>
      <c r="G1570" s="62"/>
      <c r="I1570" s="64" t="str">
        <f aca="false">IF($B1570="","",IF(ISNUMBER(MATCH($B1570,日別データ!$B$9:$B$28,0)),"✔ OK","⚠ 未登録"))</f>
        <v/>
      </c>
    </row>
    <row r="1571" customFormat="false" ht="15" hidden="false" customHeight="false" outlineLevel="0" collapsed="false">
      <c r="A1571" s="61"/>
      <c r="B1571" s="62"/>
      <c r="C1571" s="63"/>
      <c r="D1571" s="63"/>
      <c r="E1571" s="62"/>
      <c r="F1571" s="62"/>
      <c r="G1571" s="62"/>
      <c r="I1571" s="64" t="str">
        <f aca="false">IF($B1571="","",IF(ISNUMBER(MATCH($B1571,日別データ!$B$9:$B$28,0)),"✔ OK","⚠ 未登録"))</f>
        <v/>
      </c>
    </row>
    <row r="1572" customFormat="false" ht="15" hidden="false" customHeight="false" outlineLevel="0" collapsed="false">
      <c r="A1572" s="61"/>
      <c r="B1572" s="62"/>
      <c r="C1572" s="63"/>
      <c r="D1572" s="63"/>
      <c r="E1572" s="62"/>
      <c r="F1572" s="62"/>
      <c r="G1572" s="62"/>
      <c r="I1572" s="64" t="str">
        <f aca="false">IF($B1572="","",IF(ISNUMBER(MATCH($B1572,日別データ!$B$9:$B$28,0)),"✔ OK","⚠ 未登録"))</f>
        <v/>
      </c>
    </row>
    <row r="1573" customFormat="false" ht="15" hidden="false" customHeight="false" outlineLevel="0" collapsed="false">
      <c r="A1573" s="61"/>
      <c r="B1573" s="62"/>
      <c r="C1573" s="63"/>
      <c r="D1573" s="63"/>
      <c r="E1573" s="62"/>
      <c r="F1573" s="62"/>
      <c r="G1573" s="62"/>
      <c r="I1573" s="64" t="str">
        <f aca="false">IF($B1573="","",IF(ISNUMBER(MATCH($B1573,日別データ!$B$9:$B$28,0)),"✔ OK","⚠ 未登録"))</f>
        <v/>
      </c>
    </row>
    <row r="1574" customFormat="false" ht="15" hidden="false" customHeight="false" outlineLevel="0" collapsed="false">
      <c r="A1574" s="61"/>
      <c r="B1574" s="62"/>
      <c r="C1574" s="63"/>
      <c r="D1574" s="63"/>
      <c r="E1574" s="62"/>
      <c r="F1574" s="62"/>
      <c r="G1574" s="62"/>
      <c r="I1574" s="64" t="str">
        <f aca="false">IF($B1574="","",IF(ISNUMBER(MATCH($B1574,日別データ!$B$9:$B$28,0)),"✔ OK","⚠ 未登録"))</f>
        <v/>
      </c>
    </row>
    <row r="1575" customFormat="false" ht="15" hidden="false" customHeight="false" outlineLevel="0" collapsed="false">
      <c r="A1575" s="61"/>
      <c r="B1575" s="62"/>
      <c r="C1575" s="63"/>
      <c r="D1575" s="63"/>
      <c r="E1575" s="62"/>
      <c r="F1575" s="62"/>
      <c r="G1575" s="62"/>
      <c r="I1575" s="64" t="str">
        <f aca="false">IF($B1575="","",IF(ISNUMBER(MATCH($B1575,日別データ!$B$9:$B$28,0)),"✔ OK","⚠ 未登録"))</f>
        <v/>
      </c>
    </row>
    <row r="1576" customFormat="false" ht="15" hidden="false" customHeight="false" outlineLevel="0" collapsed="false">
      <c r="A1576" s="61"/>
      <c r="B1576" s="62"/>
      <c r="C1576" s="63"/>
      <c r="D1576" s="63"/>
      <c r="E1576" s="62"/>
      <c r="F1576" s="62"/>
      <c r="G1576" s="62"/>
      <c r="I1576" s="64" t="str">
        <f aca="false">IF($B1576="","",IF(ISNUMBER(MATCH($B1576,日別データ!$B$9:$B$28,0)),"✔ OK","⚠ 未登録"))</f>
        <v/>
      </c>
    </row>
    <row r="1577" customFormat="false" ht="15" hidden="false" customHeight="false" outlineLevel="0" collapsed="false">
      <c r="A1577" s="61"/>
      <c r="B1577" s="62"/>
      <c r="C1577" s="63"/>
      <c r="D1577" s="63"/>
      <c r="E1577" s="62"/>
      <c r="F1577" s="62"/>
      <c r="G1577" s="62"/>
      <c r="I1577" s="64" t="str">
        <f aca="false">IF($B1577="","",IF(ISNUMBER(MATCH($B1577,日別データ!$B$9:$B$28,0)),"✔ OK","⚠ 未登録"))</f>
        <v/>
      </c>
    </row>
    <row r="1578" customFormat="false" ht="15" hidden="false" customHeight="false" outlineLevel="0" collapsed="false">
      <c r="A1578" s="61"/>
      <c r="B1578" s="62"/>
      <c r="C1578" s="63"/>
      <c r="D1578" s="63"/>
      <c r="E1578" s="62"/>
      <c r="F1578" s="62"/>
      <c r="G1578" s="62"/>
      <c r="I1578" s="64" t="str">
        <f aca="false">IF($B1578="","",IF(ISNUMBER(MATCH($B1578,日別データ!$B$9:$B$28,0)),"✔ OK","⚠ 未登録"))</f>
        <v/>
      </c>
    </row>
    <row r="1579" customFormat="false" ht="15" hidden="false" customHeight="false" outlineLevel="0" collapsed="false">
      <c r="A1579" s="61"/>
      <c r="B1579" s="62"/>
      <c r="C1579" s="63"/>
      <c r="D1579" s="63"/>
      <c r="E1579" s="62"/>
      <c r="F1579" s="62"/>
      <c r="G1579" s="62"/>
      <c r="I1579" s="64" t="str">
        <f aca="false">IF($B1579="","",IF(ISNUMBER(MATCH($B1579,日別データ!$B$9:$B$28,0)),"✔ OK","⚠ 未登録"))</f>
        <v/>
      </c>
    </row>
    <row r="1580" customFormat="false" ht="15" hidden="false" customHeight="false" outlineLevel="0" collapsed="false">
      <c r="A1580" s="61"/>
      <c r="B1580" s="62"/>
      <c r="C1580" s="63"/>
      <c r="D1580" s="63"/>
      <c r="E1580" s="62"/>
      <c r="F1580" s="62"/>
      <c r="G1580" s="62"/>
      <c r="I1580" s="64" t="str">
        <f aca="false">IF($B1580="","",IF(ISNUMBER(MATCH($B1580,日別データ!$B$9:$B$28,0)),"✔ OK","⚠ 未登録"))</f>
        <v/>
      </c>
    </row>
    <row r="1581" customFormat="false" ht="15" hidden="false" customHeight="false" outlineLevel="0" collapsed="false">
      <c r="A1581" s="61"/>
      <c r="B1581" s="62"/>
      <c r="C1581" s="63"/>
      <c r="D1581" s="63"/>
      <c r="E1581" s="62"/>
      <c r="F1581" s="62"/>
      <c r="G1581" s="62"/>
      <c r="I1581" s="64" t="str">
        <f aca="false">IF($B1581="","",IF(ISNUMBER(MATCH($B1581,日別データ!$B$9:$B$28,0)),"✔ OK","⚠ 未登録"))</f>
        <v/>
      </c>
    </row>
    <row r="1582" customFormat="false" ht="15" hidden="false" customHeight="false" outlineLevel="0" collapsed="false">
      <c r="A1582" s="61"/>
      <c r="B1582" s="62"/>
      <c r="C1582" s="63"/>
      <c r="D1582" s="63"/>
      <c r="E1582" s="62"/>
      <c r="F1582" s="62"/>
      <c r="G1582" s="62"/>
      <c r="I1582" s="64" t="str">
        <f aca="false">IF($B1582="","",IF(ISNUMBER(MATCH($B1582,日別データ!$B$9:$B$28,0)),"✔ OK","⚠ 未登録"))</f>
        <v/>
      </c>
    </row>
    <row r="1583" customFormat="false" ht="15" hidden="false" customHeight="false" outlineLevel="0" collapsed="false">
      <c r="A1583" s="61"/>
      <c r="B1583" s="62"/>
      <c r="C1583" s="63"/>
      <c r="D1583" s="63"/>
      <c r="E1583" s="62"/>
      <c r="F1583" s="62"/>
      <c r="G1583" s="62"/>
      <c r="I1583" s="64" t="str">
        <f aca="false">IF($B1583="","",IF(ISNUMBER(MATCH($B1583,日別データ!$B$9:$B$28,0)),"✔ OK","⚠ 未登録"))</f>
        <v/>
      </c>
    </row>
    <row r="1584" customFormat="false" ht="15" hidden="false" customHeight="false" outlineLevel="0" collapsed="false">
      <c r="A1584" s="61"/>
      <c r="B1584" s="62"/>
      <c r="C1584" s="63"/>
      <c r="D1584" s="63"/>
      <c r="E1584" s="62"/>
      <c r="F1584" s="62"/>
      <c r="G1584" s="62"/>
      <c r="I1584" s="64" t="str">
        <f aca="false">IF($B1584="","",IF(ISNUMBER(MATCH($B1584,日別データ!$B$9:$B$28,0)),"✔ OK","⚠ 未登録"))</f>
        <v/>
      </c>
    </row>
    <row r="1585" customFormat="false" ht="15" hidden="false" customHeight="false" outlineLevel="0" collapsed="false">
      <c r="A1585" s="61"/>
      <c r="B1585" s="62"/>
      <c r="C1585" s="63"/>
      <c r="D1585" s="63"/>
      <c r="E1585" s="62"/>
      <c r="F1585" s="62"/>
      <c r="G1585" s="62"/>
      <c r="I1585" s="64" t="str">
        <f aca="false">IF($B1585="","",IF(ISNUMBER(MATCH($B1585,日別データ!$B$9:$B$28,0)),"✔ OK","⚠ 未登録"))</f>
        <v/>
      </c>
    </row>
    <row r="1586" customFormat="false" ht="15" hidden="false" customHeight="false" outlineLevel="0" collapsed="false">
      <c r="A1586" s="61"/>
      <c r="B1586" s="62"/>
      <c r="C1586" s="63"/>
      <c r="D1586" s="63"/>
      <c r="E1586" s="62"/>
      <c r="F1586" s="62"/>
      <c r="G1586" s="62"/>
      <c r="I1586" s="64" t="str">
        <f aca="false">IF($B1586="","",IF(ISNUMBER(MATCH($B1586,日別データ!$B$9:$B$28,0)),"✔ OK","⚠ 未登録"))</f>
        <v/>
      </c>
    </row>
    <row r="1587" customFormat="false" ht="15" hidden="false" customHeight="false" outlineLevel="0" collapsed="false">
      <c r="A1587" s="61"/>
      <c r="B1587" s="62"/>
      <c r="C1587" s="63"/>
      <c r="D1587" s="63"/>
      <c r="E1587" s="62"/>
      <c r="F1587" s="62"/>
      <c r="G1587" s="62"/>
      <c r="I1587" s="64" t="str">
        <f aca="false">IF($B1587="","",IF(ISNUMBER(MATCH($B1587,日別データ!$B$9:$B$28,0)),"✔ OK","⚠ 未登録"))</f>
        <v/>
      </c>
    </row>
    <row r="1588" customFormat="false" ht="15" hidden="false" customHeight="false" outlineLevel="0" collapsed="false">
      <c r="A1588" s="61"/>
      <c r="B1588" s="62"/>
      <c r="C1588" s="63"/>
      <c r="D1588" s="63"/>
      <c r="E1588" s="62"/>
      <c r="F1588" s="62"/>
      <c r="G1588" s="62"/>
      <c r="I1588" s="64" t="str">
        <f aca="false">IF($B1588="","",IF(ISNUMBER(MATCH($B1588,日別データ!$B$9:$B$28,0)),"✔ OK","⚠ 未登録"))</f>
        <v/>
      </c>
    </row>
    <row r="1589" customFormat="false" ht="15" hidden="false" customHeight="false" outlineLevel="0" collapsed="false">
      <c r="A1589" s="61"/>
      <c r="B1589" s="62"/>
      <c r="C1589" s="63"/>
      <c r="D1589" s="63"/>
      <c r="E1589" s="62"/>
      <c r="F1589" s="62"/>
      <c r="G1589" s="62"/>
      <c r="I1589" s="64" t="str">
        <f aca="false">IF($B1589="","",IF(ISNUMBER(MATCH($B1589,日別データ!$B$9:$B$28,0)),"✔ OK","⚠ 未登録"))</f>
        <v/>
      </c>
    </row>
    <row r="1590" customFormat="false" ht="15" hidden="false" customHeight="false" outlineLevel="0" collapsed="false">
      <c r="A1590" s="61"/>
      <c r="B1590" s="62"/>
      <c r="C1590" s="63"/>
      <c r="D1590" s="63"/>
      <c r="E1590" s="62"/>
      <c r="F1590" s="62"/>
      <c r="G1590" s="62"/>
      <c r="I1590" s="64" t="str">
        <f aca="false">IF($B1590="","",IF(ISNUMBER(MATCH($B1590,日別データ!$B$9:$B$28,0)),"✔ OK","⚠ 未登録"))</f>
        <v/>
      </c>
    </row>
    <row r="1591" customFormat="false" ht="15" hidden="false" customHeight="false" outlineLevel="0" collapsed="false">
      <c r="A1591" s="61"/>
      <c r="B1591" s="62"/>
      <c r="C1591" s="63"/>
      <c r="D1591" s="63"/>
      <c r="E1591" s="62"/>
      <c r="F1591" s="62"/>
      <c r="G1591" s="62"/>
      <c r="I1591" s="64" t="str">
        <f aca="false">IF($B1591="","",IF(ISNUMBER(MATCH($B1591,日別データ!$B$9:$B$28,0)),"✔ OK","⚠ 未登録"))</f>
        <v/>
      </c>
    </row>
    <row r="1592" customFormat="false" ht="15" hidden="false" customHeight="false" outlineLevel="0" collapsed="false">
      <c r="A1592" s="61"/>
      <c r="B1592" s="62"/>
      <c r="C1592" s="63"/>
      <c r="D1592" s="63"/>
      <c r="E1592" s="62"/>
      <c r="F1592" s="62"/>
      <c r="G1592" s="62"/>
      <c r="I1592" s="64" t="str">
        <f aca="false">IF($B1592="","",IF(ISNUMBER(MATCH($B1592,日別データ!$B$9:$B$28,0)),"✔ OK","⚠ 未登録"))</f>
        <v/>
      </c>
    </row>
    <row r="1593" customFormat="false" ht="15" hidden="false" customHeight="false" outlineLevel="0" collapsed="false">
      <c r="A1593" s="61"/>
      <c r="B1593" s="62"/>
      <c r="C1593" s="63"/>
      <c r="D1593" s="63"/>
      <c r="E1593" s="62"/>
      <c r="F1593" s="62"/>
      <c r="G1593" s="62"/>
      <c r="I1593" s="64" t="str">
        <f aca="false">IF($B1593="","",IF(ISNUMBER(MATCH($B1593,日別データ!$B$9:$B$28,0)),"✔ OK","⚠ 未登録"))</f>
        <v/>
      </c>
    </row>
    <row r="1594" customFormat="false" ht="15" hidden="false" customHeight="false" outlineLevel="0" collapsed="false">
      <c r="A1594" s="61"/>
      <c r="B1594" s="62"/>
      <c r="C1594" s="63"/>
      <c r="D1594" s="63"/>
      <c r="E1594" s="62"/>
      <c r="F1594" s="62"/>
      <c r="G1594" s="62"/>
      <c r="I1594" s="64" t="str">
        <f aca="false">IF($B1594="","",IF(ISNUMBER(MATCH($B1594,日別データ!$B$9:$B$28,0)),"✔ OK","⚠ 未登録"))</f>
        <v/>
      </c>
    </row>
    <row r="1595" customFormat="false" ht="15" hidden="false" customHeight="false" outlineLevel="0" collapsed="false">
      <c r="A1595" s="61"/>
      <c r="B1595" s="62"/>
      <c r="C1595" s="63"/>
      <c r="D1595" s="63"/>
      <c r="E1595" s="62"/>
      <c r="F1595" s="62"/>
      <c r="G1595" s="62"/>
      <c r="I1595" s="64" t="str">
        <f aca="false">IF($B1595="","",IF(ISNUMBER(MATCH($B1595,日別データ!$B$9:$B$28,0)),"✔ OK","⚠ 未登録"))</f>
        <v/>
      </c>
    </row>
    <row r="1596" customFormat="false" ht="15" hidden="false" customHeight="false" outlineLevel="0" collapsed="false">
      <c r="A1596" s="61"/>
      <c r="B1596" s="62"/>
      <c r="C1596" s="63"/>
      <c r="D1596" s="63"/>
      <c r="E1596" s="62"/>
      <c r="F1596" s="62"/>
      <c r="G1596" s="62"/>
      <c r="I1596" s="64" t="str">
        <f aca="false">IF($B1596="","",IF(ISNUMBER(MATCH($B1596,日別データ!$B$9:$B$28,0)),"✔ OK","⚠ 未登録"))</f>
        <v/>
      </c>
    </row>
    <row r="1597" customFormat="false" ht="15" hidden="false" customHeight="false" outlineLevel="0" collapsed="false">
      <c r="A1597" s="61"/>
      <c r="B1597" s="62"/>
      <c r="C1597" s="63"/>
      <c r="D1597" s="63"/>
      <c r="E1597" s="62"/>
      <c r="F1597" s="62"/>
      <c r="G1597" s="62"/>
      <c r="I1597" s="64" t="str">
        <f aca="false">IF($B1597="","",IF(ISNUMBER(MATCH($B1597,日別データ!$B$9:$B$28,0)),"✔ OK","⚠ 未登録"))</f>
        <v/>
      </c>
    </row>
    <row r="1598" customFormat="false" ht="15" hidden="false" customHeight="false" outlineLevel="0" collapsed="false">
      <c r="A1598" s="61"/>
      <c r="B1598" s="62"/>
      <c r="C1598" s="63"/>
      <c r="D1598" s="63"/>
      <c r="E1598" s="62"/>
      <c r="F1598" s="62"/>
      <c r="G1598" s="62"/>
      <c r="I1598" s="64" t="str">
        <f aca="false">IF($B1598="","",IF(ISNUMBER(MATCH($B1598,日別データ!$B$9:$B$28,0)),"✔ OK","⚠ 未登録"))</f>
        <v/>
      </c>
    </row>
    <row r="1599" customFormat="false" ht="15" hidden="false" customHeight="false" outlineLevel="0" collapsed="false">
      <c r="A1599" s="61"/>
      <c r="B1599" s="62"/>
      <c r="C1599" s="63"/>
      <c r="D1599" s="63"/>
      <c r="E1599" s="62"/>
      <c r="F1599" s="62"/>
      <c r="G1599" s="62"/>
      <c r="I1599" s="64" t="str">
        <f aca="false">IF($B1599="","",IF(ISNUMBER(MATCH($B1599,日別データ!$B$9:$B$28,0)),"✔ OK","⚠ 未登録"))</f>
        <v/>
      </c>
    </row>
    <row r="1600" customFormat="false" ht="15" hidden="false" customHeight="false" outlineLevel="0" collapsed="false">
      <c r="A1600" s="61"/>
      <c r="B1600" s="62"/>
      <c r="C1600" s="63"/>
      <c r="D1600" s="63"/>
      <c r="E1600" s="62"/>
      <c r="F1600" s="62"/>
      <c r="G1600" s="62"/>
      <c r="I1600" s="64" t="str">
        <f aca="false">IF($B1600="","",IF(ISNUMBER(MATCH($B1600,日別データ!$B$9:$B$28,0)),"✔ OK","⚠ 未登録"))</f>
        <v/>
      </c>
    </row>
    <row r="1601" customFormat="false" ht="15" hidden="false" customHeight="false" outlineLevel="0" collapsed="false">
      <c r="A1601" s="61"/>
      <c r="B1601" s="62"/>
      <c r="C1601" s="63"/>
      <c r="D1601" s="63"/>
      <c r="E1601" s="62"/>
      <c r="F1601" s="62"/>
      <c r="G1601" s="62"/>
      <c r="I1601" s="64" t="str">
        <f aca="false">IF($B1601="","",IF(ISNUMBER(MATCH($B1601,日別データ!$B$9:$B$28,0)),"✔ OK","⚠ 未登録"))</f>
        <v/>
      </c>
    </row>
    <row r="1602" customFormat="false" ht="15" hidden="false" customHeight="false" outlineLevel="0" collapsed="false">
      <c r="A1602" s="61"/>
      <c r="B1602" s="62"/>
      <c r="C1602" s="63"/>
      <c r="D1602" s="63"/>
      <c r="E1602" s="62"/>
      <c r="F1602" s="62"/>
      <c r="G1602" s="62"/>
      <c r="I1602" s="64" t="str">
        <f aca="false">IF($B1602="","",IF(ISNUMBER(MATCH($B1602,日別データ!$B$9:$B$28,0)),"✔ OK","⚠ 未登録"))</f>
        <v/>
      </c>
    </row>
    <row r="1603" customFormat="false" ht="15" hidden="false" customHeight="false" outlineLevel="0" collapsed="false">
      <c r="A1603" s="61"/>
      <c r="B1603" s="62"/>
      <c r="C1603" s="63"/>
      <c r="D1603" s="63"/>
      <c r="E1603" s="62"/>
      <c r="F1603" s="62"/>
      <c r="G1603" s="62"/>
      <c r="I1603" s="64" t="str">
        <f aca="false">IF($B1603="","",IF(ISNUMBER(MATCH($B1603,日別データ!$B$9:$B$28,0)),"✔ OK","⚠ 未登録"))</f>
        <v/>
      </c>
    </row>
    <row r="1604" customFormat="false" ht="15" hidden="false" customHeight="false" outlineLevel="0" collapsed="false">
      <c r="A1604" s="61"/>
      <c r="B1604" s="62"/>
      <c r="C1604" s="63"/>
      <c r="D1604" s="63"/>
      <c r="E1604" s="62"/>
      <c r="F1604" s="62"/>
      <c r="G1604" s="62"/>
      <c r="I1604" s="64" t="str">
        <f aca="false">IF($B1604="","",IF(ISNUMBER(MATCH($B1604,日別データ!$B$9:$B$28,0)),"✔ OK","⚠ 未登録"))</f>
        <v/>
      </c>
    </row>
    <row r="1605" customFormat="false" ht="15" hidden="false" customHeight="false" outlineLevel="0" collapsed="false">
      <c r="A1605" s="61"/>
      <c r="B1605" s="62"/>
      <c r="C1605" s="63"/>
      <c r="D1605" s="63"/>
      <c r="E1605" s="62"/>
      <c r="F1605" s="62"/>
      <c r="G1605" s="62"/>
      <c r="I1605" s="64" t="str">
        <f aca="false">IF($B1605="","",IF(ISNUMBER(MATCH($B1605,日別データ!$B$9:$B$28,0)),"✔ OK","⚠ 未登録"))</f>
        <v/>
      </c>
    </row>
    <row r="1606" customFormat="false" ht="15" hidden="false" customHeight="false" outlineLevel="0" collapsed="false">
      <c r="A1606" s="61"/>
      <c r="B1606" s="62"/>
      <c r="C1606" s="63"/>
      <c r="D1606" s="63"/>
      <c r="E1606" s="62"/>
      <c r="F1606" s="62"/>
      <c r="G1606" s="62"/>
      <c r="I1606" s="64" t="str">
        <f aca="false">IF($B1606="","",IF(ISNUMBER(MATCH($B1606,日別データ!$B$9:$B$28,0)),"✔ OK","⚠ 未登録"))</f>
        <v/>
      </c>
    </row>
    <row r="1607" customFormat="false" ht="15" hidden="false" customHeight="false" outlineLevel="0" collapsed="false">
      <c r="A1607" s="61"/>
      <c r="B1607" s="62"/>
      <c r="C1607" s="63"/>
      <c r="D1607" s="63"/>
      <c r="E1607" s="62"/>
      <c r="F1607" s="62"/>
      <c r="G1607" s="62"/>
      <c r="I1607" s="64" t="str">
        <f aca="false">IF($B1607="","",IF(ISNUMBER(MATCH($B1607,日別データ!$B$9:$B$28,0)),"✔ OK","⚠ 未登録"))</f>
        <v/>
      </c>
    </row>
    <row r="1608" customFormat="false" ht="15" hidden="false" customHeight="false" outlineLevel="0" collapsed="false">
      <c r="A1608" s="61"/>
      <c r="B1608" s="62"/>
      <c r="C1608" s="63"/>
      <c r="D1608" s="63"/>
      <c r="E1608" s="62"/>
      <c r="F1608" s="62"/>
      <c r="G1608" s="62"/>
      <c r="I1608" s="64" t="str">
        <f aca="false">IF($B1608="","",IF(ISNUMBER(MATCH($B1608,日別データ!$B$9:$B$28,0)),"✔ OK","⚠ 未登録"))</f>
        <v/>
      </c>
    </row>
    <row r="1609" customFormat="false" ht="15" hidden="false" customHeight="false" outlineLevel="0" collapsed="false">
      <c r="A1609" s="61"/>
      <c r="B1609" s="62"/>
      <c r="C1609" s="63"/>
      <c r="D1609" s="63"/>
      <c r="E1609" s="62"/>
      <c r="F1609" s="62"/>
      <c r="G1609" s="62"/>
      <c r="I1609" s="64" t="str">
        <f aca="false">IF($B1609="","",IF(ISNUMBER(MATCH($B1609,日別データ!$B$9:$B$28,0)),"✔ OK","⚠ 未登録"))</f>
        <v/>
      </c>
    </row>
    <row r="1610" customFormat="false" ht="15" hidden="false" customHeight="false" outlineLevel="0" collapsed="false">
      <c r="A1610" s="61"/>
      <c r="B1610" s="62"/>
      <c r="C1610" s="63"/>
      <c r="D1610" s="63"/>
      <c r="E1610" s="62"/>
      <c r="F1610" s="62"/>
      <c r="G1610" s="62"/>
      <c r="I1610" s="64" t="str">
        <f aca="false">IF($B1610="","",IF(ISNUMBER(MATCH($B1610,日別データ!$B$9:$B$28,0)),"✔ OK","⚠ 未登録"))</f>
        <v/>
      </c>
    </row>
    <row r="1611" customFormat="false" ht="15" hidden="false" customHeight="false" outlineLevel="0" collapsed="false">
      <c r="A1611" s="61"/>
      <c r="B1611" s="62"/>
      <c r="C1611" s="63"/>
      <c r="D1611" s="63"/>
      <c r="E1611" s="62"/>
      <c r="F1611" s="62"/>
      <c r="G1611" s="62"/>
      <c r="I1611" s="64" t="str">
        <f aca="false">IF($B1611="","",IF(ISNUMBER(MATCH($B1611,日別データ!$B$9:$B$28,0)),"✔ OK","⚠ 未登録"))</f>
        <v/>
      </c>
    </row>
    <row r="1612" customFormat="false" ht="15" hidden="false" customHeight="false" outlineLevel="0" collapsed="false">
      <c r="A1612" s="61"/>
      <c r="B1612" s="62"/>
      <c r="C1612" s="63"/>
      <c r="D1612" s="63"/>
      <c r="E1612" s="62"/>
      <c r="F1612" s="62"/>
      <c r="G1612" s="62"/>
      <c r="I1612" s="64" t="str">
        <f aca="false">IF($B1612="","",IF(ISNUMBER(MATCH($B1612,日別データ!$B$9:$B$28,0)),"✔ OK","⚠ 未登録"))</f>
        <v/>
      </c>
    </row>
    <row r="1613" customFormat="false" ht="15" hidden="false" customHeight="false" outlineLevel="0" collapsed="false">
      <c r="A1613" s="61"/>
      <c r="B1613" s="62"/>
      <c r="C1613" s="63"/>
      <c r="D1613" s="63"/>
      <c r="E1613" s="62"/>
      <c r="F1613" s="62"/>
      <c r="G1613" s="62"/>
      <c r="I1613" s="64" t="str">
        <f aca="false">IF($B1613="","",IF(ISNUMBER(MATCH($B1613,日別データ!$B$9:$B$28,0)),"✔ OK","⚠ 未登録"))</f>
        <v/>
      </c>
    </row>
    <row r="1614" customFormat="false" ht="15" hidden="false" customHeight="false" outlineLevel="0" collapsed="false">
      <c r="A1614" s="61"/>
      <c r="B1614" s="62"/>
      <c r="C1614" s="63"/>
      <c r="D1614" s="63"/>
      <c r="E1614" s="62"/>
      <c r="F1614" s="62"/>
      <c r="G1614" s="62"/>
      <c r="I1614" s="64" t="str">
        <f aca="false">IF($B1614="","",IF(ISNUMBER(MATCH($B1614,日別データ!$B$9:$B$28,0)),"✔ OK","⚠ 未登録"))</f>
        <v/>
      </c>
    </row>
    <row r="1615" customFormat="false" ht="15" hidden="false" customHeight="false" outlineLevel="0" collapsed="false">
      <c r="A1615" s="61"/>
      <c r="B1615" s="62"/>
      <c r="C1615" s="63"/>
      <c r="D1615" s="63"/>
      <c r="E1615" s="62"/>
      <c r="F1615" s="62"/>
      <c r="G1615" s="62"/>
      <c r="I1615" s="64" t="str">
        <f aca="false">IF($B1615="","",IF(ISNUMBER(MATCH($B1615,日別データ!$B$9:$B$28,0)),"✔ OK","⚠ 未登録"))</f>
        <v/>
      </c>
    </row>
    <row r="1616" customFormat="false" ht="15" hidden="false" customHeight="false" outlineLevel="0" collapsed="false">
      <c r="A1616" s="61"/>
      <c r="B1616" s="62"/>
      <c r="C1616" s="63"/>
      <c r="D1616" s="63"/>
      <c r="E1616" s="62"/>
      <c r="F1616" s="62"/>
      <c r="G1616" s="62"/>
      <c r="I1616" s="64" t="str">
        <f aca="false">IF($B1616="","",IF(ISNUMBER(MATCH($B1616,日別データ!$B$9:$B$28,0)),"✔ OK","⚠ 未登録"))</f>
        <v/>
      </c>
    </row>
    <row r="1617" customFormat="false" ht="15" hidden="false" customHeight="false" outlineLevel="0" collapsed="false">
      <c r="A1617" s="61"/>
      <c r="B1617" s="62"/>
      <c r="C1617" s="63"/>
      <c r="D1617" s="63"/>
      <c r="E1617" s="62"/>
      <c r="F1617" s="62"/>
      <c r="G1617" s="62"/>
      <c r="I1617" s="64" t="str">
        <f aca="false">IF($B1617="","",IF(ISNUMBER(MATCH($B1617,日別データ!$B$9:$B$28,0)),"✔ OK","⚠ 未登録"))</f>
        <v/>
      </c>
    </row>
    <row r="1618" customFormat="false" ht="15" hidden="false" customHeight="false" outlineLevel="0" collapsed="false">
      <c r="A1618" s="61"/>
      <c r="B1618" s="62"/>
      <c r="C1618" s="63"/>
      <c r="D1618" s="63"/>
      <c r="E1618" s="62"/>
      <c r="F1618" s="62"/>
      <c r="G1618" s="62"/>
      <c r="I1618" s="64" t="str">
        <f aca="false">IF($B1618="","",IF(ISNUMBER(MATCH($B1618,日別データ!$B$9:$B$28,0)),"✔ OK","⚠ 未登録"))</f>
        <v/>
      </c>
    </row>
    <row r="1619" customFormat="false" ht="15" hidden="false" customHeight="false" outlineLevel="0" collapsed="false">
      <c r="A1619" s="61"/>
      <c r="B1619" s="62"/>
      <c r="C1619" s="63"/>
      <c r="D1619" s="63"/>
      <c r="E1619" s="62"/>
      <c r="F1619" s="62"/>
      <c r="G1619" s="62"/>
      <c r="I1619" s="64" t="str">
        <f aca="false">IF($B1619="","",IF(ISNUMBER(MATCH($B1619,日別データ!$B$9:$B$28,0)),"✔ OK","⚠ 未登録"))</f>
        <v/>
      </c>
    </row>
    <row r="1620" customFormat="false" ht="15" hidden="false" customHeight="false" outlineLevel="0" collapsed="false">
      <c r="A1620" s="61"/>
      <c r="B1620" s="62"/>
      <c r="C1620" s="63"/>
      <c r="D1620" s="63"/>
      <c r="E1620" s="62"/>
      <c r="F1620" s="62"/>
      <c r="G1620" s="62"/>
      <c r="I1620" s="64" t="str">
        <f aca="false">IF($B1620="","",IF(ISNUMBER(MATCH($B1620,日別データ!$B$9:$B$28,0)),"✔ OK","⚠ 未登録"))</f>
        <v/>
      </c>
    </row>
    <row r="1621" customFormat="false" ht="15" hidden="false" customHeight="false" outlineLevel="0" collapsed="false">
      <c r="A1621" s="61"/>
      <c r="B1621" s="62"/>
      <c r="C1621" s="63"/>
      <c r="D1621" s="63"/>
      <c r="E1621" s="62"/>
      <c r="F1621" s="62"/>
      <c r="G1621" s="62"/>
      <c r="I1621" s="64" t="str">
        <f aca="false">IF($B1621="","",IF(ISNUMBER(MATCH($B1621,日別データ!$B$9:$B$28,0)),"✔ OK","⚠ 未登録"))</f>
        <v/>
      </c>
    </row>
    <row r="1622" customFormat="false" ht="15" hidden="false" customHeight="false" outlineLevel="0" collapsed="false">
      <c r="A1622" s="61"/>
      <c r="B1622" s="62"/>
      <c r="C1622" s="63"/>
      <c r="D1622" s="63"/>
      <c r="E1622" s="62"/>
      <c r="F1622" s="62"/>
      <c r="G1622" s="62"/>
      <c r="I1622" s="64" t="str">
        <f aca="false">IF($B1622="","",IF(ISNUMBER(MATCH($B1622,日別データ!$B$9:$B$28,0)),"✔ OK","⚠ 未登録"))</f>
        <v/>
      </c>
    </row>
    <row r="1623" customFormat="false" ht="15" hidden="false" customHeight="false" outlineLevel="0" collapsed="false">
      <c r="A1623" s="61"/>
      <c r="B1623" s="62"/>
      <c r="C1623" s="63"/>
      <c r="D1623" s="63"/>
      <c r="E1623" s="62"/>
      <c r="F1623" s="62"/>
      <c r="G1623" s="62"/>
      <c r="I1623" s="64" t="str">
        <f aca="false">IF($B1623="","",IF(ISNUMBER(MATCH($B1623,日別データ!$B$9:$B$28,0)),"✔ OK","⚠ 未登録"))</f>
        <v/>
      </c>
    </row>
    <row r="1624" customFormat="false" ht="15" hidden="false" customHeight="false" outlineLevel="0" collapsed="false">
      <c r="A1624" s="61"/>
      <c r="B1624" s="62"/>
      <c r="C1624" s="63"/>
      <c r="D1624" s="63"/>
      <c r="E1624" s="62"/>
      <c r="F1624" s="62"/>
      <c r="G1624" s="62"/>
      <c r="I1624" s="64" t="str">
        <f aca="false">IF($B1624="","",IF(ISNUMBER(MATCH($B1624,日別データ!$B$9:$B$28,0)),"✔ OK","⚠ 未登録"))</f>
        <v/>
      </c>
    </row>
    <row r="1625" customFormat="false" ht="15" hidden="false" customHeight="false" outlineLevel="0" collapsed="false">
      <c r="A1625" s="61"/>
      <c r="B1625" s="62"/>
      <c r="C1625" s="63"/>
      <c r="D1625" s="63"/>
      <c r="E1625" s="62"/>
      <c r="F1625" s="62"/>
      <c r="G1625" s="62"/>
      <c r="I1625" s="64" t="str">
        <f aca="false">IF($B1625="","",IF(ISNUMBER(MATCH($B1625,日別データ!$B$9:$B$28,0)),"✔ OK","⚠ 未登録"))</f>
        <v/>
      </c>
    </row>
    <row r="1626" customFormat="false" ht="15" hidden="false" customHeight="false" outlineLevel="0" collapsed="false">
      <c r="A1626" s="61"/>
      <c r="B1626" s="62"/>
      <c r="C1626" s="63"/>
      <c r="D1626" s="63"/>
      <c r="E1626" s="62"/>
      <c r="F1626" s="62"/>
      <c r="G1626" s="62"/>
      <c r="I1626" s="64" t="str">
        <f aca="false">IF($B1626="","",IF(ISNUMBER(MATCH($B1626,日別データ!$B$9:$B$28,0)),"✔ OK","⚠ 未登録"))</f>
        <v/>
      </c>
    </row>
    <row r="1627" customFormat="false" ht="15" hidden="false" customHeight="false" outlineLevel="0" collapsed="false">
      <c r="A1627" s="61"/>
      <c r="B1627" s="62"/>
      <c r="C1627" s="63"/>
      <c r="D1627" s="63"/>
      <c r="E1627" s="62"/>
      <c r="F1627" s="62"/>
      <c r="G1627" s="62"/>
      <c r="I1627" s="64" t="str">
        <f aca="false">IF($B1627="","",IF(ISNUMBER(MATCH($B1627,日別データ!$B$9:$B$28,0)),"✔ OK","⚠ 未登録"))</f>
        <v/>
      </c>
    </row>
    <row r="1628" customFormat="false" ht="15" hidden="false" customHeight="false" outlineLevel="0" collapsed="false">
      <c r="A1628" s="61"/>
      <c r="B1628" s="62"/>
      <c r="C1628" s="63"/>
      <c r="D1628" s="63"/>
      <c r="E1628" s="62"/>
      <c r="F1628" s="62"/>
      <c r="G1628" s="62"/>
      <c r="I1628" s="64" t="str">
        <f aca="false">IF($B1628="","",IF(ISNUMBER(MATCH($B1628,日別データ!$B$9:$B$28,0)),"✔ OK","⚠ 未登録"))</f>
        <v/>
      </c>
    </row>
    <row r="1629" customFormat="false" ht="15" hidden="false" customHeight="false" outlineLevel="0" collapsed="false">
      <c r="A1629" s="61"/>
      <c r="B1629" s="62"/>
      <c r="C1629" s="63"/>
      <c r="D1629" s="63"/>
      <c r="E1629" s="62"/>
      <c r="F1629" s="62"/>
      <c r="G1629" s="62"/>
      <c r="I1629" s="64" t="str">
        <f aca="false">IF($B1629="","",IF(ISNUMBER(MATCH($B1629,日別データ!$B$9:$B$28,0)),"✔ OK","⚠ 未登録"))</f>
        <v/>
      </c>
    </row>
    <row r="1630" customFormat="false" ht="15" hidden="false" customHeight="false" outlineLevel="0" collapsed="false">
      <c r="A1630" s="61"/>
      <c r="B1630" s="62"/>
      <c r="C1630" s="63"/>
      <c r="D1630" s="63"/>
      <c r="E1630" s="62"/>
      <c r="F1630" s="62"/>
      <c r="G1630" s="62"/>
      <c r="I1630" s="64" t="str">
        <f aca="false">IF($B1630="","",IF(ISNUMBER(MATCH($B1630,日別データ!$B$9:$B$28,0)),"✔ OK","⚠ 未登録"))</f>
        <v/>
      </c>
    </row>
    <row r="1631" customFormat="false" ht="15" hidden="false" customHeight="false" outlineLevel="0" collapsed="false">
      <c r="A1631" s="61"/>
      <c r="B1631" s="62"/>
      <c r="C1631" s="63"/>
      <c r="D1631" s="63"/>
      <c r="E1631" s="62"/>
      <c r="F1631" s="62"/>
      <c r="G1631" s="62"/>
      <c r="I1631" s="64" t="str">
        <f aca="false">IF($B1631="","",IF(ISNUMBER(MATCH($B1631,日別データ!$B$9:$B$28,0)),"✔ OK","⚠ 未登録"))</f>
        <v/>
      </c>
    </row>
    <row r="1632" customFormat="false" ht="15" hidden="false" customHeight="false" outlineLevel="0" collapsed="false">
      <c r="A1632" s="61"/>
      <c r="B1632" s="62"/>
      <c r="C1632" s="63"/>
      <c r="D1632" s="63"/>
      <c r="E1632" s="62"/>
      <c r="F1632" s="62"/>
      <c r="G1632" s="62"/>
      <c r="I1632" s="64" t="str">
        <f aca="false">IF($B1632="","",IF(ISNUMBER(MATCH($B1632,日別データ!$B$9:$B$28,0)),"✔ OK","⚠ 未登録"))</f>
        <v/>
      </c>
    </row>
    <row r="1633" customFormat="false" ht="15" hidden="false" customHeight="false" outlineLevel="0" collapsed="false">
      <c r="A1633" s="61"/>
      <c r="B1633" s="62"/>
      <c r="C1633" s="63"/>
      <c r="D1633" s="63"/>
      <c r="E1633" s="62"/>
      <c r="F1633" s="62"/>
      <c r="G1633" s="62"/>
      <c r="I1633" s="64" t="str">
        <f aca="false">IF($B1633="","",IF(ISNUMBER(MATCH($B1633,日別データ!$B$9:$B$28,0)),"✔ OK","⚠ 未登録"))</f>
        <v/>
      </c>
    </row>
    <row r="1634" customFormat="false" ht="15" hidden="false" customHeight="false" outlineLevel="0" collapsed="false">
      <c r="A1634" s="61"/>
      <c r="B1634" s="62"/>
      <c r="C1634" s="63"/>
      <c r="D1634" s="63"/>
      <c r="E1634" s="62"/>
      <c r="F1634" s="62"/>
      <c r="G1634" s="62"/>
      <c r="I1634" s="64" t="str">
        <f aca="false">IF($B1634="","",IF(ISNUMBER(MATCH($B1634,日別データ!$B$9:$B$28,0)),"✔ OK","⚠ 未登録"))</f>
        <v/>
      </c>
    </row>
    <row r="1635" customFormat="false" ht="15" hidden="false" customHeight="false" outlineLevel="0" collapsed="false">
      <c r="A1635" s="61"/>
      <c r="B1635" s="62"/>
      <c r="C1635" s="63"/>
      <c r="D1635" s="63"/>
      <c r="E1635" s="62"/>
      <c r="F1635" s="62"/>
      <c r="G1635" s="62"/>
      <c r="I1635" s="64" t="str">
        <f aca="false">IF($B1635="","",IF(ISNUMBER(MATCH($B1635,日別データ!$B$9:$B$28,0)),"✔ OK","⚠ 未登録"))</f>
        <v/>
      </c>
    </row>
    <row r="1636" customFormat="false" ht="15" hidden="false" customHeight="false" outlineLevel="0" collapsed="false">
      <c r="A1636" s="61"/>
      <c r="B1636" s="62"/>
      <c r="C1636" s="63"/>
      <c r="D1636" s="63"/>
      <c r="E1636" s="62"/>
      <c r="F1636" s="62"/>
      <c r="G1636" s="62"/>
      <c r="I1636" s="64" t="str">
        <f aca="false">IF($B1636="","",IF(ISNUMBER(MATCH($B1636,日別データ!$B$9:$B$28,0)),"✔ OK","⚠ 未登録"))</f>
        <v/>
      </c>
    </row>
    <row r="1637" customFormat="false" ht="15" hidden="false" customHeight="false" outlineLevel="0" collapsed="false">
      <c r="A1637" s="61"/>
      <c r="B1637" s="62"/>
      <c r="C1637" s="63"/>
      <c r="D1637" s="63"/>
      <c r="E1637" s="62"/>
      <c r="F1637" s="62"/>
      <c r="G1637" s="62"/>
      <c r="I1637" s="64" t="str">
        <f aca="false">IF($B1637="","",IF(ISNUMBER(MATCH($B1637,日別データ!$B$9:$B$28,0)),"✔ OK","⚠ 未登録"))</f>
        <v/>
      </c>
    </row>
    <row r="1638" customFormat="false" ht="15" hidden="false" customHeight="false" outlineLevel="0" collapsed="false">
      <c r="A1638" s="61"/>
      <c r="B1638" s="62"/>
      <c r="C1638" s="63"/>
      <c r="D1638" s="63"/>
      <c r="E1638" s="62"/>
      <c r="F1638" s="62"/>
      <c r="G1638" s="62"/>
      <c r="I1638" s="64" t="str">
        <f aca="false">IF($B1638="","",IF(ISNUMBER(MATCH($B1638,日別データ!$B$9:$B$28,0)),"✔ OK","⚠ 未登録"))</f>
        <v/>
      </c>
    </row>
    <row r="1639" customFormat="false" ht="15" hidden="false" customHeight="false" outlineLevel="0" collapsed="false">
      <c r="A1639" s="61"/>
      <c r="B1639" s="62"/>
      <c r="C1639" s="63"/>
      <c r="D1639" s="63"/>
      <c r="E1639" s="62"/>
      <c r="F1639" s="62"/>
      <c r="G1639" s="62"/>
      <c r="I1639" s="64" t="str">
        <f aca="false">IF($B1639="","",IF(ISNUMBER(MATCH($B1639,日別データ!$B$9:$B$28,0)),"✔ OK","⚠ 未登録"))</f>
        <v/>
      </c>
    </row>
    <row r="1640" customFormat="false" ht="15" hidden="false" customHeight="false" outlineLevel="0" collapsed="false">
      <c r="A1640" s="61"/>
      <c r="B1640" s="62"/>
      <c r="C1640" s="63"/>
      <c r="D1640" s="63"/>
      <c r="E1640" s="62"/>
      <c r="F1640" s="62"/>
      <c r="G1640" s="62"/>
      <c r="I1640" s="64" t="str">
        <f aca="false">IF($B1640="","",IF(ISNUMBER(MATCH($B1640,日別データ!$B$9:$B$28,0)),"✔ OK","⚠ 未登録"))</f>
        <v/>
      </c>
    </row>
    <row r="1641" customFormat="false" ht="15" hidden="false" customHeight="false" outlineLevel="0" collapsed="false">
      <c r="A1641" s="61"/>
      <c r="B1641" s="62"/>
      <c r="C1641" s="63"/>
      <c r="D1641" s="63"/>
      <c r="E1641" s="62"/>
      <c r="F1641" s="62"/>
      <c r="G1641" s="62"/>
      <c r="I1641" s="64" t="str">
        <f aca="false">IF($B1641="","",IF(ISNUMBER(MATCH($B1641,日別データ!$B$9:$B$28,0)),"✔ OK","⚠ 未登録"))</f>
        <v/>
      </c>
    </row>
    <row r="1642" customFormat="false" ht="15" hidden="false" customHeight="false" outlineLevel="0" collapsed="false">
      <c r="A1642" s="61"/>
      <c r="B1642" s="62"/>
      <c r="C1642" s="63"/>
      <c r="D1642" s="63"/>
      <c r="E1642" s="62"/>
      <c r="F1642" s="62"/>
      <c r="G1642" s="62"/>
      <c r="I1642" s="64" t="str">
        <f aca="false">IF($B1642="","",IF(ISNUMBER(MATCH($B1642,日別データ!$B$9:$B$28,0)),"✔ OK","⚠ 未登録"))</f>
        <v/>
      </c>
    </row>
    <row r="1643" customFormat="false" ht="15" hidden="false" customHeight="false" outlineLevel="0" collapsed="false">
      <c r="A1643" s="61"/>
      <c r="B1643" s="62"/>
      <c r="C1643" s="63"/>
      <c r="D1643" s="63"/>
      <c r="E1643" s="62"/>
      <c r="F1643" s="62"/>
      <c r="G1643" s="62"/>
      <c r="I1643" s="64" t="str">
        <f aca="false">IF($B1643="","",IF(ISNUMBER(MATCH($B1643,日別データ!$B$9:$B$28,0)),"✔ OK","⚠ 未登録"))</f>
        <v/>
      </c>
    </row>
    <row r="1644" customFormat="false" ht="15" hidden="false" customHeight="false" outlineLevel="0" collapsed="false">
      <c r="A1644" s="61"/>
      <c r="B1644" s="62"/>
      <c r="C1644" s="63"/>
      <c r="D1644" s="63"/>
      <c r="E1644" s="62"/>
      <c r="F1644" s="62"/>
      <c r="G1644" s="62"/>
      <c r="I1644" s="64" t="str">
        <f aca="false">IF($B1644="","",IF(ISNUMBER(MATCH($B1644,日別データ!$B$9:$B$28,0)),"✔ OK","⚠ 未登録"))</f>
        <v/>
      </c>
    </row>
    <row r="1645" customFormat="false" ht="15" hidden="false" customHeight="false" outlineLevel="0" collapsed="false">
      <c r="A1645" s="61"/>
      <c r="B1645" s="62"/>
      <c r="C1645" s="63"/>
      <c r="D1645" s="63"/>
      <c r="E1645" s="62"/>
      <c r="F1645" s="62"/>
      <c r="G1645" s="62"/>
      <c r="I1645" s="64" t="str">
        <f aca="false">IF($B1645="","",IF(ISNUMBER(MATCH($B1645,日別データ!$B$9:$B$28,0)),"✔ OK","⚠ 未登録"))</f>
        <v/>
      </c>
    </row>
    <row r="1646" customFormat="false" ht="15" hidden="false" customHeight="false" outlineLevel="0" collapsed="false">
      <c r="A1646" s="61"/>
      <c r="B1646" s="62"/>
      <c r="C1646" s="63"/>
      <c r="D1646" s="63"/>
      <c r="E1646" s="62"/>
      <c r="F1646" s="62"/>
      <c r="G1646" s="62"/>
      <c r="I1646" s="64" t="str">
        <f aca="false">IF($B1646="","",IF(ISNUMBER(MATCH($B1646,日別データ!$B$9:$B$28,0)),"✔ OK","⚠ 未登録"))</f>
        <v/>
      </c>
    </row>
    <row r="1647" customFormat="false" ht="15" hidden="false" customHeight="false" outlineLevel="0" collapsed="false">
      <c r="A1647" s="61"/>
      <c r="B1647" s="62"/>
      <c r="C1647" s="63"/>
      <c r="D1647" s="63"/>
      <c r="E1647" s="62"/>
      <c r="F1647" s="62"/>
      <c r="G1647" s="62"/>
      <c r="I1647" s="64" t="str">
        <f aca="false">IF($B1647="","",IF(ISNUMBER(MATCH($B1647,日別データ!$B$9:$B$28,0)),"✔ OK","⚠ 未登録"))</f>
        <v/>
      </c>
    </row>
    <row r="1648" customFormat="false" ht="15" hidden="false" customHeight="false" outlineLevel="0" collapsed="false">
      <c r="A1648" s="61"/>
      <c r="B1648" s="62"/>
      <c r="C1648" s="63"/>
      <c r="D1648" s="63"/>
      <c r="E1648" s="62"/>
      <c r="F1648" s="62"/>
      <c r="G1648" s="62"/>
      <c r="I1648" s="64" t="str">
        <f aca="false">IF($B1648="","",IF(ISNUMBER(MATCH($B1648,日別データ!$B$9:$B$28,0)),"✔ OK","⚠ 未登録"))</f>
        <v/>
      </c>
    </row>
    <row r="1649" customFormat="false" ht="15" hidden="false" customHeight="false" outlineLevel="0" collapsed="false">
      <c r="A1649" s="61"/>
      <c r="B1649" s="62"/>
      <c r="C1649" s="63"/>
      <c r="D1649" s="63"/>
      <c r="E1649" s="62"/>
      <c r="F1649" s="62"/>
      <c r="G1649" s="62"/>
      <c r="I1649" s="64" t="str">
        <f aca="false">IF($B1649="","",IF(ISNUMBER(MATCH($B1649,日別データ!$B$9:$B$28,0)),"✔ OK","⚠ 未登録"))</f>
        <v/>
      </c>
    </row>
    <row r="1650" customFormat="false" ht="15" hidden="false" customHeight="false" outlineLevel="0" collapsed="false">
      <c r="A1650" s="61"/>
      <c r="B1650" s="62"/>
      <c r="C1650" s="63"/>
      <c r="D1650" s="63"/>
      <c r="E1650" s="62"/>
      <c r="F1650" s="62"/>
      <c r="G1650" s="62"/>
      <c r="I1650" s="64" t="str">
        <f aca="false">IF($B1650="","",IF(ISNUMBER(MATCH($B1650,日別データ!$B$9:$B$28,0)),"✔ OK","⚠ 未登録"))</f>
        <v/>
      </c>
    </row>
    <row r="1651" customFormat="false" ht="15" hidden="false" customHeight="false" outlineLevel="0" collapsed="false">
      <c r="A1651" s="61"/>
      <c r="B1651" s="62"/>
      <c r="C1651" s="63"/>
      <c r="D1651" s="63"/>
      <c r="E1651" s="62"/>
      <c r="F1651" s="62"/>
      <c r="G1651" s="62"/>
      <c r="I1651" s="64" t="str">
        <f aca="false">IF($B1651="","",IF(ISNUMBER(MATCH($B1651,日別データ!$B$9:$B$28,0)),"✔ OK","⚠ 未登録"))</f>
        <v/>
      </c>
    </row>
    <row r="1652" customFormat="false" ht="15" hidden="false" customHeight="false" outlineLevel="0" collapsed="false">
      <c r="A1652" s="61"/>
      <c r="B1652" s="62"/>
      <c r="C1652" s="63"/>
      <c r="D1652" s="63"/>
      <c r="E1652" s="62"/>
      <c r="F1652" s="62"/>
      <c r="G1652" s="62"/>
      <c r="I1652" s="64" t="str">
        <f aca="false">IF($B1652="","",IF(ISNUMBER(MATCH($B1652,日別データ!$B$9:$B$28,0)),"✔ OK","⚠ 未登録"))</f>
        <v/>
      </c>
    </row>
    <row r="1653" customFormat="false" ht="15" hidden="false" customHeight="false" outlineLevel="0" collapsed="false">
      <c r="A1653" s="61"/>
      <c r="B1653" s="62"/>
      <c r="C1653" s="63"/>
      <c r="D1653" s="63"/>
      <c r="E1653" s="62"/>
      <c r="F1653" s="62"/>
      <c r="G1653" s="62"/>
      <c r="I1653" s="64" t="str">
        <f aca="false">IF($B1653="","",IF(ISNUMBER(MATCH($B1653,日別データ!$B$9:$B$28,0)),"✔ OK","⚠ 未登録"))</f>
        <v/>
      </c>
    </row>
    <row r="1654" customFormat="false" ht="15" hidden="false" customHeight="false" outlineLevel="0" collapsed="false">
      <c r="A1654" s="61"/>
      <c r="B1654" s="62"/>
      <c r="C1654" s="63"/>
      <c r="D1654" s="63"/>
      <c r="E1654" s="62"/>
      <c r="F1654" s="62"/>
      <c r="G1654" s="62"/>
      <c r="I1654" s="64" t="str">
        <f aca="false">IF($B1654="","",IF(ISNUMBER(MATCH($B1654,日別データ!$B$9:$B$28,0)),"✔ OK","⚠ 未登録"))</f>
        <v/>
      </c>
    </row>
    <row r="1655" customFormat="false" ht="15" hidden="false" customHeight="false" outlineLevel="0" collapsed="false">
      <c r="A1655" s="61"/>
      <c r="B1655" s="62"/>
      <c r="C1655" s="63"/>
      <c r="D1655" s="63"/>
      <c r="E1655" s="62"/>
      <c r="F1655" s="62"/>
      <c r="G1655" s="62"/>
      <c r="I1655" s="64" t="str">
        <f aca="false">IF($B1655="","",IF(ISNUMBER(MATCH($B1655,日別データ!$B$9:$B$28,0)),"✔ OK","⚠ 未登録"))</f>
        <v/>
      </c>
    </row>
    <row r="1656" customFormat="false" ht="15" hidden="false" customHeight="false" outlineLevel="0" collapsed="false">
      <c r="A1656" s="61"/>
      <c r="B1656" s="62"/>
      <c r="C1656" s="63"/>
      <c r="D1656" s="63"/>
      <c r="E1656" s="62"/>
      <c r="F1656" s="62"/>
      <c r="G1656" s="62"/>
      <c r="I1656" s="64" t="str">
        <f aca="false">IF($B1656="","",IF(ISNUMBER(MATCH($B1656,日別データ!$B$9:$B$28,0)),"✔ OK","⚠ 未登録"))</f>
        <v/>
      </c>
    </row>
    <row r="1657" customFormat="false" ht="15" hidden="false" customHeight="false" outlineLevel="0" collapsed="false">
      <c r="A1657" s="61"/>
      <c r="B1657" s="62"/>
      <c r="C1657" s="63"/>
      <c r="D1657" s="63"/>
      <c r="E1657" s="62"/>
      <c r="F1657" s="62"/>
      <c r="G1657" s="62"/>
      <c r="I1657" s="64" t="str">
        <f aca="false">IF($B1657="","",IF(ISNUMBER(MATCH($B1657,日別データ!$B$9:$B$28,0)),"✔ OK","⚠ 未登録"))</f>
        <v/>
      </c>
    </row>
    <row r="1658" customFormat="false" ht="15" hidden="false" customHeight="false" outlineLevel="0" collapsed="false">
      <c r="A1658" s="61"/>
      <c r="B1658" s="62"/>
      <c r="C1658" s="63"/>
      <c r="D1658" s="63"/>
      <c r="E1658" s="62"/>
      <c r="F1658" s="62"/>
      <c r="G1658" s="62"/>
      <c r="I1658" s="64" t="str">
        <f aca="false">IF($B1658="","",IF(ISNUMBER(MATCH($B1658,日別データ!$B$9:$B$28,0)),"✔ OK","⚠ 未登録"))</f>
        <v/>
      </c>
    </row>
    <row r="1659" customFormat="false" ht="15" hidden="false" customHeight="false" outlineLevel="0" collapsed="false">
      <c r="A1659" s="61"/>
      <c r="B1659" s="62"/>
      <c r="C1659" s="63"/>
      <c r="D1659" s="63"/>
      <c r="E1659" s="62"/>
      <c r="F1659" s="62"/>
      <c r="G1659" s="62"/>
      <c r="I1659" s="64" t="str">
        <f aca="false">IF($B1659="","",IF(ISNUMBER(MATCH($B1659,日別データ!$B$9:$B$28,0)),"✔ OK","⚠ 未登録"))</f>
        <v/>
      </c>
    </row>
    <row r="1660" customFormat="false" ht="15" hidden="false" customHeight="false" outlineLevel="0" collapsed="false">
      <c r="A1660" s="61"/>
      <c r="B1660" s="62"/>
      <c r="C1660" s="63"/>
      <c r="D1660" s="63"/>
      <c r="E1660" s="62"/>
      <c r="F1660" s="62"/>
      <c r="G1660" s="62"/>
      <c r="I1660" s="64" t="str">
        <f aca="false">IF($B1660="","",IF(ISNUMBER(MATCH($B1660,日別データ!$B$9:$B$28,0)),"✔ OK","⚠ 未登録"))</f>
        <v/>
      </c>
    </row>
    <row r="1661" customFormat="false" ht="15" hidden="false" customHeight="false" outlineLevel="0" collapsed="false">
      <c r="A1661" s="61"/>
      <c r="B1661" s="62"/>
      <c r="C1661" s="63"/>
      <c r="D1661" s="63"/>
      <c r="E1661" s="62"/>
      <c r="F1661" s="62"/>
      <c r="G1661" s="62"/>
      <c r="I1661" s="64" t="str">
        <f aca="false">IF($B1661="","",IF(ISNUMBER(MATCH($B1661,日別データ!$B$9:$B$28,0)),"✔ OK","⚠ 未登録"))</f>
        <v/>
      </c>
    </row>
    <row r="1662" customFormat="false" ht="15" hidden="false" customHeight="false" outlineLevel="0" collapsed="false">
      <c r="A1662" s="61"/>
      <c r="B1662" s="62"/>
      <c r="C1662" s="63"/>
      <c r="D1662" s="63"/>
      <c r="E1662" s="62"/>
      <c r="F1662" s="62"/>
      <c r="G1662" s="62"/>
      <c r="I1662" s="64" t="str">
        <f aca="false">IF($B1662="","",IF(ISNUMBER(MATCH($B1662,日別データ!$B$9:$B$28,0)),"✔ OK","⚠ 未登録"))</f>
        <v/>
      </c>
    </row>
    <row r="1663" customFormat="false" ht="15" hidden="false" customHeight="false" outlineLevel="0" collapsed="false">
      <c r="A1663" s="61"/>
      <c r="B1663" s="62"/>
      <c r="C1663" s="63"/>
      <c r="D1663" s="63"/>
      <c r="E1663" s="62"/>
      <c r="F1663" s="62"/>
      <c r="G1663" s="62"/>
      <c r="I1663" s="64" t="str">
        <f aca="false">IF($B1663="","",IF(ISNUMBER(MATCH($B1663,日別データ!$B$9:$B$28,0)),"✔ OK","⚠ 未登録"))</f>
        <v/>
      </c>
    </row>
    <row r="1664" customFormat="false" ht="15" hidden="false" customHeight="false" outlineLevel="0" collapsed="false">
      <c r="A1664" s="61"/>
      <c r="B1664" s="62"/>
      <c r="C1664" s="63"/>
      <c r="D1664" s="63"/>
      <c r="E1664" s="62"/>
      <c r="F1664" s="62"/>
      <c r="G1664" s="62"/>
      <c r="I1664" s="64" t="str">
        <f aca="false">IF($B1664="","",IF(ISNUMBER(MATCH($B1664,日別データ!$B$9:$B$28,0)),"✔ OK","⚠ 未登録"))</f>
        <v/>
      </c>
    </row>
    <row r="1665" customFormat="false" ht="15" hidden="false" customHeight="false" outlineLevel="0" collapsed="false">
      <c r="A1665" s="61"/>
      <c r="B1665" s="62"/>
      <c r="C1665" s="63"/>
      <c r="D1665" s="63"/>
      <c r="E1665" s="62"/>
      <c r="F1665" s="62"/>
      <c r="G1665" s="62"/>
      <c r="I1665" s="64" t="str">
        <f aca="false">IF($B1665="","",IF(ISNUMBER(MATCH($B1665,日別データ!$B$9:$B$28,0)),"✔ OK","⚠ 未登録"))</f>
        <v/>
      </c>
    </row>
    <row r="1666" customFormat="false" ht="15" hidden="false" customHeight="false" outlineLevel="0" collapsed="false">
      <c r="A1666" s="61"/>
      <c r="B1666" s="62"/>
      <c r="C1666" s="63"/>
      <c r="D1666" s="63"/>
      <c r="E1666" s="62"/>
      <c r="F1666" s="62"/>
      <c r="G1666" s="62"/>
      <c r="I1666" s="64" t="str">
        <f aca="false">IF($B1666="","",IF(ISNUMBER(MATCH($B1666,日別データ!$B$9:$B$28,0)),"✔ OK","⚠ 未登録"))</f>
        <v/>
      </c>
    </row>
    <row r="1667" customFormat="false" ht="15" hidden="false" customHeight="false" outlineLevel="0" collapsed="false">
      <c r="A1667" s="61"/>
      <c r="B1667" s="62"/>
      <c r="C1667" s="63"/>
      <c r="D1667" s="63"/>
      <c r="E1667" s="62"/>
      <c r="F1667" s="62"/>
      <c r="G1667" s="62"/>
      <c r="I1667" s="64" t="str">
        <f aca="false">IF($B1667="","",IF(ISNUMBER(MATCH($B1667,日別データ!$B$9:$B$28,0)),"✔ OK","⚠ 未登録"))</f>
        <v/>
      </c>
    </row>
    <row r="1668" customFormat="false" ht="15" hidden="false" customHeight="false" outlineLevel="0" collapsed="false">
      <c r="A1668" s="61"/>
      <c r="B1668" s="62"/>
      <c r="C1668" s="63"/>
      <c r="D1668" s="63"/>
      <c r="E1668" s="62"/>
      <c r="F1668" s="62"/>
      <c r="G1668" s="62"/>
      <c r="I1668" s="64" t="str">
        <f aca="false">IF($B1668="","",IF(ISNUMBER(MATCH($B1668,日別データ!$B$9:$B$28,0)),"✔ OK","⚠ 未登録"))</f>
        <v/>
      </c>
    </row>
    <row r="1669" customFormat="false" ht="15" hidden="false" customHeight="false" outlineLevel="0" collapsed="false">
      <c r="A1669" s="61"/>
      <c r="B1669" s="62"/>
      <c r="C1669" s="63"/>
      <c r="D1669" s="63"/>
      <c r="E1669" s="62"/>
      <c r="F1669" s="62"/>
      <c r="G1669" s="62"/>
      <c r="I1669" s="64" t="str">
        <f aca="false">IF($B1669="","",IF(ISNUMBER(MATCH($B1669,日別データ!$B$9:$B$28,0)),"✔ OK","⚠ 未登録"))</f>
        <v/>
      </c>
    </row>
    <row r="1670" customFormat="false" ht="15" hidden="false" customHeight="false" outlineLevel="0" collapsed="false">
      <c r="A1670" s="61"/>
      <c r="B1670" s="62"/>
      <c r="C1670" s="63"/>
      <c r="D1670" s="63"/>
      <c r="E1670" s="62"/>
      <c r="F1670" s="62"/>
      <c r="G1670" s="62"/>
      <c r="I1670" s="64" t="str">
        <f aca="false">IF($B1670="","",IF(ISNUMBER(MATCH($B1670,日別データ!$B$9:$B$28,0)),"✔ OK","⚠ 未登録"))</f>
        <v/>
      </c>
    </row>
    <row r="1671" customFormat="false" ht="15" hidden="false" customHeight="false" outlineLevel="0" collapsed="false">
      <c r="A1671" s="61"/>
      <c r="B1671" s="62"/>
      <c r="C1671" s="63"/>
      <c r="D1671" s="63"/>
      <c r="E1671" s="62"/>
      <c r="F1671" s="62"/>
      <c r="G1671" s="62"/>
      <c r="I1671" s="64" t="str">
        <f aca="false">IF($B1671="","",IF(ISNUMBER(MATCH($B1671,日別データ!$B$9:$B$28,0)),"✔ OK","⚠ 未登録"))</f>
        <v/>
      </c>
    </row>
    <row r="1672" customFormat="false" ht="15" hidden="false" customHeight="false" outlineLevel="0" collapsed="false">
      <c r="A1672" s="61"/>
      <c r="B1672" s="62"/>
      <c r="C1672" s="63"/>
      <c r="D1672" s="63"/>
      <c r="E1672" s="62"/>
      <c r="F1672" s="62"/>
      <c r="G1672" s="62"/>
      <c r="I1672" s="64" t="str">
        <f aca="false">IF($B1672="","",IF(ISNUMBER(MATCH($B1672,日別データ!$B$9:$B$28,0)),"✔ OK","⚠ 未登録"))</f>
        <v/>
      </c>
    </row>
    <row r="1673" customFormat="false" ht="15" hidden="false" customHeight="false" outlineLevel="0" collapsed="false">
      <c r="A1673" s="61"/>
      <c r="B1673" s="62"/>
      <c r="C1673" s="63"/>
      <c r="D1673" s="63"/>
      <c r="E1673" s="62"/>
      <c r="F1673" s="62"/>
      <c r="G1673" s="62"/>
      <c r="I1673" s="64" t="str">
        <f aca="false">IF($B1673="","",IF(ISNUMBER(MATCH($B1673,日別データ!$B$9:$B$28,0)),"✔ OK","⚠ 未登録"))</f>
        <v/>
      </c>
    </row>
    <row r="1674" customFormat="false" ht="15" hidden="false" customHeight="false" outlineLevel="0" collapsed="false">
      <c r="A1674" s="61"/>
      <c r="B1674" s="62"/>
      <c r="C1674" s="63"/>
      <c r="D1674" s="63"/>
      <c r="E1674" s="62"/>
      <c r="F1674" s="62"/>
      <c r="G1674" s="62"/>
      <c r="I1674" s="64" t="str">
        <f aca="false">IF($B1674="","",IF(ISNUMBER(MATCH($B1674,日別データ!$B$9:$B$28,0)),"✔ OK","⚠ 未登録"))</f>
        <v/>
      </c>
    </row>
    <row r="1675" customFormat="false" ht="15" hidden="false" customHeight="false" outlineLevel="0" collapsed="false">
      <c r="A1675" s="61"/>
      <c r="B1675" s="62"/>
      <c r="C1675" s="63"/>
      <c r="D1675" s="63"/>
      <c r="E1675" s="62"/>
      <c r="F1675" s="62"/>
      <c r="G1675" s="62"/>
      <c r="I1675" s="64" t="str">
        <f aca="false">IF($B1675="","",IF(ISNUMBER(MATCH($B1675,日別データ!$B$9:$B$28,0)),"✔ OK","⚠ 未登録"))</f>
        <v/>
      </c>
    </row>
    <row r="1676" customFormat="false" ht="15" hidden="false" customHeight="false" outlineLevel="0" collapsed="false">
      <c r="A1676" s="61"/>
      <c r="B1676" s="62"/>
      <c r="C1676" s="63"/>
      <c r="D1676" s="63"/>
      <c r="E1676" s="62"/>
      <c r="F1676" s="62"/>
      <c r="G1676" s="62"/>
      <c r="I1676" s="64" t="str">
        <f aca="false">IF($B1676="","",IF(ISNUMBER(MATCH($B1676,日別データ!$B$9:$B$28,0)),"✔ OK","⚠ 未登録"))</f>
        <v/>
      </c>
    </row>
    <row r="1677" customFormat="false" ht="15" hidden="false" customHeight="false" outlineLevel="0" collapsed="false">
      <c r="A1677" s="61"/>
      <c r="B1677" s="62"/>
      <c r="C1677" s="63"/>
      <c r="D1677" s="63"/>
      <c r="E1677" s="62"/>
      <c r="F1677" s="62"/>
      <c r="G1677" s="62"/>
      <c r="I1677" s="64" t="str">
        <f aca="false">IF($B1677="","",IF(ISNUMBER(MATCH($B1677,日別データ!$B$9:$B$28,0)),"✔ OK","⚠ 未登録"))</f>
        <v/>
      </c>
    </row>
    <row r="1678" customFormat="false" ht="15" hidden="false" customHeight="false" outlineLevel="0" collapsed="false">
      <c r="A1678" s="61"/>
      <c r="B1678" s="62"/>
      <c r="C1678" s="63"/>
      <c r="D1678" s="63"/>
      <c r="E1678" s="62"/>
      <c r="F1678" s="62"/>
      <c r="G1678" s="62"/>
      <c r="I1678" s="64" t="str">
        <f aca="false">IF($B1678="","",IF(ISNUMBER(MATCH($B1678,日別データ!$B$9:$B$28,0)),"✔ OK","⚠ 未登録"))</f>
        <v/>
      </c>
    </row>
    <row r="1679" customFormat="false" ht="15" hidden="false" customHeight="false" outlineLevel="0" collapsed="false">
      <c r="A1679" s="61"/>
      <c r="B1679" s="62"/>
      <c r="C1679" s="63"/>
      <c r="D1679" s="63"/>
      <c r="E1679" s="62"/>
      <c r="F1679" s="62"/>
      <c r="G1679" s="62"/>
      <c r="I1679" s="64" t="str">
        <f aca="false">IF($B1679="","",IF(ISNUMBER(MATCH($B1679,日別データ!$B$9:$B$28,0)),"✔ OK","⚠ 未登録"))</f>
        <v/>
      </c>
    </row>
    <row r="1680" customFormat="false" ht="15" hidden="false" customHeight="false" outlineLevel="0" collapsed="false">
      <c r="A1680" s="61"/>
      <c r="B1680" s="62"/>
      <c r="C1680" s="63"/>
      <c r="D1680" s="63"/>
      <c r="E1680" s="62"/>
      <c r="F1680" s="62"/>
      <c r="G1680" s="62"/>
      <c r="I1680" s="64" t="str">
        <f aca="false">IF($B1680="","",IF(ISNUMBER(MATCH($B1680,日別データ!$B$9:$B$28,0)),"✔ OK","⚠ 未登録"))</f>
        <v/>
      </c>
    </row>
    <row r="1681" customFormat="false" ht="15" hidden="false" customHeight="false" outlineLevel="0" collapsed="false">
      <c r="A1681" s="61"/>
      <c r="B1681" s="62"/>
      <c r="C1681" s="63"/>
      <c r="D1681" s="63"/>
      <c r="E1681" s="62"/>
      <c r="F1681" s="62"/>
      <c r="G1681" s="62"/>
      <c r="I1681" s="64" t="str">
        <f aca="false">IF($B1681="","",IF(ISNUMBER(MATCH($B1681,日別データ!$B$9:$B$28,0)),"✔ OK","⚠ 未登録"))</f>
        <v/>
      </c>
    </row>
    <row r="1682" customFormat="false" ht="15" hidden="false" customHeight="false" outlineLevel="0" collapsed="false">
      <c r="A1682" s="61"/>
      <c r="B1682" s="62"/>
      <c r="C1682" s="63"/>
      <c r="D1682" s="63"/>
      <c r="E1682" s="62"/>
      <c r="F1682" s="62"/>
      <c r="G1682" s="62"/>
      <c r="I1682" s="64" t="str">
        <f aca="false">IF($B1682="","",IF(ISNUMBER(MATCH($B1682,日別データ!$B$9:$B$28,0)),"✔ OK","⚠ 未登録"))</f>
        <v/>
      </c>
    </row>
    <row r="1683" customFormat="false" ht="15" hidden="false" customHeight="false" outlineLevel="0" collapsed="false">
      <c r="A1683" s="61"/>
      <c r="B1683" s="62"/>
      <c r="C1683" s="63"/>
      <c r="D1683" s="63"/>
      <c r="E1683" s="62"/>
      <c r="F1683" s="62"/>
      <c r="G1683" s="62"/>
      <c r="I1683" s="64" t="str">
        <f aca="false">IF($B1683="","",IF(ISNUMBER(MATCH($B1683,日別データ!$B$9:$B$28,0)),"✔ OK","⚠ 未登録"))</f>
        <v/>
      </c>
    </row>
    <row r="1684" customFormat="false" ht="15" hidden="false" customHeight="false" outlineLevel="0" collapsed="false">
      <c r="A1684" s="61"/>
      <c r="B1684" s="62"/>
      <c r="C1684" s="63"/>
      <c r="D1684" s="63"/>
      <c r="E1684" s="62"/>
      <c r="F1684" s="62"/>
      <c r="G1684" s="62"/>
      <c r="I1684" s="64" t="str">
        <f aca="false">IF($B1684="","",IF(ISNUMBER(MATCH($B1684,日別データ!$B$9:$B$28,0)),"✔ OK","⚠ 未登録"))</f>
        <v/>
      </c>
    </row>
    <row r="1685" customFormat="false" ht="15" hidden="false" customHeight="false" outlineLevel="0" collapsed="false">
      <c r="A1685" s="61"/>
      <c r="B1685" s="62"/>
      <c r="C1685" s="63"/>
      <c r="D1685" s="63"/>
      <c r="E1685" s="62"/>
      <c r="F1685" s="62"/>
      <c r="G1685" s="62"/>
      <c r="I1685" s="64" t="str">
        <f aca="false">IF($B1685="","",IF(ISNUMBER(MATCH($B1685,日別データ!$B$9:$B$28,0)),"✔ OK","⚠ 未登録"))</f>
        <v/>
      </c>
    </row>
    <row r="1686" customFormat="false" ht="15" hidden="false" customHeight="false" outlineLevel="0" collapsed="false">
      <c r="A1686" s="61"/>
      <c r="B1686" s="62"/>
      <c r="C1686" s="63"/>
      <c r="D1686" s="63"/>
      <c r="E1686" s="62"/>
      <c r="F1686" s="62"/>
      <c r="G1686" s="62"/>
      <c r="I1686" s="64" t="str">
        <f aca="false">IF($B1686="","",IF(ISNUMBER(MATCH($B1686,日別データ!$B$9:$B$28,0)),"✔ OK","⚠ 未登録"))</f>
        <v/>
      </c>
    </row>
    <row r="1687" customFormat="false" ht="15" hidden="false" customHeight="false" outlineLevel="0" collapsed="false">
      <c r="A1687" s="61"/>
      <c r="B1687" s="62"/>
      <c r="C1687" s="63"/>
      <c r="D1687" s="63"/>
      <c r="E1687" s="62"/>
      <c r="F1687" s="62"/>
      <c r="G1687" s="62"/>
      <c r="I1687" s="64" t="str">
        <f aca="false">IF($B1687="","",IF(ISNUMBER(MATCH($B1687,日別データ!$B$9:$B$28,0)),"✔ OK","⚠ 未登録"))</f>
        <v/>
      </c>
    </row>
    <row r="1688" customFormat="false" ht="15" hidden="false" customHeight="false" outlineLevel="0" collapsed="false">
      <c r="A1688" s="61"/>
      <c r="B1688" s="62"/>
      <c r="C1688" s="63"/>
      <c r="D1688" s="63"/>
      <c r="E1688" s="62"/>
      <c r="F1688" s="62"/>
      <c r="G1688" s="62"/>
      <c r="I1688" s="64" t="str">
        <f aca="false">IF($B1688="","",IF(ISNUMBER(MATCH($B1688,日別データ!$B$9:$B$28,0)),"✔ OK","⚠ 未登録"))</f>
        <v/>
      </c>
    </row>
    <row r="1689" customFormat="false" ht="15" hidden="false" customHeight="false" outlineLevel="0" collapsed="false">
      <c r="A1689" s="61"/>
      <c r="B1689" s="62"/>
      <c r="C1689" s="63"/>
      <c r="D1689" s="63"/>
      <c r="E1689" s="62"/>
      <c r="F1689" s="62"/>
      <c r="G1689" s="62"/>
      <c r="I1689" s="64" t="str">
        <f aca="false">IF($B1689="","",IF(ISNUMBER(MATCH($B1689,日別データ!$B$9:$B$28,0)),"✔ OK","⚠ 未登録"))</f>
        <v/>
      </c>
    </row>
    <row r="1690" customFormat="false" ht="15" hidden="false" customHeight="false" outlineLevel="0" collapsed="false">
      <c r="A1690" s="61"/>
      <c r="B1690" s="62"/>
      <c r="C1690" s="63"/>
      <c r="D1690" s="63"/>
      <c r="E1690" s="62"/>
      <c r="F1690" s="62"/>
      <c r="G1690" s="62"/>
      <c r="I1690" s="64" t="str">
        <f aca="false">IF($B1690="","",IF(ISNUMBER(MATCH($B1690,日別データ!$B$9:$B$28,0)),"✔ OK","⚠ 未登録"))</f>
        <v/>
      </c>
    </row>
    <row r="1691" customFormat="false" ht="15" hidden="false" customHeight="false" outlineLevel="0" collapsed="false">
      <c r="A1691" s="61"/>
      <c r="B1691" s="62"/>
      <c r="C1691" s="63"/>
      <c r="D1691" s="63"/>
      <c r="E1691" s="62"/>
      <c r="F1691" s="62"/>
      <c r="G1691" s="62"/>
      <c r="I1691" s="64" t="str">
        <f aca="false">IF($B1691="","",IF(ISNUMBER(MATCH($B1691,日別データ!$B$9:$B$28,0)),"✔ OK","⚠ 未登録"))</f>
        <v/>
      </c>
    </row>
    <row r="1692" customFormat="false" ht="15" hidden="false" customHeight="false" outlineLevel="0" collapsed="false">
      <c r="A1692" s="61"/>
      <c r="B1692" s="62"/>
      <c r="C1692" s="63"/>
      <c r="D1692" s="63"/>
      <c r="E1692" s="62"/>
      <c r="F1692" s="62"/>
      <c r="G1692" s="62"/>
      <c r="I1692" s="64" t="str">
        <f aca="false">IF($B1692="","",IF(ISNUMBER(MATCH($B1692,日別データ!$B$9:$B$28,0)),"✔ OK","⚠ 未登録"))</f>
        <v/>
      </c>
    </row>
    <row r="1693" customFormat="false" ht="15" hidden="false" customHeight="false" outlineLevel="0" collapsed="false">
      <c r="A1693" s="61"/>
      <c r="B1693" s="62"/>
      <c r="C1693" s="63"/>
      <c r="D1693" s="63"/>
      <c r="E1693" s="62"/>
      <c r="F1693" s="62"/>
      <c r="G1693" s="62"/>
      <c r="I1693" s="64" t="str">
        <f aca="false">IF($B1693="","",IF(ISNUMBER(MATCH($B1693,日別データ!$B$9:$B$28,0)),"✔ OK","⚠ 未登録"))</f>
        <v/>
      </c>
    </row>
    <row r="1694" customFormat="false" ht="15" hidden="false" customHeight="false" outlineLevel="0" collapsed="false">
      <c r="A1694" s="61"/>
      <c r="B1694" s="62"/>
      <c r="C1694" s="63"/>
      <c r="D1694" s="63"/>
      <c r="E1694" s="62"/>
      <c r="F1694" s="62"/>
      <c r="G1694" s="62"/>
      <c r="I1694" s="64" t="str">
        <f aca="false">IF($B1694="","",IF(ISNUMBER(MATCH($B1694,日別データ!$B$9:$B$28,0)),"✔ OK","⚠ 未登録"))</f>
        <v/>
      </c>
    </row>
    <row r="1695" customFormat="false" ht="15" hidden="false" customHeight="false" outlineLevel="0" collapsed="false">
      <c r="A1695" s="61"/>
      <c r="B1695" s="62"/>
      <c r="C1695" s="63"/>
      <c r="D1695" s="63"/>
      <c r="E1695" s="62"/>
      <c r="F1695" s="62"/>
      <c r="G1695" s="62"/>
      <c r="I1695" s="64" t="str">
        <f aca="false">IF($B1695="","",IF(ISNUMBER(MATCH($B1695,日別データ!$B$9:$B$28,0)),"✔ OK","⚠ 未登録"))</f>
        <v/>
      </c>
    </row>
    <row r="1696" customFormat="false" ht="15" hidden="false" customHeight="false" outlineLevel="0" collapsed="false">
      <c r="A1696" s="61"/>
      <c r="B1696" s="62"/>
      <c r="C1696" s="63"/>
      <c r="D1696" s="63"/>
      <c r="E1696" s="62"/>
      <c r="F1696" s="62"/>
      <c r="G1696" s="62"/>
      <c r="I1696" s="64" t="str">
        <f aca="false">IF($B1696="","",IF(ISNUMBER(MATCH($B1696,日別データ!$B$9:$B$28,0)),"✔ OK","⚠ 未登録"))</f>
        <v/>
      </c>
    </row>
    <row r="1697" customFormat="false" ht="15" hidden="false" customHeight="false" outlineLevel="0" collapsed="false">
      <c r="A1697" s="61"/>
      <c r="B1697" s="62"/>
      <c r="C1697" s="63"/>
      <c r="D1697" s="63"/>
      <c r="E1697" s="62"/>
      <c r="F1697" s="62"/>
      <c r="G1697" s="62"/>
      <c r="I1697" s="64" t="str">
        <f aca="false">IF($B1697="","",IF(ISNUMBER(MATCH($B1697,日別データ!$B$9:$B$28,0)),"✔ OK","⚠ 未登録"))</f>
        <v/>
      </c>
    </row>
    <row r="1698" customFormat="false" ht="15" hidden="false" customHeight="false" outlineLevel="0" collapsed="false">
      <c r="A1698" s="61"/>
      <c r="B1698" s="62"/>
      <c r="C1698" s="63"/>
      <c r="D1698" s="63"/>
      <c r="E1698" s="62"/>
      <c r="F1698" s="62"/>
      <c r="G1698" s="62"/>
      <c r="I1698" s="64" t="str">
        <f aca="false">IF($B1698="","",IF(ISNUMBER(MATCH($B1698,日別データ!$B$9:$B$28,0)),"✔ OK","⚠ 未登録"))</f>
        <v/>
      </c>
    </row>
    <row r="1699" customFormat="false" ht="15" hidden="false" customHeight="false" outlineLevel="0" collapsed="false">
      <c r="A1699" s="61"/>
      <c r="B1699" s="62"/>
      <c r="C1699" s="63"/>
      <c r="D1699" s="63"/>
      <c r="E1699" s="62"/>
      <c r="F1699" s="62"/>
      <c r="G1699" s="62"/>
      <c r="I1699" s="64" t="str">
        <f aca="false">IF($B1699="","",IF(ISNUMBER(MATCH($B1699,日別データ!$B$9:$B$28,0)),"✔ OK","⚠ 未登録"))</f>
        <v/>
      </c>
    </row>
    <row r="1700" customFormat="false" ht="15" hidden="false" customHeight="false" outlineLevel="0" collapsed="false">
      <c r="A1700" s="61"/>
      <c r="B1700" s="62"/>
      <c r="C1700" s="63"/>
      <c r="D1700" s="63"/>
      <c r="E1700" s="62"/>
      <c r="F1700" s="62"/>
      <c r="G1700" s="62"/>
      <c r="I1700" s="64" t="str">
        <f aca="false">IF($B1700="","",IF(ISNUMBER(MATCH($B1700,日別データ!$B$9:$B$28,0)),"✔ OK","⚠ 未登録"))</f>
        <v/>
      </c>
    </row>
    <row r="1701" customFormat="false" ht="15" hidden="false" customHeight="false" outlineLevel="0" collapsed="false">
      <c r="A1701" s="61"/>
      <c r="B1701" s="62"/>
      <c r="C1701" s="63"/>
      <c r="D1701" s="63"/>
      <c r="E1701" s="62"/>
      <c r="F1701" s="62"/>
      <c r="G1701" s="62"/>
      <c r="I1701" s="64" t="str">
        <f aca="false">IF($B1701="","",IF(ISNUMBER(MATCH($B1701,日別データ!$B$9:$B$28,0)),"✔ OK","⚠ 未登録"))</f>
        <v/>
      </c>
    </row>
    <row r="1702" customFormat="false" ht="15" hidden="false" customHeight="false" outlineLevel="0" collapsed="false">
      <c r="A1702" s="61"/>
      <c r="B1702" s="62"/>
      <c r="C1702" s="63"/>
      <c r="D1702" s="63"/>
      <c r="E1702" s="62"/>
      <c r="F1702" s="62"/>
      <c r="G1702" s="62"/>
      <c r="I1702" s="64" t="str">
        <f aca="false">IF($B1702="","",IF(ISNUMBER(MATCH($B1702,日別データ!$B$9:$B$28,0)),"✔ OK","⚠ 未登録"))</f>
        <v/>
      </c>
    </row>
    <row r="1703" customFormat="false" ht="15" hidden="false" customHeight="false" outlineLevel="0" collapsed="false">
      <c r="A1703" s="61"/>
      <c r="B1703" s="62"/>
      <c r="C1703" s="63"/>
      <c r="D1703" s="63"/>
      <c r="E1703" s="62"/>
      <c r="F1703" s="62"/>
      <c r="G1703" s="62"/>
      <c r="I1703" s="64" t="str">
        <f aca="false">IF($B1703="","",IF(ISNUMBER(MATCH($B1703,日別データ!$B$9:$B$28,0)),"✔ OK","⚠ 未登録"))</f>
        <v/>
      </c>
    </row>
    <row r="1704" customFormat="false" ht="15" hidden="false" customHeight="false" outlineLevel="0" collapsed="false">
      <c r="A1704" s="61"/>
      <c r="B1704" s="62"/>
      <c r="C1704" s="63"/>
      <c r="D1704" s="63"/>
      <c r="E1704" s="62"/>
      <c r="F1704" s="62"/>
      <c r="G1704" s="62"/>
      <c r="I1704" s="64" t="str">
        <f aca="false">IF($B1704="","",IF(ISNUMBER(MATCH($B1704,日別データ!$B$9:$B$28,0)),"✔ OK","⚠ 未登録"))</f>
        <v/>
      </c>
    </row>
    <row r="1705" customFormat="false" ht="15" hidden="false" customHeight="false" outlineLevel="0" collapsed="false">
      <c r="A1705" s="61"/>
      <c r="B1705" s="62"/>
      <c r="C1705" s="63"/>
      <c r="D1705" s="63"/>
      <c r="E1705" s="62"/>
      <c r="F1705" s="62"/>
      <c r="G1705" s="62"/>
      <c r="I1705" s="64" t="str">
        <f aca="false">IF($B1705="","",IF(ISNUMBER(MATCH($B1705,日別データ!$B$9:$B$28,0)),"✔ OK","⚠ 未登録"))</f>
        <v/>
      </c>
    </row>
    <row r="1706" customFormat="false" ht="15" hidden="false" customHeight="false" outlineLevel="0" collapsed="false">
      <c r="A1706" s="61"/>
      <c r="B1706" s="62"/>
      <c r="C1706" s="63"/>
      <c r="D1706" s="63"/>
      <c r="E1706" s="62"/>
      <c r="F1706" s="62"/>
      <c r="G1706" s="62"/>
      <c r="I1706" s="64" t="str">
        <f aca="false">IF($B1706="","",IF(ISNUMBER(MATCH($B1706,日別データ!$B$9:$B$28,0)),"✔ OK","⚠ 未登録"))</f>
        <v/>
      </c>
    </row>
    <row r="1707" customFormat="false" ht="15" hidden="false" customHeight="false" outlineLevel="0" collapsed="false">
      <c r="A1707" s="61"/>
      <c r="B1707" s="62"/>
      <c r="C1707" s="63"/>
      <c r="D1707" s="63"/>
      <c r="E1707" s="62"/>
      <c r="F1707" s="62"/>
      <c r="G1707" s="62"/>
      <c r="I1707" s="64" t="str">
        <f aca="false">IF($B1707="","",IF(ISNUMBER(MATCH($B1707,日別データ!$B$9:$B$28,0)),"✔ OK","⚠ 未登録"))</f>
        <v/>
      </c>
    </row>
    <row r="1708" customFormat="false" ht="15" hidden="false" customHeight="false" outlineLevel="0" collapsed="false">
      <c r="A1708" s="61"/>
      <c r="B1708" s="62"/>
      <c r="C1708" s="63"/>
      <c r="D1708" s="63"/>
      <c r="E1708" s="62"/>
      <c r="F1708" s="62"/>
      <c r="G1708" s="62"/>
      <c r="I1708" s="64" t="str">
        <f aca="false">IF($B1708="","",IF(ISNUMBER(MATCH($B1708,日別データ!$B$9:$B$28,0)),"✔ OK","⚠ 未登録"))</f>
        <v/>
      </c>
    </row>
    <row r="1709" customFormat="false" ht="15" hidden="false" customHeight="false" outlineLevel="0" collapsed="false">
      <c r="A1709" s="61"/>
      <c r="B1709" s="62"/>
      <c r="C1709" s="63"/>
      <c r="D1709" s="63"/>
      <c r="E1709" s="62"/>
      <c r="F1709" s="62"/>
      <c r="G1709" s="62"/>
      <c r="I1709" s="64" t="str">
        <f aca="false">IF($B1709="","",IF(ISNUMBER(MATCH($B1709,日別データ!$B$9:$B$28,0)),"✔ OK","⚠ 未登録"))</f>
        <v/>
      </c>
    </row>
    <row r="1710" customFormat="false" ht="15" hidden="false" customHeight="false" outlineLevel="0" collapsed="false">
      <c r="A1710" s="61"/>
      <c r="B1710" s="62"/>
      <c r="C1710" s="63"/>
      <c r="D1710" s="63"/>
      <c r="E1710" s="62"/>
      <c r="F1710" s="62"/>
      <c r="G1710" s="62"/>
      <c r="I1710" s="64" t="str">
        <f aca="false">IF($B1710="","",IF(ISNUMBER(MATCH($B1710,日別データ!$B$9:$B$28,0)),"✔ OK","⚠ 未登録"))</f>
        <v/>
      </c>
    </row>
    <row r="1711" customFormat="false" ht="15" hidden="false" customHeight="false" outlineLevel="0" collapsed="false">
      <c r="A1711" s="61"/>
      <c r="B1711" s="62"/>
      <c r="C1711" s="63"/>
      <c r="D1711" s="63"/>
      <c r="E1711" s="62"/>
      <c r="F1711" s="62"/>
      <c r="G1711" s="62"/>
      <c r="I1711" s="64" t="str">
        <f aca="false">IF($B1711="","",IF(ISNUMBER(MATCH($B1711,日別データ!$B$9:$B$28,0)),"✔ OK","⚠ 未登録"))</f>
        <v/>
      </c>
    </row>
    <row r="1712" customFormat="false" ht="15" hidden="false" customHeight="false" outlineLevel="0" collapsed="false">
      <c r="A1712" s="61"/>
      <c r="B1712" s="62"/>
      <c r="C1712" s="63"/>
      <c r="D1712" s="63"/>
      <c r="E1712" s="62"/>
      <c r="F1712" s="62"/>
      <c r="G1712" s="62"/>
      <c r="I1712" s="64" t="str">
        <f aca="false">IF($B1712="","",IF(ISNUMBER(MATCH($B1712,日別データ!$B$9:$B$28,0)),"✔ OK","⚠ 未登録"))</f>
        <v/>
      </c>
    </row>
    <row r="1713" customFormat="false" ht="15" hidden="false" customHeight="false" outlineLevel="0" collapsed="false">
      <c r="A1713" s="61"/>
      <c r="B1713" s="62"/>
      <c r="C1713" s="63"/>
      <c r="D1713" s="63"/>
      <c r="E1713" s="62"/>
      <c r="F1713" s="62"/>
      <c r="G1713" s="62"/>
      <c r="I1713" s="64" t="str">
        <f aca="false">IF($B1713="","",IF(ISNUMBER(MATCH($B1713,日別データ!$B$9:$B$28,0)),"✔ OK","⚠ 未登録"))</f>
        <v/>
      </c>
    </row>
    <row r="1714" customFormat="false" ht="15" hidden="false" customHeight="false" outlineLevel="0" collapsed="false">
      <c r="A1714" s="61"/>
      <c r="B1714" s="62"/>
      <c r="C1714" s="63"/>
      <c r="D1714" s="63"/>
      <c r="E1714" s="62"/>
      <c r="F1714" s="62"/>
      <c r="G1714" s="62"/>
      <c r="I1714" s="64" t="str">
        <f aca="false">IF($B1714="","",IF(ISNUMBER(MATCH($B1714,日別データ!$B$9:$B$28,0)),"✔ OK","⚠ 未登録"))</f>
        <v/>
      </c>
    </row>
    <row r="1715" customFormat="false" ht="15" hidden="false" customHeight="false" outlineLevel="0" collapsed="false">
      <c r="A1715" s="61"/>
      <c r="B1715" s="62"/>
      <c r="C1715" s="63"/>
      <c r="D1715" s="63"/>
      <c r="E1715" s="62"/>
      <c r="F1715" s="62"/>
      <c r="G1715" s="62"/>
      <c r="I1715" s="64" t="str">
        <f aca="false">IF($B1715="","",IF(ISNUMBER(MATCH($B1715,日別データ!$B$9:$B$28,0)),"✔ OK","⚠ 未登録"))</f>
        <v/>
      </c>
    </row>
    <row r="1716" customFormat="false" ht="15" hidden="false" customHeight="false" outlineLevel="0" collapsed="false">
      <c r="A1716" s="61"/>
      <c r="B1716" s="62"/>
      <c r="C1716" s="63"/>
      <c r="D1716" s="63"/>
      <c r="E1716" s="62"/>
      <c r="F1716" s="62"/>
      <c r="G1716" s="62"/>
      <c r="I1716" s="64" t="str">
        <f aca="false">IF($B1716="","",IF(ISNUMBER(MATCH($B1716,日別データ!$B$9:$B$28,0)),"✔ OK","⚠ 未登録"))</f>
        <v/>
      </c>
    </row>
    <row r="1717" customFormat="false" ht="15" hidden="false" customHeight="false" outlineLevel="0" collapsed="false">
      <c r="A1717" s="61"/>
      <c r="B1717" s="62"/>
      <c r="C1717" s="63"/>
      <c r="D1717" s="63"/>
      <c r="E1717" s="62"/>
      <c r="F1717" s="62"/>
      <c r="G1717" s="62"/>
      <c r="I1717" s="64" t="str">
        <f aca="false">IF($B1717="","",IF(ISNUMBER(MATCH($B1717,日別データ!$B$9:$B$28,0)),"✔ OK","⚠ 未登録"))</f>
        <v/>
      </c>
    </row>
    <row r="1718" customFormat="false" ht="15" hidden="false" customHeight="false" outlineLevel="0" collapsed="false">
      <c r="A1718" s="61"/>
      <c r="B1718" s="62"/>
      <c r="C1718" s="63"/>
      <c r="D1718" s="63"/>
      <c r="E1718" s="62"/>
      <c r="F1718" s="62"/>
      <c r="G1718" s="62"/>
      <c r="I1718" s="64" t="str">
        <f aca="false">IF($B1718="","",IF(ISNUMBER(MATCH($B1718,日別データ!$B$9:$B$28,0)),"✔ OK","⚠ 未登録"))</f>
        <v/>
      </c>
    </row>
    <row r="1719" customFormat="false" ht="15" hidden="false" customHeight="false" outlineLevel="0" collapsed="false">
      <c r="A1719" s="61"/>
      <c r="B1719" s="62"/>
      <c r="C1719" s="63"/>
      <c r="D1719" s="63"/>
      <c r="E1719" s="62"/>
      <c r="F1719" s="62"/>
      <c r="G1719" s="62"/>
      <c r="I1719" s="64" t="str">
        <f aca="false">IF($B1719="","",IF(ISNUMBER(MATCH($B1719,日別データ!$B$9:$B$28,0)),"✔ OK","⚠ 未登録"))</f>
        <v/>
      </c>
    </row>
    <row r="1720" customFormat="false" ht="15" hidden="false" customHeight="false" outlineLevel="0" collapsed="false">
      <c r="A1720" s="61"/>
      <c r="B1720" s="62"/>
      <c r="C1720" s="63"/>
      <c r="D1720" s="63"/>
      <c r="E1720" s="62"/>
      <c r="F1720" s="62"/>
      <c r="G1720" s="62"/>
      <c r="I1720" s="64" t="str">
        <f aca="false">IF($B1720="","",IF(ISNUMBER(MATCH($B1720,日別データ!$B$9:$B$28,0)),"✔ OK","⚠ 未登録"))</f>
        <v/>
      </c>
    </row>
    <row r="1721" customFormat="false" ht="15" hidden="false" customHeight="false" outlineLevel="0" collapsed="false">
      <c r="A1721" s="61"/>
      <c r="B1721" s="62"/>
      <c r="C1721" s="63"/>
      <c r="D1721" s="63"/>
      <c r="E1721" s="62"/>
      <c r="F1721" s="62"/>
      <c r="G1721" s="62"/>
      <c r="I1721" s="64" t="str">
        <f aca="false">IF($B1721="","",IF(ISNUMBER(MATCH($B1721,日別データ!$B$9:$B$28,0)),"✔ OK","⚠ 未登録"))</f>
        <v/>
      </c>
    </row>
    <row r="1722" customFormat="false" ht="15" hidden="false" customHeight="false" outlineLevel="0" collapsed="false">
      <c r="A1722" s="61"/>
      <c r="B1722" s="62"/>
      <c r="C1722" s="63"/>
      <c r="D1722" s="63"/>
      <c r="E1722" s="62"/>
      <c r="F1722" s="62"/>
      <c r="G1722" s="62"/>
      <c r="I1722" s="64" t="str">
        <f aca="false">IF($B1722="","",IF(ISNUMBER(MATCH($B1722,日別データ!$B$9:$B$28,0)),"✔ OK","⚠ 未登録"))</f>
        <v/>
      </c>
    </row>
    <row r="1723" customFormat="false" ht="15" hidden="false" customHeight="false" outlineLevel="0" collapsed="false">
      <c r="A1723" s="61"/>
      <c r="B1723" s="62"/>
      <c r="C1723" s="63"/>
      <c r="D1723" s="63"/>
      <c r="E1723" s="62"/>
      <c r="F1723" s="62"/>
      <c r="G1723" s="62"/>
      <c r="I1723" s="64" t="str">
        <f aca="false">IF($B1723="","",IF(ISNUMBER(MATCH($B1723,日別データ!$B$9:$B$28,0)),"✔ OK","⚠ 未登録"))</f>
        <v/>
      </c>
    </row>
    <row r="1724" customFormat="false" ht="15" hidden="false" customHeight="false" outlineLevel="0" collapsed="false">
      <c r="A1724" s="61"/>
      <c r="B1724" s="62"/>
      <c r="C1724" s="63"/>
      <c r="D1724" s="63"/>
      <c r="E1724" s="62"/>
      <c r="F1724" s="62"/>
      <c r="G1724" s="62"/>
      <c r="I1724" s="64" t="str">
        <f aca="false">IF($B1724="","",IF(ISNUMBER(MATCH($B1724,日別データ!$B$9:$B$28,0)),"✔ OK","⚠ 未登録"))</f>
        <v/>
      </c>
    </row>
    <row r="1725" customFormat="false" ht="15" hidden="false" customHeight="false" outlineLevel="0" collapsed="false">
      <c r="A1725" s="61"/>
      <c r="B1725" s="62"/>
      <c r="C1725" s="63"/>
      <c r="D1725" s="63"/>
      <c r="E1725" s="62"/>
      <c r="F1725" s="62"/>
      <c r="G1725" s="62"/>
      <c r="I1725" s="64" t="str">
        <f aca="false">IF($B1725="","",IF(ISNUMBER(MATCH($B1725,日別データ!$B$9:$B$28,0)),"✔ OK","⚠ 未登録"))</f>
        <v/>
      </c>
    </row>
    <row r="1726" customFormat="false" ht="15" hidden="false" customHeight="false" outlineLevel="0" collapsed="false">
      <c r="A1726" s="61"/>
      <c r="B1726" s="62"/>
      <c r="C1726" s="63"/>
      <c r="D1726" s="63"/>
      <c r="E1726" s="62"/>
      <c r="F1726" s="62"/>
      <c r="G1726" s="62"/>
      <c r="I1726" s="64" t="str">
        <f aca="false">IF($B1726="","",IF(ISNUMBER(MATCH($B1726,日別データ!$B$9:$B$28,0)),"✔ OK","⚠ 未登録"))</f>
        <v/>
      </c>
    </row>
    <row r="1727" customFormat="false" ht="15" hidden="false" customHeight="false" outlineLevel="0" collapsed="false">
      <c r="A1727" s="61"/>
      <c r="B1727" s="62"/>
      <c r="C1727" s="63"/>
      <c r="D1727" s="63"/>
      <c r="E1727" s="62"/>
      <c r="F1727" s="62"/>
      <c r="G1727" s="62"/>
      <c r="I1727" s="64" t="str">
        <f aca="false">IF($B1727="","",IF(ISNUMBER(MATCH($B1727,日別データ!$B$9:$B$28,0)),"✔ OK","⚠ 未登録"))</f>
        <v/>
      </c>
    </row>
    <row r="1728" customFormat="false" ht="15" hidden="false" customHeight="false" outlineLevel="0" collapsed="false">
      <c r="A1728" s="61"/>
      <c r="B1728" s="62"/>
      <c r="C1728" s="63"/>
      <c r="D1728" s="63"/>
      <c r="E1728" s="62"/>
      <c r="F1728" s="62"/>
      <c r="G1728" s="62"/>
      <c r="I1728" s="64" t="str">
        <f aca="false">IF($B1728="","",IF(ISNUMBER(MATCH($B1728,日別データ!$B$9:$B$28,0)),"✔ OK","⚠ 未登録"))</f>
        <v/>
      </c>
    </row>
    <row r="1729" customFormat="false" ht="15" hidden="false" customHeight="false" outlineLevel="0" collapsed="false">
      <c r="A1729" s="61"/>
      <c r="B1729" s="62"/>
      <c r="C1729" s="63"/>
      <c r="D1729" s="63"/>
      <c r="E1729" s="62"/>
      <c r="F1729" s="62"/>
      <c r="G1729" s="62"/>
      <c r="I1729" s="64" t="str">
        <f aca="false">IF($B1729="","",IF(ISNUMBER(MATCH($B1729,日別データ!$B$9:$B$28,0)),"✔ OK","⚠ 未登録"))</f>
        <v/>
      </c>
    </row>
    <row r="1730" customFormat="false" ht="15" hidden="false" customHeight="false" outlineLevel="0" collapsed="false">
      <c r="A1730" s="61"/>
      <c r="B1730" s="62"/>
      <c r="C1730" s="63"/>
      <c r="D1730" s="63"/>
      <c r="E1730" s="62"/>
      <c r="F1730" s="62"/>
      <c r="G1730" s="62"/>
      <c r="I1730" s="64" t="str">
        <f aca="false">IF($B1730="","",IF(ISNUMBER(MATCH($B1730,日別データ!$B$9:$B$28,0)),"✔ OK","⚠ 未登録"))</f>
        <v/>
      </c>
    </row>
    <row r="1731" customFormat="false" ht="15" hidden="false" customHeight="false" outlineLevel="0" collapsed="false">
      <c r="A1731" s="61"/>
      <c r="B1731" s="62"/>
      <c r="C1731" s="63"/>
      <c r="D1731" s="63"/>
      <c r="E1731" s="62"/>
      <c r="F1731" s="62"/>
      <c r="G1731" s="62"/>
      <c r="I1731" s="64" t="str">
        <f aca="false">IF($B1731="","",IF(ISNUMBER(MATCH($B1731,日別データ!$B$9:$B$28,0)),"✔ OK","⚠ 未登録"))</f>
        <v/>
      </c>
    </row>
    <row r="1732" customFormat="false" ht="15" hidden="false" customHeight="false" outlineLevel="0" collapsed="false">
      <c r="A1732" s="61"/>
      <c r="B1732" s="62"/>
      <c r="C1732" s="63"/>
      <c r="D1732" s="63"/>
      <c r="E1732" s="62"/>
      <c r="F1732" s="62"/>
      <c r="G1732" s="62"/>
      <c r="I1732" s="64" t="str">
        <f aca="false">IF($B1732="","",IF(ISNUMBER(MATCH($B1732,日別データ!$B$9:$B$28,0)),"✔ OK","⚠ 未登録"))</f>
        <v/>
      </c>
    </row>
    <row r="1733" customFormat="false" ht="15" hidden="false" customHeight="false" outlineLevel="0" collapsed="false">
      <c r="A1733" s="61"/>
      <c r="B1733" s="62"/>
      <c r="C1733" s="63"/>
      <c r="D1733" s="63"/>
      <c r="E1733" s="62"/>
      <c r="F1733" s="62"/>
      <c r="G1733" s="62"/>
      <c r="I1733" s="64" t="str">
        <f aca="false">IF($B1733="","",IF(ISNUMBER(MATCH($B1733,日別データ!$B$9:$B$28,0)),"✔ OK","⚠ 未登録"))</f>
        <v/>
      </c>
    </row>
    <row r="1734" customFormat="false" ht="15" hidden="false" customHeight="false" outlineLevel="0" collapsed="false">
      <c r="A1734" s="61"/>
      <c r="B1734" s="62"/>
      <c r="C1734" s="63"/>
      <c r="D1734" s="63"/>
      <c r="E1734" s="62"/>
      <c r="F1734" s="62"/>
      <c r="G1734" s="62"/>
      <c r="I1734" s="64" t="str">
        <f aca="false">IF($B1734="","",IF(ISNUMBER(MATCH($B1734,日別データ!$B$9:$B$28,0)),"✔ OK","⚠ 未登録"))</f>
        <v/>
      </c>
    </row>
    <row r="1735" customFormat="false" ht="15" hidden="false" customHeight="false" outlineLevel="0" collapsed="false">
      <c r="A1735" s="61"/>
      <c r="B1735" s="62"/>
      <c r="C1735" s="63"/>
      <c r="D1735" s="63"/>
      <c r="E1735" s="62"/>
      <c r="F1735" s="62"/>
      <c r="G1735" s="62"/>
      <c r="I1735" s="64" t="str">
        <f aca="false">IF($B1735="","",IF(ISNUMBER(MATCH($B1735,日別データ!$B$9:$B$28,0)),"✔ OK","⚠ 未登録"))</f>
        <v/>
      </c>
    </row>
    <row r="1736" customFormat="false" ht="15" hidden="false" customHeight="false" outlineLevel="0" collapsed="false">
      <c r="A1736" s="61"/>
      <c r="B1736" s="62"/>
      <c r="C1736" s="63"/>
      <c r="D1736" s="63"/>
      <c r="E1736" s="62"/>
      <c r="F1736" s="62"/>
      <c r="G1736" s="62"/>
      <c r="I1736" s="64" t="str">
        <f aca="false">IF($B1736="","",IF(ISNUMBER(MATCH($B1736,日別データ!$B$9:$B$28,0)),"✔ OK","⚠ 未登録"))</f>
        <v/>
      </c>
    </row>
    <row r="1737" customFormat="false" ht="15" hidden="false" customHeight="false" outlineLevel="0" collapsed="false">
      <c r="A1737" s="61"/>
      <c r="B1737" s="62"/>
      <c r="C1737" s="63"/>
      <c r="D1737" s="63"/>
      <c r="E1737" s="62"/>
      <c r="F1737" s="62"/>
      <c r="G1737" s="62"/>
      <c r="I1737" s="64" t="str">
        <f aca="false">IF($B1737="","",IF(ISNUMBER(MATCH($B1737,日別データ!$B$9:$B$28,0)),"✔ OK","⚠ 未登録"))</f>
        <v/>
      </c>
    </row>
    <row r="1738" customFormat="false" ht="15" hidden="false" customHeight="false" outlineLevel="0" collapsed="false">
      <c r="A1738" s="61"/>
      <c r="B1738" s="62"/>
      <c r="C1738" s="63"/>
      <c r="D1738" s="63"/>
      <c r="E1738" s="62"/>
      <c r="F1738" s="62"/>
      <c r="G1738" s="62"/>
      <c r="I1738" s="64" t="str">
        <f aca="false">IF($B1738="","",IF(ISNUMBER(MATCH($B1738,日別データ!$B$9:$B$28,0)),"✔ OK","⚠ 未登録"))</f>
        <v/>
      </c>
    </row>
    <row r="1739" customFormat="false" ht="15" hidden="false" customHeight="false" outlineLevel="0" collapsed="false">
      <c r="A1739" s="61"/>
      <c r="B1739" s="62"/>
      <c r="C1739" s="63"/>
      <c r="D1739" s="63"/>
      <c r="E1739" s="62"/>
      <c r="F1739" s="62"/>
      <c r="G1739" s="62"/>
      <c r="I1739" s="64" t="str">
        <f aca="false">IF($B1739="","",IF(ISNUMBER(MATCH($B1739,日別データ!$B$9:$B$28,0)),"✔ OK","⚠ 未登録"))</f>
        <v/>
      </c>
    </row>
    <row r="1740" customFormat="false" ht="15" hidden="false" customHeight="false" outlineLevel="0" collapsed="false">
      <c r="A1740" s="61"/>
      <c r="B1740" s="62"/>
      <c r="C1740" s="63"/>
      <c r="D1740" s="63"/>
      <c r="E1740" s="62"/>
      <c r="F1740" s="62"/>
      <c r="G1740" s="62"/>
      <c r="I1740" s="64" t="str">
        <f aca="false">IF($B1740="","",IF(ISNUMBER(MATCH($B1740,日別データ!$B$9:$B$28,0)),"✔ OK","⚠ 未登録"))</f>
        <v/>
      </c>
    </row>
    <row r="1741" customFormat="false" ht="15" hidden="false" customHeight="false" outlineLevel="0" collapsed="false">
      <c r="A1741" s="61"/>
      <c r="B1741" s="62"/>
      <c r="C1741" s="63"/>
      <c r="D1741" s="63"/>
      <c r="E1741" s="62"/>
      <c r="F1741" s="62"/>
      <c r="G1741" s="62"/>
      <c r="I1741" s="64" t="str">
        <f aca="false">IF($B1741="","",IF(ISNUMBER(MATCH($B1741,日別データ!$B$9:$B$28,0)),"✔ OK","⚠ 未登録"))</f>
        <v/>
      </c>
    </row>
    <row r="1742" customFormat="false" ht="15" hidden="false" customHeight="false" outlineLevel="0" collapsed="false">
      <c r="A1742" s="61"/>
      <c r="B1742" s="62"/>
      <c r="C1742" s="63"/>
      <c r="D1742" s="63"/>
      <c r="E1742" s="62"/>
      <c r="F1742" s="62"/>
      <c r="G1742" s="62"/>
      <c r="I1742" s="64" t="str">
        <f aca="false">IF($B1742="","",IF(ISNUMBER(MATCH($B1742,日別データ!$B$9:$B$28,0)),"✔ OK","⚠ 未登録"))</f>
        <v/>
      </c>
    </row>
    <row r="1743" customFormat="false" ht="15" hidden="false" customHeight="false" outlineLevel="0" collapsed="false">
      <c r="A1743" s="61"/>
      <c r="B1743" s="62"/>
      <c r="C1743" s="63"/>
      <c r="D1743" s="63"/>
      <c r="E1743" s="62"/>
      <c r="F1743" s="62"/>
      <c r="G1743" s="62"/>
      <c r="I1743" s="64" t="str">
        <f aca="false">IF($B1743="","",IF(ISNUMBER(MATCH($B1743,日別データ!$B$9:$B$28,0)),"✔ OK","⚠ 未登録"))</f>
        <v/>
      </c>
    </row>
    <row r="1744" customFormat="false" ht="15" hidden="false" customHeight="false" outlineLevel="0" collapsed="false">
      <c r="A1744" s="61"/>
      <c r="B1744" s="62"/>
      <c r="C1744" s="63"/>
      <c r="D1744" s="63"/>
      <c r="E1744" s="62"/>
      <c r="F1744" s="62"/>
      <c r="G1744" s="62"/>
      <c r="I1744" s="64" t="str">
        <f aca="false">IF($B1744="","",IF(ISNUMBER(MATCH($B1744,日別データ!$B$9:$B$28,0)),"✔ OK","⚠ 未登録"))</f>
        <v/>
      </c>
    </row>
    <row r="1745" customFormat="false" ht="15" hidden="false" customHeight="false" outlineLevel="0" collapsed="false">
      <c r="A1745" s="61"/>
      <c r="B1745" s="62"/>
      <c r="C1745" s="63"/>
      <c r="D1745" s="63"/>
      <c r="E1745" s="62"/>
      <c r="F1745" s="62"/>
      <c r="G1745" s="62"/>
      <c r="I1745" s="64" t="str">
        <f aca="false">IF($B1745="","",IF(ISNUMBER(MATCH($B1745,日別データ!$B$9:$B$28,0)),"✔ OK","⚠ 未登録"))</f>
        <v/>
      </c>
    </row>
    <row r="1746" customFormat="false" ht="15" hidden="false" customHeight="false" outlineLevel="0" collapsed="false">
      <c r="A1746" s="61"/>
      <c r="B1746" s="62"/>
      <c r="C1746" s="63"/>
      <c r="D1746" s="63"/>
      <c r="E1746" s="62"/>
      <c r="F1746" s="62"/>
      <c r="G1746" s="62"/>
      <c r="I1746" s="64" t="str">
        <f aca="false">IF($B1746="","",IF(ISNUMBER(MATCH($B1746,日別データ!$B$9:$B$28,0)),"✔ OK","⚠ 未登録"))</f>
        <v/>
      </c>
    </row>
    <row r="1747" customFormat="false" ht="15" hidden="false" customHeight="false" outlineLevel="0" collapsed="false">
      <c r="A1747" s="61"/>
      <c r="B1747" s="62"/>
      <c r="C1747" s="63"/>
      <c r="D1747" s="63"/>
      <c r="E1747" s="62"/>
      <c r="F1747" s="62"/>
      <c r="G1747" s="62"/>
      <c r="I1747" s="64" t="str">
        <f aca="false">IF($B1747="","",IF(ISNUMBER(MATCH($B1747,日別データ!$B$9:$B$28,0)),"✔ OK","⚠ 未登録"))</f>
        <v/>
      </c>
    </row>
    <row r="1748" customFormat="false" ht="15" hidden="false" customHeight="false" outlineLevel="0" collapsed="false">
      <c r="A1748" s="61"/>
      <c r="B1748" s="62"/>
      <c r="C1748" s="63"/>
      <c r="D1748" s="63"/>
      <c r="E1748" s="62"/>
      <c r="F1748" s="62"/>
      <c r="G1748" s="62"/>
      <c r="I1748" s="64" t="str">
        <f aca="false">IF($B1748="","",IF(ISNUMBER(MATCH($B1748,日別データ!$B$9:$B$28,0)),"✔ OK","⚠ 未登録"))</f>
        <v/>
      </c>
    </row>
    <row r="1749" customFormat="false" ht="15" hidden="false" customHeight="false" outlineLevel="0" collapsed="false">
      <c r="A1749" s="61"/>
      <c r="B1749" s="62"/>
      <c r="C1749" s="63"/>
      <c r="D1749" s="63"/>
      <c r="E1749" s="62"/>
      <c r="F1749" s="62"/>
      <c r="G1749" s="62"/>
      <c r="I1749" s="64" t="str">
        <f aca="false">IF($B1749="","",IF(ISNUMBER(MATCH($B1749,日別データ!$B$9:$B$28,0)),"✔ OK","⚠ 未登録"))</f>
        <v/>
      </c>
    </row>
    <row r="1750" customFormat="false" ht="15" hidden="false" customHeight="false" outlineLevel="0" collapsed="false">
      <c r="A1750" s="61"/>
      <c r="B1750" s="62"/>
      <c r="C1750" s="63"/>
      <c r="D1750" s="63"/>
      <c r="E1750" s="62"/>
      <c r="F1750" s="62"/>
      <c r="G1750" s="62"/>
      <c r="I1750" s="64" t="str">
        <f aca="false">IF($B1750="","",IF(ISNUMBER(MATCH($B1750,日別データ!$B$9:$B$28,0)),"✔ OK","⚠ 未登録"))</f>
        <v/>
      </c>
    </row>
    <row r="1751" customFormat="false" ht="15" hidden="false" customHeight="false" outlineLevel="0" collapsed="false">
      <c r="A1751" s="61"/>
      <c r="B1751" s="62"/>
      <c r="C1751" s="63"/>
      <c r="D1751" s="63"/>
      <c r="E1751" s="62"/>
      <c r="F1751" s="62"/>
      <c r="G1751" s="62"/>
      <c r="I1751" s="64" t="str">
        <f aca="false">IF($B1751="","",IF(ISNUMBER(MATCH($B1751,日別データ!$B$9:$B$28,0)),"✔ OK","⚠ 未登録"))</f>
        <v/>
      </c>
    </row>
    <row r="1752" customFormat="false" ht="15" hidden="false" customHeight="false" outlineLevel="0" collapsed="false">
      <c r="A1752" s="61"/>
      <c r="B1752" s="62"/>
      <c r="C1752" s="63"/>
      <c r="D1752" s="63"/>
      <c r="E1752" s="62"/>
      <c r="F1752" s="62"/>
      <c r="G1752" s="62"/>
      <c r="I1752" s="64" t="str">
        <f aca="false">IF($B1752="","",IF(ISNUMBER(MATCH($B1752,日別データ!$B$9:$B$28,0)),"✔ OK","⚠ 未登録"))</f>
        <v/>
      </c>
    </row>
    <row r="1753" customFormat="false" ht="15" hidden="false" customHeight="false" outlineLevel="0" collapsed="false">
      <c r="A1753" s="61"/>
      <c r="B1753" s="62"/>
      <c r="C1753" s="63"/>
      <c r="D1753" s="63"/>
      <c r="E1753" s="62"/>
      <c r="F1753" s="62"/>
      <c r="G1753" s="62"/>
      <c r="I1753" s="64" t="str">
        <f aca="false">IF($B1753="","",IF(ISNUMBER(MATCH($B1753,日別データ!$B$9:$B$28,0)),"✔ OK","⚠ 未登録"))</f>
        <v/>
      </c>
    </row>
    <row r="1754" customFormat="false" ht="15" hidden="false" customHeight="false" outlineLevel="0" collapsed="false">
      <c r="A1754" s="61"/>
      <c r="B1754" s="62"/>
      <c r="C1754" s="63"/>
      <c r="D1754" s="63"/>
      <c r="E1754" s="62"/>
      <c r="F1754" s="62"/>
      <c r="G1754" s="62"/>
      <c r="I1754" s="64" t="str">
        <f aca="false">IF($B1754="","",IF(ISNUMBER(MATCH($B1754,日別データ!$B$9:$B$28,0)),"✔ OK","⚠ 未登録"))</f>
        <v/>
      </c>
    </row>
    <row r="1755" customFormat="false" ht="15" hidden="false" customHeight="false" outlineLevel="0" collapsed="false">
      <c r="A1755" s="61"/>
      <c r="B1755" s="62"/>
      <c r="C1755" s="63"/>
      <c r="D1755" s="63"/>
      <c r="E1755" s="62"/>
      <c r="F1755" s="62"/>
      <c r="G1755" s="62"/>
      <c r="I1755" s="64" t="str">
        <f aca="false">IF($B1755="","",IF(ISNUMBER(MATCH($B1755,日別データ!$B$9:$B$28,0)),"✔ OK","⚠ 未登録"))</f>
        <v/>
      </c>
    </row>
    <row r="1756" customFormat="false" ht="15" hidden="false" customHeight="false" outlineLevel="0" collapsed="false">
      <c r="A1756" s="61"/>
      <c r="B1756" s="62"/>
      <c r="C1756" s="63"/>
      <c r="D1756" s="63"/>
      <c r="E1756" s="62"/>
      <c r="F1756" s="62"/>
      <c r="G1756" s="62"/>
      <c r="I1756" s="64" t="str">
        <f aca="false">IF($B1756="","",IF(ISNUMBER(MATCH($B1756,日別データ!$B$9:$B$28,0)),"✔ OK","⚠ 未登録"))</f>
        <v/>
      </c>
    </row>
    <row r="1757" customFormat="false" ht="15" hidden="false" customHeight="false" outlineLevel="0" collapsed="false">
      <c r="A1757" s="61"/>
      <c r="B1757" s="62"/>
      <c r="C1757" s="63"/>
      <c r="D1757" s="63"/>
      <c r="E1757" s="62"/>
      <c r="F1757" s="62"/>
      <c r="G1757" s="62"/>
      <c r="I1757" s="64" t="str">
        <f aca="false">IF($B1757="","",IF(ISNUMBER(MATCH($B1757,日別データ!$B$9:$B$28,0)),"✔ OK","⚠ 未登録"))</f>
        <v/>
      </c>
    </row>
    <row r="1758" customFormat="false" ht="15" hidden="false" customHeight="false" outlineLevel="0" collapsed="false">
      <c r="A1758" s="61"/>
      <c r="B1758" s="62"/>
      <c r="C1758" s="63"/>
      <c r="D1758" s="63"/>
      <c r="E1758" s="62"/>
      <c r="F1758" s="62"/>
      <c r="G1758" s="62"/>
      <c r="I1758" s="64" t="str">
        <f aca="false">IF($B1758="","",IF(ISNUMBER(MATCH($B1758,日別データ!$B$9:$B$28,0)),"✔ OK","⚠ 未登録"))</f>
        <v/>
      </c>
    </row>
    <row r="1759" customFormat="false" ht="15" hidden="false" customHeight="false" outlineLevel="0" collapsed="false">
      <c r="A1759" s="61"/>
      <c r="B1759" s="62"/>
      <c r="C1759" s="63"/>
      <c r="D1759" s="63"/>
      <c r="E1759" s="62"/>
      <c r="F1759" s="62"/>
      <c r="G1759" s="62"/>
      <c r="I1759" s="64" t="str">
        <f aca="false">IF($B1759="","",IF(ISNUMBER(MATCH($B1759,日別データ!$B$9:$B$28,0)),"✔ OK","⚠ 未登録"))</f>
        <v/>
      </c>
    </row>
    <row r="1760" customFormat="false" ht="15" hidden="false" customHeight="false" outlineLevel="0" collapsed="false">
      <c r="A1760" s="61"/>
      <c r="B1760" s="62"/>
      <c r="C1760" s="63"/>
      <c r="D1760" s="63"/>
      <c r="E1760" s="62"/>
      <c r="F1760" s="62"/>
      <c r="G1760" s="62"/>
      <c r="I1760" s="64" t="str">
        <f aca="false">IF($B1760="","",IF(ISNUMBER(MATCH($B1760,日別データ!$B$9:$B$28,0)),"✔ OK","⚠ 未登録"))</f>
        <v/>
      </c>
    </row>
    <row r="1761" customFormat="false" ht="15" hidden="false" customHeight="false" outlineLevel="0" collapsed="false">
      <c r="A1761" s="61"/>
      <c r="B1761" s="62"/>
      <c r="C1761" s="63"/>
      <c r="D1761" s="63"/>
      <c r="E1761" s="62"/>
      <c r="F1761" s="62"/>
      <c r="G1761" s="62"/>
      <c r="I1761" s="64" t="str">
        <f aca="false">IF($B1761="","",IF(ISNUMBER(MATCH($B1761,日別データ!$B$9:$B$28,0)),"✔ OK","⚠ 未登録"))</f>
        <v/>
      </c>
    </row>
    <row r="1762" customFormat="false" ht="15" hidden="false" customHeight="false" outlineLevel="0" collapsed="false">
      <c r="A1762" s="61"/>
      <c r="B1762" s="62"/>
      <c r="C1762" s="63"/>
      <c r="D1762" s="63"/>
      <c r="E1762" s="62"/>
      <c r="F1762" s="62"/>
      <c r="G1762" s="62"/>
      <c r="I1762" s="64" t="str">
        <f aca="false">IF($B1762="","",IF(ISNUMBER(MATCH($B1762,日別データ!$B$9:$B$28,0)),"✔ OK","⚠ 未登録"))</f>
        <v/>
      </c>
    </row>
    <row r="1763" customFormat="false" ht="15" hidden="false" customHeight="false" outlineLevel="0" collapsed="false">
      <c r="A1763" s="61"/>
      <c r="B1763" s="62"/>
      <c r="C1763" s="63"/>
      <c r="D1763" s="63"/>
      <c r="E1763" s="62"/>
      <c r="F1763" s="62"/>
      <c r="G1763" s="62"/>
      <c r="I1763" s="64" t="str">
        <f aca="false">IF($B1763="","",IF(ISNUMBER(MATCH($B1763,日別データ!$B$9:$B$28,0)),"✔ OK","⚠ 未登録"))</f>
        <v/>
      </c>
    </row>
    <row r="1764" customFormat="false" ht="15" hidden="false" customHeight="false" outlineLevel="0" collapsed="false">
      <c r="A1764" s="61"/>
      <c r="B1764" s="62"/>
      <c r="C1764" s="63"/>
      <c r="D1764" s="63"/>
      <c r="E1764" s="62"/>
      <c r="F1764" s="62"/>
      <c r="G1764" s="62"/>
      <c r="I1764" s="64" t="str">
        <f aca="false">IF($B1764="","",IF(ISNUMBER(MATCH($B1764,日別データ!$B$9:$B$28,0)),"✔ OK","⚠ 未登録"))</f>
        <v/>
      </c>
    </row>
    <row r="1765" customFormat="false" ht="15" hidden="false" customHeight="false" outlineLevel="0" collapsed="false">
      <c r="A1765" s="61"/>
      <c r="B1765" s="62"/>
      <c r="C1765" s="63"/>
      <c r="D1765" s="63"/>
      <c r="E1765" s="62"/>
      <c r="F1765" s="62"/>
      <c r="G1765" s="62"/>
      <c r="I1765" s="64" t="str">
        <f aca="false">IF($B1765="","",IF(ISNUMBER(MATCH($B1765,日別データ!$B$9:$B$28,0)),"✔ OK","⚠ 未登録"))</f>
        <v/>
      </c>
    </row>
    <row r="1766" customFormat="false" ht="15" hidden="false" customHeight="false" outlineLevel="0" collapsed="false">
      <c r="A1766" s="61"/>
      <c r="B1766" s="62"/>
      <c r="C1766" s="63"/>
      <c r="D1766" s="63"/>
      <c r="E1766" s="62"/>
      <c r="F1766" s="62"/>
      <c r="G1766" s="62"/>
      <c r="I1766" s="64" t="str">
        <f aca="false">IF($B1766="","",IF(ISNUMBER(MATCH($B1766,日別データ!$B$9:$B$28,0)),"✔ OK","⚠ 未登録"))</f>
        <v/>
      </c>
    </row>
    <row r="1767" customFormat="false" ht="15" hidden="false" customHeight="false" outlineLevel="0" collapsed="false">
      <c r="A1767" s="61"/>
      <c r="B1767" s="62"/>
      <c r="C1767" s="63"/>
      <c r="D1767" s="63"/>
      <c r="E1767" s="62"/>
      <c r="F1767" s="62"/>
      <c r="G1767" s="62"/>
      <c r="I1767" s="64" t="str">
        <f aca="false">IF($B1767="","",IF(ISNUMBER(MATCH($B1767,日別データ!$B$9:$B$28,0)),"✔ OK","⚠ 未登録"))</f>
        <v/>
      </c>
    </row>
    <row r="1768" customFormat="false" ht="15" hidden="false" customHeight="false" outlineLevel="0" collapsed="false">
      <c r="A1768" s="61"/>
      <c r="B1768" s="62"/>
      <c r="C1768" s="63"/>
      <c r="D1768" s="63"/>
      <c r="E1768" s="62"/>
      <c r="F1768" s="62"/>
      <c r="G1768" s="62"/>
      <c r="I1768" s="64" t="str">
        <f aca="false">IF($B1768="","",IF(ISNUMBER(MATCH($B1768,日別データ!$B$9:$B$28,0)),"✔ OK","⚠ 未登録"))</f>
        <v/>
      </c>
    </row>
    <row r="1769" customFormat="false" ht="15" hidden="false" customHeight="false" outlineLevel="0" collapsed="false">
      <c r="A1769" s="61"/>
      <c r="B1769" s="62"/>
      <c r="C1769" s="63"/>
      <c r="D1769" s="63"/>
      <c r="E1769" s="62"/>
      <c r="F1769" s="62"/>
      <c r="G1769" s="62"/>
      <c r="I1769" s="64" t="str">
        <f aca="false">IF($B1769="","",IF(ISNUMBER(MATCH($B1769,日別データ!$B$9:$B$28,0)),"✔ OK","⚠ 未登録"))</f>
        <v/>
      </c>
    </row>
    <row r="1770" customFormat="false" ht="15" hidden="false" customHeight="false" outlineLevel="0" collapsed="false">
      <c r="A1770" s="61"/>
      <c r="B1770" s="62"/>
      <c r="C1770" s="63"/>
      <c r="D1770" s="63"/>
      <c r="E1770" s="62"/>
      <c r="F1770" s="62"/>
      <c r="G1770" s="62"/>
      <c r="I1770" s="64" t="str">
        <f aca="false">IF($B1770="","",IF(ISNUMBER(MATCH($B1770,日別データ!$B$9:$B$28,0)),"✔ OK","⚠ 未登録"))</f>
        <v/>
      </c>
    </row>
    <row r="1771" customFormat="false" ht="15" hidden="false" customHeight="false" outlineLevel="0" collapsed="false">
      <c r="A1771" s="61"/>
      <c r="B1771" s="62"/>
      <c r="C1771" s="63"/>
      <c r="D1771" s="63"/>
      <c r="E1771" s="62"/>
      <c r="F1771" s="62"/>
      <c r="G1771" s="62"/>
      <c r="I1771" s="64" t="str">
        <f aca="false">IF($B1771="","",IF(ISNUMBER(MATCH($B1771,日別データ!$B$9:$B$28,0)),"✔ OK","⚠ 未登録"))</f>
        <v/>
      </c>
    </row>
    <row r="1772" customFormat="false" ht="15" hidden="false" customHeight="false" outlineLevel="0" collapsed="false">
      <c r="A1772" s="61"/>
      <c r="B1772" s="62"/>
      <c r="C1772" s="63"/>
      <c r="D1772" s="63"/>
      <c r="E1772" s="62"/>
      <c r="F1772" s="62"/>
      <c r="G1772" s="62"/>
      <c r="I1772" s="64" t="str">
        <f aca="false">IF($B1772="","",IF(ISNUMBER(MATCH($B1772,日別データ!$B$9:$B$28,0)),"✔ OK","⚠ 未登録"))</f>
        <v/>
      </c>
    </row>
    <row r="1773" customFormat="false" ht="15" hidden="false" customHeight="false" outlineLevel="0" collapsed="false">
      <c r="A1773" s="61"/>
      <c r="B1773" s="62"/>
      <c r="C1773" s="63"/>
      <c r="D1773" s="63"/>
      <c r="E1773" s="62"/>
      <c r="F1773" s="62"/>
      <c r="G1773" s="62"/>
      <c r="I1773" s="64" t="str">
        <f aca="false">IF($B1773="","",IF(ISNUMBER(MATCH($B1773,日別データ!$B$9:$B$28,0)),"✔ OK","⚠ 未登録"))</f>
        <v/>
      </c>
    </row>
    <row r="1774" customFormat="false" ht="15" hidden="false" customHeight="false" outlineLevel="0" collapsed="false">
      <c r="A1774" s="61"/>
      <c r="B1774" s="62"/>
      <c r="C1774" s="63"/>
      <c r="D1774" s="63"/>
      <c r="E1774" s="62"/>
      <c r="F1774" s="62"/>
      <c r="G1774" s="62"/>
      <c r="I1774" s="64" t="str">
        <f aca="false">IF($B1774="","",IF(ISNUMBER(MATCH($B1774,日別データ!$B$9:$B$28,0)),"✔ OK","⚠ 未登録"))</f>
        <v/>
      </c>
    </row>
    <row r="1775" customFormat="false" ht="15" hidden="false" customHeight="false" outlineLevel="0" collapsed="false">
      <c r="A1775" s="61"/>
      <c r="B1775" s="62"/>
      <c r="C1775" s="63"/>
      <c r="D1775" s="63"/>
      <c r="E1775" s="62"/>
      <c r="F1775" s="62"/>
      <c r="G1775" s="62"/>
      <c r="I1775" s="64" t="str">
        <f aca="false">IF($B1775="","",IF(ISNUMBER(MATCH($B1775,日別データ!$B$9:$B$28,0)),"✔ OK","⚠ 未登録"))</f>
        <v/>
      </c>
    </row>
    <row r="1776" customFormat="false" ht="15" hidden="false" customHeight="false" outlineLevel="0" collapsed="false">
      <c r="A1776" s="61"/>
      <c r="B1776" s="62"/>
      <c r="C1776" s="63"/>
      <c r="D1776" s="63"/>
      <c r="E1776" s="62"/>
      <c r="F1776" s="62"/>
      <c r="G1776" s="62"/>
      <c r="I1776" s="64" t="str">
        <f aca="false">IF($B1776="","",IF(ISNUMBER(MATCH($B1776,日別データ!$B$9:$B$28,0)),"✔ OK","⚠ 未登録"))</f>
        <v/>
      </c>
    </row>
    <row r="1777" customFormat="false" ht="15" hidden="false" customHeight="false" outlineLevel="0" collapsed="false">
      <c r="A1777" s="61"/>
      <c r="B1777" s="62"/>
      <c r="C1777" s="63"/>
      <c r="D1777" s="63"/>
      <c r="E1777" s="62"/>
      <c r="F1777" s="62"/>
      <c r="G1777" s="62"/>
      <c r="I1777" s="64" t="str">
        <f aca="false">IF($B1777="","",IF(ISNUMBER(MATCH($B1777,日別データ!$B$9:$B$28,0)),"✔ OK","⚠ 未登録"))</f>
        <v/>
      </c>
    </row>
    <row r="1778" customFormat="false" ht="15" hidden="false" customHeight="false" outlineLevel="0" collapsed="false">
      <c r="A1778" s="61"/>
      <c r="B1778" s="62"/>
      <c r="C1778" s="63"/>
      <c r="D1778" s="63"/>
      <c r="E1778" s="62"/>
      <c r="F1778" s="62"/>
      <c r="G1778" s="62"/>
      <c r="I1778" s="64" t="str">
        <f aca="false">IF($B1778="","",IF(ISNUMBER(MATCH($B1778,日別データ!$B$9:$B$28,0)),"✔ OK","⚠ 未登録"))</f>
        <v/>
      </c>
    </row>
    <row r="1779" customFormat="false" ht="15" hidden="false" customHeight="false" outlineLevel="0" collapsed="false">
      <c r="A1779" s="61"/>
      <c r="B1779" s="62"/>
      <c r="C1779" s="63"/>
      <c r="D1779" s="63"/>
      <c r="E1779" s="62"/>
      <c r="F1779" s="62"/>
      <c r="G1779" s="62"/>
      <c r="I1779" s="64" t="str">
        <f aca="false">IF($B1779="","",IF(ISNUMBER(MATCH($B1779,日別データ!$B$9:$B$28,0)),"✔ OK","⚠ 未登録"))</f>
        <v/>
      </c>
    </row>
    <row r="1780" customFormat="false" ht="15" hidden="false" customHeight="false" outlineLevel="0" collapsed="false">
      <c r="A1780" s="61"/>
      <c r="B1780" s="62"/>
      <c r="C1780" s="63"/>
      <c r="D1780" s="63"/>
      <c r="E1780" s="62"/>
      <c r="F1780" s="62"/>
      <c r="G1780" s="62"/>
      <c r="I1780" s="64" t="str">
        <f aca="false">IF($B1780="","",IF(ISNUMBER(MATCH($B1780,日別データ!$B$9:$B$28,0)),"✔ OK","⚠ 未登録"))</f>
        <v/>
      </c>
    </row>
    <row r="1781" customFormat="false" ht="15" hidden="false" customHeight="false" outlineLevel="0" collapsed="false">
      <c r="A1781" s="61"/>
      <c r="B1781" s="62"/>
      <c r="C1781" s="63"/>
      <c r="D1781" s="63"/>
      <c r="E1781" s="62"/>
      <c r="F1781" s="62"/>
      <c r="G1781" s="62"/>
      <c r="I1781" s="64" t="str">
        <f aca="false">IF($B1781="","",IF(ISNUMBER(MATCH($B1781,日別データ!$B$9:$B$28,0)),"✔ OK","⚠ 未登録"))</f>
        <v/>
      </c>
    </row>
    <row r="1782" customFormat="false" ht="15" hidden="false" customHeight="false" outlineLevel="0" collapsed="false">
      <c r="A1782" s="61"/>
      <c r="B1782" s="62"/>
      <c r="C1782" s="63"/>
      <c r="D1782" s="63"/>
      <c r="E1782" s="62"/>
      <c r="F1782" s="62"/>
      <c r="G1782" s="62"/>
      <c r="I1782" s="64" t="str">
        <f aca="false">IF($B1782="","",IF(ISNUMBER(MATCH($B1782,日別データ!$B$9:$B$28,0)),"✔ OK","⚠ 未登録"))</f>
        <v/>
      </c>
    </row>
    <row r="1783" customFormat="false" ht="15" hidden="false" customHeight="false" outlineLevel="0" collapsed="false">
      <c r="A1783" s="61"/>
      <c r="B1783" s="62"/>
      <c r="C1783" s="63"/>
      <c r="D1783" s="63"/>
      <c r="E1783" s="62"/>
      <c r="F1783" s="62"/>
      <c r="G1783" s="62"/>
      <c r="I1783" s="64" t="str">
        <f aca="false">IF($B1783="","",IF(ISNUMBER(MATCH($B1783,日別データ!$B$9:$B$28,0)),"✔ OK","⚠ 未登録"))</f>
        <v/>
      </c>
    </row>
    <row r="1784" customFormat="false" ht="15" hidden="false" customHeight="false" outlineLevel="0" collapsed="false">
      <c r="A1784" s="61"/>
      <c r="B1784" s="62"/>
      <c r="C1784" s="63"/>
      <c r="D1784" s="63"/>
      <c r="E1784" s="62"/>
      <c r="F1784" s="62"/>
      <c r="G1784" s="62"/>
      <c r="I1784" s="64" t="str">
        <f aca="false">IF($B1784="","",IF(ISNUMBER(MATCH($B1784,日別データ!$B$9:$B$28,0)),"✔ OK","⚠ 未登録"))</f>
        <v/>
      </c>
    </row>
    <row r="1785" customFormat="false" ht="15" hidden="false" customHeight="false" outlineLevel="0" collapsed="false">
      <c r="A1785" s="61"/>
      <c r="B1785" s="62"/>
      <c r="C1785" s="63"/>
      <c r="D1785" s="63"/>
      <c r="E1785" s="62"/>
      <c r="F1785" s="62"/>
      <c r="G1785" s="62"/>
      <c r="I1785" s="64" t="str">
        <f aca="false">IF($B1785="","",IF(ISNUMBER(MATCH($B1785,日別データ!$B$9:$B$28,0)),"✔ OK","⚠ 未登録"))</f>
        <v/>
      </c>
    </row>
    <row r="1786" customFormat="false" ht="15" hidden="false" customHeight="false" outlineLevel="0" collapsed="false">
      <c r="A1786" s="61"/>
      <c r="B1786" s="62"/>
      <c r="C1786" s="63"/>
      <c r="D1786" s="63"/>
      <c r="E1786" s="62"/>
      <c r="F1786" s="62"/>
      <c r="G1786" s="62"/>
      <c r="I1786" s="64" t="str">
        <f aca="false">IF($B1786="","",IF(ISNUMBER(MATCH($B1786,日別データ!$B$9:$B$28,0)),"✔ OK","⚠ 未登録"))</f>
        <v/>
      </c>
    </row>
    <row r="1787" customFormat="false" ht="15" hidden="false" customHeight="false" outlineLevel="0" collapsed="false">
      <c r="A1787" s="61"/>
      <c r="B1787" s="62"/>
      <c r="C1787" s="63"/>
      <c r="D1787" s="63"/>
      <c r="E1787" s="62"/>
      <c r="F1787" s="62"/>
      <c r="G1787" s="62"/>
      <c r="I1787" s="64" t="str">
        <f aca="false">IF($B1787="","",IF(ISNUMBER(MATCH($B1787,日別データ!$B$9:$B$28,0)),"✔ OK","⚠ 未登録"))</f>
        <v/>
      </c>
    </row>
    <row r="1788" customFormat="false" ht="15" hidden="false" customHeight="false" outlineLevel="0" collapsed="false">
      <c r="A1788" s="61"/>
      <c r="B1788" s="62"/>
      <c r="C1788" s="63"/>
      <c r="D1788" s="63"/>
      <c r="E1788" s="62"/>
      <c r="F1788" s="62"/>
      <c r="G1788" s="62"/>
      <c r="I1788" s="64" t="str">
        <f aca="false">IF($B1788="","",IF(ISNUMBER(MATCH($B1788,日別データ!$B$9:$B$28,0)),"✔ OK","⚠ 未登録"))</f>
        <v/>
      </c>
    </row>
    <row r="1789" customFormat="false" ht="15" hidden="false" customHeight="false" outlineLevel="0" collapsed="false">
      <c r="A1789" s="61"/>
      <c r="B1789" s="62"/>
      <c r="C1789" s="63"/>
      <c r="D1789" s="63"/>
      <c r="E1789" s="62"/>
      <c r="F1789" s="62"/>
      <c r="G1789" s="62"/>
      <c r="I1789" s="64" t="str">
        <f aca="false">IF($B1789="","",IF(ISNUMBER(MATCH($B1789,日別データ!$B$9:$B$28,0)),"✔ OK","⚠ 未登録"))</f>
        <v/>
      </c>
    </row>
    <row r="1790" customFormat="false" ht="15" hidden="false" customHeight="false" outlineLevel="0" collapsed="false">
      <c r="A1790" s="61"/>
      <c r="B1790" s="62"/>
      <c r="C1790" s="63"/>
      <c r="D1790" s="63"/>
      <c r="E1790" s="62"/>
      <c r="F1790" s="62"/>
      <c r="G1790" s="62"/>
      <c r="I1790" s="64" t="str">
        <f aca="false">IF($B1790="","",IF(ISNUMBER(MATCH($B1790,日別データ!$B$9:$B$28,0)),"✔ OK","⚠ 未登録"))</f>
        <v/>
      </c>
    </row>
    <row r="1791" customFormat="false" ht="15" hidden="false" customHeight="false" outlineLevel="0" collapsed="false">
      <c r="A1791" s="61"/>
      <c r="B1791" s="62"/>
      <c r="C1791" s="63"/>
      <c r="D1791" s="63"/>
      <c r="E1791" s="62"/>
      <c r="F1791" s="62"/>
      <c r="G1791" s="62"/>
      <c r="I1791" s="64" t="str">
        <f aca="false">IF($B1791="","",IF(ISNUMBER(MATCH($B1791,日別データ!$B$9:$B$28,0)),"✔ OK","⚠ 未登録"))</f>
        <v/>
      </c>
    </row>
    <row r="1792" customFormat="false" ht="15" hidden="false" customHeight="false" outlineLevel="0" collapsed="false">
      <c r="A1792" s="61"/>
      <c r="B1792" s="62"/>
      <c r="C1792" s="63"/>
      <c r="D1792" s="63"/>
      <c r="E1792" s="62"/>
      <c r="F1792" s="62"/>
      <c r="G1792" s="62"/>
      <c r="I1792" s="64" t="str">
        <f aca="false">IF($B1792="","",IF(ISNUMBER(MATCH($B1792,日別データ!$B$9:$B$28,0)),"✔ OK","⚠ 未登録"))</f>
        <v/>
      </c>
    </row>
    <row r="1793" customFormat="false" ht="15" hidden="false" customHeight="false" outlineLevel="0" collapsed="false">
      <c r="A1793" s="61"/>
      <c r="B1793" s="62"/>
      <c r="C1793" s="63"/>
      <c r="D1793" s="63"/>
      <c r="E1793" s="62"/>
      <c r="F1793" s="62"/>
      <c r="G1793" s="62"/>
      <c r="I1793" s="64" t="str">
        <f aca="false">IF($B1793="","",IF(ISNUMBER(MATCH($B1793,日別データ!$B$9:$B$28,0)),"✔ OK","⚠ 未登録"))</f>
        <v/>
      </c>
    </row>
    <row r="1794" customFormat="false" ht="15" hidden="false" customHeight="false" outlineLevel="0" collapsed="false">
      <c r="A1794" s="61"/>
      <c r="B1794" s="62"/>
      <c r="C1794" s="63"/>
      <c r="D1794" s="63"/>
      <c r="E1794" s="62"/>
      <c r="F1794" s="62"/>
      <c r="G1794" s="62"/>
      <c r="I1794" s="64" t="str">
        <f aca="false">IF($B1794="","",IF(ISNUMBER(MATCH($B1794,日別データ!$B$9:$B$28,0)),"✔ OK","⚠ 未登録"))</f>
        <v/>
      </c>
    </row>
    <row r="1795" customFormat="false" ht="15" hidden="false" customHeight="false" outlineLevel="0" collapsed="false">
      <c r="A1795" s="61"/>
      <c r="B1795" s="62"/>
      <c r="C1795" s="63"/>
      <c r="D1795" s="63"/>
      <c r="E1795" s="62"/>
      <c r="F1795" s="62"/>
      <c r="G1795" s="62"/>
      <c r="I1795" s="64" t="str">
        <f aca="false">IF($B1795="","",IF(ISNUMBER(MATCH($B1795,日別データ!$B$9:$B$28,0)),"✔ OK","⚠ 未登録"))</f>
        <v/>
      </c>
    </row>
    <row r="1796" customFormat="false" ht="15" hidden="false" customHeight="false" outlineLevel="0" collapsed="false">
      <c r="A1796" s="61"/>
      <c r="B1796" s="62"/>
      <c r="C1796" s="63"/>
      <c r="D1796" s="63"/>
      <c r="E1796" s="62"/>
      <c r="F1796" s="62"/>
      <c r="G1796" s="62"/>
      <c r="I1796" s="64" t="str">
        <f aca="false">IF($B1796="","",IF(ISNUMBER(MATCH($B1796,日別データ!$B$9:$B$28,0)),"✔ OK","⚠ 未登録"))</f>
        <v/>
      </c>
    </row>
    <row r="1797" customFormat="false" ht="15" hidden="false" customHeight="false" outlineLevel="0" collapsed="false">
      <c r="A1797" s="61"/>
      <c r="B1797" s="62"/>
      <c r="C1797" s="63"/>
      <c r="D1797" s="63"/>
      <c r="E1797" s="62"/>
      <c r="F1797" s="62"/>
      <c r="G1797" s="62"/>
      <c r="I1797" s="64" t="str">
        <f aca="false">IF($B1797="","",IF(ISNUMBER(MATCH($B1797,日別データ!$B$9:$B$28,0)),"✔ OK","⚠ 未登録"))</f>
        <v/>
      </c>
    </row>
    <row r="1798" customFormat="false" ht="15" hidden="false" customHeight="false" outlineLevel="0" collapsed="false">
      <c r="A1798" s="61"/>
      <c r="B1798" s="62"/>
      <c r="C1798" s="63"/>
      <c r="D1798" s="63"/>
      <c r="E1798" s="62"/>
      <c r="F1798" s="62"/>
      <c r="G1798" s="62"/>
      <c r="I1798" s="64" t="str">
        <f aca="false">IF($B1798="","",IF(ISNUMBER(MATCH($B1798,日別データ!$B$9:$B$28,0)),"✔ OK","⚠ 未登録"))</f>
        <v/>
      </c>
    </row>
    <row r="1799" customFormat="false" ht="15" hidden="false" customHeight="false" outlineLevel="0" collapsed="false">
      <c r="A1799" s="61"/>
      <c r="B1799" s="62"/>
      <c r="C1799" s="63"/>
      <c r="D1799" s="63"/>
      <c r="E1799" s="62"/>
      <c r="F1799" s="62"/>
      <c r="G1799" s="62"/>
      <c r="I1799" s="64" t="str">
        <f aca="false">IF($B1799="","",IF(ISNUMBER(MATCH($B1799,日別データ!$B$9:$B$28,0)),"✔ OK","⚠ 未登録"))</f>
        <v/>
      </c>
    </row>
    <row r="1800" customFormat="false" ht="15" hidden="false" customHeight="false" outlineLevel="0" collapsed="false">
      <c r="A1800" s="61"/>
      <c r="B1800" s="62"/>
      <c r="C1800" s="63"/>
      <c r="D1800" s="63"/>
      <c r="E1800" s="62"/>
      <c r="F1800" s="62"/>
      <c r="G1800" s="62"/>
      <c r="I1800" s="64" t="str">
        <f aca="false">IF($B1800="","",IF(ISNUMBER(MATCH($B1800,日別データ!$B$9:$B$28,0)),"✔ OK","⚠ 未登録"))</f>
        <v/>
      </c>
    </row>
    <row r="1801" customFormat="false" ht="15" hidden="false" customHeight="false" outlineLevel="0" collapsed="false">
      <c r="A1801" s="61"/>
      <c r="B1801" s="62"/>
      <c r="C1801" s="63"/>
      <c r="D1801" s="63"/>
      <c r="E1801" s="62"/>
      <c r="F1801" s="62"/>
      <c r="G1801" s="62"/>
      <c r="I1801" s="64" t="str">
        <f aca="false">IF($B1801="","",IF(ISNUMBER(MATCH($B1801,日別データ!$B$9:$B$28,0)),"✔ OK","⚠ 未登録"))</f>
        <v/>
      </c>
    </row>
    <row r="1802" customFormat="false" ht="15" hidden="false" customHeight="false" outlineLevel="0" collapsed="false">
      <c r="A1802" s="61"/>
      <c r="B1802" s="62"/>
      <c r="C1802" s="63"/>
      <c r="D1802" s="63"/>
      <c r="E1802" s="62"/>
      <c r="F1802" s="62"/>
      <c r="G1802" s="62"/>
      <c r="I1802" s="64" t="str">
        <f aca="false">IF($B1802="","",IF(ISNUMBER(MATCH($B1802,日別データ!$B$9:$B$28,0)),"✔ OK","⚠ 未登録"))</f>
        <v/>
      </c>
    </row>
    <row r="1803" customFormat="false" ht="15" hidden="false" customHeight="false" outlineLevel="0" collapsed="false">
      <c r="A1803" s="61"/>
      <c r="B1803" s="62"/>
      <c r="C1803" s="63"/>
      <c r="D1803" s="63"/>
      <c r="E1803" s="62"/>
      <c r="F1803" s="62"/>
      <c r="G1803" s="62"/>
      <c r="I1803" s="64" t="str">
        <f aca="false">IF($B1803="","",IF(ISNUMBER(MATCH($B1803,日別データ!$B$9:$B$28,0)),"✔ OK","⚠ 未登録"))</f>
        <v/>
      </c>
    </row>
    <row r="1804" customFormat="false" ht="15" hidden="false" customHeight="false" outlineLevel="0" collapsed="false">
      <c r="A1804" s="61"/>
      <c r="B1804" s="62"/>
      <c r="C1804" s="63"/>
      <c r="D1804" s="63"/>
      <c r="E1804" s="62"/>
      <c r="F1804" s="62"/>
      <c r="G1804" s="62"/>
      <c r="I1804" s="64" t="str">
        <f aca="false">IF($B1804="","",IF(ISNUMBER(MATCH($B1804,日別データ!$B$9:$B$28,0)),"✔ OK","⚠ 未登録"))</f>
        <v/>
      </c>
    </row>
    <row r="1805" customFormat="false" ht="15" hidden="false" customHeight="false" outlineLevel="0" collapsed="false">
      <c r="A1805" s="61"/>
      <c r="B1805" s="62"/>
      <c r="C1805" s="63"/>
      <c r="D1805" s="63"/>
      <c r="E1805" s="62"/>
      <c r="F1805" s="62"/>
      <c r="G1805" s="62"/>
      <c r="I1805" s="64" t="str">
        <f aca="false">IF($B1805="","",IF(ISNUMBER(MATCH($B1805,日別データ!$B$9:$B$28,0)),"✔ OK","⚠ 未登録"))</f>
        <v/>
      </c>
    </row>
    <row r="1806" customFormat="false" ht="15" hidden="false" customHeight="false" outlineLevel="0" collapsed="false">
      <c r="A1806" s="61"/>
      <c r="B1806" s="62"/>
      <c r="C1806" s="63"/>
      <c r="D1806" s="63"/>
      <c r="E1806" s="62"/>
      <c r="F1806" s="62"/>
      <c r="G1806" s="62"/>
      <c r="I1806" s="64" t="str">
        <f aca="false">IF($B1806="","",IF(ISNUMBER(MATCH($B1806,日別データ!$B$9:$B$28,0)),"✔ OK","⚠ 未登録"))</f>
        <v/>
      </c>
    </row>
    <row r="1807" customFormat="false" ht="15" hidden="false" customHeight="false" outlineLevel="0" collapsed="false">
      <c r="A1807" s="61"/>
      <c r="B1807" s="62"/>
      <c r="C1807" s="63"/>
      <c r="D1807" s="63"/>
      <c r="E1807" s="62"/>
      <c r="F1807" s="62"/>
      <c r="G1807" s="62"/>
      <c r="I1807" s="64" t="str">
        <f aca="false">IF($B1807="","",IF(ISNUMBER(MATCH($B1807,日別データ!$B$9:$B$28,0)),"✔ OK","⚠ 未登録"))</f>
        <v/>
      </c>
    </row>
    <row r="1808" customFormat="false" ht="15" hidden="false" customHeight="false" outlineLevel="0" collapsed="false">
      <c r="A1808" s="61"/>
      <c r="B1808" s="62"/>
      <c r="C1808" s="63"/>
      <c r="D1808" s="63"/>
      <c r="E1808" s="62"/>
      <c r="F1808" s="62"/>
      <c r="G1808" s="62"/>
      <c r="I1808" s="64" t="str">
        <f aca="false">IF($B1808="","",IF(ISNUMBER(MATCH($B1808,日別データ!$B$9:$B$28,0)),"✔ OK","⚠ 未登録"))</f>
        <v/>
      </c>
    </row>
    <row r="1809" customFormat="false" ht="15" hidden="false" customHeight="false" outlineLevel="0" collapsed="false">
      <c r="A1809" s="61"/>
      <c r="B1809" s="62"/>
      <c r="C1809" s="63"/>
      <c r="D1809" s="63"/>
      <c r="E1809" s="62"/>
      <c r="F1809" s="62"/>
      <c r="G1809" s="62"/>
      <c r="I1809" s="64" t="str">
        <f aca="false">IF($B1809="","",IF(ISNUMBER(MATCH($B1809,日別データ!$B$9:$B$28,0)),"✔ OK","⚠ 未登録"))</f>
        <v/>
      </c>
    </row>
    <row r="1810" customFormat="false" ht="15" hidden="false" customHeight="false" outlineLevel="0" collapsed="false">
      <c r="A1810" s="61"/>
      <c r="B1810" s="62"/>
      <c r="C1810" s="63"/>
      <c r="D1810" s="63"/>
      <c r="E1810" s="62"/>
      <c r="F1810" s="62"/>
      <c r="G1810" s="62"/>
      <c r="I1810" s="64" t="str">
        <f aca="false">IF($B1810="","",IF(ISNUMBER(MATCH($B1810,日別データ!$B$9:$B$28,0)),"✔ OK","⚠ 未登録"))</f>
        <v/>
      </c>
    </row>
    <row r="1811" customFormat="false" ht="15" hidden="false" customHeight="false" outlineLevel="0" collapsed="false">
      <c r="A1811" s="61"/>
      <c r="B1811" s="62"/>
      <c r="C1811" s="63"/>
      <c r="D1811" s="63"/>
      <c r="E1811" s="62"/>
      <c r="F1811" s="62"/>
      <c r="G1811" s="62"/>
      <c r="I1811" s="64" t="str">
        <f aca="false">IF($B1811="","",IF(ISNUMBER(MATCH($B1811,日別データ!$B$9:$B$28,0)),"✔ OK","⚠ 未登録"))</f>
        <v/>
      </c>
    </row>
    <row r="1812" customFormat="false" ht="15" hidden="false" customHeight="false" outlineLevel="0" collapsed="false">
      <c r="A1812" s="61"/>
      <c r="B1812" s="62"/>
      <c r="C1812" s="63"/>
      <c r="D1812" s="63"/>
      <c r="E1812" s="62"/>
      <c r="F1812" s="62"/>
      <c r="G1812" s="62"/>
      <c r="I1812" s="64" t="str">
        <f aca="false">IF($B1812="","",IF(ISNUMBER(MATCH($B1812,日別データ!$B$9:$B$28,0)),"✔ OK","⚠ 未登録"))</f>
        <v/>
      </c>
    </row>
    <row r="1813" customFormat="false" ht="15" hidden="false" customHeight="false" outlineLevel="0" collapsed="false">
      <c r="A1813" s="61"/>
      <c r="B1813" s="62"/>
      <c r="C1813" s="63"/>
      <c r="D1813" s="63"/>
      <c r="E1813" s="62"/>
      <c r="F1813" s="62"/>
      <c r="G1813" s="62"/>
      <c r="I1813" s="64" t="str">
        <f aca="false">IF($B1813="","",IF(ISNUMBER(MATCH($B1813,日別データ!$B$9:$B$28,0)),"✔ OK","⚠ 未登録"))</f>
        <v/>
      </c>
    </row>
    <row r="1814" customFormat="false" ht="15" hidden="false" customHeight="false" outlineLevel="0" collapsed="false">
      <c r="A1814" s="61"/>
      <c r="B1814" s="62"/>
      <c r="C1814" s="63"/>
      <c r="D1814" s="63"/>
      <c r="E1814" s="62"/>
      <c r="F1814" s="62"/>
      <c r="G1814" s="62"/>
      <c r="I1814" s="64" t="str">
        <f aca="false">IF($B1814="","",IF(ISNUMBER(MATCH($B1814,日別データ!$B$9:$B$28,0)),"✔ OK","⚠ 未登録"))</f>
        <v/>
      </c>
    </row>
    <row r="1815" customFormat="false" ht="15" hidden="false" customHeight="false" outlineLevel="0" collapsed="false">
      <c r="A1815" s="61"/>
      <c r="B1815" s="62"/>
      <c r="C1815" s="63"/>
      <c r="D1815" s="63"/>
      <c r="E1815" s="62"/>
      <c r="F1815" s="62"/>
      <c r="G1815" s="62"/>
      <c r="I1815" s="64" t="str">
        <f aca="false">IF($B1815="","",IF(ISNUMBER(MATCH($B1815,日別データ!$B$9:$B$28,0)),"✔ OK","⚠ 未登録"))</f>
        <v/>
      </c>
    </row>
    <row r="1816" customFormat="false" ht="15" hidden="false" customHeight="false" outlineLevel="0" collapsed="false">
      <c r="A1816" s="61"/>
      <c r="B1816" s="62"/>
      <c r="C1816" s="63"/>
      <c r="D1816" s="63"/>
      <c r="E1816" s="62"/>
      <c r="F1816" s="62"/>
      <c r="G1816" s="62"/>
      <c r="I1816" s="64" t="str">
        <f aca="false">IF($B1816="","",IF(ISNUMBER(MATCH($B1816,日別データ!$B$9:$B$28,0)),"✔ OK","⚠ 未登録"))</f>
        <v/>
      </c>
    </row>
    <row r="1817" customFormat="false" ht="15" hidden="false" customHeight="false" outlineLevel="0" collapsed="false">
      <c r="A1817" s="61"/>
      <c r="B1817" s="62"/>
      <c r="C1817" s="63"/>
      <c r="D1817" s="63"/>
      <c r="E1817" s="62"/>
      <c r="F1817" s="62"/>
      <c r="G1817" s="62"/>
      <c r="I1817" s="64" t="str">
        <f aca="false">IF($B1817="","",IF(ISNUMBER(MATCH($B1817,日別データ!$B$9:$B$28,0)),"✔ OK","⚠ 未登録"))</f>
        <v/>
      </c>
    </row>
    <row r="1818" customFormat="false" ht="15" hidden="false" customHeight="false" outlineLevel="0" collapsed="false">
      <c r="A1818" s="61"/>
      <c r="B1818" s="62"/>
      <c r="C1818" s="63"/>
      <c r="D1818" s="63"/>
      <c r="E1818" s="62"/>
      <c r="F1818" s="62"/>
      <c r="G1818" s="62"/>
      <c r="I1818" s="64" t="str">
        <f aca="false">IF($B1818="","",IF(ISNUMBER(MATCH($B1818,日別データ!$B$9:$B$28,0)),"✔ OK","⚠ 未登録"))</f>
        <v/>
      </c>
    </row>
    <row r="1819" customFormat="false" ht="15" hidden="false" customHeight="false" outlineLevel="0" collapsed="false">
      <c r="A1819" s="61"/>
      <c r="B1819" s="62"/>
      <c r="C1819" s="63"/>
      <c r="D1819" s="63"/>
      <c r="E1819" s="62"/>
      <c r="F1819" s="62"/>
      <c r="G1819" s="62"/>
      <c r="I1819" s="64" t="str">
        <f aca="false">IF($B1819="","",IF(ISNUMBER(MATCH($B1819,日別データ!$B$9:$B$28,0)),"✔ OK","⚠ 未登録"))</f>
        <v/>
      </c>
    </row>
    <row r="1820" customFormat="false" ht="15" hidden="false" customHeight="false" outlineLevel="0" collapsed="false">
      <c r="A1820" s="61"/>
      <c r="B1820" s="62"/>
      <c r="C1820" s="63"/>
      <c r="D1820" s="63"/>
      <c r="E1820" s="62"/>
      <c r="F1820" s="62"/>
      <c r="G1820" s="62"/>
      <c r="I1820" s="64" t="str">
        <f aca="false">IF($B1820="","",IF(ISNUMBER(MATCH($B1820,日別データ!$B$9:$B$28,0)),"✔ OK","⚠ 未登録"))</f>
        <v/>
      </c>
    </row>
    <row r="1821" customFormat="false" ht="15" hidden="false" customHeight="false" outlineLevel="0" collapsed="false">
      <c r="A1821" s="61"/>
      <c r="B1821" s="62"/>
      <c r="C1821" s="63"/>
      <c r="D1821" s="63"/>
      <c r="E1821" s="62"/>
      <c r="F1821" s="62"/>
      <c r="G1821" s="62"/>
      <c r="I1821" s="64" t="str">
        <f aca="false">IF($B1821="","",IF(ISNUMBER(MATCH($B1821,日別データ!$B$9:$B$28,0)),"✔ OK","⚠ 未登録"))</f>
        <v/>
      </c>
    </row>
    <row r="1822" customFormat="false" ht="15" hidden="false" customHeight="false" outlineLevel="0" collapsed="false">
      <c r="A1822" s="61"/>
      <c r="B1822" s="62"/>
      <c r="C1822" s="63"/>
      <c r="D1822" s="63"/>
      <c r="E1822" s="62"/>
      <c r="F1822" s="62"/>
      <c r="G1822" s="62"/>
      <c r="I1822" s="64" t="str">
        <f aca="false">IF($B1822="","",IF(ISNUMBER(MATCH($B1822,日別データ!$B$9:$B$28,0)),"✔ OK","⚠ 未登録"))</f>
        <v/>
      </c>
    </row>
    <row r="1823" customFormat="false" ht="15" hidden="false" customHeight="false" outlineLevel="0" collapsed="false">
      <c r="A1823" s="61"/>
      <c r="B1823" s="62"/>
      <c r="C1823" s="63"/>
      <c r="D1823" s="63"/>
      <c r="E1823" s="62"/>
      <c r="F1823" s="62"/>
      <c r="G1823" s="62"/>
      <c r="I1823" s="64" t="str">
        <f aca="false">IF($B1823="","",IF(ISNUMBER(MATCH($B1823,日別データ!$B$9:$B$28,0)),"✔ OK","⚠ 未登録"))</f>
        <v/>
      </c>
    </row>
    <row r="1824" customFormat="false" ht="15" hidden="false" customHeight="false" outlineLevel="0" collapsed="false">
      <c r="A1824" s="61"/>
      <c r="B1824" s="62"/>
      <c r="C1824" s="63"/>
      <c r="D1824" s="63"/>
      <c r="E1824" s="62"/>
      <c r="F1824" s="62"/>
      <c r="G1824" s="62"/>
      <c r="I1824" s="64" t="str">
        <f aca="false">IF($B1824="","",IF(ISNUMBER(MATCH($B1824,日別データ!$B$9:$B$28,0)),"✔ OK","⚠ 未登録"))</f>
        <v/>
      </c>
    </row>
    <row r="1825" customFormat="false" ht="15" hidden="false" customHeight="false" outlineLevel="0" collapsed="false">
      <c r="A1825" s="61"/>
      <c r="B1825" s="62"/>
      <c r="C1825" s="63"/>
      <c r="D1825" s="63"/>
      <c r="E1825" s="62"/>
      <c r="F1825" s="62"/>
      <c r="G1825" s="62"/>
      <c r="I1825" s="64" t="str">
        <f aca="false">IF($B1825="","",IF(ISNUMBER(MATCH($B1825,日別データ!$B$9:$B$28,0)),"✔ OK","⚠ 未登録"))</f>
        <v/>
      </c>
    </row>
    <row r="1826" customFormat="false" ht="15" hidden="false" customHeight="false" outlineLevel="0" collapsed="false">
      <c r="A1826" s="61"/>
      <c r="B1826" s="62"/>
      <c r="C1826" s="63"/>
      <c r="D1826" s="63"/>
      <c r="E1826" s="62"/>
      <c r="F1826" s="62"/>
      <c r="G1826" s="62"/>
      <c r="I1826" s="64" t="str">
        <f aca="false">IF($B1826="","",IF(ISNUMBER(MATCH($B1826,日別データ!$B$9:$B$28,0)),"✔ OK","⚠ 未登録"))</f>
        <v/>
      </c>
    </row>
    <row r="1827" customFormat="false" ht="15" hidden="false" customHeight="false" outlineLevel="0" collapsed="false">
      <c r="A1827" s="61"/>
      <c r="B1827" s="62"/>
      <c r="C1827" s="63"/>
      <c r="D1827" s="63"/>
      <c r="E1827" s="62"/>
      <c r="F1827" s="62"/>
      <c r="G1827" s="62"/>
      <c r="I1827" s="64" t="str">
        <f aca="false">IF($B1827="","",IF(ISNUMBER(MATCH($B1827,日別データ!$B$9:$B$28,0)),"✔ OK","⚠ 未登録"))</f>
        <v/>
      </c>
    </row>
    <row r="1828" customFormat="false" ht="15" hidden="false" customHeight="false" outlineLevel="0" collapsed="false">
      <c r="A1828" s="61"/>
      <c r="B1828" s="62"/>
      <c r="C1828" s="63"/>
      <c r="D1828" s="63"/>
      <c r="E1828" s="62"/>
      <c r="F1828" s="62"/>
      <c r="G1828" s="62"/>
      <c r="I1828" s="64" t="str">
        <f aca="false">IF($B1828="","",IF(ISNUMBER(MATCH($B1828,日別データ!$B$9:$B$28,0)),"✔ OK","⚠ 未登録"))</f>
        <v/>
      </c>
    </row>
    <row r="1829" customFormat="false" ht="15" hidden="false" customHeight="false" outlineLevel="0" collapsed="false">
      <c r="A1829" s="61"/>
      <c r="B1829" s="62"/>
      <c r="C1829" s="63"/>
      <c r="D1829" s="63"/>
      <c r="E1829" s="62"/>
      <c r="F1829" s="62"/>
      <c r="G1829" s="62"/>
      <c r="I1829" s="64" t="str">
        <f aca="false">IF($B1829="","",IF(ISNUMBER(MATCH($B1829,日別データ!$B$9:$B$28,0)),"✔ OK","⚠ 未登録"))</f>
        <v/>
      </c>
    </row>
    <row r="1830" customFormat="false" ht="15" hidden="false" customHeight="false" outlineLevel="0" collapsed="false">
      <c r="A1830" s="61"/>
      <c r="B1830" s="62"/>
      <c r="C1830" s="63"/>
      <c r="D1830" s="63"/>
      <c r="E1830" s="62"/>
      <c r="F1830" s="62"/>
      <c r="G1830" s="62"/>
      <c r="I1830" s="64" t="str">
        <f aca="false">IF($B1830="","",IF(ISNUMBER(MATCH($B1830,日別データ!$B$9:$B$28,0)),"✔ OK","⚠ 未登録"))</f>
        <v/>
      </c>
    </row>
    <row r="1831" customFormat="false" ht="15" hidden="false" customHeight="false" outlineLevel="0" collapsed="false">
      <c r="A1831" s="61"/>
      <c r="B1831" s="62"/>
      <c r="C1831" s="63"/>
      <c r="D1831" s="63"/>
      <c r="E1831" s="62"/>
      <c r="F1831" s="62"/>
      <c r="G1831" s="62"/>
      <c r="I1831" s="64" t="str">
        <f aca="false">IF($B1831="","",IF(ISNUMBER(MATCH($B1831,日別データ!$B$9:$B$28,0)),"✔ OK","⚠ 未登録"))</f>
        <v/>
      </c>
    </row>
    <row r="1832" customFormat="false" ht="15" hidden="false" customHeight="false" outlineLevel="0" collapsed="false">
      <c r="A1832" s="61"/>
      <c r="B1832" s="62"/>
      <c r="C1832" s="63"/>
      <c r="D1832" s="63"/>
      <c r="E1832" s="62"/>
      <c r="F1832" s="62"/>
      <c r="G1832" s="62"/>
      <c r="I1832" s="64" t="str">
        <f aca="false">IF($B1832="","",IF(ISNUMBER(MATCH($B1832,日別データ!$B$9:$B$28,0)),"✔ OK","⚠ 未登録"))</f>
        <v/>
      </c>
    </row>
    <row r="1833" customFormat="false" ht="15" hidden="false" customHeight="false" outlineLevel="0" collapsed="false">
      <c r="A1833" s="61"/>
      <c r="B1833" s="62"/>
      <c r="C1833" s="63"/>
      <c r="D1833" s="63"/>
      <c r="E1833" s="62"/>
      <c r="F1833" s="62"/>
      <c r="G1833" s="62"/>
      <c r="I1833" s="64" t="str">
        <f aca="false">IF($B1833="","",IF(ISNUMBER(MATCH($B1833,日別データ!$B$9:$B$28,0)),"✔ OK","⚠ 未登録"))</f>
        <v/>
      </c>
    </row>
    <row r="1834" customFormat="false" ht="15" hidden="false" customHeight="false" outlineLevel="0" collapsed="false">
      <c r="A1834" s="61"/>
      <c r="B1834" s="62"/>
      <c r="C1834" s="63"/>
      <c r="D1834" s="63"/>
      <c r="E1834" s="62"/>
      <c r="F1834" s="62"/>
      <c r="G1834" s="62"/>
      <c r="I1834" s="64" t="str">
        <f aca="false">IF($B1834="","",IF(ISNUMBER(MATCH($B1834,日別データ!$B$9:$B$28,0)),"✔ OK","⚠ 未登録"))</f>
        <v/>
      </c>
    </row>
    <row r="1835" customFormat="false" ht="15" hidden="false" customHeight="false" outlineLevel="0" collapsed="false">
      <c r="A1835" s="61"/>
      <c r="B1835" s="62"/>
      <c r="C1835" s="63"/>
      <c r="D1835" s="63"/>
      <c r="E1835" s="62"/>
      <c r="F1835" s="62"/>
      <c r="G1835" s="62"/>
      <c r="I1835" s="64" t="str">
        <f aca="false">IF($B1835="","",IF(ISNUMBER(MATCH($B1835,日別データ!$B$9:$B$28,0)),"✔ OK","⚠ 未登録"))</f>
        <v/>
      </c>
    </row>
    <row r="1836" customFormat="false" ht="15" hidden="false" customHeight="false" outlineLevel="0" collapsed="false">
      <c r="A1836" s="61"/>
      <c r="B1836" s="62"/>
      <c r="C1836" s="63"/>
      <c r="D1836" s="63"/>
      <c r="E1836" s="62"/>
      <c r="F1836" s="62"/>
      <c r="G1836" s="62"/>
      <c r="I1836" s="64" t="str">
        <f aca="false">IF($B1836="","",IF(ISNUMBER(MATCH($B1836,日別データ!$B$9:$B$28,0)),"✔ OK","⚠ 未登録"))</f>
        <v/>
      </c>
    </row>
    <row r="1837" customFormat="false" ht="15" hidden="false" customHeight="false" outlineLevel="0" collapsed="false">
      <c r="A1837" s="61"/>
      <c r="B1837" s="62"/>
      <c r="C1837" s="63"/>
      <c r="D1837" s="63"/>
      <c r="E1837" s="62"/>
      <c r="F1837" s="62"/>
      <c r="G1837" s="62"/>
      <c r="I1837" s="64" t="str">
        <f aca="false">IF($B1837="","",IF(ISNUMBER(MATCH($B1837,日別データ!$B$9:$B$28,0)),"✔ OK","⚠ 未登録"))</f>
        <v/>
      </c>
    </row>
    <row r="1838" customFormat="false" ht="15" hidden="false" customHeight="false" outlineLevel="0" collapsed="false">
      <c r="A1838" s="61"/>
      <c r="B1838" s="62"/>
      <c r="C1838" s="63"/>
      <c r="D1838" s="63"/>
      <c r="E1838" s="62"/>
      <c r="F1838" s="62"/>
      <c r="G1838" s="62"/>
      <c r="I1838" s="64" t="str">
        <f aca="false">IF($B1838="","",IF(ISNUMBER(MATCH($B1838,日別データ!$B$9:$B$28,0)),"✔ OK","⚠ 未登録"))</f>
        <v/>
      </c>
    </row>
    <row r="1839" customFormat="false" ht="15" hidden="false" customHeight="false" outlineLevel="0" collapsed="false">
      <c r="A1839" s="61"/>
      <c r="B1839" s="62"/>
      <c r="C1839" s="63"/>
      <c r="D1839" s="63"/>
      <c r="E1839" s="62"/>
      <c r="F1839" s="62"/>
      <c r="G1839" s="62"/>
      <c r="I1839" s="64" t="str">
        <f aca="false">IF($B1839="","",IF(ISNUMBER(MATCH($B1839,日別データ!$B$9:$B$28,0)),"✔ OK","⚠ 未登録"))</f>
        <v/>
      </c>
    </row>
    <row r="1840" customFormat="false" ht="15" hidden="false" customHeight="false" outlineLevel="0" collapsed="false">
      <c r="A1840" s="61"/>
      <c r="B1840" s="62"/>
      <c r="C1840" s="63"/>
      <c r="D1840" s="63"/>
      <c r="E1840" s="62"/>
      <c r="F1840" s="62"/>
      <c r="G1840" s="62"/>
      <c r="I1840" s="64" t="str">
        <f aca="false">IF($B1840="","",IF(ISNUMBER(MATCH($B1840,日別データ!$B$9:$B$28,0)),"✔ OK","⚠ 未登録"))</f>
        <v/>
      </c>
    </row>
    <row r="1841" customFormat="false" ht="15" hidden="false" customHeight="false" outlineLevel="0" collapsed="false">
      <c r="A1841" s="61"/>
      <c r="B1841" s="62"/>
      <c r="C1841" s="63"/>
      <c r="D1841" s="63"/>
      <c r="E1841" s="62"/>
      <c r="F1841" s="62"/>
      <c r="G1841" s="62"/>
      <c r="I1841" s="64" t="str">
        <f aca="false">IF($B1841="","",IF(ISNUMBER(MATCH($B1841,日別データ!$B$9:$B$28,0)),"✔ OK","⚠ 未登録"))</f>
        <v/>
      </c>
    </row>
    <row r="1842" customFormat="false" ht="15" hidden="false" customHeight="false" outlineLevel="0" collapsed="false">
      <c r="A1842" s="61"/>
      <c r="B1842" s="62"/>
      <c r="C1842" s="63"/>
      <c r="D1842" s="63"/>
      <c r="E1842" s="62"/>
      <c r="F1842" s="62"/>
      <c r="G1842" s="62"/>
      <c r="I1842" s="64" t="str">
        <f aca="false">IF($B1842="","",IF(ISNUMBER(MATCH($B1842,日別データ!$B$9:$B$28,0)),"✔ OK","⚠ 未登録"))</f>
        <v/>
      </c>
    </row>
    <row r="1843" customFormat="false" ht="15" hidden="false" customHeight="false" outlineLevel="0" collapsed="false">
      <c r="A1843" s="61"/>
      <c r="B1843" s="62"/>
      <c r="C1843" s="63"/>
      <c r="D1843" s="63"/>
      <c r="E1843" s="62"/>
      <c r="F1843" s="62"/>
      <c r="G1843" s="62"/>
      <c r="I1843" s="64" t="str">
        <f aca="false">IF($B1843="","",IF(ISNUMBER(MATCH($B1843,日別データ!$B$9:$B$28,0)),"✔ OK","⚠ 未登録"))</f>
        <v/>
      </c>
    </row>
    <row r="1844" customFormat="false" ht="15" hidden="false" customHeight="false" outlineLevel="0" collapsed="false">
      <c r="A1844" s="61"/>
      <c r="B1844" s="62"/>
      <c r="C1844" s="63"/>
      <c r="D1844" s="63"/>
      <c r="E1844" s="62"/>
      <c r="F1844" s="62"/>
      <c r="G1844" s="62"/>
      <c r="I1844" s="64" t="str">
        <f aca="false">IF($B1844="","",IF(ISNUMBER(MATCH($B1844,日別データ!$B$9:$B$28,0)),"✔ OK","⚠ 未登録"))</f>
        <v/>
      </c>
    </row>
    <row r="1845" customFormat="false" ht="15" hidden="false" customHeight="false" outlineLevel="0" collapsed="false">
      <c r="A1845" s="61"/>
      <c r="B1845" s="62"/>
      <c r="C1845" s="63"/>
      <c r="D1845" s="63"/>
      <c r="E1845" s="62"/>
      <c r="F1845" s="62"/>
      <c r="G1845" s="62"/>
      <c r="I1845" s="64" t="str">
        <f aca="false">IF($B1845="","",IF(ISNUMBER(MATCH($B1845,日別データ!$B$9:$B$28,0)),"✔ OK","⚠ 未登録"))</f>
        <v/>
      </c>
    </row>
    <row r="1846" customFormat="false" ht="15" hidden="false" customHeight="false" outlineLevel="0" collapsed="false">
      <c r="A1846" s="61"/>
      <c r="B1846" s="62"/>
      <c r="C1846" s="63"/>
      <c r="D1846" s="63"/>
      <c r="E1846" s="62"/>
      <c r="F1846" s="62"/>
      <c r="G1846" s="62"/>
      <c r="I1846" s="64" t="str">
        <f aca="false">IF($B1846="","",IF(ISNUMBER(MATCH($B1846,日別データ!$B$9:$B$28,0)),"✔ OK","⚠ 未登録"))</f>
        <v/>
      </c>
    </row>
    <row r="1847" customFormat="false" ht="15" hidden="false" customHeight="false" outlineLevel="0" collapsed="false">
      <c r="A1847" s="61"/>
      <c r="B1847" s="62"/>
      <c r="C1847" s="63"/>
      <c r="D1847" s="63"/>
      <c r="E1847" s="62"/>
      <c r="F1847" s="62"/>
      <c r="G1847" s="62"/>
      <c r="I1847" s="64" t="str">
        <f aca="false">IF($B1847="","",IF(ISNUMBER(MATCH($B1847,日別データ!$B$9:$B$28,0)),"✔ OK","⚠ 未登録"))</f>
        <v/>
      </c>
    </row>
    <row r="1848" customFormat="false" ht="15" hidden="false" customHeight="false" outlineLevel="0" collapsed="false">
      <c r="A1848" s="61"/>
      <c r="B1848" s="62"/>
      <c r="C1848" s="63"/>
      <c r="D1848" s="63"/>
      <c r="E1848" s="62"/>
      <c r="F1848" s="62"/>
      <c r="G1848" s="62"/>
      <c r="I1848" s="64" t="str">
        <f aca="false">IF($B1848="","",IF(ISNUMBER(MATCH($B1848,日別データ!$B$9:$B$28,0)),"✔ OK","⚠ 未登録"))</f>
        <v/>
      </c>
    </row>
    <row r="1849" customFormat="false" ht="15" hidden="false" customHeight="false" outlineLevel="0" collapsed="false">
      <c r="A1849" s="61"/>
      <c r="B1849" s="62"/>
      <c r="C1849" s="63"/>
      <c r="D1849" s="63"/>
      <c r="E1849" s="62"/>
      <c r="F1849" s="62"/>
      <c r="G1849" s="62"/>
      <c r="I1849" s="64" t="str">
        <f aca="false">IF($B1849="","",IF(ISNUMBER(MATCH($B1849,日別データ!$B$9:$B$28,0)),"✔ OK","⚠ 未登録"))</f>
        <v/>
      </c>
    </row>
    <row r="1850" customFormat="false" ht="15" hidden="false" customHeight="false" outlineLevel="0" collapsed="false">
      <c r="A1850" s="61"/>
      <c r="B1850" s="62"/>
      <c r="C1850" s="63"/>
      <c r="D1850" s="63"/>
      <c r="E1850" s="62"/>
      <c r="F1850" s="62"/>
      <c r="G1850" s="62"/>
      <c r="I1850" s="64" t="str">
        <f aca="false">IF($B1850="","",IF(ISNUMBER(MATCH($B1850,日別データ!$B$9:$B$28,0)),"✔ OK","⚠ 未登録"))</f>
        <v/>
      </c>
    </row>
    <row r="1851" customFormat="false" ht="15" hidden="false" customHeight="false" outlineLevel="0" collapsed="false">
      <c r="A1851" s="61"/>
      <c r="B1851" s="62"/>
      <c r="C1851" s="63"/>
      <c r="D1851" s="63"/>
      <c r="E1851" s="62"/>
      <c r="F1851" s="62"/>
      <c r="G1851" s="62"/>
      <c r="I1851" s="64" t="str">
        <f aca="false">IF($B1851="","",IF(ISNUMBER(MATCH($B1851,日別データ!$B$9:$B$28,0)),"✔ OK","⚠ 未登録"))</f>
        <v/>
      </c>
    </row>
    <row r="1852" customFormat="false" ht="15" hidden="false" customHeight="false" outlineLevel="0" collapsed="false">
      <c r="A1852" s="61"/>
      <c r="B1852" s="62"/>
      <c r="C1852" s="63"/>
      <c r="D1852" s="63"/>
      <c r="E1852" s="62"/>
      <c r="F1852" s="62"/>
      <c r="G1852" s="62"/>
      <c r="I1852" s="64" t="str">
        <f aca="false">IF($B1852="","",IF(ISNUMBER(MATCH($B1852,日別データ!$B$9:$B$28,0)),"✔ OK","⚠ 未登録"))</f>
        <v/>
      </c>
    </row>
    <row r="1853" customFormat="false" ht="15" hidden="false" customHeight="false" outlineLevel="0" collapsed="false">
      <c r="A1853" s="61"/>
      <c r="B1853" s="62"/>
      <c r="C1853" s="63"/>
      <c r="D1853" s="63"/>
      <c r="E1853" s="62"/>
      <c r="F1853" s="62"/>
      <c r="G1853" s="62"/>
      <c r="I1853" s="64" t="str">
        <f aca="false">IF($B1853="","",IF(ISNUMBER(MATCH($B1853,日別データ!$B$9:$B$28,0)),"✔ OK","⚠ 未登録"))</f>
        <v/>
      </c>
    </row>
    <row r="1854" customFormat="false" ht="15" hidden="false" customHeight="false" outlineLevel="0" collapsed="false">
      <c r="A1854" s="61"/>
      <c r="B1854" s="62"/>
      <c r="C1854" s="63"/>
      <c r="D1854" s="63"/>
      <c r="E1854" s="62"/>
      <c r="F1854" s="62"/>
      <c r="G1854" s="62"/>
      <c r="I1854" s="64" t="str">
        <f aca="false">IF($B1854="","",IF(ISNUMBER(MATCH($B1854,日別データ!$B$9:$B$28,0)),"✔ OK","⚠ 未登録"))</f>
        <v/>
      </c>
    </row>
    <row r="1855" customFormat="false" ht="15" hidden="false" customHeight="false" outlineLevel="0" collapsed="false">
      <c r="A1855" s="61"/>
      <c r="B1855" s="62"/>
      <c r="C1855" s="63"/>
      <c r="D1855" s="63"/>
      <c r="E1855" s="62"/>
      <c r="F1855" s="62"/>
      <c r="G1855" s="62"/>
      <c r="I1855" s="64" t="str">
        <f aca="false">IF($B1855="","",IF(ISNUMBER(MATCH($B1855,日別データ!$B$9:$B$28,0)),"✔ OK","⚠ 未登録"))</f>
        <v/>
      </c>
    </row>
    <row r="1856" customFormat="false" ht="15" hidden="false" customHeight="false" outlineLevel="0" collapsed="false">
      <c r="A1856" s="61"/>
      <c r="B1856" s="62"/>
      <c r="C1856" s="63"/>
      <c r="D1856" s="63"/>
      <c r="E1856" s="62"/>
      <c r="F1856" s="62"/>
      <c r="G1856" s="62"/>
      <c r="I1856" s="64" t="str">
        <f aca="false">IF($B1856="","",IF(ISNUMBER(MATCH($B1856,日別データ!$B$9:$B$28,0)),"✔ OK","⚠ 未登録"))</f>
        <v/>
      </c>
    </row>
    <row r="1857" customFormat="false" ht="15" hidden="false" customHeight="false" outlineLevel="0" collapsed="false">
      <c r="A1857" s="61"/>
      <c r="B1857" s="62"/>
      <c r="C1857" s="63"/>
      <c r="D1857" s="63"/>
      <c r="E1857" s="62"/>
      <c r="F1857" s="62"/>
      <c r="G1857" s="62"/>
      <c r="I1857" s="64" t="str">
        <f aca="false">IF($B1857="","",IF(ISNUMBER(MATCH($B1857,日別データ!$B$9:$B$28,0)),"✔ OK","⚠ 未登録"))</f>
        <v/>
      </c>
    </row>
    <row r="1858" customFormat="false" ht="15" hidden="false" customHeight="false" outlineLevel="0" collapsed="false">
      <c r="A1858" s="61"/>
      <c r="B1858" s="62"/>
      <c r="C1858" s="63"/>
      <c r="D1858" s="63"/>
      <c r="E1858" s="62"/>
      <c r="F1858" s="62"/>
      <c r="G1858" s="62"/>
      <c r="I1858" s="64" t="str">
        <f aca="false">IF($B1858="","",IF(ISNUMBER(MATCH($B1858,日別データ!$B$9:$B$28,0)),"✔ OK","⚠ 未登録"))</f>
        <v/>
      </c>
    </row>
    <row r="1859" customFormat="false" ht="15" hidden="false" customHeight="false" outlineLevel="0" collapsed="false">
      <c r="A1859" s="61"/>
      <c r="B1859" s="62"/>
      <c r="C1859" s="63"/>
      <c r="D1859" s="63"/>
      <c r="E1859" s="62"/>
      <c r="F1859" s="62"/>
      <c r="G1859" s="62"/>
      <c r="I1859" s="64" t="str">
        <f aca="false">IF($B1859="","",IF(ISNUMBER(MATCH($B1859,日別データ!$B$9:$B$28,0)),"✔ OK","⚠ 未登録"))</f>
        <v/>
      </c>
    </row>
    <row r="1860" customFormat="false" ht="15" hidden="false" customHeight="false" outlineLevel="0" collapsed="false">
      <c r="A1860" s="61"/>
      <c r="B1860" s="62"/>
      <c r="C1860" s="63"/>
      <c r="D1860" s="63"/>
      <c r="E1860" s="62"/>
      <c r="F1860" s="62"/>
      <c r="G1860" s="62"/>
      <c r="I1860" s="64" t="str">
        <f aca="false">IF($B1860="","",IF(ISNUMBER(MATCH($B1860,日別データ!$B$9:$B$28,0)),"✔ OK","⚠ 未登録"))</f>
        <v/>
      </c>
    </row>
    <row r="1861" customFormat="false" ht="15" hidden="false" customHeight="false" outlineLevel="0" collapsed="false">
      <c r="A1861" s="61"/>
      <c r="B1861" s="62"/>
      <c r="C1861" s="63"/>
      <c r="D1861" s="63"/>
      <c r="E1861" s="62"/>
      <c r="F1861" s="62"/>
      <c r="G1861" s="62"/>
      <c r="I1861" s="64" t="str">
        <f aca="false">IF($B1861="","",IF(ISNUMBER(MATCH($B1861,日別データ!$B$9:$B$28,0)),"✔ OK","⚠ 未登録"))</f>
        <v/>
      </c>
    </row>
    <row r="1862" customFormat="false" ht="15" hidden="false" customHeight="false" outlineLevel="0" collapsed="false">
      <c r="A1862" s="61"/>
      <c r="B1862" s="62"/>
      <c r="C1862" s="63"/>
      <c r="D1862" s="63"/>
      <c r="E1862" s="62"/>
      <c r="F1862" s="62"/>
      <c r="G1862" s="62"/>
      <c r="I1862" s="64" t="str">
        <f aca="false">IF($B1862="","",IF(ISNUMBER(MATCH($B1862,日別データ!$B$9:$B$28,0)),"✔ OK","⚠ 未登録"))</f>
        <v/>
      </c>
    </row>
    <row r="1863" customFormat="false" ht="15" hidden="false" customHeight="false" outlineLevel="0" collapsed="false">
      <c r="A1863" s="61"/>
      <c r="B1863" s="62"/>
      <c r="C1863" s="63"/>
      <c r="D1863" s="63"/>
      <c r="E1863" s="62"/>
      <c r="F1863" s="62"/>
      <c r="G1863" s="62"/>
      <c r="I1863" s="64" t="str">
        <f aca="false">IF($B1863="","",IF(ISNUMBER(MATCH($B1863,日別データ!$B$9:$B$28,0)),"✔ OK","⚠ 未登録"))</f>
        <v/>
      </c>
    </row>
    <row r="1864" customFormat="false" ht="15" hidden="false" customHeight="false" outlineLevel="0" collapsed="false">
      <c r="A1864" s="61"/>
      <c r="B1864" s="62"/>
      <c r="C1864" s="63"/>
      <c r="D1864" s="63"/>
      <c r="E1864" s="62"/>
      <c r="F1864" s="62"/>
      <c r="G1864" s="62"/>
      <c r="I1864" s="64" t="str">
        <f aca="false">IF($B1864="","",IF(ISNUMBER(MATCH($B1864,日別データ!$B$9:$B$28,0)),"✔ OK","⚠ 未登録"))</f>
        <v/>
      </c>
    </row>
    <row r="1865" customFormat="false" ht="15" hidden="false" customHeight="false" outlineLevel="0" collapsed="false">
      <c r="A1865" s="61"/>
      <c r="B1865" s="62"/>
      <c r="C1865" s="63"/>
      <c r="D1865" s="63"/>
      <c r="E1865" s="62"/>
      <c r="F1865" s="62"/>
      <c r="G1865" s="62"/>
      <c r="I1865" s="64" t="str">
        <f aca="false">IF($B1865="","",IF(ISNUMBER(MATCH($B1865,日別データ!$B$9:$B$28,0)),"✔ OK","⚠ 未登録"))</f>
        <v/>
      </c>
    </row>
    <row r="1866" customFormat="false" ht="15" hidden="false" customHeight="false" outlineLevel="0" collapsed="false">
      <c r="A1866" s="61"/>
      <c r="B1866" s="62"/>
      <c r="C1866" s="63"/>
      <c r="D1866" s="63"/>
      <c r="E1866" s="62"/>
      <c r="F1866" s="62"/>
      <c r="G1866" s="62"/>
      <c r="I1866" s="64" t="str">
        <f aca="false">IF($B1866="","",IF(ISNUMBER(MATCH($B1866,日別データ!$B$9:$B$28,0)),"✔ OK","⚠ 未登録"))</f>
        <v/>
      </c>
    </row>
    <row r="1867" customFormat="false" ht="15" hidden="false" customHeight="false" outlineLevel="0" collapsed="false">
      <c r="A1867" s="61"/>
      <c r="B1867" s="62"/>
      <c r="C1867" s="63"/>
      <c r="D1867" s="63"/>
      <c r="E1867" s="62"/>
      <c r="F1867" s="62"/>
      <c r="G1867" s="62"/>
      <c r="I1867" s="64" t="str">
        <f aca="false">IF($B1867="","",IF(ISNUMBER(MATCH($B1867,日別データ!$B$9:$B$28,0)),"✔ OK","⚠ 未登録"))</f>
        <v/>
      </c>
    </row>
    <row r="1868" customFormat="false" ht="15" hidden="false" customHeight="false" outlineLevel="0" collapsed="false">
      <c r="A1868" s="61"/>
      <c r="B1868" s="62"/>
      <c r="C1868" s="63"/>
      <c r="D1868" s="63"/>
      <c r="E1868" s="62"/>
      <c r="F1868" s="62"/>
      <c r="G1868" s="62"/>
      <c r="I1868" s="64" t="str">
        <f aca="false">IF($B1868="","",IF(ISNUMBER(MATCH($B1868,日別データ!$B$9:$B$28,0)),"✔ OK","⚠ 未登録"))</f>
        <v/>
      </c>
    </row>
    <row r="1869" customFormat="false" ht="15" hidden="false" customHeight="false" outlineLevel="0" collapsed="false">
      <c r="A1869" s="61"/>
      <c r="B1869" s="62"/>
      <c r="C1869" s="63"/>
      <c r="D1869" s="63"/>
      <c r="E1869" s="62"/>
      <c r="F1869" s="62"/>
      <c r="G1869" s="62"/>
      <c r="I1869" s="64" t="str">
        <f aca="false">IF($B1869="","",IF(ISNUMBER(MATCH($B1869,日別データ!$B$9:$B$28,0)),"✔ OK","⚠ 未登録"))</f>
        <v/>
      </c>
    </row>
    <row r="1870" customFormat="false" ht="15" hidden="false" customHeight="false" outlineLevel="0" collapsed="false">
      <c r="A1870" s="61"/>
      <c r="B1870" s="62"/>
      <c r="C1870" s="63"/>
      <c r="D1870" s="63"/>
      <c r="E1870" s="62"/>
      <c r="F1870" s="62"/>
      <c r="G1870" s="62"/>
      <c r="I1870" s="64" t="str">
        <f aca="false">IF($B1870="","",IF(ISNUMBER(MATCH($B1870,日別データ!$B$9:$B$28,0)),"✔ OK","⚠ 未登録"))</f>
        <v/>
      </c>
    </row>
    <row r="1871" customFormat="false" ht="15" hidden="false" customHeight="false" outlineLevel="0" collapsed="false">
      <c r="A1871" s="61"/>
      <c r="B1871" s="62"/>
      <c r="C1871" s="63"/>
      <c r="D1871" s="63"/>
      <c r="E1871" s="62"/>
      <c r="F1871" s="62"/>
      <c r="G1871" s="62"/>
      <c r="I1871" s="64" t="str">
        <f aca="false">IF($B1871="","",IF(ISNUMBER(MATCH($B1871,日別データ!$B$9:$B$28,0)),"✔ OK","⚠ 未登録"))</f>
        <v/>
      </c>
    </row>
    <row r="1872" customFormat="false" ht="15" hidden="false" customHeight="false" outlineLevel="0" collapsed="false">
      <c r="A1872" s="61"/>
      <c r="B1872" s="62"/>
      <c r="C1872" s="63"/>
      <c r="D1872" s="63"/>
      <c r="E1872" s="62"/>
      <c r="F1872" s="62"/>
      <c r="G1872" s="62"/>
      <c r="I1872" s="64" t="str">
        <f aca="false">IF($B1872="","",IF(ISNUMBER(MATCH($B1872,日別データ!$B$9:$B$28,0)),"✔ OK","⚠ 未登録"))</f>
        <v/>
      </c>
    </row>
    <row r="1873" customFormat="false" ht="15" hidden="false" customHeight="false" outlineLevel="0" collapsed="false">
      <c r="A1873" s="61"/>
      <c r="B1873" s="62"/>
      <c r="C1873" s="63"/>
      <c r="D1873" s="63"/>
      <c r="E1873" s="62"/>
      <c r="F1873" s="62"/>
      <c r="G1873" s="62"/>
      <c r="I1873" s="64" t="str">
        <f aca="false">IF($B1873="","",IF(ISNUMBER(MATCH($B1873,日別データ!$B$9:$B$28,0)),"✔ OK","⚠ 未登録"))</f>
        <v/>
      </c>
    </row>
    <row r="1874" customFormat="false" ht="15" hidden="false" customHeight="false" outlineLevel="0" collapsed="false">
      <c r="A1874" s="61"/>
      <c r="B1874" s="62"/>
      <c r="C1874" s="63"/>
      <c r="D1874" s="63"/>
      <c r="E1874" s="62"/>
      <c r="F1874" s="62"/>
      <c r="G1874" s="62"/>
      <c r="I1874" s="64" t="str">
        <f aca="false">IF($B1874="","",IF(ISNUMBER(MATCH($B1874,日別データ!$B$9:$B$28,0)),"✔ OK","⚠ 未登録"))</f>
        <v/>
      </c>
    </row>
    <row r="1875" customFormat="false" ht="15" hidden="false" customHeight="false" outlineLevel="0" collapsed="false">
      <c r="A1875" s="61"/>
      <c r="B1875" s="62"/>
      <c r="C1875" s="63"/>
      <c r="D1875" s="63"/>
      <c r="E1875" s="62"/>
      <c r="F1875" s="62"/>
      <c r="G1875" s="62"/>
      <c r="I1875" s="64" t="str">
        <f aca="false">IF($B1875="","",IF(ISNUMBER(MATCH($B1875,日別データ!$B$9:$B$28,0)),"✔ OK","⚠ 未登録"))</f>
        <v/>
      </c>
    </row>
    <row r="1876" customFormat="false" ht="15" hidden="false" customHeight="false" outlineLevel="0" collapsed="false">
      <c r="A1876" s="61"/>
      <c r="B1876" s="62"/>
      <c r="C1876" s="63"/>
      <c r="D1876" s="63"/>
      <c r="E1876" s="62"/>
      <c r="F1876" s="62"/>
      <c r="G1876" s="62"/>
      <c r="I1876" s="64" t="str">
        <f aca="false">IF($B1876="","",IF(ISNUMBER(MATCH($B1876,日別データ!$B$9:$B$28,0)),"✔ OK","⚠ 未登録"))</f>
        <v/>
      </c>
    </row>
    <row r="1877" customFormat="false" ht="15" hidden="false" customHeight="false" outlineLevel="0" collapsed="false">
      <c r="A1877" s="61"/>
      <c r="B1877" s="62"/>
      <c r="C1877" s="63"/>
      <c r="D1877" s="63"/>
      <c r="E1877" s="62"/>
      <c r="F1877" s="62"/>
      <c r="G1877" s="62"/>
      <c r="I1877" s="64" t="str">
        <f aca="false">IF($B1877="","",IF(ISNUMBER(MATCH($B1877,日別データ!$B$9:$B$28,0)),"✔ OK","⚠ 未登録"))</f>
        <v/>
      </c>
    </row>
    <row r="1878" customFormat="false" ht="15" hidden="false" customHeight="false" outlineLevel="0" collapsed="false">
      <c r="A1878" s="61"/>
      <c r="B1878" s="62"/>
      <c r="C1878" s="63"/>
      <c r="D1878" s="63"/>
      <c r="E1878" s="62"/>
      <c r="F1878" s="62"/>
      <c r="G1878" s="62"/>
      <c r="I1878" s="64" t="str">
        <f aca="false">IF($B1878="","",IF(ISNUMBER(MATCH($B1878,日別データ!$B$9:$B$28,0)),"✔ OK","⚠ 未登録"))</f>
        <v/>
      </c>
    </row>
    <row r="1879" customFormat="false" ht="15" hidden="false" customHeight="false" outlineLevel="0" collapsed="false">
      <c r="A1879" s="61"/>
      <c r="B1879" s="62"/>
      <c r="C1879" s="63"/>
      <c r="D1879" s="63"/>
      <c r="E1879" s="62"/>
      <c r="F1879" s="62"/>
      <c r="G1879" s="62"/>
      <c r="I1879" s="64" t="str">
        <f aca="false">IF($B1879="","",IF(ISNUMBER(MATCH($B1879,日別データ!$B$9:$B$28,0)),"✔ OK","⚠ 未登録"))</f>
        <v/>
      </c>
    </row>
    <row r="1880" customFormat="false" ht="15" hidden="false" customHeight="false" outlineLevel="0" collapsed="false">
      <c r="A1880" s="61"/>
      <c r="B1880" s="62"/>
      <c r="C1880" s="63"/>
      <c r="D1880" s="63"/>
      <c r="E1880" s="62"/>
      <c r="F1880" s="62"/>
      <c r="G1880" s="62"/>
      <c r="I1880" s="64" t="str">
        <f aca="false">IF($B1880="","",IF(ISNUMBER(MATCH($B1880,日別データ!$B$9:$B$28,0)),"✔ OK","⚠ 未登録"))</f>
        <v/>
      </c>
    </row>
    <row r="1881" customFormat="false" ht="15" hidden="false" customHeight="false" outlineLevel="0" collapsed="false">
      <c r="A1881" s="61"/>
      <c r="B1881" s="62"/>
      <c r="C1881" s="63"/>
      <c r="D1881" s="63"/>
      <c r="E1881" s="62"/>
      <c r="F1881" s="62"/>
      <c r="G1881" s="62"/>
      <c r="I1881" s="64" t="str">
        <f aca="false">IF($B1881="","",IF(ISNUMBER(MATCH($B1881,日別データ!$B$9:$B$28,0)),"✔ OK","⚠ 未登録"))</f>
        <v/>
      </c>
    </row>
    <row r="1882" customFormat="false" ht="15" hidden="false" customHeight="false" outlineLevel="0" collapsed="false">
      <c r="A1882" s="61"/>
      <c r="B1882" s="62"/>
      <c r="C1882" s="63"/>
      <c r="D1882" s="63"/>
      <c r="E1882" s="62"/>
      <c r="F1882" s="62"/>
      <c r="G1882" s="62"/>
      <c r="I1882" s="64" t="str">
        <f aca="false">IF($B1882="","",IF(ISNUMBER(MATCH($B1882,日別データ!$B$9:$B$28,0)),"✔ OK","⚠ 未登録"))</f>
        <v/>
      </c>
    </row>
    <row r="1883" customFormat="false" ht="15" hidden="false" customHeight="false" outlineLevel="0" collapsed="false">
      <c r="A1883" s="61"/>
      <c r="B1883" s="62"/>
      <c r="C1883" s="63"/>
      <c r="D1883" s="63"/>
      <c r="E1883" s="62"/>
      <c r="F1883" s="62"/>
      <c r="G1883" s="62"/>
      <c r="I1883" s="64" t="str">
        <f aca="false">IF($B1883="","",IF(ISNUMBER(MATCH($B1883,日別データ!$B$9:$B$28,0)),"✔ OK","⚠ 未登録"))</f>
        <v/>
      </c>
    </row>
    <row r="1884" customFormat="false" ht="15" hidden="false" customHeight="false" outlineLevel="0" collapsed="false">
      <c r="A1884" s="61"/>
      <c r="B1884" s="62"/>
      <c r="C1884" s="63"/>
      <c r="D1884" s="63"/>
      <c r="E1884" s="62"/>
      <c r="F1884" s="62"/>
      <c r="G1884" s="62"/>
      <c r="I1884" s="64" t="str">
        <f aca="false">IF($B1884="","",IF(ISNUMBER(MATCH($B1884,日別データ!$B$9:$B$28,0)),"✔ OK","⚠ 未登録"))</f>
        <v/>
      </c>
    </row>
    <row r="1885" customFormat="false" ht="15" hidden="false" customHeight="false" outlineLevel="0" collapsed="false">
      <c r="A1885" s="61"/>
      <c r="B1885" s="62"/>
      <c r="C1885" s="63"/>
      <c r="D1885" s="63"/>
      <c r="E1885" s="62"/>
      <c r="F1885" s="62"/>
      <c r="G1885" s="62"/>
      <c r="I1885" s="64" t="str">
        <f aca="false">IF($B1885="","",IF(ISNUMBER(MATCH($B1885,日別データ!$B$9:$B$28,0)),"✔ OK","⚠ 未登録"))</f>
        <v/>
      </c>
    </row>
    <row r="1886" customFormat="false" ht="15" hidden="false" customHeight="false" outlineLevel="0" collapsed="false">
      <c r="A1886" s="61"/>
      <c r="B1886" s="62"/>
      <c r="C1886" s="63"/>
      <c r="D1886" s="63"/>
      <c r="E1886" s="62"/>
      <c r="F1886" s="62"/>
      <c r="G1886" s="62"/>
      <c r="I1886" s="64" t="str">
        <f aca="false">IF($B1886="","",IF(ISNUMBER(MATCH($B1886,日別データ!$B$9:$B$28,0)),"✔ OK","⚠ 未登録"))</f>
        <v/>
      </c>
    </row>
    <row r="1887" customFormat="false" ht="15" hidden="false" customHeight="false" outlineLevel="0" collapsed="false">
      <c r="A1887" s="61"/>
      <c r="B1887" s="62"/>
      <c r="C1887" s="63"/>
      <c r="D1887" s="63"/>
      <c r="E1887" s="62"/>
      <c r="F1887" s="62"/>
      <c r="G1887" s="62"/>
      <c r="I1887" s="64" t="str">
        <f aca="false">IF($B1887="","",IF(ISNUMBER(MATCH($B1887,日別データ!$B$9:$B$28,0)),"✔ OK","⚠ 未登録"))</f>
        <v/>
      </c>
    </row>
    <row r="1888" customFormat="false" ht="15" hidden="false" customHeight="false" outlineLevel="0" collapsed="false">
      <c r="A1888" s="61"/>
      <c r="B1888" s="62"/>
      <c r="C1888" s="63"/>
      <c r="D1888" s="63"/>
      <c r="E1888" s="62"/>
      <c r="F1888" s="62"/>
      <c r="G1888" s="62"/>
      <c r="I1888" s="64" t="str">
        <f aca="false">IF($B1888="","",IF(ISNUMBER(MATCH($B1888,日別データ!$B$9:$B$28,0)),"✔ OK","⚠ 未登録"))</f>
        <v/>
      </c>
    </row>
    <row r="1889" customFormat="false" ht="15" hidden="false" customHeight="false" outlineLevel="0" collapsed="false">
      <c r="A1889" s="61"/>
      <c r="B1889" s="62"/>
      <c r="C1889" s="63"/>
      <c r="D1889" s="63"/>
      <c r="E1889" s="62"/>
      <c r="F1889" s="62"/>
      <c r="G1889" s="62"/>
      <c r="I1889" s="64" t="str">
        <f aca="false">IF($B1889="","",IF(ISNUMBER(MATCH($B1889,日別データ!$B$9:$B$28,0)),"✔ OK","⚠ 未登録"))</f>
        <v/>
      </c>
    </row>
    <row r="1890" customFormat="false" ht="15" hidden="false" customHeight="false" outlineLevel="0" collapsed="false">
      <c r="A1890" s="61"/>
      <c r="B1890" s="62"/>
      <c r="C1890" s="63"/>
      <c r="D1890" s="63"/>
      <c r="E1890" s="62"/>
      <c r="F1890" s="62"/>
      <c r="G1890" s="62"/>
      <c r="I1890" s="64" t="str">
        <f aca="false">IF($B1890="","",IF(ISNUMBER(MATCH($B1890,日別データ!$B$9:$B$28,0)),"✔ OK","⚠ 未登録"))</f>
        <v/>
      </c>
    </row>
    <row r="1891" customFormat="false" ht="15" hidden="false" customHeight="false" outlineLevel="0" collapsed="false">
      <c r="A1891" s="61"/>
      <c r="B1891" s="62"/>
      <c r="C1891" s="63"/>
      <c r="D1891" s="63"/>
      <c r="E1891" s="62"/>
      <c r="F1891" s="62"/>
      <c r="G1891" s="62"/>
      <c r="I1891" s="64" t="str">
        <f aca="false">IF($B1891="","",IF(ISNUMBER(MATCH($B1891,日別データ!$B$9:$B$28,0)),"✔ OK","⚠ 未登録"))</f>
        <v/>
      </c>
    </row>
    <row r="1892" customFormat="false" ht="15" hidden="false" customHeight="false" outlineLevel="0" collapsed="false">
      <c r="A1892" s="61"/>
      <c r="B1892" s="62"/>
      <c r="C1892" s="63"/>
      <c r="D1892" s="63"/>
      <c r="E1892" s="62"/>
      <c r="F1892" s="62"/>
      <c r="G1892" s="62"/>
      <c r="I1892" s="64" t="str">
        <f aca="false">IF($B1892="","",IF(ISNUMBER(MATCH($B1892,日別データ!$B$9:$B$28,0)),"✔ OK","⚠ 未登録"))</f>
        <v/>
      </c>
    </row>
    <row r="1893" customFormat="false" ht="15" hidden="false" customHeight="false" outlineLevel="0" collapsed="false">
      <c r="A1893" s="61"/>
      <c r="B1893" s="62"/>
      <c r="C1893" s="63"/>
      <c r="D1893" s="63"/>
      <c r="E1893" s="62"/>
      <c r="F1893" s="62"/>
      <c r="G1893" s="62"/>
      <c r="I1893" s="64" t="str">
        <f aca="false">IF($B1893="","",IF(ISNUMBER(MATCH($B1893,日別データ!$B$9:$B$28,0)),"✔ OK","⚠ 未登録"))</f>
        <v/>
      </c>
    </row>
    <row r="1894" customFormat="false" ht="15" hidden="false" customHeight="false" outlineLevel="0" collapsed="false">
      <c r="A1894" s="61"/>
      <c r="B1894" s="62"/>
      <c r="C1894" s="63"/>
      <c r="D1894" s="63"/>
      <c r="E1894" s="62"/>
      <c r="F1894" s="62"/>
      <c r="G1894" s="62"/>
      <c r="I1894" s="64" t="str">
        <f aca="false">IF($B1894="","",IF(ISNUMBER(MATCH($B1894,日別データ!$B$9:$B$28,0)),"✔ OK","⚠ 未登録"))</f>
        <v/>
      </c>
    </row>
    <row r="1895" customFormat="false" ht="15" hidden="false" customHeight="false" outlineLevel="0" collapsed="false">
      <c r="A1895" s="61"/>
      <c r="B1895" s="62"/>
      <c r="C1895" s="63"/>
      <c r="D1895" s="63"/>
      <c r="E1895" s="62"/>
      <c r="F1895" s="62"/>
      <c r="G1895" s="62"/>
      <c r="I1895" s="64" t="str">
        <f aca="false">IF($B1895="","",IF(ISNUMBER(MATCH($B1895,日別データ!$B$9:$B$28,0)),"✔ OK","⚠ 未登録"))</f>
        <v/>
      </c>
    </row>
    <row r="1896" customFormat="false" ht="15" hidden="false" customHeight="false" outlineLevel="0" collapsed="false">
      <c r="A1896" s="61"/>
      <c r="B1896" s="62"/>
      <c r="C1896" s="63"/>
      <c r="D1896" s="63"/>
      <c r="E1896" s="62"/>
      <c r="F1896" s="62"/>
      <c r="G1896" s="62"/>
      <c r="I1896" s="64" t="str">
        <f aca="false">IF($B1896="","",IF(ISNUMBER(MATCH($B1896,日別データ!$B$9:$B$28,0)),"✔ OK","⚠ 未登録"))</f>
        <v/>
      </c>
    </row>
    <row r="1897" customFormat="false" ht="15" hidden="false" customHeight="false" outlineLevel="0" collapsed="false">
      <c r="A1897" s="61"/>
      <c r="B1897" s="62"/>
      <c r="C1897" s="63"/>
      <c r="D1897" s="63"/>
      <c r="E1897" s="62"/>
      <c r="F1897" s="62"/>
      <c r="G1897" s="62"/>
      <c r="I1897" s="64" t="str">
        <f aca="false">IF($B1897="","",IF(ISNUMBER(MATCH($B1897,日別データ!$B$9:$B$28,0)),"✔ OK","⚠ 未登録"))</f>
        <v/>
      </c>
    </row>
    <row r="1898" customFormat="false" ht="15" hidden="false" customHeight="false" outlineLevel="0" collapsed="false">
      <c r="A1898" s="61"/>
      <c r="B1898" s="62"/>
      <c r="C1898" s="63"/>
      <c r="D1898" s="63"/>
      <c r="E1898" s="62"/>
      <c r="F1898" s="62"/>
      <c r="G1898" s="62"/>
      <c r="I1898" s="64" t="str">
        <f aca="false">IF($B1898="","",IF(ISNUMBER(MATCH($B1898,日別データ!$B$9:$B$28,0)),"✔ OK","⚠ 未登録"))</f>
        <v/>
      </c>
    </row>
    <row r="1899" customFormat="false" ht="15" hidden="false" customHeight="false" outlineLevel="0" collapsed="false">
      <c r="A1899" s="61"/>
      <c r="B1899" s="62"/>
      <c r="C1899" s="63"/>
      <c r="D1899" s="63"/>
      <c r="E1899" s="62"/>
      <c r="F1899" s="62"/>
      <c r="G1899" s="62"/>
      <c r="I1899" s="64" t="str">
        <f aca="false">IF($B1899="","",IF(ISNUMBER(MATCH($B1899,日別データ!$B$9:$B$28,0)),"✔ OK","⚠ 未登録"))</f>
        <v/>
      </c>
    </row>
    <row r="1900" customFormat="false" ht="15" hidden="false" customHeight="false" outlineLevel="0" collapsed="false">
      <c r="A1900" s="61"/>
      <c r="B1900" s="62"/>
      <c r="C1900" s="63"/>
      <c r="D1900" s="63"/>
      <c r="E1900" s="62"/>
      <c r="F1900" s="62"/>
      <c r="G1900" s="62"/>
      <c r="I1900" s="64" t="str">
        <f aca="false">IF($B1900="","",IF(ISNUMBER(MATCH($B1900,日別データ!$B$9:$B$28,0)),"✔ OK","⚠ 未登録"))</f>
        <v/>
      </c>
    </row>
    <row r="1901" customFormat="false" ht="15" hidden="false" customHeight="false" outlineLevel="0" collapsed="false">
      <c r="A1901" s="61"/>
      <c r="B1901" s="62"/>
      <c r="C1901" s="63"/>
      <c r="D1901" s="63"/>
      <c r="E1901" s="62"/>
      <c r="F1901" s="62"/>
      <c r="G1901" s="62"/>
      <c r="I1901" s="64" t="str">
        <f aca="false">IF($B1901="","",IF(ISNUMBER(MATCH($B1901,日別データ!$B$9:$B$28,0)),"✔ OK","⚠ 未登録"))</f>
        <v/>
      </c>
    </row>
    <row r="1902" customFormat="false" ht="15" hidden="false" customHeight="false" outlineLevel="0" collapsed="false">
      <c r="A1902" s="61"/>
      <c r="B1902" s="62"/>
      <c r="C1902" s="63"/>
      <c r="D1902" s="63"/>
      <c r="E1902" s="62"/>
      <c r="F1902" s="62"/>
      <c r="G1902" s="62"/>
      <c r="I1902" s="64" t="str">
        <f aca="false">IF($B1902="","",IF(ISNUMBER(MATCH($B1902,日別データ!$B$9:$B$28,0)),"✔ OK","⚠ 未登録"))</f>
        <v/>
      </c>
    </row>
    <row r="1903" customFormat="false" ht="15" hidden="false" customHeight="false" outlineLevel="0" collapsed="false">
      <c r="A1903" s="61"/>
      <c r="B1903" s="62"/>
      <c r="C1903" s="63"/>
      <c r="D1903" s="63"/>
      <c r="E1903" s="62"/>
      <c r="F1903" s="62"/>
      <c r="G1903" s="62"/>
      <c r="I1903" s="64" t="str">
        <f aca="false">IF($B1903="","",IF(ISNUMBER(MATCH($B1903,日別データ!$B$9:$B$28,0)),"✔ OK","⚠ 未登録"))</f>
        <v/>
      </c>
    </row>
    <row r="1904" customFormat="false" ht="15" hidden="false" customHeight="false" outlineLevel="0" collapsed="false">
      <c r="A1904" s="61"/>
      <c r="B1904" s="62"/>
      <c r="C1904" s="63"/>
      <c r="D1904" s="63"/>
      <c r="E1904" s="62"/>
      <c r="F1904" s="62"/>
      <c r="G1904" s="62"/>
      <c r="I1904" s="64" t="str">
        <f aca="false">IF($B1904="","",IF(ISNUMBER(MATCH($B1904,日別データ!$B$9:$B$28,0)),"✔ OK","⚠ 未登録"))</f>
        <v/>
      </c>
    </row>
    <row r="1905" customFormat="false" ht="15" hidden="false" customHeight="false" outlineLevel="0" collapsed="false">
      <c r="A1905" s="61"/>
      <c r="B1905" s="62"/>
      <c r="C1905" s="63"/>
      <c r="D1905" s="63"/>
      <c r="E1905" s="62"/>
      <c r="F1905" s="62"/>
      <c r="G1905" s="62"/>
      <c r="I1905" s="64" t="str">
        <f aca="false">IF($B1905="","",IF(ISNUMBER(MATCH($B1905,日別データ!$B$9:$B$28,0)),"✔ OK","⚠ 未登録"))</f>
        <v/>
      </c>
    </row>
    <row r="1906" customFormat="false" ht="15" hidden="false" customHeight="false" outlineLevel="0" collapsed="false">
      <c r="A1906" s="61"/>
      <c r="B1906" s="62"/>
      <c r="C1906" s="63"/>
      <c r="D1906" s="63"/>
      <c r="E1906" s="62"/>
      <c r="F1906" s="62"/>
      <c r="G1906" s="62"/>
      <c r="I1906" s="64" t="str">
        <f aca="false">IF($B1906="","",IF(ISNUMBER(MATCH($B1906,日別データ!$B$9:$B$28,0)),"✔ OK","⚠ 未登録"))</f>
        <v/>
      </c>
    </row>
    <row r="1907" customFormat="false" ht="15" hidden="false" customHeight="false" outlineLevel="0" collapsed="false">
      <c r="A1907" s="61"/>
      <c r="B1907" s="62"/>
      <c r="C1907" s="63"/>
      <c r="D1907" s="63"/>
      <c r="E1907" s="62"/>
      <c r="F1907" s="62"/>
      <c r="G1907" s="62"/>
      <c r="I1907" s="64" t="str">
        <f aca="false">IF($B1907="","",IF(ISNUMBER(MATCH($B1907,日別データ!$B$9:$B$28,0)),"✔ OK","⚠ 未登録"))</f>
        <v/>
      </c>
    </row>
    <row r="1908" customFormat="false" ht="15" hidden="false" customHeight="false" outlineLevel="0" collapsed="false">
      <c r="A1908" s="61"/>
      <c r="B1908" s="62"/>
      <c r="C1908" s="63"/>
      <c r="D1908" s="63"/>
      <c r="E1908" s="62"/>
      <c r="F1908" s="62"/>
      <c r="G1908" s="62"/>
      <c r="I1908" s="64" t="str">
        <f aca="false">IF($B1908="","",IF(ISNUMBER(MATCH($B1908,日別データ!$B$9:$B$28,0)),"✔ OK","⚠ 未登録"))</f>
        <v/>
      </c>
    </row>
    <row r="1909" customFormat="false" ht="15" hidden="false" customHeight="false" outlineLevel="0" collapsed="false">
      <c r="A1909" s="61"/>
      <c r="B1909" s="62"/>
      <c r="C1909" s="63"/>
      <c r="D1909" s="63"/>
      <c r="E1909" s="62"/>
      <c r="F1909" s="62"/>
      <c r="G1909" s="62"/>
      <c r="I1909" s="64" t="str">
        <f aca="false">IF($B1909="","",IF(ISNUMBER(MATCH($B1909,日別データ!$B$9:$B$28,0)),"✔ OK","⚠ 未登録"))</f>
        <v/>
      </c>
    </row>
    <row r="1910" customFormat="false" ht="15" hidden="false" customHeight="false" outlineLevel="0" collapsed="false">
      <c r="A1910" s="61"/>
      <c r="B1910" s="62"/>
      <c r="C1910" s="63"/>
      <c r="D1910" s="63"/>
      <c r="E1910" s="62"/>
      <c r="F1910" s="62"/>
      <c r="G1910" s="62"/>
      <c r="I1910" s="64" t="str">
        <f aca="false">IF($B1910="","",IF(ISNUMBER(MATCH($B1910,日別データ!$B$9:$B$28,0)),"✔ OK","⚠ 未登録"))</f>
        <v/>
      </c>
    </row>
    <row r="1911" customFormat="false" ht="15" hidden="false" customHeight="false" outlineLevel="0" collapsed="false">
      <c r="A1911" s="61"/>
      <c r="B1911" s="62"/>
      <c r="C1911" s="63"/>
      <c r="D1911" s="63"/>
      <c r="E1911" s="62"/>
      <c r="F1911" s="62"/>
      <c r="G1911" s="62"/>
      <c r="I1911" s="64" t="str">
        <f aca="false">IF($B1911="","",IF(ISNUMBER(MATCH($B1911,日別データ!$B$9:$B$28,0)),"✔ OK","⚠ 未登録"))</f>
        <v/>
      </c>
    </row>
    <row r="1912" customFormat="false" ht="15" hidden="false" customHeight="false" outlineLevel="0" collapsed="false">
      <c r="A1912" s="61"/>
      <c r="B1912" s="62"/>
      <c r="C1912" s="63"/>
      <c r="D1912" s="63"/>
      <c r="E1912" s="62"/>
      <c r="F1912" s="62"/>
      <c r="G1912" s="62"/>
      <c r="I1912" s="64" t="str">
        <f aca="false">IF($B1912="","",IF(ISNUMBER(MATCH($B1912,日別データ!$B$9:$B$28,0)),"✔ OK","⚠ 未登録"))</f>
        <v/>
      </c>
    </row>
    <row r="1913" customFormat="false" ht="15" hidden="false" customHeight="false" outlineLevel="0" collapsed="false">
      <c r="A1913" s="61"/>
      <c r="B1913" s="62"/>
      <c r="C1913" s="63"/>
      <c r="D1913" s="63"/>
      <c r="E1913" s="62"/>
      <c r="F1913" s="62"/>
      <c r="G1913" s="62"/>
      <c r="I1913" s="64" t="str">
        <f aca="false">IF($B1913="","",IF(ISNUMBER(MATCH($B1913,日別データ!$B$9:$B$28,0)),"✔ OK","⚠ 未登録"))</f>
        <v/>
      </c>
    </row>
    <row r="1914" customFormat="false" ht="15" hidden="false" customHeight="false" outlineLevel="0" collapsed="false">
      <c r="A1914" s="61"/>
      <c r="B1914" s="62"/>
      <c r="C1914" s="63"/>
      <c r="D1914" s="63"/>
      <c r="E1914" s="62"/>
      <c r="F1914" s="62"/>
      <c r="G1914" s="62"/>
      <c r="I1914" s="64" t="str">
        <f aca="false">IF($B1914="","",IF(ISNUMBER(MATCH($B1914,日別データ!$B$9:$B$28,0)),"✔ OK","⚠ 未登録"))</f>
        <v/>
      </c>
    </row>
    <row r="1915" customFormat="false" ht="15" hidden="false" customHeight="false" outlineLevel="0" collapsed="false">
      <c r="A1915" s="61"/>
      <c r="B1915" s="62"/>
      <c r="C1915" s="63"/>
      <c r="D1915" s="63"/>
      <c r="E1915" s="62"/>
      <c r="F1915" s="62"/>
      <c r="G1915" s="62"/>
      <c r="I1915" s="64" t="str">
        <f aca="false">IF($B1915="","",IF(ISNUMBER(MATCH($B1915,日別データ!$B$9:$B$28,0)),"✔ OK","⚠ 未登録"))</f>
        <v/>
      </c>
    </row>
    <row r="1916" customFormat="false" ht="15" hidden="false" customHeight="false" outlineLevel="0" collapsed="false">
      <c r="A1916" s="61"/>
      <c r="B1916" s="62"/>
      <c r="C1916" s="63"/>
      <c r="D1916" s="63"/>
      <c r="E1916" s="62"/>
      <c r="F1916" s="62"/>
      <c r="G1916" s="62"/>
      <c r="I1916" s="64" t="str">
        <f aca="false">IF($B1916="","",IF(ISNUMBER(MATCH($B1916,日別データ!$B$9:$B$28,0)),"✔ OK","⚠ 未登録"))</f>
        <v/>
      </c>
    </row>
    <row r="1917" customFormat="false" ht="15" hidden="false" customHeight="false" outlineLevel="0" collapsed="false">
      <c r="A1917" s="61"/>
      <c r="B1917" s="62"/>
      <c r="C1917" s="63"/>
      <c r="D1917" s="63"/>
      <c r="E1917" s="62"/>
      <c r="F1917" s="62"/>
      <c r="G1917" s="62"/>
      <c r="I1917" s="64" t="str">
        <f aca="false">IF($B1917="","",IF(ISNUMBER(MATCH($B1917,日別データ!$B$9:$B$28,0)),"✔ OK","⚠ 未登録"))</f>
        <v/>
      </c>
    </row>
    <row r="1918" customFormat="false" ht="15" hidden="false" customHeight="false" outlineLevel="0" collapsed="false">
      <c r="A1918" s="61"/>
      <c r="B1918" s="62"/>
      <c r="C1918" s="63"/>
      <c r="D1918" s="63"/>
      <c r="E1918" s="62"/>
      <c r="F1918" s="62"/>
      <c r="G1918" s="62"/>
      <c r="I1918" s="64" t="str">
        <f aca="false">IF($B1918="","",IF(ISNUMBER(MATCH($B1918,日別データ!$B$9:$B$28,0)),"✔ OK","⚠ 未登録"))</f>
        <v/>
      </c>
    </row>
    <row r="1919" customFormat="false" ht="15" hidden="false" customHeight="false" outlineLevel="0" collapsed="false">
      <c r="A1919" s="61"/>
      <c r="B1919" s="62"/>
      <c r="C1919" s="63"/>
      <c r="D1919" s="63"/>
      <c r="E1919" s="62"/>
      <c r="F1919" s="62"/>
      <c r="G1919" s="62"/>
      <c r="I1919" s="64" t="str">
        <f aca="false">IF($B1919="","",IF(ISNUMBER(MATCH($B1919,日別データ!$B$9:$B$28,0)),"✔ OK","⚠ 未登録"))</f>
        <v/>
      </c>
    </row>
    <row r="1920" customFormat="false" ht="15" hidden="false" customHeight="false" outlineLevel="0" collapsed="false">
      <c r="A1920" s="61"/>
      <c r="B1920" s="62"/>
      <c r="C1920" s="63"/>
      <c r="D1920" s="63"/>
      <c r="E1920" s="62"/>
      <c r="F1920" s="62"/>
      <c r="G1920" s="62"/>
      <c r="I1920" s="64" t="str">
        <f aca="false">IF($B1920="","",IF(ISNUMBER(MATCH($B1920,日別データ!$B$9:$B$28,0)),"✔ OK","⚠ 未登録"))</f>
        <v/>
      </c>
    </row>
    <row r="1921" customFormat="false" ht="15" hidden="false" customHeight="false" outlineLevel="0" collapsed="false">
      <c r="A1921" s="61"/>
      <c r="B1921" s="62"/>
      <c r="C1921" s="63"/>
      <c r="D1921" s="63"/>
      <c r="E1921" s="62"/>
      <c r="F1921" s="62"/>
      <c r="G1921" s="62"/>
      <c r="I1921" s="64" t="str">
        <f aca="false">IF($B1921="","",IF(ISNUMBER(MATCH($B1921,日別データ!$B$9:$B$28,0)),"✔ OK","⚠ 未登録"))</f>
        <v/>
      </c>
    </row>
    <row r="1922" customFormat="false" ht="15" hidden="false" customHeight="false" outlineLevel="0" collapsed="false">
      <c r="A1922" s="61"/>
      <c r="B1922" s="62"/>
      <c r="C1922" s="63"/>
      <c r="D1922" s="63"/>
      <c r="E1922" s="62"/>
      <c r="F1922" s="62"/>
      <c r="G1922" s="62"/>
      <c r="I1922" s="64" t="str">
        <f aca="false">IF($B1922="","",IF(ISNUMBER(MATCH($B1922,日別データ!$B$9:$B$28,0)),"✔ OK","⚠ 未登録"))</f>
        <v/>
      </c>
    </row>
    <row r="1923" customFormat="false" ht="15" hidden="false" customHeight="false" outlineLevel="0" collapsed="false">
      <c r="A1923" s="61"/>
      <c r="B1923" s="62"/>
      <c r="C1923" s="63"/>
      <c r="D1923" s="63"/>
      <c r="E1923" s="62"/>
      <c r="F1923" s="62"/>
      <c r="G1923" s="62"/>
      <c r="I1923" s="64" t="str">
        <f aca="false">IF($B1923="","",IF(ISNUMBER(MATCH($B1923,日別データ!$B$9:$B$28,0)),"✔ OK","⚠ 未登録"))</f>
        <v/>
      </c>
    </row>
    <row r="1924" customFormat="false" ht="15" hidden="false" customHeight="false" outlineLevel="0" collapsed="false">
      <c r="A1924" s="61"/>
      <c r="B1924" s="62"/>
      <c r="C1924" s="63"/>
      <c r="D1924" s="63"/>
      <c r="E1924" s="62"/>
      <c r="F1924" s="62"/>
      <c r="G1924" s="62"/>
      <c r="I1924" s="64" t="str">
        <f aca="false">IF($B1924="","",IF(ISNUMBER(MATCH($B1924,日別データ!$B$9:$B$28,0)),"✔ OK","⚠ 未登録"))</f>
        <v/>
      </c>
    </row>
    <row r="1925" customFormat="false" ht="15" hidden="false" customHeight="false" outlineLevel="0" collapsed="false">
      <c r="A1925" s="61"/>
      <c r="B1925" s="62"/>
      <c r="C1925" s="63"/>
      <c r="D1925" s="63"/>
      <c r="E1925" s="62"/>
      <c r="F1925" s="62"/>
      <c r="G1925" s="62"/>
      <c r="I1925" s="64" t="str">
        <f aca="false">IF($B1925="","",IF(ISNUMBER(MATCH($B1925,日別データ!$B$9:$B$28,0)),"✔ OK","⚠ 未登録"))</f>
        <v/>
      </c>
    </row>
    <row r="1926" customFormat="false" ht="15" hidden="false" customHeight="false" outlineLevel="0" collapsed="false">
      <c r="A1926" s="61"/>
      <c r="B1926" s="62"/>
      <c r="C1926" s="63"/>
      <c r="D1926" s="63"/>
      <c r="E1926" s="62"/>
      <c r="F1926" s="62"/>
      <c r="G1926" s="62"/>
      <c r="I1926" s="64" t="str">
        <f aca="false">IF($B1926="","",IF(ISNUMBER(MATCH($B1926,日別データ!$B$9:$B$28,0)),"✔ OK","⚠ 未登録"))</f>
        <v/>
      </c>
    </row>
    <row r="1927" customFormat="false" ht="15" hidden="false" customHeight="false" outlineLevel="0" collapsed="false">
      <c r="A1927" s="61"/>
      <c r="B1927" s="62"/>
      <c r="C1927" s="63"/>
      <c r="D1927" s="63"/>
      <c r="E1927" s="62"/>
      <c r="F1927" s="62"/>
      <c r="G1927" s="62"/>
      <c r="I1927" s="64" t="str">
        <f aca="false">IF($B1927="","",IF(ISNUMBER(MATCH($B1927,日別データ!$B$9:$B$28,0)),"✔ OK","⚠ 未登録"))</f>
        <v/>
      </c>
    </row>
    <row r="1928" customFormat="false" ht="15" hidden="false" customHeight="false" outlineLevel="0" collapsed="false">
      <c r="A1928" s="61"/>
      <c r="B1928" s="62"/>
      <c r="C1928" s="63"/>
      <c r="D1928" s="63"/>
      <c r="E1928" s="62"/>
      <c r="F1928" s="62"/>
      <c r="G1928" s="62"/>
      <c r="I1928" s="64" t="str">
        <f aca="false">IF($B1928="","",IF(ISNUMBER(MATCH($B1928,日別データ!$B$9:$B$28,0)),"✔ OK","⚠ 未登録"))</f>
        <v/>
      </c>
    </row>
    <row r="1929" customFormat="false" ht="15" hidden="false" customHeight="false" outlineLevel="0" collapsed="false">
      <c r="A1929" s="61"/>
      <c r="B1929" s="62"/>
      <c r="C1929" s="63"/>
      <c r="D1929" s="63"/>
      <c r="E1929" s="62"/>
      <c r="F1929" s="62"/>
      <c r="G1929" s="62"/>
      <c r="I1929" s="64" t="str">
        <f aca="false">IF($B1929="","",IF(ISNUMBER(MATCH($B1929,日別データ!$B$9:$B$28,0)),"✔ OK","⚠ 未登録"))</f>
        <v/>
      </c>
    </row>
    <row r="1930" customFormat="false" ht="15" hidden="false" customHeight="false" outlineLevel="0" collapsed="false">
      <c r="A1930" s="61"/>
      <c r="B1930" s="62"/>
      <c r="C1930" s="63"/>
      <c r="D1930" s="63"/>
      <c r="E1930" s="62"/>
      <c r="F1930" s="62"/>
      <c r="G1930" s="62"/>
      <c r="I1930" s="64" t="str">
        <f aca="false">IF($B1930="","",IF(ISNUMBER(MATCH($B1930,日別データ!$B$9:$B$28,0)),"✔ OK","⚠ 未登録"))</f>
        <v/>
      </c>
    </row>
    <row r="1931" customFormat="false" ht="15" hidden="false" customHeight="false" outlineLevel="0" collapsed="false">
      <c r="A1931" s="61"/>
      <c r="B1931" s="62"/>
      <c r="C1931" s="63"/>
      <c r="D1931" s="63"/>
      <c r="E1931" s="62"/>
      <c r="F1931" s="62"/>
      <c r="G1931" s="62"/>
      <c r="I1931" s="64" t="str">
        <f aca="false">IF($B1931="","",IF(ISNUMBER(MATCH($B1931,日別データ!$B$9:$B$28,0)),"✔ OK","⚠ 未登録"))</f>
        <v/>
      </c>
    </row>
    <row r="1932" customFormat="false" ht="15" hidden="false" customHeight="false" outlineLevel="0" collapsed="false">
      <c r="A1932" s="61"/>
      <c r="B1932" s="62"/>
      <c r="C1932" s="63"/>
      <c r="D1932" s="63"/>
      <c r="E1932" s="62"/>
      <c r="F1932" s="62"/>
      <c r="G1932" s="62"/>
      <c r="I1932" s="64" t="str">
        <f aca="false">IF($B1932="","",IF(ISNUMBER(MATCH($B1932,日別データ!$B$9:$B$28,0)),"✔ OK","⚠ 未登録"))</f>
        <v/>
      </c>
    </row>
    <row r="1933" customFormat="false" ht="15" hidden="false" customHeight="false" outlineLevel="0" collapsed="false">
      <c r="A1933" s="61"/>
      <c r="B1933" s="62"/>
      <c r="C1933" s="63"/>
      <c r="D1933" s="63"/>
      <c r="E1933" s="62"/>
      <c r="F1933" s="62"/>
      <c r="G1933" s="62"/>
      <c r="I1933" s="64" t="str">
        <f aca="false">IF($B1933="","",IF(ISNUMBER(MATCH($B1933,日別データ!$B$9:$B$28,0)),"✔ OK","⚠ 未登録"))</f>
        <v/>
      </c>
    </row>
    <row r="1934" customFormat="false" ht="15" hidden="false" customHeight="false" outlineLevel="0" collapsed="false">
      <c r="A1934" s="61"/>
      <c r="B1934" s="62"/>
      <c r="C1934" s="63"/>
      <c r="D1934" s="63"/>
      <c r="E1934" s="62"/>
      <c r="F1934" s="62"/>
      <c r="G1934" s="62"/>
      <c r="I1934" s="64" t="str">
        <f aca="false">IF($B1934="","",IF(ISNUMBER(MATCH($B1934,日別データ!$B$9:$B$28,0)),"✔ OK","⚠ 未登録"))</f>
        <v/>
      </c>
    </row>
    <row r="1935" customFormat="false" ht="15" hidden="false" customHeight="false" outlineLevel="0" collapsed="false">
      <c r="A1935" s="61"/>
      <c r="B1935" s="62"/>
      <c r="C1935" s="63"/>
      <c r="D1935" s="63"/>
      <c r="E1935" s="62"/>
      <c r="F1935" s="62"/>
      <c r="G1935" s="62"/>
      <c r="I1935" s="64" t="str">
        <f aca="false">IF($B1935="","",IF(ISNUMBER(MATCH($B1935,日別データ!$B$9:$B$28,0)),"✔ OK","⚠ 未登録"))</f>
        <v/>
      </c>
    </row>
    <row r="1936" customFormat="false" ht="15" hidden="false" customHeight="false" outlineLevel="0" collapsed="false">
      <c r="A1936" s="61"/>
      <c r="B1936" s="62"/>
      <c r="C1936" s="63"/>
      <c r="D1936" s="63"/>
      <c r="E1936" s="62"/>
      <c r="F1936" s="62"/>
      <c r="G1936" s="62"/>
      <c r="I1936" s="64" t="str">
        <f aca="false">IF($B1936="","",IF(ISNUMBER(MATCH($B1936,日別データ!$B$9:$B$28,0)),"✔ OK","⚠ 未登録"))</f>
        <v/>
      </c>
    </row>
    <row r="1937" customFormat="false" ht="15" hidden="false" customHeight="false" outlineLevel="0" collapsed="false">
      <c r="A1937" s="61"/>
      <c r="B1937" s="62"/>
      <c r="C1937" s="63"/>
      <c r="D1937" s="63"/>
      <c r="E1937" s="62"/>
      <c r="F1937" s="62"/>
      <c r="G1937" s="62"/>
      <c r="I1937" s="64" t="str">
        <f aca="false">IF($B1937="","",IF(ISNUMBER(MATCH($B1937,日別データ!$B$9:$B$28,0)),"✔ OK","⚠ 未登録"))</f>
        <v/>
      </c>
    </row>
    <row r="1938" customFormat="false" ht="15" hidden="false" customHeight="false" outlineLevel="0" collapsed="false">
      <c r="A1938" s="61"/>
      <c r="B1938" s="62"/>
      <c r="C1938" s="63"/>
      <c r="D1938" s="63"/>
      <c r="E1938" s="62"/>
      <c r="F1938" s="62"/>
      <c r="G1938" s="62"/>
      <c r="I1938" s="64" t="str">
        <f aca="false">IF($B1938="","",IF(ISNUMBER(MATCH($B1938,日別データ!$B$9:$B$28,0)),"✔ OK","⚠ 未登録"))</f>
        <v/>
      </c>
    </row>
    <row r="1939" customFormat="false" ht="15" hidden="false" customHeight="false" outlineLevel="0" collapsed="false">
      <c r="A1939" s="61"/>
      <c r="B1939" s="62"/>
      <c r="C1939" s="63"/>
      <c r="D1939" s="63"/>
      <c r="E1939" s="62"/>
      <c r="F1939" s="62"/>
      <c r="G1939" s="62"/>
      <c r="I1939" s="64" t="str">
        <f aca="false">IF($B1939="","",IF(ISNUMBER(MATCH($B1939,日別データ!$B$9:$B$28,0)),"✔ OK","⚠ 未登録"))</f>
        <v/>
      </c>
    </row>
    <row r="1940" customFormat="false" ht="15" hidden="false" customHeight="false" outlineLevel="0" collapsed="false">
      <c r="A1940" s="61"/>
      <c r="B1940" s="62"/>
      <c r="C1940" s="63"/>
      <c r="D1940" s="63"/>
      <c r="E1940" s="62"/>
      <c r="F1940" s="62"/>
      <c r="G1940" s="62"/>
      <c r="I1940" s="64" t="str">
        <f aca="false">IF($B1940="","",IF(ISNUMBER(MATCH($B1940,日別データ!$B$9:$B$28,0)),"✔ OK","⚠ 未登録"))</f>
        <v/>
      </c>
    </row>
    <row r="1941" customFormat="false" ht="15" hidden="false" customHeight="false" outlineLevel="0" collapsed="false">
      <c r="A1941" s="61"/>
      <c r="B1941" s="62"/>
      <c r="C1941" s="63"/>
      <c r="D1941" s="63"/>
      <c r="E1941" s="62"/>
      <c r="F1941" s="62"/>
      <c r="G1941" s="62"/>
      <c r="I1941" s="64" t="str">
        <f aca="false">IF($B1941="","",IF(ISNUMBER(MATCH($B1941,日別データ!$B$9:$B$28,0)),"✔ OK","⚠ 未登録"))</f>
        <v/>
      </c>
    </row>
    <row r="1942" customFormat="false" ht="15" hidden="false" customHeight="false" outlineLevel="0" collapsed="false">
      <c r="A1942" s="61"/>
      <c r="B1942" s="62"/>
      <c r="C1942" s="63"/>
      <c r="D1942" s="63"/>
      <c r="E1942" s="62"/>
      <c r="F1942" s="62"/>
      <c r="G1942" s="62"/>
      <c r="I1942" s="64" t="str">
        <f aca="false">IF($B1942="","",IF(ISNUMBER(MATCH($B1942,日別データ!$B$9:$B$28,0)),"✔ OK","⚠ 未登録"))</f>
        <v/>
      </c>
    </row>
    <row r="1943" customFormat="false" ht="15" hidden="false" customHeight="false" outlineLevel="0" collapsed="false">
      <c r="A1943" s="61"/>
      <c r="B1943" s="62"/>
      <c r="C1943" s="63"/>
      <c r="D1943" s="63"/>
      <c r="E1943" s="62"/>
      <c r="F1943" s="62"/>
      <c r="G1943" s="62"/>
      <c r="I1943" s="64" t="str">
        <f aca="false">IF($B1943="","",IF(ISNUMBER(MATCH($B1943,日別データ!$B$9:$B$28,0)),"✔ OK","⚠ 未登録"))</f>
        <v/>
      </c>
    </row>
    <row r="1944" customFormat="false" ht="15" hidden="false" customHeight="false" outlineLevel="0" collapsed="false">
      <c r="A1944" s="61"/>
      <c r="B1944" s="62"/>
      <c r="C1944" s="63"/>
      <c r="D1944" s="63"/>
      <c r="E1944" s="62"/>
      <c r="F1944" s="62"/>
      <c r="G1944" s="62"/>
      <c r="I1944" s="64" t="str">
        <f aca="false">IF($B1944="","",IF(ISNUMBER(MATCH($B1944,日別データ!$B$9:$B$28,0)),"✔ OK","⚠ 未登録"))</f>
        <v/>
      </c>
    </row>
    <row r="1945" customFormat="false" ht="15" hidden="false" customHeight="false" outlineLevel="0" collapsed="false">
      <c r="A1945" s="61"/>
      <c r="B1945" s="62"/>
      <c r="C1945" s="63"/>
      <c r="D1945" s="63"/>
      <c r="E1945" s="62"/>
      <c r="F1945" s="62"/>
      <c r="G1945" s="62"/>
      <c r="I1945" s="64" t="str">
        <f aca="false">IF($B1945="","",IF(ISNUMBER(MATCH($B1945,日別データ!$B$9:$B$28,0)),"✔ OK","⚠ 未登録"))</f>
        <v/>
      </c>
    </row>
    <row r="1946" customFormat="false" ht="15" hidden="false" customHeight="false" outlineLevel="0" collapsed="false">
      <c r="A1946" s="61"/>
      <c r="B1946" s="62"/>
      <c r="C1946" s="63"/>
      <c r="D1946" s="63"/>
      <c r="E1946" s="62"/>
      <c r="F1946" s="62"/>
      <c r="G1946" s="62"/>
      <c r="I1946" s="64" t="str">
        <f aca="false">IF($B1946="","",IF(ISNUMBER(MATCH($B1946,日別データ!$B$9:$B$28,0)),"✔ OK","⚠ 未登録"))</f>
        <v/>
      </c>
    </row>
    <row r="1947" customFormat="false" ht="15" hidden="false" customHeight="false" outlineLevel="0" collapsed="false">
      <c r="A1947" s="61"/>
      <c r="B1947" s="62"/>
      <c r="C1947" s="63"/>
      <c r="D1947" s="63"/>
      <c r="E1947" s="62"/>
      <c r="F1947" s="62"/>
      <c r="G1947" s="62"/>
      <c r="I1947" s="64" t="str">
        <f aca="false">IF($B1947="","",IF(ISNUMBER(MATCH($B1947,日別データ!$B$9:$B$28,0)),"✔ OK","⚠ 未登録"))</f>
        <v/>
      </c>
    </row>
    <row r="1948" customFormat="false" ht="15" hidden="false" customHeight="false" outlineLevel="0" collapsed="false">
      <c r="A1948" s="61"/>
      <c r="B1948" s="62"/>
      <c r="C1948" s="63"/>
      <c r="D1948" s="63"/>
      <c r="E1948" s="62"/>
      <c r="F1948" s="62"/>
      <c r="G1948" s="62"/>
      <c r="I1948" s="64" t="str">
        <f aca="false">IF($B1948="","",IF(ISNUMBER(MATCH($B1948,日別データ!$B$9:$B$28,0)),"✔ OK","⚠ 未登録"))</f>
        <v/>
      </c>
    </row>
    <row r="1949" customFormat="false" ht="15" hidden="false" customHeight="false" outlineLevel="0" collapsed="false">
      <c r="A1949" s="61"/>
      <c r="B1949" s="62"/>
      <c r="C1949" s="63"/>
      <c r="D1949" s="63"/>
      <c r="E1949" s="62"/>
      <c r="F1949" s="62"/>
      <c r="G1949" s="62"/>
      <c r="I1949" s="64" t="str">
        <f aca="false">IF($B1949="","",IF(ISNUMBER(MATCH($B1949,日別データ!$B$9:$B$28,0)),"✔ OK","⚠ 未登録"))</f>
        <v/>
      </c>
    </row>
    <row r="1950" customFormat="false" ht="15" hidden="false" customHeight="false" outlineLevel="0" collapsed="false">
      <c r="A1950" s="61"/>
      <c r="B1950" s="62"/>
      <c r="C1950" s="63"/>
      <c r="D1950" s="63"/>
      <c r="E1950" s="62"/>
      <c r="F1950" s="62"/>
      <c r="G1950" s="62"/>
      <c r="I1950" s="64" t="str">
        <f aca="false">IF($B1950="","",IF(ISNUMBER(MATCH($B1950,日別データ!$B$9:$B$28,0)),"✔ OK","⚠ 未登録"))</f>
        <v/>
      </c>
    </row>
    <row r="1951" customFormat="false" ht="15" hidden="false" customHeight="false" outlineLevel="0" collapsed="false">
      <c r="A1951" s="61"/>
      <c r="B1951" s="62"/>
      <c r="C1951" s="63"/>
      <c r="D1951" s="63"/>
      <c r="E1951" s="62"/>
      <c r="F1951" s="62"/>
      <c r="G1951" s="62"/>
      <c r="I1951" s="64" t="str">
        <f aca="false">IF($B1951="","",IF(ISNUMBER(MATCH($B1951,日別データ!$B$9:$B$28,0)),"✔ OK","⚠ 未登録"))</f>
        <v/>
      </c>
    </row>
    <row r="1952" customFormat="false" ht="15" hidden="false" customHeight="false" outlineLevel="0" collapsed="false">
      <c r="A1952" s="61"/>
      <c r="B1952" s="62"/>
      <c r="C1952" s="63"/>
      <c r="D1952" s="63"/>
      <c r="E1952" s="62"/>
      <c r="F1952" s="62"/>
      <c r="G1952" s="62"/>
      <c r="I1952" s="64" t="str">
        <f aca="false">IF($B1952="","",IF(ISNUMBER(MATCH($B1952,日別データ!$B$9:$B$28,0)),"✔ OK","⚠ 未登録"))</f>
        <v/>
      </c>
    </row>
    <row r="1953" customFormat="false" ht="15" hidden="false" customHeight="false" outlineLevel="0" collapsed="false">
      <c r="A1953" s="61"/>
      <c r="B1953" s="62"/>
      <c r="C1953" s="63"/>
      <c r="D1953" s="63"/>
      <c r="E1953" s="62"/>
      <c r="F1953" s="62"/>
      <c r="G1953" s="62"/>
      <c r="I1953" s="64" t="str">
        <f aca="false">IF($B1953="","",IF(ISNUMBER(MATCH($B1953,日別データ!$B$9:$B$28,0)),"✔ OK","⚠ 未登録"))</f>
        <v/>
      </c>
    </row>
    <row r="1954" customFormat="false" ht="15" hidden="false" customHeight="false" outlineLevel="0" collapsed="false">
      <c r="A1954" s="61"/>
      <c r="B1954" s="62"/>
      <c r="C1954" s="63"/>
      <c r="D1954" s="63"/>
      <c r="E1954" s="62"/>
      <c r="F1954" s="62"/>
      <c r="G1954" s="62"/>
      <c r="I1954" s="64" t="str">
        <f aca="false">IF($B1954="","",IF(ISNUMBER(MATCH($B1954,日別データ!$B$9:$B$28,0)),"✔ OK","⚠ 未登録"))</f>
        <v/>
      </c>
    </row>
    <row r="1955" customFormat="false" ht="15" hidden="false" customHeight="false" outlineLevel="0" collapsed="false">
      <c r="A1955" s="61"/>
      <c r="B1955" s="62"/>
      <c r="C1955" s="63"/>
      <c r="D1955" s="63"/>
      <c r="E1955" s="62"/>
      <c r="F1955" s="62"/>
      <c r="G1955" s="62"/>
      <c r="I1955" s="64" t="str">
        <f aca="false">IF($B1955="","",IF(ISNUMBER(MATCH($B1955,日別データ!$B$9:$B$28,0)),"✔ OK","⚠ 未登録"))</f>
        <v/>
      </c>
    </row>
    <row r="1956" customFormat="false" ht="15" hidden="false" customHeight="false" outlineLevel="0" collapsed="false">
      <c r="A1956" s="61"/>
      <c r="B1956" s="62"/>
      <c r="C1956" s="63"/>
      <c r="D1956" s="63"/>
      <c r="E1956" s="62"/>
      <c r="F1956" s="62"/>
      <c r="G1956" s="62"/>
      <c r="I1956" s="64" t="str">
        <f aca="false">IF($B1956="","",IF(ISNUMBER(MATCH($B1956,日別データ!$B$9:$B$28,0)),"✔ OK","⚠ 未登録"))</f>
        <v/>
      </c>
    </row>
    <row r="1957" customFormat="false" ht="15" hidden="false" customHeight="false" outlineLevel="0" collapsed="false">
      <c r="A1957" s="61"/>
      <c r="B1957" s="62"/>
      <c r="C1957" s="63"/>
      <c r="D1957" s="63"/>
      <c r="E1957" s="62"/>
      <c r="F1957" s="62"/>
      <c r="G1957" s="62"/>
      <c r="I1957" s="64" t="str">
        <f aca="false">IF($B1957="","",IF(ISNUMBER(MATCH($B1957,日別データ!$B$9:$B$28,0)),"✔ OK","⚠ 未登録"))</f>
        <v/>
      </c>
    </row>
    <row r="1958" customFormat="false" ht="15" hidden="false" customHeight="false" outlineLevel="0" collapsed="false">
      <c r="A1958" s="61"/>
      <c r="B1958" s="62"/>
      <c r="C1958" s="63"/>
      <c r="D1958" s="63"/>
      <c r="E1958" s="62"/>
      <c r="F1958" s="62"/>
      <c r="G1958" s="62"/>
      <c r="I1958" s="64" t="str">
        <f aca="false">IF($B1958="","",IF(ISNUMBER(MATCH($B1958,日別データ!$B$9:$B$28,0)),"✔ OK","⚠ 未登録"))</f>
        <v/>
      </c>
    </row>
    <row r="1959" customFormat="false" ht="15" hidden="false" customHeight="false" outlineLevel="0" collapsed="false">
      <c r="A1959" s="61"/>
      <c r="B1959" s="62"/>
      <c r="C1959" s="63"/>
      <c r="D1959" s="63"/>
      <c r="E1959" s="62"/>
      <c r="F1959" s="62"/>
      <c r="G1959" s="62"/>
      <c r="I1959" s="64" t="str">
        <f aca="false">IF($B1959="","",IF(ISNUMBER(MATCH($B1959,日別データ!$B$9:$B$28,0)),"✔ OK","⚠ 未登録"))</f>
        <v/>
      </c>
    </row>
    <row r="1960" customFormat="false" ht="15" hidden="false" customHeight="false" outlineLevel="0" collapsed="false">
      <c r="A1960" s="61"/>
      <c r="B1960" s="62"/>
      <c r="C1960" s="63"/>
      <c r="D1960" s="63"/>
      <c r="E1960" s="62"/>
      <c r="F1960" s="62"/>
      <c r="G1960" s="62"/>
      <c r="I1960" s="64" t="str">
        <f aca="false">IF($B1960="","",IF(ISNUMBER(MATCH($B1960,日別データ!$B$9:$B$28,0)),"✔ OK","⚠ 未登録"))</f>
        <v/>
      </c>
    </row>
    <row r="1961" customFormat="false" ht="15" hidden="false" customHeight="false" outlineLevel="0" collapsed="false">
      <c r="A1961" s="61"/>
      <c r="B1961" s="62"/>
      <c r="C1961" s="63"/>
      <c r="D1961" s="63"/>
      <c r="E1961" s="62"/>
      <c r="F1961" s="62"/>
      <c r="G1961" s="62"/>
      <c r="I1961" s="64" t="str">
        <f aca="false">IF($B1961="","",IF(ISNUMBER(MATCH($B1961,日別データ!$B$9:$B$28,0)),"✔ OK","⚠ 未登録"))</f>
        <v/>
      </c>
    </row>
    <row r="1962" customFormat="false" ht="15" hidden="false" customHeight="false" outlineLevel="0" collapsed="false">
      <c r="A1962" s="61"/>
      <c r="B1962" s="62"/>
      <c r="C1962" s="63"/>
      <c r="D1962" s="63"/>
      <c r="E1962" s="62"/>
      <c r="F1962" s="62"/>
      <c r="G1962" s="62"/>
      <c r="I1962" s="64" t="str">
        <f aca="false">IF($B1962="","",IF(ISNUMBER(MATCH($B1962,日別データ!$B$9:$B$28,0)),"✔ OK","⚠ 未登録"))</f>
        <v/>
      </c>
    </row>
    <row r="1963" customFormat="false" ht="15" hidden="false" customHeight="false" outlineLevel="0" collapsed="false">
      <c r="A1963" s="61"/>
      <c r="B1963" s="62"/>
      <c r="C1963" s="63"/>
      <c r="D1963" s="63"/>
      <c r="E1963" s="62"/>
      <c r="F1963" s="62"/>
      <c r="G1963" s="62"/>
      <c r="I1963" s="64" t="str">
        <f aca="false">IF($B1963="","",IF(ISNUMBER(MATCH($B1963,日別データ!$B$9:$B$28,0)),"✔ OK","⚠ 未登録"))</f>
        <v/>
      </c>
    </row>
    <row r="1964" customFormat="false" ht="15" hidden="false" customHeight="false" outlineLevel="0" collapsed="false">
      <c r="A1964" s="61"/>
      <c r="B1964" s="62"/>
      <c r="C1964" s="63"/>
      <c r="D1964" s="63"/>
      <c r="E1964" s="62"/>
      <c r="F1964" s="62"/>
      <c r="G1964" s="62"/>
      <c r="I1964" s="64" t="str">
        <f aca="false">IF($B1964="","",IF(ISNUMBER(MATCH($B1964,日別データ!$B$9:$B$28,0)),"✔ OK","⚠ 未登録"))</f>
        <v/>
      </c>
    </row>
    <row r="1965" customFormat="false" ht="15" hidden="false" customHeight="false" outlineLevel="0" collapsed="false">
      <c r="A1965" s="61"/>
      <c r="B1965" s="62"/>
      <c r="C1965" s="63"/>
      <c r="D1965" s="63"/>
      <c r="E1965" s="62"/>
      <c r="F1965" s="62"/>
      <c r="G1965" s="62"/>
      <c r="I1965" s="64" t="str">
        <f aca="false">IF($B1965="","",IF(ISNUMBER(MATCH($B1965,日別データ!$B$9:$B$28,0)),"✔ OK","⚠ 未登録"))</f>
        <v/>
      </c>
    </row>
    <row r="1966" customFormat="false" ht="15" hidden="false" customHeight="false" outlineLevel="0" collapsed="false">
      <c r="A1966" s="61"/>
      <c r="B1966" s="62"/>
      <c r="C1966" s="63"/>
      <c r="D1966" s="63"/>
      <c r="E1966" s="62"/>
      <c r="F1966" s="62"/>
      <c r="G1966" s="62"/>
      <c r="I1966" s="64" t="str">
        <f aca="false">IF($B1966="","",IF(ISNUMBER(MATCH($B1966,日別データ!$B$9:$B$28,0)),"✔ OK","⚠ 未登録"))</f>
        <v/>
      </c>
    </row>
    <row r="1967" customFormat="false" ht="15" hidden="false" customHeight="false" outlineLevel="0" collapsed="false">
      <c r="A1967" s="61"/>
      <c r="B1967" s="62"/>
      <c r="C1967" s="63"/>
      <c r="D1967" s="63"/>
      <c r="E1967" s="62"/>
      <c r="F1967" s="62"/>
      <c r="G1967" s="62"/>
      <c r="I1967" s="64" t="str">
        <f aca="false">IF($B1967="","",IF(ISNUMBER(MATCH($B1967,日別データ!$B$9:$B$28,0)),"✔ OK","⚠ 未登録"))</f>
        <v/>
      </c>
    </row>
    <row r="1968" customFormat="false" ht="15" hidden="false" customHeight="false" outlineLevel="0" collapsed="false">
      <c r="A1968" s="61"/>
      <c r="B1968" s="62"/>
      <c r="C1968" s="63"/>
      <c r="D1968" s="63"/>
      <c r="E1968" s="62"/>
      <c r="F1968" s="62"/>
      <c r="G1968" s="62"/>
      <c r="I1968" s="64" t="str">
        <f aca="false">IF($B1968="","",IF(ISNUMBER(MATCH($B1968,日別データ!$B$9:$B$28,0)),"✔ OK","⚠ 未登録"))</f>
        <v/>
      </c>
    </row>
    <row r="1969" customFormat="false" ht="15" hidden="false" customHeight="false" outlineLevel="0" collapsed="false">
      <c r="A1969" s="61"/>
      <c r="B1969" s="62"/>
      <c r="C1969" s="63"/>
      <c r="D1969" s="63"/>
      <c r="E1969" s="62"/>
      <c r="F1969" s="62"/>
      <c r="G1969" s="62"/>
      <c r="I1969" s="64" t="str">
        <f aca="false">IF($B1969="","",IF(ISNUMBER(MATCH($B1969,日別データ!$B$9:$B$28,0)),"✔ OK","⚠ 未登録"))</f>
        <v/>
      </c>
    </row>
    <row r="1970" customFormat="false" ht="15" hidden="false" customHeight="false" outlineLevel="0" collapsed="false">
      <c r="A1970" s="61"/>
      <c r="B1970" s="62"/>
      <c r="C1970" s="63"/>
      <c r="D1970" s="63"/>
      <c r="E1970" s="62"/>
      <c r="F1970" s="62"/>
      <c r="G1970" s="62"/>
      <c r="I1970" s="64" t="str">
        <f aca="false">IF($B1970="","",IF(ISNUMBER(MATCH($B1970,日別データ!$B$9:$B$28,0)),"✔ OK","⚠ 未登録"))</f>
        <v/>
      </c>
    </row>
    <row r="1971" customFormat="false" ht="15" hidden="false" customHeight="false" outlineLevel="0" collapsed="false">
      <c r="A1971" s="61"/>
      <c r="B1971" s="62"/>
      <c r="C1971" s="63"/>
      <c r="D1971" s="63"/>
      <c r="E1971" s="62"/>
      <c r="F1971" s="62"/>
      <c r="G1971" s="62"/>
      <c r="I1971" s="64" t="str">
        <f aca="false">IF($B1971="","",IF(ISNUMBER(MATCH($B1971,日別データ!$B$9:$B$28,0)),"✔ OK","⚠ 未登録"))</f>
        <v/>
      </c>
    </row>
    <row r="1972" customFormat="false" ht="15" hidden="false" customHeight="false" outlineLevel="0" collapsed="false">
      <c r="A1972" s="61"/>
      <c r="B1972" s="62"/>
      <c r="C1972" s="63"/>
      <c r="D1972" s="63"/>
      <c r="E1972" s="62"/>
      <c r="F1972" s="62"/>
      <c r="G1972" s="62"/>
      <c r="I1972" s="64" t="str">
        <f aca="false">IF($B1972="","",IF(ISNUMBER(MATCH($B1972,日別データ!$B$9:$B$28,0)),"✔ OK","⚠ 未登録"))</f>
        <v/>
      </c>
    </row>
    <row r="1973" customFormat="false" ht="15" hidden="false" customHeight="false" outlineLevel="0" collapsed="false">
      <c r="A1973" s="61"/>
      <c r="B1973" s="62"/>
      <c r="C1973" s="63"/>
      <c r="D1973" s="63"/>
      <c r="E1973" s="62"/>
      <c r="F1973" s="62"/>
      <c r="G1973" s="62"/>
      <c r="I1973" s="64" t="str">
        <f aca="false">IF($B1973="","",IF(ISNUMBER(MATCH($B1973,日別データ!$B$9:$B$28,0)),"✔ OK","⚠ 未登録"))</f>
        <v/>
      </c>
    </row>
    <row r="1974" customFormat="false" ht="15" hidden="false" customHeight="false" outlineLevel="0" collapsed="false">
      <c r="A1974" s="61"/>
      <c r="B1974" s="62"/>
      <c r="C1974" s="63"/>
      <c r="D1974" s="63"/>
      <c r="E1974" s="62"/>
      <c r="F1974" s="62"/>
      <c r="G1974" s="62"/>
      <c r="I1974" s="64" t="str">
        <f aca="false">IF($B1974="","",IF(ISNUMBER(MATCH($B1974,日別データ!$B$9:$B$28,0)),"✔ OK","⚠ 未登録"))</f>
        <v/>
      </c>
    </row>
    <row r="1975" customFormat="false" ht="15" hidden="false" customHeight="false" outlineLevel="0" collapsed="false">
      <c r="A1975" s="61"/>
      <c r="B1975" s="62"/>
      <c r="C1975" s="63"/>
      <c r="D1975" s="63"/>
      <c r="E1975" s="62"/>
      <c r="F1975" s="62"/>
      <c r="G1975" s="62"/>
      <c r="I1975" s="64" t="str">
        <f aca="false">IF($B1975="","",IF(ISNUMBER(MATCH($B1975,日別データ!$B$9:$B$28,0)),"✔ OK","⚠ 未登録"))</f>
        <v/>
      </c>
    </row>
    <row r="1976" customFormat="false" ht="15" hidden="false" customHeight="false" outlineLevel="0" collapsed="false">
      <c r="A1976" s="61"/>
      <c r="B1976" s="62"/>
      <c r="C1976" s="63"/>
      <c r="D1976" s="63"/>
      <c r="E1976" s="62"/>
      <c r="F1976" s="62"/>
      <c r="G1976" s="62"/>
      <c r="I1976" s="64" t="str">
        <f aca="false">IF($B1976="","",IF(ISNUMBER(MATCH($B1976,日別データ!$B$9:$B$28,0)),"✔ OK","⚠ 未登録"))</f>
        <v/>
      </c>
    </row>
    <row r="1977" customFormat="false" ht="15" hidden="false" customHeight="false" outlineLevel="0" collapsed="false">
      <c r="A1977" s="61"/>
      <c r="B1977" s="62"/>
      <c r="C1977" s="63"/>
      <c r="D1977" s="63"/>
      <c r="E1977" s="62"/>
      <c r="F1977" s="62"/>
      <c r="G1977" s="62"/>
      <c r="I1977" s="64" t="str">
        <f aca="false">IF($B1977="","",IF(ISNUMBER(MATCH($B1977,日別データ!$B$9:$B$28,0)),"✔ OK","⚠ 未登録"))</f>
        <v/>
      </c>
    </row>
    <row r="1978" customFormat="false" ht="15" hidden="false" customHeight="false" outlineLevel="0" collapsed="false">
      <c r="A1978" s="61"/>
      <c r="B1978" s="62"/>
      <c r="C1978" s="63"/>
      <c r="D1978" s="63"/>
      <c r="E1978" s="62"/>
      <c r="F1978" s="62"/>
      <c r="G1978" s="62"/>
      <c r="I1978" s="64" t="str">
        <f aca="false">IF($B1978="","",IF(ISNUMBER(MATCH($B1978,日別データ!$B$9:$B$28,0)),"✔ OK","⚠ 未登録"))</f>
        <v/>
      </c>
    </row>
    <row r="1979" customFormat="false" ht="15" hidden="false" customHeight="false" outlineLevel="0" collapsed="false">
      <c r="A1979" s="61"/>
      <c r="B1979" s="62"/>
      <c r="C1979" s="63"/>
      <c r="D1979" s="63"/>
      <c r="E1979" s="62"/>
      <c r="F1979" s="62"/>
      <c r="G1979" s="62"/>
      <c r="I1979" s="64" t="str">
        <f aca="false">IF($B1979="","",IF(ISNUMBER(MATCH($B1979,日別データ!$B$9:$B$28,0)),"✔ OK","⚠ 未登録"))</f>
        <v/>
      </c>
    </row>
    <row r="1980" customFormat="false" ht="15" hidden="false" customHeight="false" outlineLevel="0" collapsed="false">
      <c r="A1980" s="61"/>
      <c r="B1980" s="62"/>
      <c r="C1980" s="63"/>
      <c r="D1980" s="63"/>
      <c r="E1980" s="62"/>
      <c r="F1980" s="62"/>
      <c r="G1980" s="62"/>
      <c r="I1980" s="64" t="str">
        <f aca="false">IF($B1980="","",IF(ISNUMBER(MATCH($B1980,日別データ!$B$9:$B$28,0)),"✔ OK","⚠ 未登録"))</f>
        <v/>
      </c>
    </row>
    <row r="1981" customFormat="false" ht="15" hidden="false" customHeight="false" outlineLevel="0" collapsed="false">
      <c r="A1981" s="61"/>
      <c r="B1981" s="62"/>
      <c r="C1981" s="63"/>
      <c r="D1981" s="63"/>
      <c r="E1981" s="62"/>
      <c r="F1981" s="62"/>
      <c r="G1981" s="62"/>
      <c r="I1981" s="64" t="str">
        <f aca="false">IF($B1981="","",IF(ISNUMBER(MATCH($B1981,日別データ!$B$9:$B$28,0)),"✔ OK","⚠ 未登録"))</f>
        <v/>
      </c>
    </row>
    <row r="1982" customFormat="false" ht="15" hidden="false" customHeight="false" outlineLevel="0" collapsed="false">
      <c r="A1982" s="61"/>
      <c r="B1982" s="62"/>
      <c r="C1982" s="63"/>
      <c r="D1982" s="63"/>
      <c r="E1982" s="62"/>
      <c r="F1982" s="62"/>
      <c r="G1982" s="62"/>
      <c r="I1982" s="64" t="str">
        <f aca="false">IF($B1982="","",IF(ISNUMBER(MATCH($B1982,日別データ!$B$9:$B$28,0)),"✔ OK","⚠ 未登録"))</f>
        <v/>
      </c>
    </row>
    <row r="1983" customFormat="false" ht="15" hidden="false" customHeight="false" outlineLevel="0" collapsed="false">
      <c r="A1983" s="61"/>
      <c r="B1983" s="62"/>
      <c r="C1983" s="63"/>
      <c r="D1983" s="63"/>
      <c r="E1983" s="62"/>
      <c r="F1983" s="62"/>
      <c r="G1983" s="62"/>
      <c r="I1983" s="64" t="str">
        <f aca="false">IF($B1983="","",IF(ISNUMBER(MATCH($B1983,日別データ!$B$9:$B$28,0)),"✔ OK","⚠ 未登録"))</f>
        <v/>
      </c>
    </row>
    <row r="1984" customFormat="false" ht="15" hidden="false" customHeight="false" outlineLevel="0" collapsed="false">
      <c r="A1984" s="61"/>
      <c r="B1984" s="62"/>
      <c r="C1984" s="63"/>
      <c r="D1984" s="63"/>
      <c r="E1984" s="62"/>
      <c r="F1984" s="62"/>
      <c r="G1984" s="62"/>
      <c r="I1984" s="64" t="str">
        <f aca="false">IF($B1984="","",IF(ISNUMBER(MATCH($B1984,日別データ!$B$9:$B$28,0)),"✔ OK","⚠ 未登録"))</f>
        <v/>
      </c>
    </row>
    <row r="1985" customFormat="false" ht="15" hidden="false" customHeight="false" outlineLevel="0" collapsed="false">
      <c r="A1985" s="61"/>
      <c r="B1985" s="62"/>
      <c r="C1985" s="63"/>
      <c r="D1985" s="63"/>
      <c r="E1985" s="62"/>
      <c r="F1985" s="62"/>
      <c r="G1985" s="62"/>
      <c r="I1985" s="64" t="str">
        <f aca="false">IF($B1985="","",IF(ISNUMBER(MATCH($B1985,日別データ!$B$9:$B$28,0)),"✔ OK","⚠ 未登録"))</f>
        <v/>
      </c>
    </row>
    <row r="1986" customFormat="false" ht="15" hidden="false" customHeight="false" outlineLevel="0" collapsed="false">
      <c r="A1986" s="61"/>
      <c r="B1986" s="62"/>
      <c r="C1986" s="63"/>
      <c r="D1986" s="63"/>
      <c r="E1986" s="62"/>
      <c r="F1986" s="62"/>
      <c r="G1986" s="62"/>
      <c r="I1986" s="64" t="str">
        <f aca="false">IF($B1986="","",IF(ISNUMBER(MATCH($B1986,日別データ!$B$9:$B$28,0)),"✔ OK","⚠ 未登録"))</f>
        <v/>
      </c>
    </row>
    <row r="1987" customFormat="false" ht="15" hidden="false" customHeight="false" outlineLevel="0" collapsed="false">
      <c r="A1987" s="61"/>
      <c r="B1987" s="62"/>
      <c r="C1987" s="63"/>
      <c r="D1987" s="63"/>
      <c r="E1987" s="62"/>
      <c r="F1987" s="62"/>
      <c r="G1987" s="62"/>
      <c r="I1987" s="64" t="str">
        <f aca="false">IF($B1987="","",IF(ISNUMBER(MATCH($B1987,日別データ!$B$9:$B$28,0)),"✔ OK","⚠ 未登録"))</f>
        <v/>
      </c>
    </row>
    <row r="1988" customFormat="false" ht="15" hidden="false" customHeight="false" outlineLevel="0" collapsed="false">
      <c r="A1988" s="61"/>
      <c r="B1988" s="62"/>
      <c r="C1988" s="63"/>
      <c r="D1988" s="63"/>
      <c r="E1988" s="62"/>
      <c r="F1988" s="62"/>
      <c r="G1988" s="62"/>
      <c r="I1988" s="64" t="str">
        <f aca="false">IF($B1988="","",IF(ISNUMBER(MATCH($B1988,日別データ!$B$9:$B$28,0)),"✔ OK","⚠ 未登録"))</f>
        <v/>
      </c>
    </row>
    <row r="1989" customFormat="false" ht="15" hidden="false" customHeight="false" outlineLevel="0" collapsed="false">
      <c r="A1989" s="61"/>
      <c r="B1989" s="62"/>
      <c r="C1989" s="63"/>
      <c r="D1989" s="63"/>
      <c r="E1989" s="62"/>
      <c r="F1989" s="62"/>
      <c r="G1989" s="62"/>
      <c r="I1989" s="64" t="str">
        <f aca="false">IF($B1989="","",IF(ISNUMBER(MATCH($B1989,日別データ!$B$9:$B$28,0)),"✔ OK","⚠ 未登録"))</f>
        <v/>
      </c>
    </row>
    <row r="1990" customFormat="false" ht="15" hidden="false" customHeight="false" outlineLevel="0" collapsed="false">
      <c r="A1990" s="61"/>
      <c r="B1990" s="62"/>
      <c r="C1990" s="63"/>
      <c r="D1990" s="63"/>
      <c r="E1990" s="62"/>
      <c r="F1990" s="62"/>
      <c r="G1990" s="62"/>
      <c r="I1990" s="64" t="str">
        <f aca="false">IF($B1990="","",IF(ISNUMBER(MATCH($B1990,日別データ!$B$9:$B$28,0)),"✔ OK","⚠ 未登録"))</f>
        <v/>
      </c>
    </row>
    <row r="1991" customFormat="false" ht="15" hidden="false" customHeight="false" outlineLevel="0" collapsed="false">
      <c r="A1991" s="61"/>
      <c r="B1991" s="62"/>
      <c r="C1991" s="63"/>
      <c r="D1991" s="63"/>
      <c r="E1991" s="62"/>
      <c r="F1991" s="62"/>
      <c r="G1991" s="62"/>
      <c r="I1991" s="64" t="str">
        <f aca="false">IF($B1991="","",IF(ISNUMBER(MATCH($B1991,日別データ!$B$9:$B$28,0)),"✔ OK","⚠ 未登録"))</f>
        <v/>
      </c>
    </row>
    <row r="1992" customFormat="false" ht="15" hidden="false" customHeight="false" outlineLevel="0" collapsed="false">
      <c r="A1992" s="61"/>
      <c r="B1992" s="62"/>
      <c r="C1992" s="63"/>
      <c r="D1992" s="63"/>
      <c r="E1992" s="62"/>
      <c r="F1992" s="62"/>
      <c r="G1992" s="62"/>
      <c r="I1992" s="64" t="str">
        <f aca="false">IF($B1992="","",IF(ISNUMBER(MATCH($B1992,日別データ!$B$9:$B$28,0)),"✔ OK","⚠ 未登録"))</f>
        <v/>
      </c>
    </row>
    <row r="1993" customFormat="false" ht="15" hidden="false" customHeight="false" outlineLevel="0" collapsed="false">
      <c r="A1993" s="61"/>
      <c r="B1993" s="62"/>
      <c r="C1993" s="63"/>
      <c r="D1993" s="63"/>
      <c r="E1993" s="62"/>
      <c r="F1993" s="62"/>
      <c r="G1993" s="62"/>
      <c r="I1993" s="64" t="str">
        <f aca="false">IF($B1993="","",IF(ISNUMBER(MATCH($B1993,日別データ!$B$9:$B$28,0)),"✔ OK","⚠ 未登録"))</f>
        <v/>
      </c>
    </row>
    <row r="1994" customFormat="false" ht="15" hidden="false" customHeight="false" outlineLevel="0" collapsed="false">
      <c r="A1994" s="61"/>
      <c r="B1994" s="62"/>
      <c r="C1994" s="63"/>
      <c r="D1994" s="63"/>
      <c r="E1994" s="62"/>
      <c r="F1994" s="62"/>
      <c r="G1994" s="62"/>
      <c r="I1994" s="64" t="str">
        <f aca="false">IF($B1994="","",IF(ISNUMBER(MATCH($B1994,日別データ!$B$9:$B$28,0)),"✔ OK","⚠ 未登録"))</f>
        <v/>
      </c>
    </row>
    <row r="1995" customFormat="false" ht="15" hidden="false" customHeight="false" outlineLevel="0" collapsed="false">
      <c r="A1995" s="61"/>
      <c r="B1995" s="62"/>
      <c r="C1995" s="63"/>
      <c r="D1995" s="63"/>
      <c r="E1995" s="62"/>
      <c r="F1995" s="62"/>
      <c r="G1995" s="62"/>
      <c r="I1995" s="64" t="str">
        <f aca="false">IF($B1995="","",IF(ISNUMBER(MATCH($B1995,日別データ!$B$9:$B$28,0)),"✔ OK","⚠ 未登録"))</f>
        <v/>
      </c>
    </row>
    <row r="1996" customFormat="false" ht="15" hidden="false" customHeight="false" outlineLevel="0" collapsed="false">
      <c r="A1996" s="61"/>
      <c r="B1996" s="62"/>
      <c r="C1996" s="63"/>
      <c r="D1996" s="63"/>
      <c r="E1996" s="62"/>
      <c r="F1996" s="62"/>
      <c r="G1996" s="62"/>
      <c r="I1996" s="64" t="str">
        <f aca="false">IF($B1996="","",IF(ISNUMBER(MATCH($B1996,日別データ!$B$9:$B$28,0)),"✔ OK","⚠ 未登録"))</f>
        <v/>
      </c>
    </row>
    <row r="1997" customFormat="false" ht="15" hidden="false" customHeight="false" outlineLevel="0" collapsed="false">
      <c r="A1997" s="61"/>
      <c r="B1997" s="62"/>
      <c r="C1997" s="63"/>
      <c r="D1997" s="63"/>
      <c r="E1997" s="62"/>
      <c r="F1997" s="62"/>
      <c r="G1997" s="62"/>
      <c r="I1997" s="64" t="str">
        <f aca="false">IF($B1997="","",IF(ISNUMBER(MATCH($B1997,日別データ!$B$9:$B$28,0)),"✔ OK","⚠ 未登録"))</f>
        <v/>
      </c>
    </row>
    <row r="1998" customFormat="false" ht="15" hidden="false" customHeight="false" outlineLevel="0" collapsed="false">
      <c r="A1998" s="61"/>
      <c r="B1998" s="62"/>
      <c r="C1998" s="63"/>
      <c r="D1998" s="63"/>
      <c r="E1998" s="62"/>
      <c r="F1998" s="62"/>
      <c r="G1998" s="62"/>
      <c r="I1998" s="64" t="str">
        <f aca="false">IF($B1998="","",IF(ISNUMBER(MATCH($B1998,日別データ!$B$9:$B$28,0)),"✔ OK","⚠ 未登録"))</f>
        <v/>
      </c>
    </row>
    <row r="1999" customFormat="false" ht="15" hidden="false" customHeight="false" outlineLevel="0" collapsed="false">
      <c r="A1999" s="61"/>
      <c r="B1999" s="62"/>
      <c r="C1999" s="63"/>
      <c r="D1999" s="63"/>
      <c r="E1999" s="62"/>
      <c r="F1999" s="62"/>
      <c r="G1999" s="62"/>
      <c r="I1999" s="64" t="str">
        <f aca="false">IF($B1999="","",IF(ISNUMBER(MATCH($B1999,日別データ!$B$9:$B$28,0)),"✔ OK","⚠ 未登録"))</f>
        <v/>
      </c>
    </row>
    <row r="2000" customFormat="false" ht="15" hidden="false" customHeight="false" outlineLevel="0" collapsed="false">
      <c r="A2000" s="61"/>
      <c r="B2000" s="62"/>
      <c r="C2000" s="63"/>
      <c r="D2000" s="63"/>
      <c r="E2000" s="62"/>
      <c r="F2000" s="62"/>
      <c r="G2000" s="62"/>
      <c r="I2000" s="64" t="str">
        <f aca="false">IF($B2000="","",IF(ISNUMBER(MATCH($B2000,日別データ!$B$9:$B$28,0)),"✔ OK","⚠ 未登録"))</f>
        <v/>
      </c>
    </row>
    <row r="2001" customFormat="false" ht="15" hidden="false" customHeight="false" outlineLevel="0" collapsed="false">
      <c r="A2001" s="61"/>
      <c r="B2001" s="62"/>
      <c r="C2001" s="63"/>
      <c r="D2001" s="63"/>
      <c r="E2001" s="62"/>
      <c r="F2001" s="62"/>
      <c r="G2001" s="62"/>
      <c r="I2001" s="64" t="str">
        <f aca="false">IF($B2001="","",IF(ISNUMBER(MATCH($B2001,日別データ!$B$9:$B$28,0)),"✔ OK","⚠ 未登録"))</f>
        <v/>
      </c>
    </row>
    <row r="2002" customFormat="false" ht="15" hidden="false" customHeight="false" outlineLevel="0" collapsed="false">
      <c r="A2002" s="61"/>
      <c r="B2002" s="62"/>
      <c r="C2002" s="63"/>
      <c r="D2002" s="63"/>
      <c r="E2002" s="62"/>
      <c r="F2002" s="62"/>
      <c r="G2002" s="62"/>
      <c r="I2002" s="64" t="str">
        <f aca="false">IF($B2002="","",IF(ISNUMBER(MATCH($B2002,日別データ!$B$9:$B$28,0)),"✔ OK","⚠ 未登録"))</f>
        <v/>
      </c>
    </row>
    <row r="2003" customFormat="false" ht="15" hidden="false" customHeight="false" outlineLevel="0" collapsed="false">
      <c r="A2003" s="61"/>
      <c r="B2003" s="62"/>
      <c r="C2003" s="63"/>
      <c r="D2003" s="63"/>
      <c r="E2003" s="62"/>
      <c r="F2003" s="62"/>
      <c r="G2003" s="62"/>
      <c r="I2003" s="64" t="str">
        <f aca="false">IF($B2003="","",IF(ISNUMBER(MATCH($B2003,日別データ!$B$9:$B$28,0)),"✔ OK","⚠ 未登録"))</f>
        <v/>
      </c>
    </row>
    <row r="2004" customFormat="false" ht="15" hidden="false" customHeight="false" outlineLevel="0" collapsed="false">
      <c r="A2004" s="61"/>
      <c r="B2004" s="62"/>
      <c r="C2004" s="63"/>
      <c r="D2004" s="63"/>
      <c r="E2004" s="62"/>
      <c r="F2004" s="62"/>
      <c r="G2004" s="62"/>
      <c r="I2004" s="64" t="str">
        <f aca="false">IF($B2004="","",IF(ISNUMBER(MATCH($B2004,日別データ!$B$9:$B$28,0)),"✔ OK","⚠ 未登録"))</f>
        <v/>
      </c>
    </row>
  </sheetData>
  <mergeCells count="2">
    <mergeCell ref="A1:J1"/>
    <mergeCell ref="A2:G2"/>
  </mergeCells>
  <conditionalFormatting sqref="J3">
    <cfRule type="expression" priority="2" aboveAverage="0" equalAverage="0" bottom="0" percent="0" rank="0" text="" dxfId="1">
      <formula>$J$3&gt;0</formula>
    </cfRule>
  </conditionalFormatting>
  <conditionalFormatting sqref="I5:I2004">
    <cfRule type="expression" priority="3" aboveAverage="0" equalAverage="0" bottom="0" percent="0" rank="0" text="" dxfId="5">
      <formula>ISNUMBER(SEARCH("✔",I5))</formula>
    </cfRule>
    <cfRule type="expression" priority="4" aboveAverage="0" equalAverage="0" bottom="0" percent="0" rank="0" text="" dxfId="6">
      <formula>ISNUMBER(SEARCH("⚠",I5))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2026-08-26T16:05:24Z</dcterms:created>
  <dc:creator>TOHOシネマズ新宿 コンセッション</dc:creator>
  <dc:description/>
  <dc:language>en-US</dc:language>
  <cp:lastModifiedBy/>
  <dcterms:modified xsi:type="dcterms:W3CDTF">2026-08-26T16:05:25Z</dcterms:modified>
  <cp:revision>0</cp:revision>
  <dc:subject/>
  <dc:title>コンセッション事前準備数ツール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