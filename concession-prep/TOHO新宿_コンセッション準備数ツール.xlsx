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準備数計算" sheetId="2" state="visible" r:id="rId4"/>
    <sheet name="日別データ" sheetId="3" state="visible" r:id="rId5"/>
    <sheet name="CSV貼付" sheetId="4" state="visible" r:id="rId6"/>
  </sheets>
  <definedNames>
    <definedName function="false" hidden="false" localSheetId="3" name="_xlnm.Print_Area" vbProcedure="false">CSV貼付!$A$1:$I$64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WenQuanYi Zen Hei"/>
            <family val="2"/>
          </rPr>
          <t xml:space="preserve">サンプル値です。準備したい日の予測動員数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人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に置き換えてください。</t>
        </r>
      </text>
    </comment>
    <comment ref="G9" authorId="0">
      <text>
        <r>
          <rPr>
            <sz val="10"/>
            <rFont val="WenQuanYi Zen Hei"/>
            <family val="2"/>
          </rPr>
          <t xml:space="preserve">時間帯の名前は自由に変更できます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 12</t>
        </r>
        <r>
          <rPr>
            <sz val="10"/>
            <rFont val="WenQuanYi Zen Hei"/>
            <family val="2"/>
          </rPr>
          <t xml:space="preserve">時台、レイト前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</text>
    </comment>
    <comment ref="G10" authorId="0">
      <text>
        <r>
          <rPr>
            <sz val="10"/>
            <rFont val="WenQuanYi Zen Hei"/>
            <family val="2"/>
          </rPr>
          <t xml:space="preserve">倍率はサンプルです。</t>
        </r>
        <r>
          <rPr>
            <sz val="10"/>
            <rFont val="Arial"/>
            <family val="2"/>
          </rPr>
          <t xml:space="preserve">1.2 </t>
        </r>
        <r>
          <rPr>
            <sz val="10"/>
            <rFont val="WenQuanYi Zen Hei"/>
            <family val="2"/>
          </rPr>
          <t xml:space="preserve">と入力すると </t>
        </r>
        <r>
          <rPr>
            <sz val="10"/>
            <rFont val="Arial"/>
            <family val="2"/>
          </rPr>
          <t xml:space="preserve">×120% </t>
        </r>
        <r>
          <rPr>
            <sz val="10"/>
            <rFont val="WenQuanYi Zen Hei"/>
            <family val="2"/>
          </rPr>
          <t xml:space="preserve">になります。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" authorId="0">
      <text>
        <r>
          <rPr>
            <sz val="10"/>
            <rFont val="WenQuanYi Zen Hei"/>
            <family val="2"/>
          </rPr>
          <t xml:space="preserve">商品名はサンプルです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最大</t>
        </r>
        <r>
          <rPr>
            <sz val="10"/>
            <rFont val="Arial"/>
            <family val="2"/>
          </rPr>
          <t xml:space="preserve">20</t>
        </r>
        <r>
          <rPr>
            <sz val="10"/>
            <rFont val="WenQuanYi Zen Hei"/>
            <family val="2"/>
          </rPr>
          <t xml:space="preserve">枠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。</t>
        </r>
        <r>
          <rPr>
            <sz val="10"/>
            <rFont val="Arial"/>
            <family val="2"/>
          </rPr>
          <t xml:space="preserve">CSV</t>
        </r>
        <r>
          <rPr>
            <sz val="10"/>
            <rFont val="WenQuanYi Zen Hei"/>
            <family val="2"/>
          </rPr>
          <t xml:space="preserve">側の商品名と完全一致させてください。</t>
        </r>
      </text>
    </comment>
    <comment ref="C4" authorId="0">
      <text>
        <r>
          <rPr>
            <sz val="10"/>
            <rFont val="WenQuanYi Zen Hei"/>
            <family val="2"/>
          </rPr>
          <t xml:space="preserve">日付・動員数はサンプルです。実際の直近</t>
        </r>
        <r>
          <rPr>
            <sz val="10"/>
            <rFont val="Arial"/>
            <family val="2"/>
          </rPr>
          <t xml:space="preserve">7</t>
        </r>
        <r>
          <rPr>
            <sz val="10"/>
            <rFont val="WenQuanYi Zen Hei"/>
            <family val="2"/>
          </rPr>
          <t xml:space="preserve">日分に置き換えてください。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5</t>
        </r>
        <r>
          <rPr>
            <sz val="10"/>
            <rFont val="WenQuanYi Zen Hei"/>
            <family val="2"/>
          </rPr>
          <t xml:space="preserve">行目以降はサンプルデータです。実際の</t>
        </r>
        <r>
          <rPr>
            <sz val="10"/>
            <rFont val="Arial"/>
            <family val="2"/>
          </rPr>
          <t xml:space="preserve">CSV</t>
        </r>
        <r>
          <rPr>
            <sz val="10"/>
            <rFont val="WenQuanYi Zen Hei"/>
            <family val="2"/>
          </rPr>
          <t xml:space="preserve">に置き換えてください。</t>
        </r>
      </text>
    </comment>
    <comment ref="F4" authorId="0">
      <text>
        <r>
          <rPr>
            <sz val="10"/>
            <rFont val="WenQuanYi Zen Hei"/>
            <family val="2"/>
          </rPr>
          <t xml:space="preserve">「日別データ」の商品名一覧に載っているかを自動判定します。「⚠ 未登録」の行は集計されません。</t>
        </r>
      </text>
    </comment>
  </commentList>
</comments>
</file>

<file path=xl/sharedStrings.xml><?xml version="1.0" encoding="utf-8"?>
<sst xmlns="http://schemas.openxmlformats.org/spreadsheetml/2006/main" count="165" uniqueCount="83">
  <si>
    <t xml:space="preserve">　🍿 コンセッション 事前準備数ツール</t>
  </si>
  <si>
    <r>
      <rPr>
        <sz val="9.5"/>
        <color rgb="FF8A93A3"/>
        <rFont val="BIZ UDPゴシック"/>
        <family val="0"/>
        <charset val="1"/>
      </rPr>
      <t xml:space="preserve">TOHO</t>
    </r>
    <r>
      <rPr>
        <sz val="9.5"/>
        <color rgb="FF8A93A3"/>
        <rFont val="WenQuanYi Zen Hei"/>
        <family val="2"/>
      </rPr>
      <t xml:space="preserve">シネマズ新宿｜過去の購買率から、ピーク前の仕込み数を自動計算する雛形です</t>
    </r>
  </si>
  <si>
    <r>
      <rPr>
        <b val="true"/>
        <sz val="10"/>
        <color rgb="FF2E3A59"/>
        <rFont val="WenQuanYi Zen Hei"/>
        <family val="2"/>
      </rPr>
      <t xml:space="preserve">  つかいかた（</t>
    </r>
    <r>
      <rPr>
        <b val="true"/>
        <sz val="10"/>
        <color rgb="FF2E3A59"/>
        <rFont val="BIZ UDPゴシック"/>
        <family val="0"/>
        <charset val="1"/>
      </rPr>
      <t xml:space="preserve">3</t>
    </r>
    <r>
      <rPr>
        <b val="true"/>
        <sz val="10"/>
        <color rgb="FF2E3A59"/>
        <rFont val="WenQuanYi Zen Hei"/>
        <family val="2"/>
      </rPr>
      <t xml:space="preserve">ステップ）</t>
    </r>
  </si>
  <si>
    <t xml:space="preserve">①</t>
  </si>
  <si>
    <t xml:space="preserve">「日別データ」シートに 日付 と 動員数 を入力</t>
  </si>
  <si>
    <r>
      <rPr>
        <sz val="9"/>
        <color rgb="FF8A93A3"/>
        <rFont val="WenQuanYi Zen Hei"/>
        <family val="2"/>
      </rPr>
      <t xml:space="preserve">直近</t>
    </r>
    <r>
      <rPr>
        <sz val="9"/>
        <color rgb="FF8A93A3"/>
        <rFont val="BIZ UDPゴシック"/>
        <family val="0"/>
        <charset val="1"/>
      </rPr>
      <t xml:space="preserve">7</t>
    </r>
    <r>
      <rPr>
        <sz val="9"/>
        <color rgb="FF8A93A3"/>
        <rFont val="WenQuanYi Zen Hei"/>
        <family val="2"/>
      </rPr>
      <t xml:space="preserve">日分。日付は左から古い順（右端＝昨日）。販売数は</t>
    </r>
    <r>
      <rPr>
        <sz val="9"/>
        <color rgb="FF8A93A3"/>
        <rFont val="BIZ UDPゴシック"/>
        <family val="0"/>
        <charset val="1"/>
      </rPr>
      <t xml:space="preserve">STEP②</t>
    </r>
    <r>
      <rPr>
        <sz val="9"/>
        <color rgb="FF8A93A3"/>
        <rFont val="WenQuanYi Zen Hei"/>
        <family val="2"/>
      </rPr>
      <t xml:space="preserve">の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から自動で入ります。｜担当：社員</t>
    </r>
  </si>
  <si>
    <t xml:space="preserve">②</t>
  </si>
  <si>
    <r>
      <rPr>
        <b val="true"/>
        <sz val="11"/>
        <color rgb="FF333B4A"/>
        <rFont val="WenQuanYi Zen Hei"/>
        <family val="2"/>
      </rPr>
      <t xml:space="preserve">「</t>
    </r>
    <r>
      <rPr>
        <b val="true"/>
        <sz val="11"/>
        <color rgb="FF333B4A"/>
        <rFont val="BIZ UDPゴシック"/>
        <family val="0"/>
        <charset val="1"/>
      </rPr>
      <t xml:space="preserve">CSV</t>
    </r>
    <r>
      <rPr>
        <b val="true"/>
        <sz val="11"/>
        <color rgb="FF333B4A"/>
        <rFont val="WenQuanYi Zen Hei"/>
        <family val="2"/>
      </rPr>
      <t xml:space="preserve">貼付」シートに 集計ソフトの</t>
    </r>
    <r>
      <rPr>
        <b val="true"/>
        <sz val="11"/>
        <color rgb="FF333B4A"/>
        <rFont val="BIZ UDPゴシック"/>
        <family val="0"/>
        <charset val="1"/>
      </rPr>
      <t xml:space="preserve">CSV </t>
    </r>
    <r>
      <rPr>
        <b val="true"/>
        <sz val="11"/>
        <color rgb="FF333B4A"/>
        <rFont val="WenQuanYi Zen Hei"/>
        <family val="2"/>
      </rPr>
      <t xml:space="preserve">を貼り付け</t>
    </r>
  </si>
  <si>
    <r>
      <rPr>
        <sz val="9"/>
        <color rgb="FF8A93A3"/>
        <rFont val="BIZ UDPゴシック"/>
        <family val="0"/>
        <charset val="1"/>
      </rPr>
      <t xml:space="preserve">A</t>
    </r>
    <r>
      <rPr>
        <sz val="9"/>
        <color rgb="FF8A93A3"/>
        <rFont val="WenQuanYi Zen Hei"/>
        <family val="2"/>
      </rPr>
      <t xml:space="preserve">列</t>
    </r>
    <r>
      <rPr>
        <sz val="9"/>
        <color rgb="FF8A93A3"/>
        <rFont val="BIZ UDPゴシック"/>
        <family val="0"/>
        <charset val="1"/>
      </rPr>
      <t xml:space="preserve">=</t>
    </r>
    <r>
      <rPr>
        <sz val="9"/>
        <color rgb="FF8A93A3"/>
        <rFont val="WenQuanYi Zen Hei"/>
        <family val="2"/>
      </rPr>
      <t xml:space="preserve">日付・</t>
    </r>
    <r>
      <rPr>
        <sz val="9"/>
        <color rgb="FF8A93A3"/>
        <rFont val="BIZ UDPゴシック"/>
        <family val="0"/>
        <charset val="1"/>
      </rPr>
      <t xml:space="preserve">B</t>
    </r>
    <r>
      <rPr>
        <sz val="9"/>
        <color rgb="FF8A93A3"/>
        <rFont val="WenQuanYi Zen Hei"/>
        <family val="2"/>
      </rPr>
      <t xml:space="preserve">列</t>
    </r>
    <r>
      <rPr>
        <sz val="9"/>
        <color rgb="FF8A93A3"/>
        <rFont val="BIZ UDPゴシック"/>
        <family val="0"/>
        <charset val="1"/>
      </rPr>
      <t xml:space="preserve">=</t>
    </r>
    <r>
      <rPr>
        <sz val="9"/>
        <color rgb="FF8A93A3"/>
        <rFont val="WenQuanYi Zen Hei"/>
        <family val="2"/>
      </rPr>
      <t xml:space="preserve">商品名・</t>
    </r>
    <r>
      <rPr>
        <sz val="9"/>
        <color rgb="FF8A93A3"/>
        <rFont val="BIZ UDPゴシック"/>
        <family val="0"/>
        <charset val="1"/>
      </rPr>
      <t xml:space="preserve">C</t>
    </r>
    <r>
      <rPr>
        <sz val="9"/>
        <color rgb="FF8A93A3"/>
        <rFont val="WenQuanYi Zen Hei"/>
        <family val="2"/>
      </rPr>
      <t xml:space="preserve">列</t>
    </r>
    <r>
      <rPr>
        <sz val="9"/>
        <color rgb="FF8A93A3"/>
        <rFont val="BIZ UDPゴシック"/>
        <family val="0"/>
        <charset val="1"/>
      </rPr>
      <t xml:space="preserve">=</t>
    </r>
    <r>
      <rPr>
        <sz val="9"/>
        <color rgb="FF8A93A3"/>
        <rFont val="WenQuanYi Zen Hei"/>
        <family val="2"/>
      </rPr>
      <t xml:space="preserve">販売数。右側の商品名チェックが「✔ </t>
    </r>
    <r>
      <rPr>
        <sz val="9"/>
        <color rgb="FF8A93A3"/>
        <rFont val="BIZ UDPゴシック"/>
        <family val="0"/>
        <charset val="1"/>
      </rPr>
      <t xml:space="preserve">OK</t>
    </r>
    <r>
      <rPr>
        <sz val="9"/>
        <color rgb="FF8A93A3"/>
        <rFont val="WenQuanYi Zen Hei"/>
        <family val="2"/>
      </rPr>
      <t xml:space="preserve">」になっているか確認。｜担当：社員</t>
    </r>
  </si>
  <si>
    <t xml:space="preserve">③</t>
  </si>
  <si>
    <t xml:space="preserve">「準備数計算」シートで 参照期間 と 予測動員数 を選ぶ</t>
  </si>
  <si>
    <r>
      <rPr>
        <sz val="9"/>
        <color rgb="FF8A93A3"/>
        <rFont val="WenQuanYi Zen Hei"/>
        <family val="2"/>
      </rPr>
      <t xml:space="preserve">直近</t>
    </r>
    <r>
      <rPr>
        <sz val="9"/>
        <color rgb="FF8A93A3"/>
        <rFont val="BIZ UDPゴシック"/>
        <family val="0"/>
        <charset val="1"/>
      </rPr>
      <t xml:space="preserve">7</t>
    </r>
    <r>
      <rPr>
        <sz val="9"/>
        <color rgb="FF8A93A3"/>
        <rFont val="WenQuanYi Zen Hei"/>
        <family val="2"/>
      </rPr>
      <t xml:space="preserve">日間</t>
    </r>
    <r>
      <rPr>
        <sz val="9"/>
        <color rgb="FF8A93A3"/>
        <rFont val="BIZ UDPゴシック"/>
        <family val="0"/>
        <charset val="1"/>
      </rPr>
      <t xml:space="preserve">/3</t>
    </r>
    <r>
      <rPr>
        <sz val="9"/>
        <color rgb="FF8A93A3"/>
        <rFont val="WenQuanYi Zen Hei"/>
        <family val="2"/>
      </rPr>
      <t xml:space="preserve">日間</t>
    </r>
    <r>
      <rPr>
        <sz val="9"/>
        <color rgb="FF8A93A3"/>
        <rFont val="BIZ UDPゴシック"/>
        <family val="0"/>
        <charset val="1"/>
      </rPr>
      <t xml:space="preserve">/</t>
    </r>
    <r>
      <rPr>
        <sz val="9"/>
        <color rgb="FF8A93A3"/>
        <rFont val="WenQuanYi Zen Hei"/>
        <family val="2"/>
      </rPr>
      <t xml:space="preserve">昨日から期間を選択。時間帯の倍率（</t>
    </r>
    <r>
      <rPr>
        <sz val="9"/>
        <color rgb="FF8A93A3"/>
        <rFont val="BIZ UDPゴシック"/>
        <family val="0"/>
        <charset val="1"/>
      </rPr>
      <t xml:space="preserve">×120%</t>
    </r>
    <r>
      <rPr>
        <sz val="9"/>
        <color rgb="FF8A93A3"/>
        <rFont val="WenQuanYi Zen Hei"/>
        <family val="2"/>
      </rPr>
      <t xml:space="preserve">など）は表の右上で自由に変更。｜担当：社員（確認：スタッフ）</t>
    </r>
  </si>
  <si>
    <t xml:space="preserve">  セルの色のルール</t>
  </si>
  <si>
    <t xml:space="preserve">✏️ 黄色 ＝ 入力するセル</t>
  </si>
  <si>
    <t xml:space="preserve">🔒 グレー ＝ 自動計算</t>
  </si>
  <si>
    <t xml:space="preserve">  計算のしくみ</t>
  </si>
  <si>
    <r>
      <rPr>
        <sz val="10"/>
        <color rgb="FF333B4A"/>
        <rFont val="WenQuanYi Zen Hei"/>
        <family val="2"/>
      </rPr>
      <t xml:space="preserve">購買率 ＝ 参照期間の販売数 </t>
    </r>
    <r>
      <rPr>
        <sz val="10"/>
        <color rgb="FF333B4A"/>
        <rFont val="BIZ UDPゴシック"/>
        <family val="0"/>
        <charset val="1"/>
      </rPr>
      <t xml:space="preserve">÷ </t>
    </r>
    <r>
      <rPr>
        <sz val="10"/>
        <color rgb="FF333B4A"/>
        <rFont val="WenQuanYi Zen Hei"/>
        <family val="2"/>
      </rPr>
      <t xml:space="preserve">参照期間の動員数</t>
    </r>
  </si>
  <si>
    <r>
      <rPr>
        <sz val="10"/>
        <color rgb="FF333B4A"/>
        <rFont val="WenQuanYi Zen Hei"/>
        <family val="2"/>
      </rPr>
      <t xml:space="preserve">準備数 ＝ 予測動員数 </t>
    </r>
    <r>
      <rPr>
        <sz val="10"/>
        <color rgb="FF333B4A"/>
        <rFont val="BIZ UDPゴシック"/>
        <family val="0"/>
        <charset val="1"/>
      </rPr>
      <t xml:space="preserve">× </t>
    </r>
    <r>
      <rPr>
        <sz val="10"/>
        <color rgb="FF333B4A"/>
        <rFont val="WenQuanYi Zen Hei"/>
        <family val="2"/>
      </rPr>
      <t xml:space="preserve">購買率 </t>
    </r>
    <r>
      <rPr>
        <sz val="10"/>
        <color rgb="FF333B4A"/>
        <rFont val="BIZ UDPゴシック"/>
        <family val="0"/>
        <charset val="1"/>
      </rPr>
      <t xml:space="preserve">× </t>
    </r>
    <r>
      <rPr>
        <sz val="10"/>
        <color rgb="FF333B4A"/>
        <rFont val="WenQuanYi Zen Hei"/>
        <family val="2"/>
      </rPr>
      <t xml:space="preserve">時間帯倍率（小数点以下は切り上げ）</t>
    </r>
  </si>
  <si>
    <t xml:space="preserve">  注意メモ</t>
  </si>
  <si>
    <r>
      <rPr>
        <sz val="9.5"/>
        <color rgb="FF333B4A"/>
        <rFont val="WenQuanYi Zen Hei"/>
        <family val="2"/>
      </rPr>
      <t xml:space="preserve">・商品枠は最大</t>
    </r>
    <r>
      <rPr>
        <sz val="9.5"/>
        <color rgb="FF333B4A"/>
        <rFont val="BIZ UDPゴシック"/>
        <family val="0"/>
        <charset val="1"/>
      </rPr>
      <t xml:space="preserve">20</t>
    </r>
    <r>
      <rPr>
        <sz val="9.5"/>
        <color rgb="FF333B4A"/>
        <rFont val="WenQuanYi Zen Hei"/>
        <family val="2"/>
      </rPr>
      <t xml:space="preserve">です（「日別データ」シートの商品名欄）。</t>
    </r>
    <r>
      <rPr>
        <sz val="9.5"/>
        <color rgb="FF333B4A"/>
        <rFont val="BIZ UDPゴシック"/>
        <family val="0"/>
        <charset val="1"/>
      </rPr>
      <t xml:space="preserve">10</t>
    </r>
    <r>
      <rPr>
        <sz val="9.5"/>
        <color rgb="FF333B4A"/>
        <rFont val="WenQuanYi Zen Hei"/>
        <family val="2"/>
      </rPr>
      <t xml:space="preserve">〜</t>
    </r>
    <r>
      <rPr>
        <sz val="9.5"/>
        <color rgb="FF333B4A"/>
        <rFont val="BIZ UDPゴシック"/>
        <family val="0"/>
        <charset val="1"/>
      </rPr>
      <t xml:space="preserve">20</t>
    </r>
    <r>
      <rPr>
        <sz val="9.5"/>
        <color rgb="FF333B4A"/>
        <rFont val="WenQuanYi Zen Hei"/>
        <family val="2"/>
      </rPr>
      <t xml:space="preserve">品での運用を想定しています。</t>
    </r>
  </si>
  <si>
    <r>
      <rPr>
        <sz val="9.5"/>
        <color rgb="FF333B4A"/>
        <rFont val="WenQuanYi Zen Hei"/>
        <family val="2"/>
      </rPr>
      <t xml:space="preserve">・商品名は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側と完全一致が必要です。「⚠ 未登録」が出たら、どちらかの名前をそろえてください。</t>
    </r>
  </si>
  <si>
    <r>
      <rPr>
        <sz val="9.5"/>
        <color rgb="FF333B4A"/>
        <rFont val="WenQuanYi Zen Hei"/>
        <family val="2"/>
      </rPr>
      <t xml:space="preserve">・</t>
    </r>
    <r>
      <rPr>
        <sz val="9.5"/>
        <color rgb="FF333B4A"/>
        <rFont val="BIZ UDPゴシック"/>
        <family val="0"/>
        <charset val="1"/>
      </rPr>
      <t xml:space="preserve">CSV</t>
    </r>
    <r>
      <rPr>
        <sz val="9.5"/>
        <color rgb="FF333B4A"/>
        <rFont val="WenQuanYi Zen Hei"/>
        <family val="2"/>
      </rPr>
      <t xml:space="preserve">を貼り付けて日付が文字列になった場合は、日付列を選択 →「データ」→「区切り位置」で日付に戻せます。</t>
    </r>
  </si>
  <si>
    <t xml:space="preserve">・いまはサンプルデータが入っています。実際のデータで上書きしてお使いください。</t>
  </si>
  <si>
    <r>
      <rPr>
        <sz val="8.5"/>
        <color rgb="FF8A93A3"/>
        <rFont val="WenQuanYi Zen Hei"/>
        <family val="2"/>
      </rPr>
      <t xml:space="preserve">雛形版 </t>
    </r>
    <r>
      <rPr>
        <sz val="8.5"/>
        <color rgb="FF8A93A3"/>
        <rFont val="BIZ UDPゴシック"/>
        <family val="0"/>
        <charset val="1"/>
      </rPr>
      <t xml:space="preserve">v1.0</t>
    </r>
    <r>
      <rPr>
        <sz val="8.5"/>
        <color rgb="FF8A93A3"/>
        <rFont val="WenQuanYi Zen Hei"/>
        <family val="2"/>
      </rPr>
      <t xml:space="preserve">（</t>
    </r>
    <r>
      <rPr>
        <sz val="8.5"/>
        <color rgb="FF8A93A3"/>
        <rFont val="BIZ UDPゴシック"/>
        <family val="0"/>
        <charset val="1"/>
      </rPr>
      <t xml:space="preserve">2026/8</t>
    </r>
    <r>
      <rPr>
        <sz val="8.5"/>
        <color rgb="FF8A93A3"/>
        <rFont val="WenQuanYi Zen Hei"/>
        <family val="2"/>
      </rPr>
      <t xml:space="preserve">）｜数式・レイアウトは自由に調整してください</t>
    </r>
  </si>
  <si>
    <t xml:space="preserve">　🍿 準備数計算｜ピーク前の仕込み数</t>
  </si>
  <si>
    <r>
      <rPr>
        <sz val="9"/>
        <color rgb="FF8A93A3"/>
        <rFont val="WenQuanYi Zen Hei"/>
        <family val="2"/>
      </rPr>
      <t xml:space="preserve">過去の購買率 </t>
    </r>
    <r>
      <rPr>
        <sz val="9"/>
        <color rgb="FF8A93A3"/>
        <rFont val="BIZ UDPゴシック"/>
        <family val="0"/>
        <charset val="1"/>
      </rPr>
      <t xml:space="preserve">× </t>
    </r>
    <r>
      <rPr>
        <sz val="9"/>
        <color rgb="FF8A93A3"/>
        <rFont val="WenQuanYi Zen Hei"/>
        <family val="2"/>
      </rPr>
      <t xml:space="preserve">予測動員数 </t>
    </r>
    <r>
      <rPr>
        <sz val="9"/>
        <color rgb="FF8A93A3"/>
        <rFont val="BIZ UDPゴシック"/>
        <family val="0"/>
        <charset val="1"/>
      </rPr>
      <t xml:space="preserve">× </t>
    </r>
    <r>
      <rPr>
        <sz val="9"/>
        <color rgb="FF8A93A3"/>
        <rFont val="WenQuanYi Zen Hei"/>
        <family val="2"/>
      </rPr>
      <t xml:space="preserve">時間帯倍率 で、事前に準備する数を自動計算します</t>
    </r>
  </si>
  <si>
    <t xml:space="preserve"> ⚙ 計算用（さわらない）</t>
  </si>
  <si>
    <t xml:space="preserve">  ① 参照期間</t>
  </si>
  <si>
    <r>
      <rPr>
        <b val="true"/>
        <sz val="10.5"/>
        <color rgb="FF333B4A"/>
        <rFont val="WenQuanYi Zen Hei"/>
        <family val="2"/>
      </rPr>
      <t xml:space="preserve">直近</t>
    </r>
    <r>
      <rPr>
        <b val="true"/>
        <sz val="10.5"/>
        <color rgb="FF333B4A"/>
        <rFont val="BIZ UDPゴシック"/>
        <family val="0"/>
        <charset val="1"/>
      </rPr>
      <t xml:space="preserve">7</t>
    </r>
    <r>
      <rPr>
        <b val="true"/>
        <sz val="10.5"/>
        <color rgb="FF333B4A"/>
        <rFont val="WenQuanYi Zen Hei"/>
        <family val="2"/>
      </rPr>
      <t xml:space="preserve">日間</t>
    </r>
  </si>
  <si>
    <t xml:space="preserve">参照日数</t>
  </si>
  <si>
    <t xml:space="preserve">  ② 予測動員数</t>
  </si>
  <si>
    <t xml:space="preserve">← 準備したい日（明日など）の予測動員数を入力</t>
  </si>
  <si>
    <t xml:space="preserve">動員合計</t>
  </si>
  <si>
    <t xml:space="preserve">  ③ 時間帯倍率</t>
  </si>
  <si>
    <r>
      <rPr>
        <sz val="9"/>
        <color rgb="FF8A93A3"/>
        <rFont val="WenQuanYi Zen Hei"/>
        <family val="2"/>
      </rPr>
      <t xml:space="preserve">→ 右の「</t>
    </r>
    <r>
      <rPr>
        <sz val="9"/>
        <color rgb="FF8A93A3"/>
        <rFont val="BIZ UDPゴシック"/>
        <family val="0"/>
        <charset val="1"/>
      </rPr>
      <t xml:space="preserve">×○○%</t>
    </r>
    <r>
      <rPr>
        <sz val="9"/>
        <color rgb="FF8A93A3"/>
        <rFont val="WenQuanYi Zen Hei"/>
        <family val="2"/>
      </rPr>
      <t xml:space="preserve">」を書き換えると時間帯ごとの準備数に反映（名前も変更</t>
    </r>
    <r>
      <rPr>
        <sz val="9"/>
        <color rgb="FF8A93A3"/>
        <rFont val="BIZ UDPゴシック"/>
        <family val="0"/>
        <charset val="1"/>
      </rPr>
      <t xml:space="preserve">OK</t>
    </r>
    <r>
      <rPr>
        <sz val="9"/>
        <color rgb="FF8A93A3"/>
        <rFont val="WenQuanYi Zen Hei"/>
        <family val="2"/>
      </rPr>
      <t xml:space="preserve">）</t>
    </r>
  </si>
  <si>
    <t xml:space="preserve">No.</t>
  </si>
  <si>
    <t xml:space="preserve">商品名</t>
  </si>
  <si>
    <t xml:space="preserve">期間販売数</t>
  </si>
  <si>
    <t xml:space="preserve">購買率</t>
  </si>
  <si>
    <r>
      <rPr>
        <b val="true"/>
        <sz val="9.5"/>
        <color rgb="FFFFFFFF"/>
        <rFont val="WenQuanYi Zen Hei"/>
        <family val="2"/>
      </rPr>
      <t xml:space="preserve">基準準備数
</t>
    </r>
    <r>
      <rPr>
        <b val="true"/>
        <sz val="9.5"/>
        <color rgb="FFFFFFFF"/>
        <rFont val="BIZ UDPゴシック"/>
        <family val="0"/>
        <charset val="1"/>
      </rPr>
      <t xml:space="preserve">(</t>
    </r>
    <r>
      <rPr>
        <b val="true"/>
        <sz val="9.5"/>
        <color rgb="FFFFFFFF"/>
        <rFont val="WenQuanYi Zen Hei"/>
        <family val="2"/>
      </rPr>
      <t xml:space="preserve">倍率</t>
    </r>
    <r>
      <rPr>
        <b val="true"/>
        <sz val="9.5"/>
        <color rgb="FFFFFFFF"/>
        <rFont val="BIZ UDPゴシック"/>
        <family val="0"/>
        <charset val="1"/>
      </rPr>
      <t xml:space="preserve">100%)</t>
    </r>
  </si>
  <si>
    <r>
      <rPr>
        <b val="true"/>
        <sz val="8.5"/>
        <color rgb="FF333B4A"/>
        <rFont val="WenQuanYi Zen Hei"/>
        <family val="2"/>
      </rPr>
      <t xml:space="preserve"> ⏰ 時間帯別の準備数（自由に変更</t>
    </r>
    <r>
      <rPr>
        <b val="true"/>
        <sz val="8.5"/>
        <color rgb="FF333B4A"/>
        <rFont val="BIZ UDPゴシック"/>
        <family val="0"/>
        <charset val="1"/>
      </rPr>
      <t xml:space="preserve">OK</t>
    </r>
    <r>
      <rPr>
        <b val="true"/>
        <sz val="8.5"/>
        <color rgb="FF333B4A"/>
        <rFont val="WenQuanYi Zen Hei"/>
        <family val="2"/>
      </rPr>
      <t xml:space="preserve">）</t>
    </r>
  </si>
  <si>
    <t xml:space="preserve">通常帯</t>
  </si>
  <si>
    <t xml:space="preserve">混雑帯</t>
  </si>
  <si>
    <t xml:space="preserve">ピーク帯</t>
  </si>
  <si>
    <r>
      <rPr>
        <sz val="8.5"/>
        <color rgb="FF8A93A3"/>
        <rFont val="WenQuanYi Zen Hei"/>
        <family val="2"/>
      </rPr>
      <t xml:space="preserve">※ 準備数 ＝ 予測動員数 </t>
    </r>
    <r>
      <rPr>
        <sz val="8.5"/>
        <color rgb="FF8A93A3"/>
        <rFont val="BIZ UDPゴシック"/>
        <family val="0"/>
        <charset val="1"/>
      </rPr>
      <t xml:space="preserve">× </t>
    </r>
    <r>
      <rPr>
        <sz val="8.5"/>
        <color rgb="FF8A93A3"/>
        <rFont val="WenQuanYi Zen Hei"/>
        <family val="2"/>
      </rPr>
      <t xml:space="preserve">購買率 </t>
    </r>
    <r>
      <rPr>
        <sz val="8.5"/>
        <color rgb="FF8A93A3"/>
        <rFont val="BIZ UDPゴシック"/>
        <family val="0"/>
        <charset val="1"/>
      </rPr>
      <t xml:space="preserve">× </t>
    </r>
    <r>
      <rPr>
        <sz val="8.5"/>
        <color rgb="FF8A93A3"/>
        <rFont val="WenQuanYi Zen Hei"/>
        <family val="2"/>
      </rPr>
      <t xml:space="preserve">倍率（小数点以下切り上げ）｜購買率 ＝ 参照期間の販売数 </t>
    </r>
    <r>
      <rPr>
        <sz val="8.5"/>
        <color rgb="FF8A93A3"/>
        <rFont val="BIZ UDPゴシック"/>
        <family val="0"/>
        <charset val="1"/>
      </rPr>
      <t xml:space="preserve">÷ </t>
    </r>
    <r>
      <rPr>
        <sz val="8.5"/>
        <color rgb="FF8A93A3"/>
        <rFont val="WenQuanYi Zen Hei"/>
        <family val="2"/>
      </rPr>
      <t xml:space="preserve">動員数</t>
    </r>
  </si>
  <si>
    <t xml:space="preserve">　📅 日別データ（動員数・販売数）</t>
  </si>
  <si>
    <r>
      <rPr>
        <sz val="8.5"/>
        <color rgb="FF8A93A3"/>
        <rFont val="WenQuanYi Zen Hei"/>
        <family val="2"/>
      </rPr>
      <t xml:space="preserve">凡例</t>
    </r>
    <r>
      <rPr>
        <sz val="8.5"/>
        <color rgb="FF8A93A3"/>
        <rFont val="BIZ UDPゴシック"/>
        <family val="0"/>
        <charset val="1"/>
      </rPr>
      <t xml:space="preserve">:</t>
    </r>
  </si>
  <si>
    <t xml:space="preserve">✏️ 入力セル</t>
  </si>
  <si>
    <t xml:space="preserve">🔒 自動計算</t>
  </si>
  <si>
    <r>
      <rPr>
        <sz val="8.5"/>
        <color rgb="FF8A93A3"/>
        <rFont val="WenQuanYi Zen Hei"/>
        <family val="2"/>
      </rPr>
      <t xml:space="preserve">日付は左から古い順（右端＝昨日）。販売数は</t>
    </r>
    <r>
      <rPr>
        <sz val="8.5"/>
        <color rgb="FF8A93A3"/>
        <rFont val="BIZ UDPゴシック"/>
        <family val="0"/>
        <charset val="1"/>
      </rPr>
      <t xml:space="preserve">CSV</t>
    </r>
    <r>
      <rPr>
        <sz val="8.5"/>
        <color rgb="FF8A93A3"/>
        <rFont val="WenQuanYi Zen Hei"/>
        <family val="2"/>
      </rPr>
      <t xml:space="preserve">貼付から自動集計。</t>
    </r>
  </si>
  <si>
    <t xml:space="preserve">  日付</t>
  </si>
  <si>
    <t xml:space="preserve">  曜日</t>
  </si>
  <si>
    <r>
      <rPr>
        <sz val="8"/>
        <color rgb="FF8A93A3"/>
        <rFont val="BIZ UDPゴシック"/>
        <family val="0"/>
        <charset val="1"/>
      </rPr>
      <t xml:space="preserve">7</t>
    </r>
    <r>
      <rPr>
        <sz val="8"/>
        <color rgb="FF8A93A3"/>
        <rFont val="WenQuanYi Zen Hei"/>
        <family val="2"/>
      </rPr>
      <t xml:space="preserve">日計</t>
    </r>
  </si>
  <si>
    <t xml:space="preserve">  動員数（人）</t>
  </si>
  <si>
    <r>
      <rPr>
        <b val="true"/>
        <sz val="9.5"/>
        <color rgb="FFFFFFFF"/>
        <rFont val="BIZ UDPゴシック"/>
        <family val="0"/>
        <charset val="1"/>
      </rPr>
      <t xml:space="preserve">7</t>
    </r>
    <r>
      <rPr>
        <b val="true"/>
        <sz val="9.5"/>
        <color rgb="FFFFFFFF"/>
        <rFont val="WenQuanYi Zen Hei"/>
        <family val="2"/>
      </rPr>
      <t xml:space="preserve">日合計</t>
    </r>
  </si>
  <si>
    <t xml:space="preserve">メモ</t>
  </si>
  <si>
    <r>
      <rPr>
        <sz val="10.5"/>
        <color rgb="FF333B4A"/>
        <rFont val="WenQuanYi Zen Hei"/>
        <family val="2"/>
      </rPr>
      <t xml:space="preserve">ポップコーン（塩）</t>
    </r>
    <r>
      <rPr>
        <sz val="10.5"/>
        <color rgb="FF333B4A"/>
        <rFont val="BIZ UDPゴシック"/>
        <family val="0"/>
        <charset val="1"/>
      </rPr>
      <t xml:space="preserve">M</t>
    </r>
  </si>
  <si>
    <r>
      <rPr>
        <sz val="10.5"/>
        <color rgb="FF333B4A"/>
        <rFont val="WenQuanYi Zen Hei"/>
        <family val="2"/>
      </rPr>
      <t xml:space="preserve">ポップコーン（キャラメル）</t>
    </r>
    <r>
      <rPr>
        <sz val="10.5"/>
        <color rgb="FF333B4A"/>
        <rFont val="BIZ UDPゴシック"/>
        <family val="0"/>
        <charset val="1"/>
      </rPr>
      <t xml:space="preserve">M</t>
    </r>
  </si>
  <si>
    <t xml:space="preserve">ポップコーン ハーフ＆ハーフ</t>
  </si>
  <si>
    <r>
      <rPr>
        <sz val="10.5"/>
        <color rgb="FF333B4A"/>
        <rFont val="WenQuanYi Zen Hei"/>
        <family val="2"/>
      </rPr>
      <t xml:space="preserve">ドリンク </t>
    </r>
    <r>
      <rPr>
        <sz val="10.5"/>
        <color rgb="FF333B4A"/>
        <rFont val="BIZ UDPゴシック"/>
        <family val="0"/>
        <charset val="1"/>
      </rPr>
      <t xml:space="preserve">S</t>
    </r>
  </si>
  <si>
    <r>
      <rPr>
        <sz val="10.5"/>
        <color rgb="FF333B4A"/>
        <rFont val="WenQuanYi Zen Hei"/>
        <family val="2"/>
      </rPr>
      <t xml:space="preserve">ドリンク </t>
    </r>
    <r>
      <rPr>
        <sz val="10.5"/>
        <color rgb="FF333B4A"/>
        <rFont val="BIZ UDPゴシック"/>
        <family val="0"/>
        <charset val="1"/>
      </rPr>
      <t xml:space="preserve">M</t>
    </r>
  </si>
  <si>
    <r>
      <rPr>
        <sz val="10.5"/>
        <color rgb="FF333B4A"/>
        <rFont val="WenQuanYi Zen Hei"/>
        <family val="2"/>
      </rPr>
      <t xml:space="preserve">ドリンク </t>
    </r>
    <r>
      <rPr>
        <sz val="10.5"/>
        <color rgb="FF333B4A"/>
        <rFont val="BIZ UDPゴシック"/>
        <family val="0"/>
        <charset val="1"/>
      </rPr>
      <t xml:space="preserve">L</t>
    </r>
  </si>
  <si>
    <t xml:space="preserve">チュロス（シナモン）</t>
  </si>
  <si>
    <t xml:space="preserve">ホットドッグ</t>
  </si>
  <si>
    <t xml:space="preserve">ナチョス（チーズソース）</t>
  </si>
  <si>
    <t xml:space="preserve">フライドポテト</t>
  </si>
  <si>
    <t xml:space="preserve">チキンナゲット</t>
  </si>
  <si>
    <t xml:space="preserve">ソフトクリーム（バニラ）</t>
  </si>
  <si>
    <r>
      <rPr>
        <sz val="8.5"/>
        <color rgb="FF8A93A3"/>
        <rFont val="WenQuanYi Zen Hei"/>
        <family val="2"/>
      </rPr>
      <t xml:space="preserve">※ 販売数のセルは自動計算です。</t>
    </r>
    <r>
      <rPr>
        <sz val="8.5"/>
        <color rgb="FF8A93A3"/>
        <rFont val="BIZ UDPゴシック"/>
        <family val="0"/>
        <charset val="1"/>
      </rPr>
      <t xml:space="preserve">CSV</t>
    </r>
    <r>
      <rPr>
        <sz val="8.5"/>
        <color rgb="FF8A93A3"/>
        <rFont val="WenQuanYi Zen Hei"/>
        <family val="2"/>
      </rPr>
      <t xml:space="preserve">を使わず手入力したい場合は、数値を直接入力しても使えます（自動集計に戻すには、となりのセルの数式をコピーしてください）。</t>
    </r>
  </si>
  <si>
    <r>
      <rPr>
        <b val="true"/>
        <sz val="14"/>
        <color rgb="FFFFFFFF"/>
        <rFont val="WenQuanYi Zen Hei"/>
        <family val="2"/>
      </rPr>
      <t xml:space="preserve">　📋 </t>
    </r>
    <r>
      <rPr>
        <b val="true"/>
        <sz val="14"/>
        <color rgb="FFFFFFFF"/>
        <rFont val="BIZ UDPゴシック"/>
        <family val="0"/>
        <charset val="1"/>
      </rPr>
      <t xml:space="preserve">CSV</t>
    </r>
    <r>
      <rPr>
        <b val="true"/>
        <sz val="14"/>
        <color rgb="FFFFFFFF"/>
        <rFont val="WenQuanYi Zen Hei"/>
        <family val="2"/>
      </rPr>
      <t xml:space="preserve">貼付（集計ソフトのデータ）</t>
    </r>
  </si>
  <si>
    <r>
      <rPr>
        <sz val="9"/>
        <color rgb="FF8A93A3"/>
        <rFont val="WenQuanYi Zen Hei"/>
        <family val="2"/>
      </rPr>
      <t xml:space="preserve">集計ソフトから抽出した</t>
    </r>
    <r>
      <rPr>
        <sz val="9"/>
        <color rgb="FF8A93A3"/>
        <rFont val="BIZ UDPゴシック"/>
        <family val="0"/>
        <charset val="1"/>
      </rPr>
      <t xml:space="preserve">CSV</t>
    </r>
    <r>
      <rPr>
        <sz val="9"/>
        <color rgb="FF8A93A3"/>
        <rFont val="WenQuanYi Zen Hei"/>
        <family val="2"/>
      </rPr>
      <t xml:space="preserve">を、</t>
    </r>
    <r>
      <rPr>
        <sz val="9"/>
        <color rgb="FF8A93A3"/>
        <rFont val="BIZ UDPゴシック"/>
        <family val="0"/>
        <charset val="1"/>
      </rPr>
      <t xml:space="preserve">5</t>
    </r>
    <r>
      <rPr>
        <sz val="9"/>
        <color rgb="FF8A93A3"/>
        <rFont val="WenQuanYi Zen Hei"/>
        <family val="2"/>
      </rPr>
      <t xml:space="preserve">行目以降にそのまま貼り付けてください（</t>
    </r>
    <r>
      <rPr>
        <sz val="9"/>
        <color rgb="FF8A93A3"/>
        <rFont val="BIZ UDPゴシック"/>
        <family val="0"/>
        <charset val="1"/>
      </rPr>
      <t xml:space="preserve">A=</t>
    </r>
    <r>
      <rPr>
        <sz val="9"/>
        <color rgb="FF8A93A3"/>
        <rFont val="WenQuanYi Zen Hei"/>
        <family val="2"/>
      </rPr>
      <t xml:space="preserve">日付・</t>
    </r>
    <r>
      <rPr>
        <sz val="9"/>
        <color rgb="FF8A93A3"/>
        <rFont val="BIZ UDPゴシック"/>
        <family val="0"/>
        <charset val="1"/>
      </rPr>
      <t xml:space="preserve">B=</t>
    </r>
    <r>
      <rPr>
        <sz val="9"/>
        <color rgb="FF8A93A3"/>
        <rFont val="WenQuanYi Zen Hei"/>
        <family val="2"/>
      </rPr>
      <t xml:space="preserve">商品名・</t>
    </r>
    <r>
      <rPr>
        <sz val="9"/>
        <color rgb="FF8A93A3"/>
        <rFont val="BIZ UDPゴシック"/>
        <family val="0"/>
        <charset val="1"/>
      </rPr>
      <t xml:space="preserve">C=</t>
    </r>
    <r>
      <rPr>
        <sz val="9"/>
        <color rgb="FF8A93A3"/>
        <rFont val="WenQuanYi Zen Hei"/>
        <family val="2"/>
      </rPr>
      <t xml:space="preserve">販売数、最大</t>
    </r>
    <r>
      <rPr>
        <sz val="9"/>
        <color rgb="FF8A93A3"/>
        <rFont val="BIZ UDPゴシック"/>
        <family val="0"/>
        <charset val="1"/>
      </rPr>
      <t xml:space="preserve">500</t>
    </r>
    <r>
      <rPr>
        <sz val="9"/>
        <color rgb="FF8A93A3"/>
        <rFont val="WenQuanYi Zen Hei"/>
        <family val="2"/>
      </rPr>
      <t xml:space="preserve">行）。列の並びが違う場合は、貼り付けてから列を入れ替えてください。</t>
    </r>
  </si>
  <si>
    <t xml:space="preserve">貼付行数</t>
  </si>
  <si>
    <t xml:space="preserve">⚠ 未登録</t>
  </si>
  <si>
    <t xml:space="preserve">日付</t>
  </si>
  <si>
    <t xml:space="preserve">販売数</t>
  </si>
  <si>
    <t xml:space="preserve">金額（予備）</t>
  </si>
  <si>
    <t xml:space="preserve">（予備）</t>
  </si>
  <si>
    <t xml:space="preserve">商品名チェック</t>
  </si>
  <si>
    <r>
      <rPr>
        <sz val="9.5"/>
        <color rgb="FF333B4A"/>
        <rFont val="WenQuanYi Zen Hei"/>
        <family val="2"/>
      </rPr>
      <t xml:space="preserve">ポップコーン（塩）</t>
    </r>
    <r>
      <rPr>
        <sz val="9.5"/>
        <color rgb="FF333B4A"/>
        <rFont val="BIZ UDPゴシック"/>
        <family val="0"/>
        <charset val="1"/>
      </rPr>
      <t xml:space="preserve">M</t>
    </r>
  </si>
  <si>
    <r>
      <rPr>
        <sz val="9.5"/>
        <color rgb="FF333B4A"/>
        <rFont val="WenQuanYi Zen Hei"/>
        <family val="2"/>
      </rPr>
      <t xml:space="preserve">ポップコーン（キャラメル）</t>
    </r>
    <r>
      <rPr>
        <sz val="9.5"/>
        <color rgb="FF333B4A"/>
        <rFont val="BIZ UDPゴシック"/>
        <family val="0"/>
        <charset val="1"/>
      </rPr>
      <t xml:space="preserve">M</t>
    </r>
  </si>
  <si>
    <r>
      <rPr>
        <sz val="9.5"/>
        <color rgb="FF333B4A"/>
        <rFont val="WenQuanYi Zen Hei"/>
        <family val="2"/>
      </rPr>
      <t xml:space="preserve">ドリンク </t>
    </r>
    <r>
      <rPr>
        <sz val="9.5"/>
        <color rgb="FF333B4A"/>
        <rFont val="BIZ UDPゴシック"/>
        <family val="0"/>
        <charset val="1"/>
      </rPr>
      <t xml:space="preserve">S</t>
    </r>
  </si>
  <si>
    <r>
      <rPr>
        <sz val="9.5"/>
        <color rgb="FF333B4A"/>
        <rFont val="WenQuanYi Zen Hei"/>
        <family val="2"/>
      </rPr>
      <t xml:space="preserve">ドリンク </t>
    </r>
    <r>
      <rPr>
        <sz val="9.5"/>
        <color rgb="FF333B4A"/>
        <rFont val="BIZ UDPゴシック"/>
        <family val="0"/>
        <charset val="1"/>
      </rPr>
      <t xml:space="preserve">M</t>
    </r>
  </si>
  <si>
    <r>
      <rPr>
        <sz val="9.5"/>
        <color rgb="FF333B4A"/>
        <rFont val="WenQuanYi Zen Hei"/>
        <family val="2"/>
      </rPr>
      <t xml:space="preserve">ドリンク </t>
    </r>
    <r>
      <rPr>
        <sz val="9.5"/>
        <color rgb="FF333B4A"/>
        <rFont val="BIZ UDPゴシック"/>
        <family val="0"/>
        <charset val="1"/>
      </rPr>
      <t xml:space="preserve">L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</si>
</sst>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\×0%"/>
    <numFmt numFmtId="167" formatCode="0.0%"/>
    <numFmt numFmtId="168" formatCode="m/d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WenQuanYi Zen Hei"/>
      <family val="2"/>
    </font>
    <font>
      <sz val="9.5"/>
      <color rgb="FF8A93A3"/>
      <name val="BIZ UDPゴシック"/>
      <family val="0"/>
      <charset val="1"/>
    </font>
    <font>
      <sz val="9.5"/>
      <color rgb="FF8A93A3"/>
      <name val="WenQuanYi Zen Hei"/>
      <family val="2"/>
    </font>
    <font>
      <b val="true"/>
      <sz val="10"/>
      <color rgb="FF2E3A59"/>
      <name val="WenQuanYi Zen Hei"/>
      <family val="2"/>
    </font>
    <font>
      <b val="true"/>
      <sz val="10"/>
      <color rgb="FF2E3A59"/>
      <name val="BIZ UDPゴシック"/>
      <family val="0"/>
      <charset val="1"/>
    </font>
    <font>
      <b val="true"/>
      <sz val="16"/>
      <color rgb="FFE8604C"/>
      <name val="BIZ UDPゴシック"/>
      <family val="0"/>
      <charset val="1"/>
    </font>
    <font>
      <b val="true"/>
      <sz val="11"/>
      <color rgb="FF333B4A"/>
      <name val="WenQuanYi Zen Hei"/>
      <family val="2"/>
    </font>
    <font>
      <sz val="9"/>
      <color rgb="FF8A93A3"/>
      <name val="WenQuanYi Zen Hei"/>
      <family val="2"/>
    </font>
    <font>
      <sz val="9"/>
      <color rgb="FF8A93A3"/>
      <name val="BIZ UDPゴシック"/>
      <family val="0"/>
      <charset val="1"/>
    </font>
    <font>
      <b val="true"/>
      <sz val="16"/>
      <color rgb="FFE9A13B"/>
      <name val="BIZ UDPゴシック"/>
      <family val="0"/>
      <charset val="1"/>
    </font>
    <font>
      <b val="true"/>
      <sz val="11"/>
      <color rgb="FF333B4A"/>
      <name val="BIZ UDPゴシック"/>
      <family val="0"/>
      <charset val="1"/>
    </font>
    <font>
      <b val="true"/>
      <sz val="16"/>
      <color rgb="FF1F9E92"/>
      <name val="BIZ UDPゴシック"/>
      <family val="0"/>
      <charset val="1"/>
    </font>
    <font>
      <sz val="9.5"/>
      <color rgb="FF333B4A"/>
      <name val="WenQuanYi Zen Hei"/>
      <family val="2"/>
    </font>
    <font>
      <sz val="9.5"/>
      <color rgb="FF5B6472"/>
      <name val="WenQuanYi Zen Hei"/>
      <family val="2"/>
    </font>
    <font>
      <sz val="10"/>
      <color rgb="FF333B4A"/>
      <name val="WenQuanYi Zen Hei"/>
      <family val="2"/>
    </font>
    <font>
      <sz val="10"/>
      <color rgb="FF333B4A"/>
      <name val="BIZ UDPゴシック"/>
      <family val="0"/>
      <charset val="1"/>
    </font>
    <font>
      <sz val="9.5"/>
      <color rgb="FF333B4A"/>
      <name val="BIZ UDPゴシック"/>
      <family val="0"/>
      <charset val="1"/>
    </font>
    <font>
      <sz val="8.5"/>
      <color rgb="FF8A93A3"/>
      <name val="WenQuanYi Zen Hei"/>
      <family val="2"/>
    </font>
    <font>
      <sz val="8.5"/>
      <color rgb="FF8A93A3"/>
      <name val="BIZ UDPゴシック"/>
      <family val="0"/>
      <charset val="1"/>
    </font>
    <font>
      <sz val="8"/>
      <color rgb="FF8A93A3"/>
      <name val="WenQuanYi Zen Hei"/>
      <family val="2"/>
    </font>
    <font>
      <b val="true"/>
      <sz val="10"/>
      <color rgb="FF333B4A"/>
      <name val="WenQuanYi Zen Hei"/>
      <family val="2"/>
    </font>
    <font>
      <b val="true"/>
      <sz val="10.5"/>
      <color rgb="FF333B4A"/>
      <name val="WenQuanYi Zen Hei"/>
      <family val="2"/>
    </font>
    <font>
      <b val="true"/>
      <sz val="10.5"/>
      <color rgb="FF333B4A"/>
      <name val="BIZ UDPゴシック"/>
      <family val="0"/>
      <charset val="1"/>
    </font>
    <font>
      <b val="true"/>
      <sz val="9.5"/>
      <color rgb="FFFFFFFF"/>
      <name val="BIZ UDPゴシック"/>
      <family val="0"/>
      <charset val="1"/>
    </font>
    <font>
      <b val="true"/>
      <sz val="9.5"/>
      <color rgb="FFFFFFFF"/>
      <name val="WenQuanYi Zen Hei"/>
      <family val="2"/>
    </font>
    <font>
      <b val="true"/>
      <sz val="8.5"/>
      <color rgb="FF333B4A"/>
      <name val="WenQuanYi Zen Hei"/>
      <family val="2"/>
    </font>
    <font>
      <b val="true"/>
      <sz val="8.5"/>
      <color rgb="FF333B4A"/>
      <name val="BIZ UDPゴシック"/>
      <family val="0"/>
      <charset val="1"/>
    </font>
    <font>
      <b val="true"/>
      <sz val="9.5"/>
      <color rgb="FF333B4A"/>
      <name val="WenQuanYi Zen Hei"/>
      <family val="2"/>
    </font>
    <font>
      <b val="true"/>
      <sz val="10"/>
      <color rgb="FFE8604C"/>
      <name val="BIZ UDPゴシック"/>
      <family val="0"/>
      <charset val="1"/>
    </font>
    <font>
      <sz val="10.5"/>
      <color rgb="FF333B4A"/>
      <name val="WenQuanYi Zen Hei"/>
      <family val="2"/>
    </font>
    <font>
      <sz val="10"/>
      <color rgb="FF5B6472"/>
      <name val="BIZ UDPゴシック"/>
      <family val="0"/>
      <charset val="1"/>
    </font>
    <font>
      <b val="true"/>
      <sz val="10.5"/>
      <color rgb="FFE8604C"/>
      <name val="BIZ UDPゴシック"/>
      <family val="0"/>
      <charset val="1"/>
    </font>
    <font>
      <b val="true"/>
      <sz val="10.5"/>
      <color rgb="FF2E3A59"/>
      <name val="BIZ UDPゴシック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sz val="8.5"/>
      <color rgb="FF333B4A"/>
      <name val="WenQuanYi Zen Hei"/>
      <family val="2"/>
    </font>
    <font>
      <sz val="8.5"/>
      <color rgb="FF5B6472"/>
      <name val="WenQuanYi Zen Hei"/>
      <family val="2"/>
    </font>
    <font>
      <b val="true"/>
      <sz val="10"/>
      <color rgb="FF333B4A"/>
      <name val="BIZ UDPゴシック"/>
      <family val="0"/>
      <charset val="1"/>
    </font>
    <font>
      <sz val="8"/>
      <color rgb="FF8A93A3"/>
      <name val="BIZ UDPゴシック"/>
      <family val="0"/>
      <charset val="1"/>
    </font>
    <font>
      <sz val="10.5"/>
      <color rgb="FF333B4A"/>
      <name val="BIZ UDPゴシック"/>
      <family val="0"/>
      <charset val="1"/>
    </font>
    <font>
      <b val="true"/>
      <sz val="10.5"/>
      <color rgb="FF1F9E92"/>
      <name val="BIZ UDPゴシック"/>
      <family val="0"/>
      <charset val="1"/>
    </font>
    <font>
      <b val="true"/>
      <sz val="10"/>
      <color rgb="FF5B6472"/>
      <name val="BIZ UDPゴシック"/>
      <family val="0"/>
      <charset val="1"/>
    </font>
    <font>
      <sz val="9"/>
      <color rgb="FF333B4A"/>
      <name val="BIZ UDPゴシック"/>
      <family val="0"/>
      <charset val="1"/>
    </font>
    <font>
      <b val="true"/>
      <sz val="14"/>
      <color rgb="FFFFFFFF"/>
      <name val="BIZ UDPゴシック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2E3A59"/>
        <bgColor rgb="FF333B4A"/>
      </patternFill>
    </fill>
    <fill>
      <patternFill patternType="solid">
        <fgColor rgb="FFE9EDF5"/>
        <bgColor rgb="FFDFF2F0"/>
      </patternFill>
    </fill>
    <fill>
      <patternFill patternType="solid">
        <fgColor rgb="FFFFFFFF"/>
        <bgColor rgb="FFF8FAFC"/>
      </patternFill>
    </fill>
    <fill>
      <patternFill patternType="solid">
        <fgColor rgb="FFFFF4D6"/>
        <bgColor rgb="FFFDF0DA"/>
      </patternFill>
    </fill>
    <fill>
      <patternFill patternType="solid">
        <fgColor rgb="FFF2F4F7"/>
        <bgColor rgb="FFF7F8FA"/>
      </patternFill>
    </fill>
    <fill>
      <patternFill patternType="solid">
        <fgColor rgb="FFF7F8FA"/>
        <bgColor rgb="FFF8FAFC"/>
      </patternFill>
    </fill>
    <fill>
      <patternFill patternType="solid">
        <fgColor rgb="FFFCE7E2"/>
        <bgColor rgb="FFFDECEC"/>
      </patternFill>
    </fill>
    <fill>
      <patternFill patternType="solid">
        <fgColor rgb="FFFDF0DA"/>
        <bgColor rgb="FFFFF4D6"/>
      </patternFill>
    </fill>
    <fill>
      <patternFill patternType="solid">
        <fgColor rgb="FFFFF1EE"/>
        <bgColor rgb="FFFDECEC"/>
      </patternFill>
    </fill>
    <fill>
      <patternFill patternType="solid">
        <fgColor rgb="FFF8FAFC"/>
        <bgColor rgb="FFF7F8FA"/>
      </patternFill>
    </fill>
    <fill>
      <patternFill patternType="solid">
        <fgColor rgb="FFDFF2F0"/>
        <bgColor rgb="FFE9EDF5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>
        <color rgb="FFE8604C"/>
      </left>
      <right style="medium">
        <color rgb="FFE8604C"/>
      </right>
      <top style="medium">
        <color rgb="FFE8604C"/>
      </top>
      <bottom style="medium">
        <color rgb="FFE8604C"/>
      </bottom>
      <diagonal/>
    </border>
    <border diagonalUp="false" diagonalDown="false">
      <left style="medium">
        <color rgb="FFE9A13B"/>
      </left>
      <right style="medium">
        <color rgb="FFE9A13B"/>
      </right>
      <top style="medium">
        <color rgb="FFE9A13B"/>
      </top>
      <bottom style="medium">
        <color rgb="FFE9A13B"/>
      </bottom>
      <diagonal/>
    </border>
    <border diagonalUp="false" diagonalDown="false">
      <left style="medium">
        <color rgb="FF1F9E92"/>
      </left>
      <right style="medium">
        <color rgb="FF1F9E92"/>
      </right>
      <top style="medium">
        <color rgb="FF1F9E92"/>
      </top>
      <bottom style="medium">
        <color rgb="FF1F9E92"/>
      </bottom>
      <diagonal/>
    </border>
    <border diagonalUp="false" diagonalDown="false"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  <border diagonalUp="false" diagonalDown="false">
      <left style="thin">
        <color rgb="FFDFE3EA"/>
      </left>
      <right style="thin">
        <color rgb="FFDFE3EA"/>
      </right>
      <top style="thin">
        <color rgb="FFDFE3EA"/>
      </top>
      <bottom style="thin">
        <color rgb="FFDFE3EA"/>
      </bottom>
      <diagonal/>
    </border>
    <border diagonalUp="false" diagonalDown="false">
      <left style="hair">
        <color rgb="FFDFE3EA"/>
      </left>
      <right style="hair">
        <color rgb="FFDFE3EA"/>
      </right>
      <top style="hair">
        <color rgb="FFDFE3EA"/>
      </top>
      <bottom style="hair">
        <color rgb="FFDFE3EA"/>
      </bottom>
      <diagonal/>
    </border>
    <border diagonalUp="false" diagonalDown="false">
      <left style="hair">
        <color rgb="FFDFE3EA"/>
      </left>
      <right style="hair">
        <color rgb="FFDFE3EA"/>
      </right>
      <top/>
      <bottom style="hair">
        <color rgb="FFDF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7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2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5" fillId="1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1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4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4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9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41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3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4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7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4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5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BIZ UDPゴシック"/>
        <charset val="1"/>
        <family val="0"/>
        <b val="1"/>
        <color rgb="FFD14343"/>
      </font>
    </dxf>
    <dxf>
      <font>
        <name val="BIZ UDPゴシック"/>
        <charset val="1"/>
        <family val="0"/>
        <b val="1"/>
        <color rgb="FF3B6FD4"/>
      </font>
    </dxf>
    <dxf>
      <font>
        <name val="BIZ UDPゴシック"/>
        <charset val="1"/>
        <family val="0"/>
        <color rgb="FF2E9E5B"/>
        <sz val="9"/>
      </font>
    </dxf>
    <dxf>
      <font>
        <name val="BIZ UDPゴシック"/>
        <charset val="1"/>
        <family val="0"/>
        <b val="1"/>
        <color rgb="FFD14343"/>
        <sz val="9"/>
      </font>
      <fill>
        <patternFill>
          <bgColor rgb="FFFDEC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1F9E92"/>
      <rgbColor rgb="FFFCE7E2"/>
      <rgbColor rgb="FF808080"/>
      <rgbColor rgb="FF9999FF"/>
      <rgbColor rgb="FFD14343"/>
      <rgbColor rgb="FFFFF4D6"/>
      <rgbColor rgb="FFDFF2F0"/>
      <rgbColor rgb="FF660066"/>
      <rgbColor rgb="FFFF8080"/>
      <rgbColor rgb="FF0066CC"/>
      <rgbColor rgb="FFDF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DF5"/>
      <rgbColor rgb="FFF2F4F7"/>
      <rgbColor rgb="FFFDF0DA"/>
      <rgbColor rgb="FFFDECEC"/>
      <rgbColor rgb="FFFFF1EE"/>
      <rgbColor rgb="FFF7F8FA"/>
      <rgbColor rgb="FFF0D48A"/>
      <rgbColor rgb="FF3B6FD4"/>
      <rgbColor rgb="FF33CCCC"/>
      <rgbColor rgb="FF99CC00"/>
      <rgbColor rgb="FFFFCC00"/>
      <rgbColor rgb="FFE9A13B"/>
      <rgbColor rgb="FFE8604C"/>
      <rgbColor rgb="FF5B6472"/>
      <rgbColor rgb="FF8A93A3"/>
      <rgbColor rgb="FF003366"/>
      <rgbColor rgb="FF2E9E5B"/>
      <rgbColor rgb="FF003300"/>
      <rgbColor rgb="FF333300"/>
      <rgbColor rgb="FF993300"/>
      <rgbColor rgb="FF993366"/>
      <rgbColor rgb="FF2E3A59"/>
      <rgbColor rgb="FF333B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3A59"/>
    <pageSetUpPr fitToPage="true"/>
  </sheetPr>
  <dimension ref="A1:J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10" min="3" style="0" width="13"/>
  </cols>
  <sheetData>
    <row r="1" customFormat="false" ht="37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3" t="s">
        <v>2</v>
      </c>
      <c r="C4" s="3"/>
      <c r="D4" s="3"/>
    </row>
    <row r="6" customFormat="false" ht="24" hidden="false" customHeight="true" outlineLevel="0" collapsed="false">
      <c r="B6" s="4" t="s">
        <v>3</v>
      </c>
      <c r="C6" s="5" t="s">
        <v>4</v>
      </c>
      <c r="D6" s="5"/>
      <c r="E6" s="5"/>
      <c r="F6" s="5"/>
      <c r="G6" s="5"/>
      <c r="H6" s="5"/>
      <c r="I6" s="5"/>
      <c r="J6" s="5"/>
    </row>
    <row r="7" customFormat="false" ht="31.5" hidden="false" customHeight="true" outlineLevel="0" collapsed="false">
      <c r="B7" s="4"/>
      <c r="C7" s="6" t="s">
        <v>5</v>
      </c>
      <c r="D7" s="6"/>
      <c r="E7" s="6"/>
      <c r="F7" s="6"/>
      <c r="G7" s="6"/>
      <c r="H7" s="6"/>
      <c r="I7" s="6"/>
      <c r="J7" s="6"/>
    </row>
    <row r="9" customFormat="false" ht="24" hidden="false" customHeight="true" outlineLevel="0" collapsed="false">
      <c r="B9" s="7" t="s">
        <v>6</v>
      </c>
      <c r="C9" s="5" t="s">
        <v>7</v>
      </c>
      <c r="D9" s="5"/>
      <c r="E9" s="5"/>
      <c r="F9" s="5"/>
      <c r="G9" s="5"/>
      <c r="H9" s="5"/>
      <c r="I9" s="5"/>
      <c r="J9" s="5"/>
    </row>
    <row r="10" customFormat="false" ht="31.5" hidden="false" customHeight="true" outlineLevel="0" collapsed="false">
      <c r="B10" s="7"/>
      <c r="C10" s="8" t="s">
        <v>8</v>
      </c>
      <c r="D10" s="8"/>
      <c r="E10" s="8"/>
      <c r="F10" s="8"/>
      <c r="G10" s="8"/>
      <c r="H10" s="8"/>
      <c r="I10" s="8"/>
      <c r="J10" s="8"/>
    </row>
    <row r="12" customFormat="false" ht="24" hidden="false" customHeight="true" outlineLevel="0" collapsed="false">
      <c r="B12" s="9" t="s">
        <v>9</v>
      </c>
      <c r="C12" s="5" t="s">
        <v>10</v>
      </c>
      <c r="D12" s="5"/>
      <c r="E12" s="5"/>
      <c r="F12" s="5"/>
      <c r="G12" s="5"/>
      <c r="H12" s="5"/>
      <c r="I12" s="5"/>
      <c r="J12" s="5"/>
    </row>
    <row r="13" customFormat="false" ht="31.5" hidden="false" customHeight="true" outlineLevel="0" collapsed="false">
      <c r="B13" s="9"/>
      <c r="C13" s="6" t="s">
        <v>11</v>
      </c>
      <c r="D13" s="6"/>
      <c r="E13" s="6"/>
      <c r="F13" s="6"/>
      <c r="G13" s="6"/>
      <c r="H13" s="6"/>
      <c r="I13" s="6"/>
      <c r="J13" s="6"/>
    </row>
    <row r="16" customFormat="false" ht="21.75" hidden="false" customHeight="true" outlineLevel="0" collapsed="false">
      <c r="B16" s="3" t="s">
        <v>12</v>
      </c>
      <c r="C16" s="3"/>
      <c r="D16" s="3"/>
    </row>
    <row r="17" customFormat="false" ht="19.5" hidden="false" customHeight="true" outlineLevel="0" collapsed="false">
      <c r="C17" s="10" t="s">
        <v>13</v>
      </c>
      <c r="D17" s="10"/>
      <c r="F17" s="11" t="s">
        <v>14</v>
      </c>
      <c r="G17" s="11"/>
    </row>
    <row r="19" customFormat="false" ht="21.75" hidden="false" customHeight="true" outlineLevel="0" collapsed="false">
      <c r="B19" s="3" t="s">
        <v>15</v>
      </c>
      <c r="C19" s="3"/>
      <c r="D19" s="3"/>
    </row>
    <row r="20" customFormat="false" ht="15" hidden="false" customHeight="false" outlineLevel="0" collapsed="false">
      <c r="C20" s="12" t="s">
        <v>16</v>
      </c>
      <c r="D20" s="12"/>
      <c r="E20" s="12"/>
      <c r="F20" s="12"/>
      <c r="G20" s="12"/>
      <c r="H20" s="12"/>
      <c r="I20" s="12"/>
      <c r="J20" s="12"/>
    </row>
    <row r="21" customFormat="false" ht="15" hidden="false" customHeight="false" outlineLevel="0" collapsed="false">
      <c r="C21" s="12" t="s">
        <v>17</v>
      </c>
      <c r="D21" s="12"/>
      <c r="E21" s="12"/>
      <c r="F21" s="12"/>
      <c r="G21" s="12"/>
      <c r="H21" s="12"/>
      <c r="I21" s="12"/>
      <c r="J21" s="12"/>
    </row>
    <row r="23" customFormat="false" ht="21.75" hidden="false" customHeight="true" outlineLevel="0" collapsed="false">
      <c r="B23" s="3" t="s">
        <v>18</v>
      </c>
      <c r="C23" s="3"/>
      <c r="D23" s="3"/>
    </row>
    <row r="24" customFormat="false" ht="30" hidden="false" customHeight="true" outlineLevel="0" collapsed="false">
      <c r="C24" s="13" t="s">
        <v>19</v>
      </c>
      <c r="D24" s="13"/>
      <c r="E24" s="13"/>
      <c r="F24" s="13"/>
      <c r="G24" s="13"/>
      <c r="H24" s="13"/>
      <c r="I24" s="13"/>
      <c r="J24" s="13"/>
    </row>
    <row r="25" customFormat="false" ht="30" hidden="false" customHeight="true" outlineLevel="0" collapsed="false">
      <c r="C25" s="13" t="s">
        <v>20</v>
      </c>
      <c r="D25" s="13"/>
      <c r="E25" s="13"/>
      <c r="F25" s="13"/>
      <c r="G25" s="13"/>
      <c r="H25" s="13"/>
      <c r="I25" s="13"/>
      <c r="J25" s="13"/>
    </row>
    <row r="26" customFormat="false" ht="30" hidden="false" customHeight="true" outlineLevel="0" collapsed="false">
      <c r="C26" s="13" t="s">
        <v>21</v>
      </c>
      <c r="D26" s="13"/>
      <c r="E26" s="13"/>
      <c r="F26" s="13"/>
      <c r="G26" s="13"/>
      <c r="H26" s="13"/>
      <c r="I26" s="13"/>
      <c r="J26" s="13"/>
    </row>
    <row r="27" customFormat="false" ht="30" hidden="false" customHeight="true" outlineLevel="0" collapsed="false">
      <c r="C27" s="13" t="s">
        <v>22</v>
      </c>
      <c r="D27" s="13"/>
      <c r="E27" s="13"/>
      <c r="F27" s="13"/>
      <c r="G27" s="13"/>
      <c r="H27" s="13"/>
      <c r="I27" s="13"/>
      <c r="J27" s="13"/>
    </row>
    <row r="29" customFormat="false" ht="15" hidden="false" customHeight="false" outlineLevel="0" collapsed="false">
      <c r="C29" s="14" t="s">
        <v>23</v>
      </c>
      <c r="D29" s="14"/>
      <c r="E29" s="14"/>
      <c r="F29" s="14"/>
      <c r="G29" s="14"/>
      <c r="H29" s="14"/>
      <c r="I29" s="14"/>
      <c r="J29" s="14"/>
    </row>
  </sheetData>
  <mergeCells count="24">
    <mergeCell ref="A1:J1"/>
    <mergeCell ref="B2:J2"/>
    <mergeCell ref="B4:D4"/>
    <mergeCell ref="B6:B7"/>
    <mergeCell ref="C6:J6"/>
    <mergeCell ref="C7:J7"/>
    <mergeCell ref="B9:B10"/>
    <mergeCell ref="C9:J9"/>
    <mergeCell ref="C10:J10"/>
    <mergeCell ref="B12:B13"/>
    <mergeCell ref="C12:J12"/>
    <mergeCell ref="C13:J13"/>
    <mergeCell ref="B16:D16"/>
    <mergeCell ref="C17:D17"/>
    <mergeCell ref="F17:G17"/>
    <mergeCell ref="B19:D19"/>
    <mergeCell ref="C20:J20"/>
    <mergeCell ref="C21:J21"/>
    <mergeCell ref="B23:D23"/>
    <mergeCell ref="C24:J24"/>
    <mergeCell ref="C25:J25"/>
    <mergeCell ref="C26:J26"/>
    <mergeCell ref="C27:J27"/>
    <mergeCell ref="C29:J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604C"/>
    <pageSetUpPr fitToPage="true"/>
  </sheetPr>
  <dimension ref="B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9" min="7" style="0" width="12"/>
    <col collapsed="false" customWidth="true" hidden="false" outlineLevel="0" max="10" min="10" style="0" width="2.5"/>
    <col collapsed="false" customWidth="true" hidden="false" outlineLevel="0" max="11" min="11" style="0" width="12"/>
    <col collapsed="false" customWidth="true" hidden="false" outlineLevel="0" max="12" min="12" style="0" width="10"/>
  </cols>
  <sheetData>
    <row r="1" customFormat="false" ht="33.75" hidden="false" customHeight="true" outlineLevel="0" collapsed="false">
      <c r="B1" s="1" t="s">
        <v>24</v>
      </c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B2" s="15" t="s">
        <v>25</v>
      </c>
      <c r="C2" s="15"/>
      <c r="D2" s="15"/>
      <c r="E2" s="15"/>
      <c r="F2" s="15"/>
      <c r="G2" s="15"/>
      <c r="H2" s="15"/>
      <c r="I2" s="15"/>
    </row>
    <row r="3" customFormat="false" ht="6" hidden="false" customHeight="true" outlineLevel="0" collapsed="false">
      <c r="K3" s="16" t="s">
        <v>26</v>
      </c>
      <c r="L3" s="16"/>
    </row>
    <row r="4" customFormat="false" ht="24" hidden="false" customHeight="true" outlineLevel="0" collapsed="false">
      <c r="B4" s="17" t="s">
        <v>27</v>
      </c>
      <c r="C4" s="17"/>
      <c r="D4" s="18" t="s">
        <v>28</v>
      </c>
      <c r="E4" s="19" t="str">
        <f aca="false">IF(日別データ!$I$4="","（「日別データ」シートに日付を入力してください）","参照: "&amp;TEXT(INDEX(日別データ!$C$4:$I$4,1,8-$L$4),"m/d")&amp;"〜"&amp;TEXT(日別データ!$I$4,"m/d")&amp;"（動員合計 "&amp;TEXT($L$5,"#,##0")&amp;"人）")</f>
        <v>参照: 8/19〜8/25（動員合計 37,000人）</v>
      </c>
      <c r="F4" s="19"/>
      <c r="G4" s="19"/>
      <c r="H4" s="19"/>
      <c r="I4" s="19"/>
      <c r="K4" s="20" t="s">
        <v>29</v>
      </c>
      <c r="L4" s="21" t="n">
        <f aca="false">IF($D$4="昨日",1,IF($D$4="直近3日間",3,7))</f>
        <v>7</v>
      </c>
    </row>
    <row r="5" customFormat="false" ht="24" hidden="false" customHeight="true" outlineLevel="0" collapsed="false">
      <c r="B5" s="17" t="s">
        <v>30</v>
      </c>
      <c r="C5" s="17"/>
      <c r="D5" s="22" t="n">
        <v>5000</v>
      </c>
      <c r="E5" s="15" t="s">
        <v>31</v>
      </c>
      <c r="F5" s="15"/>
      <c r="G5" s="15"/>
      <c r="H5" s="15"/>
      <c r="I5" s="15"/>
      <c r="K5" s="20" t="s">
        <v>32</v>
      </c>
      <c r="L5" s="21" t="n">
        <f aca="false">SUMPRODUCT((COLUMN(日別データ!$C$6:$I$6)&gt;=10-$L$4)*1,日別データ!$C$6:$I$6)</f>
        <v>37000</v>
      </c>
    </row>
    <row r="6" customFormat="false" ht="19.5" hidden="false" customHeight="true" outlineLevel="0" collapsed="false">
      <c r="B6" s="17" t="s">
        <v>33</v>
      </c>
      <c r="C6" s="17"/>
      <c r="D6" s="15" t="s">
        <v>34</v>
      </c>
      <c r="E6" s="15"/>
      <c r="F6" s="15"/>
      <c r="G6" s="15"/>
      <c r="H6" s="15"/>
      <c r="I6" s="15"/>
    </row>
    <row r="7" customFormat="false" ht="6" hidden="false" customHeight="true" outlineLevel="0" collapsed="false"/>
    <row r="8" customFormat="false" ht="18" hidden="false" customHeight="true" outlineLevel="0" collapsed="false">
      <c r="B8" s="23" t="s">
        <v>35</v>
      </c>
      <c r="C8" s="24" t="s">
        <v>36</v>
      </c>
      <c r="D8" s="24" t="s">
        <v>37</v>
      </c>
      <c r="E8" s="24" t="s">
        <v>38</v>
      </c>
      <c r="F8" s="24" t="s">
        <v>39</v>
      </c>
      <c r="G8" s="25" t="s">
        <v>40</v>
      </c>
      <c r="H8" s="25"/>
      <c r="I8" s="25"/>
    </row>
    <row r="9" customFormat="false" ht="19.5" hidden="false" customHeight="true" outlineLevel="0" collapsed="false">
      <c r="B9" s="23"/>
      <c r="C9" s="23"/>
      <c r="D9" s="23"/>
      <c r="E9" s="23"/>
      <c r="F9" s="23"/>
      <c r="G9" s="26" t="s">
        <v>41</v>
      </c>
      <c r="H9" s="26" t="s">
        <v>42</v>
      </c>
      <c r="I9" s="26" t="s">
        <v>43</v>
      </c>
    </row>
    <row r="10" customFormat="false" ht="19.5" hidden="false" customHeight="true" outlineLevel="0" collapsed="false">
      <c r="B10" s="23"/>
      <c r="C10" s="23"/>
      <c r="D10" s="23"/>
      <c r="E10" s="23"/>
      <c r="F10" s="23"/>
      <c r="G10" s="27" t="n">
        <v>1</v>
      </c>
      <c r="H10" s="27" t="n">
        <v>1.2</v>
      </c>
      <c r="I10" s="27" t="n">
        <v>1.5</v>
      </c>
    </row>
    <row r="11" customFormat="false" ht="19.5" hidden="false" customHeight="true" outlineLevel="0" collapsed="false">
      <c r="B11" s="28" t="n">
        <v>1</v>
      </c>
      <c r="C11" s="29" t="str">
        <f aca="false">IF(日別データ!B9="","",日別データ!B9)</f>
        <v>ポップコーン（塩）M</v>
      </c>
      <c r="D11" s="30" t="n">
        <f aca="false">IF($C11="","",SUMPRODUCT((COLUMN(日別データ!$C$6:$I$6)&gt;=10-$L$4)*1,日別データ!C9:I9))</f>
        <v>2798</v>
      </c>
      <c r="E11" s="31" t="n">
        <f aca="false">IF($C11="","",IFERROR(D11/$L$5,0))</f>
        <v>0.0756216216216216</v>
      </c>
      <c r="F11" s="32" t="n">
        <f aca="false">IF(OR($C11="",$D$5=""),"",ROUNDUP($D$5*E11,0))</f>
        <v>379</v>
      </c>
      <c r="G11" s="33" t="n">
        <f aca="false">IF(OR($C11="",$D$5="",G$10=""),"",ROUNDUP($D$5*$E11*G$10,0))</f>
        <v>379</v>
      </c>
      <c r="H11" s="33" t="n">
        <f aca="false">IF(OR($C11="",$D$5="",H$10=""),"",ROUNDUP($D$5*$E11*H$10,0))</f>
        <v>454</v>
      </c>
      <c r="I11" s="33" t="n">
        <f aca="false">IF(OR($C11="",$D$5="",I$10=""),"",ROUNDUP($D$5*$E11*I$10,0))</f>
        <v>568</v>
      </c>
    </row>
    <row r="12" customFormat="false" ht="19.5" hidden="false" customHeight="true" outlineLevel="0" collapsed="false">
      <c r="B12" s="34" t="n">
        <v>2</v>
      </c>
      <c r="C12" s="35" t="str">
        <f aca="false">IF(日別データ!B10="","",日別データ!B10)</f>
        <v>ポップコーン（キャラメル）M</v>
      </c>
      <c r="D12" s="36" t="n">
        <f aca="false">IF($C12="","",SUMPRODUCT((COLUMN(日別データ!$C$6:$I$6)&gt;=10-$L$4)*1,日別データ!C10:I10))</f>
        <v>2260</v>
      </c>
      <c r="E12" s="37" t="n">
        <f aca="false">IF($C12="","",IFERROR(D12/$L$5,0))</f>
        <v>0.0610810810810811</v>
      </c>
      <c r="F12" s="32" t="n">
        <f aca="false">IF(OR($C12="",$D$5=""),"",ROUNDUP($D$5*E12,0))</f>
        <v>306</v>
      </c>
      <c r="G12" s="38" t="n">
        <f aca="false">IF(OR($C12="",$D$5="",G$10=""),"",ROUNDUP($D$5*$E12*G$10,0))</f>
        <v>306</v>
      </c>
      <c r="H12" s="38" t="n">
        <f aca="false">IF(OR($C12="",$D$5="",H$10=""),"",ROUNDUP($D$5*$E12*H$10,0))</f>
        <v>367</v>
      </c>
      <c r="I12" s="38" t="n">
        <f aca="false">IF(OR($C12="",$D$5="",I$10=""),"",ROUNDUP($D$5*$E12*I$10,0))</f>
        <v>459</v>
      </c>
    </row>
    <row r="13" customFormat="false" ht="19.5" hidden="false" customHeight="true" outlineLevel="0" collapsed="false">
      <c r="B13" s="28" t="n">
        <v>3</v>
      </c>
      <c r="C13" s="29" t="str">
        <f aca="false">IF(日別データ!B11="","",日別データ!B11)</f>
        <v>ポップコーン ハーフ＆ハーフ</v>
      </c>
      <c r="D13" s="30" t="n">
        <f aca="false">IF($C13="","",SUMPRODUCT((COLUMN(日別データ!$C$6:$I$6)&gt;=10-$L$4)*1,日別データ!C11:I11))</f>
        <v>1597</v>
      </c>
      <c r="E13" s="31" t="n">
        <f aca="false">IF($C13="","",IFERROR(D13/$L$5,0))</f>
        <v>0.0431621621621622</v>
      </c>
      <c r="F13" s="32" t="n">
        <f aca="false">IF(OR($C13="",$D$5=""),"",ROUNDUP($D$5*E13,0))</f>
        <v>216</v>
      </c>
      <c r="G13" s="33" t="n">
        <f aca="false">IF(OR($C13="",$D$5="",G$10=""),"",ROUNDUP($D$5*$E13*G$10,0))</f>
        <v>216</v>
      </c>
      <c r="H13" s="33" t="n">
        <f aca="false">IF(OR($C13="",$D$5="",H$10=""),"",ROUNDUP($D$5*$E13*H$10,0))</f>
        <v>259</v>
      </c>
      <c r="I13" s="33" t="n">
        <f aca="false">IF(OR($C13="",$D$5="",I$10=""),"",ROUNDUP($D$5*$E13*I$10,0))</f>
        <v>324</v>
      </c>
    </row>
    <row r="14" customFormat="false" ht="19.5" hidden="false" customHeight="true" outlineLevel="0" collapsed="false">
      <c r="B14" s="34" t="n">
        <v>4</v>
      </c>
      <c r="C14" s="35" t="str">
        <f aca="false">IF(日別データ!B12="","",日別データ!B12)</f>
        <v>ドリンク S</v>
      </c>
      <c r="D14" s="36" t="n">
        <f aca="false">IF($C14="","",SUMPRODUCT((COLUMN(日別データ!$C$6:$I$6)&gt;=10-$L$4)*1,日別データ!C12:I12))</f>
        <v>1715</v>
      </c>
      <c r="E14" s="37" t="n">
        <f aca="false">IF($C14="","",IFERROR(D14/$L$5,0))</f>
        <v>0.0463513513513514</v>
      </c>
      <c r="F14" s="32" t="n">
        <f aca="false">IF(OR($C14="",$D$5=""),"",ROUNDUP($D$5*E14,0))</f>
        <v>232</v>
      </c>
      <c r="G14" s="38" t="n">
        <f aca="false">IF(OR($C14="",$D$5="",G$10=""),"",ROUNDUP($D$5*$E14*G$10,0))</f>
        <v>232</v>
      </c>
      <c r="H14" s="38" t="n">
        <f aca="false">IF(OR($C14="",$D$5="",H$10=""),"",ROUNDUP($D$5*$E14*H$10,0))</f>
        <v>279</v>
      </c>
      <c r="I14" s="38" t="n">
        <f aca="false">IF(OR($C14="",$D$5="",I$10=""),"",ROUNDUP($D$5*$E14*I$10,0))</f>
        <v>348</v>
      </c>
    </row>
    <row r="15" customFormat="false" ht="19.5" hidden="false" customHeight="true" outlineLevel="0" collapsed="false">
      <c r="B15" s="28" t="n">
        <v>5</v>
      </c>
      <c r="C15" s="29" t="str">
        <f aca="false">IF(日別データ!B13="","",日別データ!B13)</f>
        <v>ドリンク M</v>
      </c>
      <c r="D15" s="30" t="n">
        <f aca="false">IF($C15="","",SUMPRODUCT((COLUMN(日別データ!$C$6:$I$6)&gt;=10-$L$4)*1,日別データ!C13:I13))</f>
        <v>3549</v>
      </c>
      <c r="E15" s="31" t="n">
        <f aca="false">IF($C15="","",IFERROR(D15/$L$5,0))</f>
        <v>0.0959189189189189</v>
      </c>
      <c r="F15" s="32" t="n">
        <f aca="false">IF(OR($C15="",$D$5=""),"",ROUNDUP($D$5*E15,0))</f>
        <v>480</v>
      </c>
      <c r="G15" s="33" t="n">
        <f aca="false">IF(OR($C15="",$D$5="",G$10=""),"",ROUNDUP($D$5*$E15*G$10,0))</f>
        <v>480</v>
      </c>
      <c r="H15" s="33" t="n">
        <f aca="false">IF(OR($C15="",$D$5="",H$10=""),"",ROUNDUP($D$5*$E15*H$10,0))</f>
        <v>576</v>
      </c>
      <c r="I15" s="33" t="n">
        <f aca="false">IF(OR($C15="",$D$5="",I$10=""),"",ROUNDUP($D$5*$E15*I$10,0))</f>
        <v>720</v>
      </c>
    </row>
    <row r="16" customFormat="false" ht="19.5" hidden="false" customHeight="true" outlineLevel="0" collapsed="false">
      <c r="B16" s="34" t="n">
        <v>6</v>
      </c>
      <c r="C16" s="35" t="str">
        <f aca="false">IF(日別データ!B14="","",日別データ!B14)</f>
        <v>ドリンク L</v>
      </c>
      <c r="D16" s="36" t="n">
        <f aca="false">IF($C16="","",SUMPRODUCT((COLUMN(日別データ!$C$6:$I$6)&gt;=10-$L$4)*1,日別データ!C14:I14))</f>
        <v>1266</v>
      </c>
      <c r="E16" s="37" t="n">
        <f aca="false">IF($C16="","",IFERROR(D16/$L$5,0))</f>
        <v>0.0342162162162162</v>
      </c>
      <c r="F16" s="32" t="n">
        <f aca="false">IF(OR($C16="",$D$5=""),"",ROUNDUP($D$5*E16,0))</f>
        <v>172</v>
      </c>
      <c r="G16" s="38" t="n">
        <f aca="false">IF(OR($C16="",$D$5="",G$10=""),"",ROUNDUP($D$5*$E16*G$10,0))</f>
        <v>172</v>
      </c>
      <c r="H16" s="38" t="n">
        <f aca="false">IF(OR($C16="",$D$5="",H$10=""),"",ROUNDUP($D$5*$E16*H$10,0))</f>
        <v>206</v>
      </c>
      <c r="I16" s="38" t="n">
        <f aca="false">IF(OR($C16="",$D$5="",I$10=""),"",ROUNDUP($D$5*$E16*I$10,0))</f>
        <v>257</v>
      </c>
    </row>
    <row r="17" customFormat="false" ht="19.5" hidden="false" customHeight="true" outlineLevel="0" collapsed="false">
      <c r="B17" s="28" t="n">
        <v>7</v>
      </c>
      <c r="C17" s="29" t="str">
        <f aca="false">IF(日別データ!B15="","",日別データ!B15)</f>
        <v>チュロス（シナモン）</v>
      </c>
      <c r="D17" s="30" t="n">
        <f aca="false">IF($C17="","",SUMPRODUCT((COLUMN(日別データ!$C$6:$I$6)&gt;=10-$L$4)*1,日別データ!C15:I15))</f>
        <v>1092</v>
      </c>
      <c r="E17" s="31" t="n">
        <f aca="false">IF($C17="","",IFERROR(D17/$L$5,0))</f>
        <v>0.0295135135135135</v>
      </c>
      <c r="F17" s="32" t="n">
        <f aca="false">IF(OR($C17="",$D$5=""),"",ROUNDUP($D$5*E17,0))</f>
        <v>148</v>
      </c>
      <c r="G17" s="33" t="n">
        <f aca="false">IF(OR($C17="",$D$5="",G$10=""),"",ROUNDUP($D$5*$E17*G$10,0))</f>
        <v>148</v>
      </c>
      <c r="H17" s="33" t="n">
        <f aca="false">IF(OR($C17="",$D$5="",H$10=""),"",ROUNDUP($D$5*$E17*H$10,0))</f>
        <v>178</v>
      </c>
      <c r="I17" s="33" t="n">
        <f aca="false">IF(OR($C17="",$D$5="",I$10=""),"",ROUNDUP($D$5*$E17*I$10,0))</f>
        <v>222</v>
      </c>
    </row>
    <row r="18" customFormat="false" ht="19.5" hidden="false" customHeight="true" outlineLevel="0" collapsed="false">
      <c r="B18" s="34" t="n">
        <v>8</v>
      </c>
      <c r="C18" s="35" t="str">
        <f aca="false">IF(日別データ!B16="","",日別データ!B16)</f>
        <v>ホットドッグ</v>
      </c>
      <c r="D18" s="36" t="n">
        <f aca="false">IF($C18="","",SUMPRODUCT((COLUMN(日別データ!$C$6:$I$6)&gt;=10-$L$4)*1,日別データ!C16:I16))</f>
        <v>802</v>
      </c>
      <c r="E18" s="37" t="n">
        <f aca="false">IF($C18="","",IFERROR(D18/$L$5,0))</f>
        <v>0.0216756756756757</v>
      </c>
      <c r="F18" s="32" t="n">
        <f aca="false">IF(OR($C18="",$D$5=""),"",ROUNDUP($D$5*E18,0))</f>
        <v>109</v>
      </c>
      <c r="G18" s="38" t="n">
        <f aca="false">IF(OR($C18="",$D$5="",G$10=""),"",ROUNDUP($D$5*$E18*G$10,0))</f>
        <v>109</v>
      </c>
      <c r="H18" s="38" t="n">
        <f aca="false">IF(OR($C18="",$D$5="",H$10=""),"",ROUNDUP($D$5*$E18*H$10,0))</f>
        <v>131</v>
      </c>
      <c r="I18" s="38" t="n">
        <f aca="false">IF(OR($C18="",$D$5="",I$10=""),"",ROUNDUP($D$5*$E18*I$10,0))</f>
        <v>163</v>
      </c>
    </row>
    <row r="19" customFormat="false" ht="19.5" hidden="false" customHeight="true" outlineLevel="0" collapsed="false">
      <c r="B19" s="28" t="n">
        <v>9</v>
      </c>
      <c r="C19" s="29" t="str">
        <f aca="false">IF(日別データ!B17="","",日別データ!B17)</f>
        <v>ナチョス（チーズソース）</v>
      </c>
      <c r="D19" s="30" t="n">
        <f aca="false">IF($C19="","",SUMPRODUCT((COLUMN(日別データ!$C$6:$I$6)&gt;=10-$L$4)*1,日別データ!C17:I17))</f>
        <v>616</v>
      </c>
      <c r="E19" s="31" t="n">
        <f aca="false">IF($C19="","",IFERROR(D19/$L$5,0))</f>
        <v>0.0166486486486486</v>
      </c>
      <c r="F19" s="32" t="n">
        <f aca="false">IF(OR($C19="",$D$5=""),"",ROUNDUP($D$5*E19,0))</f>
        <v>84</v>
      </c>
      <c r="G19" s="33" t="n">
        <f aca="false">IF(OR($C19="",$D$5="",G$10=""),"",ROUNDUP($D$5*$E19*G$10,0))</f>
        <v>84</v>
      </c>
      <c r="H19" s="33" t="n">
        <f aca="false">IF(OR($C19="",$D$5="",H$10=""),"",ROUNDUP($D$5*$E19*H$10,0))</f>
        <v>100</v>
      </c>
      <c r="I19" s="33" t="n">
        <f aca="false">IF(OR($C19="",$D$5="",I$10=""),"",ROUNDUP($D$5*$E19*I$10,0))</f>
        <v>125</v>
      </c>
    </row>
    <row r="20" customFormat="false" ht="19.5" hidden="false" customHeight="true" outlineLevel="0" collapsed="false">
      <c r="B20" s="34" t="n">
        <v>10</v>
      </c>
      <c r="C20" s="35" t="str">
        <f aca="false">IF(日別データ!B18="","",日別データ!B18)</f>
        <v>フライドポテト</v>
      </c>
      <c r="D20" s="36" t="n">
        <f aca="false">IF($C20="","",SUMPRODUCT((COLUMN(日別データ!$C$6:$I$6)&gt;=10-$L$4)*1,日別データ!C18:I18))</f>
        <v>1013</v>
      </c>
      <c r="E20" s="37" t="n">
        <f aca="false">IF($C20="","",IFERROR(D20/$L$5,0))</f>
        <v>0.0273783783783784</v>
      </c>
      <c r="F20" s="32" t="n">
        <f aca="false">IF(OR($C20="",$D$5=""),"",ROUNDUP($D$5*E20,0))</f>
        <v>137</v>
      </c>
      <c r="G20" s="38" t="n">
        <f aca="false">IF(OR($C20="",$D$5="",G$10=""),"",ROUNDUP($D$5*$E20*G$10,0))</f>
        <v>137</v>
      </c>
      <c r="H20" s="38" t="n">
        <f aca="false">IF(OR($C20="",$D$5="",H$10=""),"",ROUNDUP($D$5*$E20*H$10,0))</f>
        <v>165</v>
      </c>
      <c r="I20" s="38" t="n">
        <f aca="false">IF(OR($C20="",$D$5="",I$10=""),"",ROUNDUP($D$5*$E20*I$10,0))</f>
        <v>206</v>
      </c>
    </row>
    <row r="21" customFormat="false" ht="19.5" hidden="false" customHeight="true" outlineLevel="0" collapsed="false">
      <c r="B21" s="28" t="n">
        <v>11</v>
      </c>
      <c r="C21" s="29" t="str">
        <f aca="false">IF(日別データ!B19="","",日別データ!B19)</f>
        <v>チキンナゲット</v>
      </c>
      <c r="D21" s="30" t="n">
        <f aca="false">IF($C21="","",SUMPRODUCT((COLUMN(日別データ!$C$6:$I$6)&gt;=10-$L$4)*1,日別データ!C19:I19))</f>
        <v>561</v>
      </c>
      <c r="E21" s="31" t="n">
        <f aca="false">IF($C21="","",IFERROR(D21/$L$5,0))</f>
        <v>0.0151621621621622</v>
      </c>
      <c r="F21" s="32" t="n">
        <f aca="false">IF(OR($C21="",$D$5=""),"",ROUNDUP($D$5*E21,0))</f>
        <v>76</v>
      </c>
      <c r="G21" s="33" t="n">
        <f aca="false">IF(OR($C21="",$D$5="",G$10=""),"",ROUNDUP($D$5*$E21*G$10,0))</f>
        <v>76</v>
      </c>
      <c r="H21" s="33" t="n">
        <f aca="false">IF(OR($C21="",$D$5="",H$10=""),"",ROUNDUP($D$5*$E21*H$10,0))</f>
        <v>91</v>
      </c>
      <c r="I21" s="33" t="n">
        <f aca="false">IF(OR($C21="",$D$5="",I$10=""),"",ROUNDUP($D$5*$E21*I$10,0))</f>
        <v>114</v>
      </c>
    </row>
    <row r="22" customFormat="false" ht="19.5" hidden="false" customHeight="true" outlineLevel="0" collapsed="false">
      <c r="B22" s="34" t="n">
        <v>12</v>
      </c>
      <c r="C22" s="35" t="str">
        <f aca="false">IF(日別データ!B20="","",日別データ!B20)</f>
        <v>ソフトクリーム（バニラ）</v>
      </c>
      <c r="D22" s="36" t="n">
        <f aca="false">IF($C22="","",SUMPRODUCT((COLUMN(日別データ!$C$6:$I$6)&gt;=10-$L$4)*1,日別データ!C20:I20))</f>
        <v>481</v>
      </c>
      <c r="E22" s="37" t="n">
        <f aca="false">IF($C22="","",IFERROR(D22/$L$5,0))</f>
        <v>0.013</v>
      </c>
      <c r="F22" s="32" t="n">
        <f aca="false">IF(OR($C22="",$D$5=""),"",ROUNDUP($D$5*E22,0))</f>
        <v>65</v>
      </c>
      <c r="G22" s="38" t="n">
        <f aca="false">IF(OR($C22="",$D$5="",G$10=""),"",ROUNDUP($D$5*$E22*G$10,0))</f>
        <v>65</v>
      </c>
      <c r="H22" s="38" t="n">
        <f aca="false">IF(OR($C22="",$D$5="",H$10=""),"",ROUNDUP($D$5*$E22*H$10,0))</f>
        <v>78</v>
      </c>
      <c r="I22" s="38" t="n">
        <f aca="false">IF(OR($C22="",$D$5="",I$10=""),"",ROUNDUP($D$5*$E22*I$10,0))</f>
        <v>98</v>
      </c>
    </row>
    <row r="23" customFormat="false" ht="19.5" hidden="false" customHeight="true" outlineLevel="0" collapsed="false">
      <c r="B23" s="28" t="n">
        <v>13</v>
      </c>
      <c r="C23" s="29" t="str">
        <f aca="false">IF(日別データ!B21="","",日別データ!B21)</f>
        <v/>
      </c>
      <c r="D23" s="30" t="str">
        <f aca="false">IF($C23="","",SUMPRODUCT((COLUMN(日別データ!$C$6:$I$6)&gt;=10-$L$4)*1,日別データ!C21:I21))</f>
        <v/>
      </c>
      <c r="E23" s="31" t="str">
        <f aca="false">IF($C23="","",IFERROR(D23/$L$5,0))</f>
        <v/>
      </c>
      <c r="F23" s="32" t="str">
        <f aca="false">IF(OR($C23="",$D$5=""),"",ROUNDUP($D$5*E23,0))</f>
        <v/>
      </c>
      <c r="G23" s="33" t="str">
        <f aca="false">IF(OR($C23="",$D$5="",G$10=""),"",ROUNDUP($D$5*$E23*G$10,0))</f>
        <v/>
      </c>
      <c r="H23" s="33" t="str">
        <f aca="false">IF(OR($C23="",$D$5="",H$10=""),"",ROUNDUP($D$5*$E23*H$10,0))</f>
        <v/>
      </c>
      <c r="I23" s="33" t="str">
        <f aca="false">IF(OR($C23="",$D$5="",I$10=""),"",ROUNDUP($D$5*$E23*I$10,0))</f>
        <v/>
      </c>
    </row>
    <row r="24" customFormat="false" ht="19.5" hidden="false" customHeight="true" outlineLevel="0" collapsed="false">
      <c r="B24" s="34" t="n">
        <v>14</v>
      </c>
      <c r="C24" s="35" t="str">
        <f aca="false">IF(日別データ!B22="","",日別データ!B22)</f>
        <v/>
      </c>
      <c r="D24" s="36" t="str">
        <f aca="false">IF($C24="","",SUMPRODUCT((COLUMN(日別データ!$C$6:$I$6)&gt;=10-$L$4)*1,日別データ!C22:I22))</f>
        <v/>
      </c>
      <c r="E24" s="37" t="str">
        <f aca="false">IF($C24="","",IFERROR(D24/$L$5,0))</f>
        <v/>
      </c>
      <c r="F24" s="32" t="str">
        <f aca="false">IF(OR($C24="",$D$5=""),"",ROUNDUP($D$5*E24,0))</f>
        <v/>
      </c>
      <c r="G24" s="38" t="str">
        <f aca="false">IF(OR($C24="",$D$5="",G$10=""),"",ROUNDUP($D$5*$E24*G$10,0))</f>
        <v/>
      </c>
      <c r="H24" s="38" t="str">
        <f aca="false">IF(OR($C24="",$D$5="",H$10=""),"",ROUNDUP($D$5*$E24*H$10,0))</f>
        <v/>
      </c>
      <c r="I24" s="38" t="str">
        <f aca="false">IF(OR($C24="",$D$5="",I$10=""),"",ROUNDUP($D$5*$E24*I$10,0))</f>
        <v/>
      </c>
    </row>
    <row r="25" customFormat="false" ht="19.5" hidden="false" customHeight="true" outlineLevel="0" collapsed="false">
      <c r="B25" s="28" t="n">
        <v>15</v>
      </c>
      <c r="C25" s="29" t="str">
        <f aca="false">IF(日別データ!B23="","",日別データ!B23)</f>
        <v/>
      </c>
      <c r="D25" s="30" t="str">
        <f aca="false">IF($C25="","",SUMPRODUCT((COLUMN(日別データ!$C$6:$I$6)&gt;=10-$L$4)*1,日別データ!C23:I23))</f>
        <v/>
      </c>
      <c r="E25" s="31" t="str">
        <f aca="false">IF($C25="","",IFERROR(D25/$L$5,0))</f>
        <v/>
      </c>
      <c r="F25" s="32" t="str">
        <f aca="false">IF(OR($C25="",$D$5=""),"",ROUNDUP($D$5*E25,0))</f>
        <v/>
      </c>
      <c r="G25" s="33" t="str">
        <f aca="false">IF(OR($C25="",$D$5="",G$10=""),"",ROUNDUP($D$5*$E25*G$10,0))</f>
        <v/>
      </c>
      <c r="H25" s="33" t="str">
        <f aca="false">IF(OR($C25="",$D$5="",H$10=""),"",ROUNDUP($D$5*$E25*H$10,0))</f>
        <v/>
      </c>
      <c r="I25" s="33" t="str">
        <f aca="false">IF(OR($C25="",$D$5="",I$10=""),"",ROUNDUP($D$5*$E25*I$10,0))</f>
        <v/>
      </c>
    </row>
    <row r="26" customFormat="false" ht="19.5" hidden="false" customHeight="true" outlineLevel="0" collapsed="false">
      <c r="B26" s="34" t="n">
        <v>16</v>
      </c>
      <c r="C26" s="35" t="str">
        <f aca="false">IF(日別データ!B24="","",日別データ!B24)</f>
        <v/>
      </c>
      <c r="D26" s="36" t="str">
        <f aca="false">IF($C26="","",SUMPRODUCT((COLUMN(日別データ!$C$6:$I$6)&gt;=10-$L$4)*1,日別データ!C24:I24))</f>
        <v/>
      </c>
      <c r="E26" s="37" t="str">
        <f aca="false">IF($C26="","",IFERROR(D26/$L$5,0))</f>
        <v/>
      </c>
      <c r="F26" s="32" t="str">
        <f aca="false">IF(OR($C26="",$D$5=""),"",ROUNDUP($D$5*E26,0))</f>
        <v/>
      </c>
      <c r="G26" s="38" t="str">
        <f aca="false">IF(OR($C26="",$D$5="",G$10=""),"",ROUNDUP($D$5*$E26*G$10,0))</f>
        <v/>
      </c>
      <c r="H26" s="38" t="str">
        <f aca="false">IF(OR($C26="",$D$5="",H$10=""),"",ROUNDUP($D$5*$E26*H$10,0))</f>
        <v/>
      </c>
      <c r="I26" s="38" t="str">
        <f aca="false">IF(OR($C26="",$D$5="",I$10=""),"",ROUNDUP($D$5*$E26*I$10,0))</f>
        <v/>
      </c>
    </row>
    <row r="27" customFormat="false" ht="19.5" hidden="false" customHeight="true" outlineLevel="0" collapsed="false">
      <c r="B27" s="28" t="n">
        <v>17</v>
      </c>
      <c r="C27" s="29" t="str">
        <f aca="false">IF(日別データ!B25="","",日別データ!B25)</f>
        <v/>
      </c>
      <c r="D27" s="30" t="str">
        <f aca="false">IF($C27="","",SUMPRODUCT((COLUMN(日別データ!$C$6:$I$6)&gt;=10-$L$4)*1,日別データ!C25:I25))</f>
        <v/>
      </c>
      <c r="E27" s="31" t="str">
        <f aca="false">IF($C27="","",IFERROR(D27/$L$5,0))</f>
        <v/>
      </c>
      <c r="F27" s="32" t="str">
        <f aca="false">IF(OR($C27="",$D$5=""),"",ROUNDUP($D$5*E27,0))</f>
        <v/>
      </c>
      <c r="G27" s="33" t="str">
        <f aca="false">IF(OR($C27="",$D$5="",G$10=""),"",ROUNDUP($D$5*$E27*G$10,0))</f>
        <v/>
      </c>
      <c r="H27" s="33" t="str">
        <f aca="false">IF(OR($C27="",$D$5="",H$10=""),"",ROUNDUP($D$5*$E27*H$10,0))</f>
        <v/>
      </c>
      <c r="I27" s="33" t="str">
        <f aca="false">IF(OR($C27="",$D$5="",I$10=""),"",ROUNDUP($D$5*$E27*I$10,0))</f>
        <v/>
      </c>
    </row>
    <row r="28" customFormat="false" ht="19.5" hidden="false" customHeight="true" outlineLevel="0" collapsed="false">
      <c r="B28" s="34" t="n">
        <v>18</v>
      </c>
      <c r="C28" s="35" t="str">
        <f aca="false">IF(日別データ!B26="","",日別データ!B26)</f>
        <v/>
      </c>
      <c r="D28" s="36" t="str">
        <f aca="false">IF($C28="","",SUMPRODUCT((COLUMN(日別データ!$C$6:$I$6)&gt;=10-$L$4)*1,日別データ!C26:I26))</f>
        <v/>
      </c>
      <c r="E28" s="37" t="str">
        <f aca="false">IF($C28="","",IFERROR(D28/$L$5,0))</f>
        <v/>
      </c>
      <c r="F28" s="32" t="str">
        <f aca="false">IF(OR($C28="",$D$5=""),"",ROUNDUP($D$5*E28,0))</f>
        <v/>
      </c>
      <c r="G28" s="38" t="str">
        <f aca="false">IF(OR($C28="",$D$5="",G$10=""),"",ROUNDUP($D$5*$E28*G$10,0))</f>
        <v/>
      </c>
      <c r="H28" s="38" t="str">
        <f aca="false">IF(OR($C28="",$D$5="",H$10=""),"",ROUNDUP($D$5*$E28*H$10,0))</f>
        <v/>
      </c>
      <c r="I28" s="38" t="str">
        <f aca="false">IF(OR($C28="",$D$5="",I$10=""),"",ROUNDUP($D$5*$E28*I$10,0))</f>
        <v/>
      </c>
    </row>
    <row r="29" customFormat="false" ht="19.5" hidden="false" customHeight="true" outlineLevel="0" collapsed="false">
      <c r="B29" s="28" t="n">
        <v>19</v>
      </c>
      <c r="C29" s="29" t="str">
        <f aca="false">IF(日別データ!B27="","",日別データ!B27)</f>
        <v/>
      </c>
      <c r="D29" s="30" t="str">
        <f aca="false">IF($C29="","",SUMPRODUCT((COLUMN(日別データ!$C$6:$I$6)&gt;=10-$L$4)*1,日別データ!C27:I27))</f>
        <v/>
      </c>
      <c r="E29" s="31" t="str">
        <f aca="false">IF($C29="","",IFERROR(D29/$L$5,0))</f>
        <v/>
      </c>
      <c r="F29" s="32" t="str">
        <f aca="false">IF(OR($C29="",$D$5=""),"",ROUNDUP($D$5*E29,0))</f>
        <v/>
      </c>
      <c r="G29" s="33" t="str">
        <f aca="false">IF(OR($C29="",$D$5="",G$10=""),"",ROUNDUP($D$5*$E29*G$10,0))</f>
        <v/>
      </c>
      <c r="H29" s="33" t="str">
        <f aca="false">IF(OR($C29="",$D$5="",H$10=""),"",ROUNDUP($D$5*$E29*H$10,0))</f>
        <v/>
      </c>
      <c r="I29" s="33" t="str">
        <f aca="false">IF(OR($C29="",$D$5="",I$10=""),"",ROUNDUP($D$5*$E29*I$10,0))</f>
        <v/>
      </c>
    </row>
    <row r="30" customFormat="false" ht="19.5" hidden="false" customHeight="true" outlineLevel="0" collapsed="false">
      <c r="B30" s="34" t="n">
        <v>20</v>
      </c>
      <c r="C30" s="35" t="str">
        <f aca="false">IF(日別データ!B28="","",日別データ!B28)</f>
        <v/>
      </c>
      <c r="D30" s="36" t="str">
        <f aca="false">IF($C30="","",SUMPRODUCT((COLUMN(日別データ!$C$6:$I$6)&gt;=10-$L$4)*1,日別データ!C28:I28))</f>
        <v/>
      </c>
      <c r="E30" s="37" t="str">
        <f aca="false">IF($C30="","",IFERROR(D30/$L$5,0))</f>
        <v/>
      </c>
      <c r="F30" s="32" t="str">
        <f aca="false">IF(OR($C30="",$D$5=""),"",ROUNDUP($D$5*E30,0))</f>
        <v/>
      </c>
      <c r="G30" s="38" t="str">
        <f aca="false">IF(OR($C30="",$D$5="",G$10=""),"",ROUNDUP($D$5*$E30*G$10,0))</f>
        <v/>
      </c>
      <c r="H30" s="38" t="str">
        <f aca="false">IF(OR($C30="",$D$5="",H$10=""),"",ROUNDUP($D$5*$E30*H$10,0))</f>
        <v/>
      </c>
      <c r="I30" s="38" t="str">
        <f aca="false">IF(OR($C30="",$D$5="",I$10=""),"",ROUNDUP($D$5*$E30*I$10,0))</f>
        <v/>
      </c>
    </row>
    <row r="31" customFormat="false" ht="18" hidden="false" customHeight="true" outlineLevel="0" collapsed="false">
      <c r="B31" s="14" t="s">
        <v>44</v>
      </c>
      <c r="C31" s="14"/>
      <c r="D31" s="14"/>
      <c r="E31" s="14"/>
      <c r="F31" s="14"/>
      <c r="G31" s="14"/>
      <c r="H31" s="14"/>
      <c r="I31" s="14"/>
    </row>
  </sheetData>
  <mergeCells count="16">
    <mergeCell ref="B1:I1"/>
    <mergeCell ref="B2:I2"/>
    <mergeCell ref="K3:L3"/>
    <mergeCell ref="B4:C4"/>
    <mergeCell ref="E4:I4"/>
    <mergeCell ref="B5:C5"/>
    <mergeCell ref="E5:I5"/>
    <mergeCell ref="B6:C6"/>
    <mergeCell ref="D6:I6"/>
    <mergeCell ref="B8:B10"/>
    <mergeCell ref="C8:C10"/>
    <mergeCell ref="D8:D10"/>
    <mergeCell ref="E8:E10"/>
    <mergeCell ref="F8:F10"/>
    <mergeCell ref="G8:I8"/>
    <mergeCell ref="B31:I31"/>
  </mergeCells>
  <conditionalFormatting sqref="F11:F30">
    <cfRule type="dataBar" priority="2">
      <dataBar showValue="1" minLength="10" maxLength="90">
        <cfvo type="num" val="0"/>
        <cfvo type="max" val="0"/>
        <color rgb="FFE8604C"/>
      </dataBar>
      <extLst>
        <ext xmlns:x14="http://schemas.microsoft.com/office/spreadsheetml/2009/9/main" uri="{B025F937-C7B1-47D3-B67F-A62EFF666E3E}">
          <x14:id>{59DE2415-CA78-42DB-A9E0-6B80371457C3}</x14:id>
        </ext>
      </extLst>
    </cfRule>
  </conditionalFormatting>
  <dataValidations count="3">
    <dataValidation allowBlank="false" error="リストから選んでください（直近7日間／直近3日間／昨日）" errorStyle="stop" errorTitle="参照期間" operator="between" showDropDown="false" showErrorMessage="false" showInputMessage="false" sqref="D4" type="list">
      <formula1>"直近7日間,直近3日間,昨日"</formula1>
      <formula2>0</formula2>
    </dataValidation>
    <dataValidation allowBlank="false" error="予測動員数は 0〜999,999 の整数で入力してください" errorStyle="stop" errorTitle="予測動員数" operator="between" showDropDown="false" showErrorMessage="false" showInputMessage="false" sqref="D5" type="whole">
      <formula1>0</formula1>
      <formula2>999999</formula2>
    </dataValidation>
    <dataValidation allowBlank="false" error="倍率は 0〜5 の数値で入力してください（1.2 → ×120%）" errorStyle="stop" errorTitle="時間帯倍率" operator="between" showDropDown="false" showErrorMessage="false" showInputMessage="false" sqref="G10:I10" type="decimal">
      <formula1>0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DE2415-CA78-42DB-A9E0-6B80371457C3}">
            <x14:dataBar minLength="10" maxLength="90" axisPosition="none" gradient="true">
              <x14:cfvo type="num">
                <xm:f>0</xm:f>
              </x14:cfvo>
              <x14:cfvo type="max"/>
              <x14:negativeFillColor rgb="FFE8604C"/>
              <x14:axisColor rgb="FF000000"/>
            </x14:dataBar>
          </x14:cfRule>
          <xm:sqref>F11:F30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9E92"/>
    <pageSetUpPr fitToPage="tru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9" min="3" style="0" width="10"/>
    <col collapsed="false" customWidth="true" hidden="false" outlineLevel="0" max="10" min="10" style="0" width="11"/>
    <col collapsed="false" customWidth="true" hidden="false" outlineLevel="0" max="11" min="11" style="0" width="18"/>
  </cols>
  <sheetData>
    <row r="1" customFormat="false" ht="33.75" hidden="false" customHeight="true" outlineLevel="0" collapsed="false">
      <c r="A1" s="1" t="s">
        <v>45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A2" s="39" t="s">
        <v>46</v>
      </c>
      <c r="B2" s="40" t="s">
        <v>47</v>
      </c>
      <c r="C2" s="41" t="s">
        <v>48</v>
      </c>
      <c r="D2" s="41"/>
      <c r="F2" s="14" t="s">
        <v>49</v>
      </c>
      <c r="G2" s="14"/>
      <c r="H2" s="14"/>
      <c r="I2" s="14"/>
      <c r="J2" s="14"/>
      <c r="K2" s="14"/>
    </row>
    <row r="3" customFormat="false" ht="6" hidden="false" customHeight="true" outlineLevel="0" collapsed="false"/>
    <row r="4" customFormat="false" ht="21.75" hidden="false" customHeight="true" outlineLevel="0" collapsed="false">
      <c r="B4" s="42" t="s">
        <v>50</v>
      </c>
      <c r="C4" s="43" t="n">
        <v>46253</v>
      </c>
      <c r="D4" s="43" t="n">
        <v>46254</v>
      </c>
      <c r="E4" s="43" t="n">
        <v>46255</v>
      </c>
      <c r="F4" s="43" t="n">
        <v>46256</v>
      </c>
      <c r="G4" s="43" t="n">
        <v>46257</v>
      </c>
      <c r="H4" s="43" t="n">
        <v>46258</v>
      </c>
      <c r="I4" s="43" t="n">
        <v>46259</v>
      </c>
    </row>
    <row r="5" customFormat="false" ht="15.75" hidden="false" customHeight="true" outlineLevel="0" collapsed="false">
      <c r="B5" s="44" t="s">
        <v>51</v>
      </c>
      <c r="C5" s="45" t="str">
        <f aca="false">IF(C$4="","",CHOOSE(WEEKDAY(C$4),"日","月","火","水","木","金","土"))</f>
        <v>水</v>
      </c>
      <c r="D5" s="45" t="str">
        <f aca="false">IF(D$4="","",CHOOSE(WEEKDAY(D$4),"日","月","火","水","木","金","土"))</f>
        <v>木</v>
      </c>
      <c r="E5" s="45" t="str">
        <f aca="false">IF(E$4="","",CHOOSE(WEEKDAY(E$4),"日","月","火","水","木","金","土"))</f>
        <v>金</v>
      </c>
      <c r="F5" s="45" t="str">
        <f aca="false">IF(F$4="","",CHOOSE(WEEKDAY(F$4),"日","月","火","水","木","金","土"))</f>
        <v>土</v>
      </c>
      <c r="G5" s="45" t="str">
        <f aca="false">IF(G$4="","",CHOOSE(WEEKDAY(G$4),"日","月","火","水","木","金","土"))</f>
        <v>日</v>
      </c>
      <c r="H5" s="45" t="str">
        <f aca="false">IF(H$4="","",CHOOSE(WEEKDAY(H$4),"日","月","火","水","木","金","土"))</f>
        <v>月</v>
      </c>
      <c r="I5" s="45" t="str">
        <f aca="false">IF(I$4="","",CHOOSE(WEEKDAY(I$4),"日","月","火","水","木","金","土"))</f>
        <v>火</v>
      </c>
      <c r="J5" s="46" t="s">
        <v>52</v>
      </c>
    </row>
    <row r="6" customFormat="false" ht="21.75" hidden="false" customHeight="true" outlineLevel="0" collapsed="false">
      <c r="B6" s="42" t="s">
        <v>53</v>
      </c>
      <c r="C6" s="47" t="n">
        <v>4200</v>
      </c>
      <c r="D6" s="47" t="n">
        <v>3900</v>
      </c>
      <c r="E6" s="47" t="n">
        <v>5100</v>
      </c>
      <c r="F6" s="47" t="n">
        <v>8300</v>
      </c>
      <c r="G6" s="47" t="n">
        <v>7800</v>
      </c>
      <c r="H6" s="47" t="n">
        <v>3600</v>
      </c>
      <c r="I6" s="47" t="n">
        <v>4100</v>
      </c>
      <c r="J6" s="48" t="n">
        <f aca="false">IF(COUNT(C6:I6)=0,"",SUM(C6:I6))</f>
        <v>37000</v>
      </c>
    </row>
    <row r="7" customFormat="false" ht="6" hidden="false" customHeight="true" outlineLevel="0" collapsed="false"/>
    <row r="8" customFormat="false" ht="21.75" hidden="false" customHeight="true" outlineLevel="0" collapsed="false">
      <c r="A8" s="49" t="s">
        <v>35</v>
      </c>
      <c r="B8" s="50" t="s">
        <v>36</v>
      </c>
      <c r="C8" s="51" t="n">
        <f aca="false">IF(C$4="","",C$4)</f>
        <v>46253</v>
      </c>
      <c r="D8" s="51" t="n">
        <f aca="false">IF(D$4="","",D$4)</f>
        <v>46254</v>
      </c>
      <c r="E8" s="51" t="n">
        <f aca="false">IF(E$4="","",E$4)</f>
        <v>46255</v>
      </c>
      <c r="F8" s="51" t="n">
        <f aca="false">IF(F$4="","",F$4)</f>
        <v>46256</v>
      </c>
      <c r="G8" s="51" t="n">
        <f aca="false">IF(G$4="","",G$4)</f>
        <v>46257</v>
      </c>
      <c r="H8" s="51" t="n">
        <f aca="false">IF(H$4="","",H$4)</f>
        <v>46258</v>
      </c>
      <c r="I8" s="51" t="n">
        <f aca="false">IF(I$4="","",I$4)</f>
        <v>46259</v>
      </c>
      <c r="J8" s="49" t="s">
        <v>54</v>
      </c>
      <c r="K8" s="50" t="s">
        <v>55</v>
      </c>
    </row>
    <row r="9" customFormat="false" ht="19.5" hidden="false" customHeight="true" outlineLevel="0" collapsed="false">
      <c r="A9" s="28" t="n">
        <v>1</v>
      </c>
      <c r="B9" s="52" t="s">
        <v>56</v>
      </c>
      <c r="C9" s="53" t="n">
        <f aca="false">IF(OR($B9="",C$4=""),"",SUMIFS(CSV貼付!$C$5:$C$504,CSV貼付!$A$5:$A$504,C$4,CSV貼付!$B$5:$B$504,$B9))</f>
        <v>313</v>
      </c>
      <c r="D9" s="53" t="n">
        <f aca="false">IF(OR($B9="",D$4=""),"",SUMIFS(CSV貼付!$C$5:$C$504,CSV貼付!$A$5:$A$504,D$4,CSV貼付!$B$5:$B$504,$B9))</f>
        <v>251</v>
      </c>
      <c r="E9" s="53" t="n">
        <f aca="false">IF(OR($B9="",E$4=""),"",SUMIFS(CSV貼付!$C$5:$C$504,CSV貼付!$A$5:$A$504,E$4,CSV貼付!$B$5:$B$504,$B9))</f>
        <v>414</v>
      </c>
      <c r="F9" s="53" t="n">
        <f aca="false">IF(OR($B9="",F$4=""),"",SUMIFS(CSV貼付!$C$5:$C$504,CSV貼付!$A$5:$A$504,F$4,CSV貼付!$B$5:$B$504,$B9))</f>
        <v>677</v>
      </c>
      <c r="G9" s="53" t="n">
        <f aca="false">IF(OR($B9="",G$4=""),"",SUMIFS(CSV貼付!$C$5:$C$504,CSV貼付!$A$5:$A$504,G$4,CSV貼付!$B$5:$B$504,$B9))</f>
        <v>611</v>
      </c>
      <c r="H9" s="53" t="n">
        <f aca="false">IF(OR($B9="",H$4=""),"",SUMIFS(CSV貼付!$C$5:$C$504,CSV貼付!$A$5:$A$504,H$4,CSV貼付!$B$5:$B$504,$B9))</f>
        <v>268</v>
      </c>
      <c r="I9" s="53" t="n">
        <f aca="false">IF(OR($B9="",I$4=""),"",SUMIFS(CSV貼付!$C$5:$C$504,CSV貼付!$A$5:$A$504,I$4,CSV貼付!$B$5:$B$504,$B9))</f>
        <v>264</v>
      </c>
      <c r="J9" s="54" t="n">
        <f aca="false">IF($B9="","",SUM(C9:I9))</f>
        <v>2798</v>
      </c>
      <c r="K9" s="55"/>
    </row>
    <row r="10" customFormat="false" ht="19.5" hidden="false" customHeight="true" outlineLevel="0" collapsed="false">
      <c r="A10" s="28" t="n">
        <v>2</v>
      </c>
      <c r="B10" s="52" t="s">
        <v>57</v>
      </c>
      <c r="C10" s="36" t="n">
        <f aca="false">IF(OR($B10="",C$4=""),"",SUMIFS(CSV貼付!$C$5:$C$504,CSV貼付!$A$5:$A$504,C$4,CSV貼付!$B$5:$B$504,$B10))</f>
        <v>251</v>
      </c>
      <c r="D10" s="36" t="n">
        <f aca="false">IF(OR($B10="",D$4=""),"",SUMIFS(CSV貼付!$C$5:$C$504,CSV貼付!$A$5:$A$504,D$4,CSV貼付!$B$5:$B$504,$B10))</f>
        <v>219</v>
      </c>
      <c r="E10" s="36" t="n">
        <f aca="false">IF(OR($B10="",E$4=""),"",SUMIFS(CSV貼付!$C$5:$C$504,CSV貼付!$A$5:$A$504,E$4,CSV貼付!$B$5:$B$504,$B10))</f>
        <v>316</v>
      </c>
      <c r="F10" s="36" t="n">
        <f aca="false">IF(OR($B10="",F$4=""),"",SUMIFS(CSV貼付!$C$5:$C$504,CSV貼付!$A$5:$A$504,F$4,CSV貼付!$B$5:$B$504,$B10))</f>
        <v>514</v>
      </c>
      <c r="G10" s="36" t="n">
        <f aca="false">IF(OR($B10="",G$4=""),"",SUMIFS(CSV貼付!$C$5:$C$504,CSV貼付!$A$5:$A$504,G$4,CSV貼付!$B$5:$B$504,$B10))</f>
        <v>500</v>
      </c>
      <c r="H10" s="36" t="n">
        <f aca="false">IF(OR($B10="",H$4=""),"",SUMIFS(CSV貼付!$C$5:$C$504,CSV貼付!$A$5:$A$504,H$4,CSV貼付!$B$5:$B$504,$B10))</f>
        <v>196</v>
      </c>
      <c r="I10" s="36" t="n">
        <f aca="false">IF(OR($B10="",I$4=""),"",SUMIFS(CSV貼付!$C$5:$C$504,CSV貼付!$A$5:$A$504,I$4,CSV貼付!$B$5:$B$504,$B10))</f>
        <v>264</v>
      </c>
      <c r="J10" s="54" t="n">
        <f aca="false">IF($B10="","",SUM(C10:I10))</f>
        <v>2260</v>
      </c>
      <c r="K10" s="55"/>
    </row>
    <row r="11" customFormat="false" ht="19.5" hidden="false" customHeight="true" outlineLevel="0" collapsed="false">
      <c r="A11" s="28" t="n">
        <v>3</v>
      </c>
      <c r="B11" s="52" t="s">
        <v>58</v>
      </c>
      <c r="C11" s="53" t="n">
        <f aca="false">IF(OR($B11="",C$4=""),"",SUMIFS(CSV貼付!$C$5:$C$504,CSV貼付!$A$5:$A$504,C$4,CSV貼付!$B$5:$B$504,$B11))</f>
        <v>185</v>
      </c>
      <c r="D11" s="53" t="n">
        <f aca="false">IF(OR($B11="",D$4=""),"",SUMIFS(CSV貼付!$C$5:$C$504,CSV貼付!$A$5:$A$504,D$4,CSV貼付!$B$5:$B$504,$B11))</f>
        <v>143</v>
      </c>
      <c r="E11" s="53" t="n">
        <f aca="false">IF(OR($B11="",E$4=""),"",SUMIFS(CSV貼付!$C$5:$C$504,CSV貼付!$A$5:$A$504,E$4,CSV貼付!$B$5:$B$504,$B11))</f>
        <v>209</v>
      </c>
      <c r="F11" s="53" t="n">
        <f aca="false">IF(OR($B11="",F$4=""),"",SUMIFS(CSV貼付!$C$5:$C$504,CSV貼付!$A$5:$A$504,F$4,CSV貼付!$B$5:$B$504,$B11))</f>
        <v>394</v>
      </c>
      <c r="G11" s="53" t="n">
        <f aca="false">IF(OR($B11="",G$4=""),"",SUMIFS(CSV貼付!$C$5:$C$504,CSV貼付!$A$5:$A$504,G$4,CSV貼付!$B$5:$B$504,$B11))</f>
        <v>350</v>
      </c>
      <c r="H11" s="53" t="n">
        <f aca="false">IF(OR($B11="",H$4=""),"",SUMIFS(CSV貼付!$C$5:$C$504,CSV貼付!$A$5:$A$504,H$4,CSV貼付!$B$5:$B$504,$B11))</f>
        <v>156</v>
      </c>
      <c r="I11" s="53" t="n">
        <f aca="false">IF(OR($B11="",I$4=""),"",SUMIFS(CSV貼付!$C$5:$C$504,CSV貼付!$A$5:$A$504,I$4,CSV貼付!$B$5:$B$504,$B11))</f>
        <v>160</v>
      </c>
      <c r="J11" s="54" t="n">
        <f aca="false">IF($B11="","",SUM(C11:I11))</f>
        <v>1597</v>
      </c>
      <c r="K11" s="55"/>
    </row>
    <row r="12" customFormat="false" ht="19.5" hidden="false" customHeight="true" outlineLevel="0" collapsed="false">
      <c r="A12" s="28" t="n">
        <v>4</v>
      </c>
      <c r="B12" s="52" t="s">
        <v>59</v>
      </c>
      <c r="C12" s="36" t="n">
        <f aca="false">IF(OR($B12="",C$4=""),"",SUMIFS(CSV貼付!$C$5:$C$504,CSV貼付!$A$5:$A$504,C$4,CSV貼付!$B$5:$B$504,$B12))</f>
        <v>196</v>
      </c>
      <c r="D12" s="36" t="n">
        <f aca="false">IF(OR($B12="",D$4=""),"",SUMIFS(CSV貼付!$C$5:$C$504,CSV貼付!$A$5:$A$504,D$4,CSV貼付!$B$5:$B$504,$B12))</f>
        <v>156</v>
      </c>
      <c r="E12" s="36" t="n">
        <f aca="false">IF(OR($B12="",E$4=""),"",SUMIFS(CSV貼付!$C$5:$C$504,CSV貼付!$A$5:$A$504,E$4,CSV貼付!$B$5:$B$504,$B12))</f>
        <v>213</v>
      </c>
      <c r="F12" s="36" t="n">
        <f aca="false">IF(OR($B12="",F$4=""),"",SUMIFS(CSV貼付!$C$5:$C$504,CSV貼付!$A$5:$A$504,F$4,CSV貼付!$B$5:$B$504,$B12))</f>
        <v>439</v>
      </c>
      <c r="G12" s="36" t="n">
        <f aca="false">IF(OR($B12="",G$4=""),"",SUMIFS(CSV貼付!$C$5:$C$504,CSV貼付!$A$5:$A$504,G$4,CSV貼付!$B$5:$B$504,$B12))</f>
        <v>331</v>
      </c>
      <c r="H12" s="36" t="n">
        <f aca="false">IF(OR($B12="",H$4=""),"",SUMIFS(CSV貼付!$C$5:$C$504,CSV貼付!$A$5:$A$504,H$4,CSV貼付!$B$5:$B$504,$B12))</f>
        <v>177</v>
      </c>
      <c r="I12" s="36" t="n">
        <f aca="false">IF(OR($B12="",I$4=""),"",SUMIFS(CSV貼付!$C$5:$C$504,CSV貼付!$A$5:$A$504,I$4,CSV貼付!$B$5:$B$504,$B12))</f>
        <v>203</v>
      </c>
      <c r="J12" s="54" t="n">
        <f aca="false">IF($B12="","",SUM(C12:I12))</f>
        <v>1715</v>
      </c>
      <c r="K12" s="55"/>
    </row>
    <row r="13" customFormat="false" ht="19.5" hidden="false" customHeight="true" outlineLevel="0" collapsed="false">
      <c r="A13" s="28" t="n">
        <v>5</v>
      </c>
      <c r="B13" s="52" t="s">
        <v>60</v>
      </c>
      <c r="C13" s="53" t="n">
        <f aca="false">IF(OR($B13="",C$4=""),"",SUMIFS(CSV貼付!$C$5:$C$504,CSV貼付!$A$5:$A$504,C$4,CSV貼付!$B$5:$B$504,$B13))</f>
        <v>346</v>
      </c>
      <c r="D13" s="53" t="n">
        <f aca="false">IF(OR($B13="",D$4=""),"",SUMIFS(CSV貼付!$C$5:$C$504,CSV貼付!$A$5:$A$504,D$4,CSV貼付!$B$5:$B$504,$B13))</f>
        <v>399</v>
      </c>
      <c r="E13" s="53" t="n">
        <f aca="false">IF(OR($B13="",E$4=""),"",SUMIFS(CSV貼付!$C$5:$C$504,CSV貼付!$A$5:$A$504,E$4,CSV貼付!$B$5:$B$504,$B13))</f>
        <v>538</v>
      </c>
      <c r="F13" s="53" t="n">
        <f aca="false">IF(OR($B13="",F$4=""),"",SUMIFS(CSV貼付!$C$5:$C$504,CSV貼付!$A$5:$A$504,F$4,CSV貼付!$B$5:$B$504,$B13))</f>
        <v>930</v>
      </c>
      <c r="G13" s="53" t="n">
        <f aca="false">IF(OR($B13="",G$4=""),"",SUMIFS(CSV貼付!$C$5:$C$504,CSV貼付!$A$5:$A$504,G$4,CSV貼付!$B$5:$B$504,$B13))</f>
        <v>688</v>
      </c>
      <c r="H13" s="53" t="n">
        <f aca="false">IF(OR($B13="",H$4=""),"",SUMIFS(CSV貼付!$C$5:$C$504,CSV貼付!$A$5:$A$504,H$4,CSV貼付!$B$5:$B$504,$B13))</f>
        <v>299</v>
      </c>
      <c r="I13" s="53" t="n">
        <f aca="false">IF(OR($B13="",I$4=""),"",SUMIFS(CSV貼付!$C$5:$C$504,CSV貼付!$A$5:$A$504,I$4,CSV貼付!$B$5:$B$504,$B13))</f>
        <v>349</v>
      </c>
      <c r="J13" s="54" t="n">
        <f aca="false">IF($B13="","",SUM(C13:I13))</f>
        <v>3549</v>
      </c>
      <c r="K13" s="55"/>
    </row>
    <row r="14" customFormat="false" ht="19.5" hidden="false" customHeight="true" outlineLevel="0" collapsed="false">
      <c r="A14" s="28" t="n">
        <v>6</v>
      </c>
      <c r="B14" s="52" t="s">
        <v>61</v>
      </c>
      <c r="C14" s="36" t="n">
        <f aca="false">IF(OR($B14="",C$4=""),"",SUMIFS(CSV貼付!$C$5:$C$504,CSV貼付!$A$5:$A$504,C$4,CSV貼付!$B$5:$B$504,$B14))</f>
        <v>126</v>
      </c>
      <c r="D14" s="36" t="n">
        <f aca="false">IF(OR($B14="",D$4=""),"",SUMIFS(CSV貼付!$C$5:$C$504,CSV貼付!$A$5:$A$504,D$4,CSV貼付!$B$5:$B$504,$B14))</f>
        <v>135</v>
      </c>
      <c r="E14" s="36" t="n">
        <f aca="false">IF(OR($B14="",E$4=""),"",SUMIFS(CSV貼付!$C$5:$C$504,CSV貼付!$A$5:$A$504,E$4,CSV貼付!$B$5:$B$504,$B14))</f>
        <v>181</v>
      </c>
      <c r="F14" s="36" t="n">
        <f aca="false">IF(OR($B14="",F$4=""),"",SUMIFS(CSV貼付!$C$5:$C$504,CSV貼付!$A$5:$A$504,F$4,CSV貼付!$B$5:$B$504,$B14))</f>
        <v>289</v>
      </c>
      <c r="G14" s="36" t="n">
        <f aca="false">IF(OR($B14="",G$4=""),"",SUMIFS(CSV貼付!$C$5:$C$504,CSV貼付!$A$5:$A$504,G$4,CSV貼付!$B$5:$B$504,$B14))</f>
        <v>294</v>
      </c>
      <c r="H14" s="36" t="n">
        <f aca="false">IF(OR($B14="",H$4=""),"",SUMIFS(CSV貼付!$C$5:$C$504,CSV貼付!$A$5:$A$504,H$4,CSV貼付!$B$5:$B$504,$B14))</f>
        <v>121</v>
      </c>
      <c r="I14" s="36" t="n">
        <f aca="false">IF(OR($B14="",I$4=""),"",SUMIFS(CSV貼付!$C$5:$C$504,CSV貼付!$A$5:$A$504,I$4,CSV貼付!$B$5:$B$504,$B14))</f>
        <v>120</v>
      </c>
      <c r="J14" s="54" t="n">
        <f aca="false">IF($B14="","",SUM(C14:I14))</f>
        <v>1266</v>
      </c>
      <c r="K14" s="55"/>
    </row>
    <row r="15" customFormat="false" ht="19.5" hidden="false" customHeight="true" outlineLevel="0" collapsed="false">
      <c r="A15" s="28" t="n">
        <v>7</v>
      </c>
      <c r="B15" s="52" t="s">
        <v>62</v>
      </c>
      <c r="C15" s="53" t="n">
        <f aca="false">IF(OR($B15="",C$4=""),"",SUMIFS(CSV貼付!$C$5:$C$504,CSV貼付!$A$5:$A$504,C$4,CSV貼付!$B$5:$B$504,$B15))</f>
        <v>104</v>
      </c>
      <c r="D15" s="53" t="n">
        <f aca="false">IF(OR($B15="",D$4=""),"",SUMIFS(CSV貼付!$C$5:$C$504,CSV貼付!$A$5:$A$504,D$4,CSV貼付!$B$5:$B$504,$B15))</f>
        <v>118</v>
      </c>
      <c r="E15" s="53" t="n">
        <f aca="false">IF(OR($B15="",E$4=""),"",SUMIFS(CSV貼付!$C$5:$C$504,CSV貼付!$A$5:$A$504,E$4,CSV貼付!$B$5:$B$504,$B15))</f>
        <v>155</v>
      </c>
      <c r="F15" s="53" t="n">
        <f aca="false">IF(OR($B15="",F$4=""),"",SUMIFS(CSV貼付!$C$5:$C$504,CSV貼付!$A$5:$A$504,F$4,CSV貼付!$B$5:$B$504,$B15))</f>
        <v>271</v>
      </c>
      <c r="G15" s="53" t="n">
        <f aca="false">IF(OR($B15="",G$4=""),"",SUMIFS(CSV貼付!$C$5:$C$504,CSV貼付!$A$5:$A$504,G$4,CSV貼付!$B$5:$B$504,$B15))</f>
        <v>230</v>
      </c>
      <c r="H15" s="53" t="n">
        <f aca="false">IF(OR($B15="",H$4=""),"",SUMIFS(CSV貼付!$C$5:$C$504,CSV貼付!$A$5:$A$504,H$4,CSV貼付!$B$5:$B$504,$B15))</f>
        <v>107</v>
      </c>
      <c r="I15" s="53" t="n">
        <f aca="false">IF(OR($B15="",I$4=""),"",SUMIFS(CSV貼付!$C$5:$C$504,CSV貼付!$A$5:$A$504,I$4,CSV貼付!$B$5:$B$504,$B15))</f>
        <v>107</v>
      </c>
      <c r="J15" s="54" t="n">
        <f aca="false">IF($B15="","",SUM(C15:I15))</f>
        <v>1092</v>
      </c>
      <c r="K15" s="55"/>
    </row>
    <row r="16" customFormat="false" ht="19.5" hidden="false" customHeight="true" outlineLevel="0" collapsed="false">
      <c r="A16" s="28" t="n">
        <v>8</v>
      </c>
      <c r="B16" s="52" t="s">
        <v>63</v>
      </c>
      <c r="C16" s="36" t="n">
        <f aca="false">IF(OR($B16="",C$4=""),"",SUMIFS(CSV貼付!$C$5:$C$504,CSV貼付!$A$5:$A$504,C$4,CSV貼付!$B$5:$B$504,$B16))</f>
        <v>80</v>
      </c>
      <c r="D16" s="36" t="n">
        <f aca="false">IF(OR($B16="",D$4=""),"",SUMIFS(CSV貼付!$C$5:$C$504,CSV貼付!$A$5:$A$504,D$4,CSV貼付!$B$5:$B$504,$B16))</f>
        <v>86</v>
      </c>
      <c r="E16" s="36" t="n">
        <f aca="false">IF(OR($B16="",E$4=""),"",SUMIFS(CSV貼付!$C$5:$C$504,CSV貼付!$A$5:$A$504,E$4,CSV貼付!$B$5:$B$504,$B16))</f>
        <v>105</v>
      </c>
      <c r="F16" s="36" t="n">
        <f aca="false">IF(OR($B16="",F$4=""),"",SUMIFS(CSV貼付!$C$5:$C$504,CSV貼付!$A$5:$A$504,F$4,CSV貼付!$B$5:$B$504,$B16))</f>
        <v>182</v>
      </c>
      <c r="G16" s="36" t="n">
        <f aca="false">IF(OR($B16="",G$4=""),"",SUMIFS(CSV貼付!$C$5:$C$504,CSV貼付!$A$5:$A$504,G$4,CSV貼付!$B$5:$B$504,$B16))</f>
        <v>170</v>
      </c>
      <c r="H16" s="36" t="n">
        <f aca="false">IF(OR($B16="",H$4=""),"",SUMIFS(CSV貼付!$C$5:$C$504,CSV貼付!$A$5:$A$504,H$4,CSV貼付!$B$5:$B$504,$B16))</f>
        <v>79</v>
      </c>
      <c r="I16" s="36" t="n">
        <f aca="false">IF(OR($B16="",I$4=""),"",SUMIFS(CSV貼付!$C$5:$C$504,CSV貼付!$A$5:$A$504,I$4,CSV貼付!$B$5:$B$504,$B16))</f>
        <v>100</v>
      </c>
      <c r="J16" s="54" t="n">
        <f aca="false">IF($B16="","",SUM(C16:I16))</f>
        <v>802</v>
      </c>
      <c r="K16" s="55"/>
    </row>
    <row r="17" customFormat="false" ht="19.5" hidden="false" customHeight="true" outlineLevel="0" collapsed="false">
      <c r="A17" s="28" t="n">
        <v>9</v>
      </c>
      <c r="B17" s="52" t="s">
        <v>64</v>
      </c>
      <c r="C17" s="53" t="n">
        <f aca="false">IF(OR($B17="",C$4=""),"",SUMIFS(CSV貼付!$C$5:$C$504,CSV貼付!$A$5:$A$504,C$4,CSV貼付!$B$5:$B$504,$B17))</f>
        <v>59</v>
      </c>
      <c r="D17" s="53" t="n">
        <f aca="false">IF(OR($B17="",D$4=""),"",SUMIFS(CSV貼付!$C$5:$C$504,CSV貼付!$A$5:$A$504,D$4,CSV貼付!$B$5:$B$504,$B17))</f>
        <v>55</v>
      </c>
      <c r="E17" s="53" t="n">
        <f aca="false">IF(OR($B17="",E$4=""),"",SUMIFS(CSV貼付!$C$5:$C$504,CSV貼付!$A$5:$A$504,E$4,CSV貼付!$B$5:$B$504,$B17))</f>
        <v>83</v>
      </c>
      <c r="F17" s="53" t="n">
        <f aca="false">IF(OR($B17="",F$4=""),"",SUMIFS(CSV貼付!$C$5:$C$504,CSV貼付!$A$5:$A$504,F$4,CSV貼付!$B$5:$B$504,$B17))</f>
        <v>158</v>
      </c>
      <c r="G17" s="53" t="n">
        <f aca="false">IF(OR($B17="",G$4=""),"",SUMIFS(CSV貼付!$C$5:$C$504,CSV貼付!$A$5:$A$504,G$4,CSV貼付!$B$5:$B$504,$B17))</f>
        <v>143</v>
      </c>
      <c r="H17" s="53" t="n">
        <f aca="false">IF(OR($B17="",H$4=""),"",SUMIFS(CSV貼付!$C$5:$C$504,CSV貼付!$A$5:$A$504,H$4,CSV貼付!$B$5:$B$504,$B17))</f>
        <v>52</v>
      </c>
      <c r="I17" s="53" t="n">
        <f aca="false">IF(OR($B17="",I$4=""),"",SUMIFS(CSV貼付!$C$5:$C$504,CSV貼付!$A$5:$A$504,I$4,CSV貼付!$B$5:$B$504,$B17))</f>
        <v>66</v>
      </c>
      <c r="J17" s="54" t="n">
        <f aca="false">IF($B17="","",SUM(C17:I17))</f>
        <v>616</v>
      </c>
      <c r="K17" s="55"/>
    </row>
    <row r="18" customFormat="false" ht="19.5" hidden="false" customHeight="true" outlineLevel="0" collapsed="false">
      <c r="A18" s="28" t="n">
        <v>10</v>
      </c>
      <c r="B18" s="52" t="s">
        <v>65</v>
      </c>
      <c r="C18" s="36" t="n">
        <f aca="false">IF(OR($B18="",C$4=""),"",SUMIFS(CSV貼付!$C$5:$C$504,CSV貼付!$A$5:$A$504,C$4,CSV貼付!$B$5:$B$504,$B18))</f>
        <v>121</v>
      </c>
      <c r="D18" s="36" t="n">
        <f aca="false">IF(OR($B18="",D$4=""),"",SUMIFS(CSV貼付!$C$5:$C$504,CSV貼付!$A$5:$A$504,D$4,CSV貼付!$B$5:$B$504,$B18))</f>
        <v>111</v>
      </c>
      <c r="E18" s="36" t="n">
        <f aca="false">IF(OR($B18="",E$4=""),"",SUMIFS(CSV貼付!$C$5:$C$504,CSV貼付!$A$5:$A$504,E$4,CSV貼付!$B$5:$B$504,$B18))</f>
        <v>151</v>
      </c>
      <c r="F18" s="36" t="n">
        <f aca="false">IF(OR($B18="",F$4=""),"",SUMIFS(CSV貼付!$C$5:$C$504,CSV貼付!$A$5:$A$504,F$4,CSV貼付!$B$5:$B$504,$B18))</f>
        <v>223</v>
      </c>
      <c r="G18" s="36" t="n">
        <f aca="false">IF(OR($B18="",G$4=""),"",SUMIFS(CSV貼付!$C$5:$C$504,CSV貼付!$A$5:$A$504,G$4,CSV貼付!$B$5:$B$504,$B18))</f>
        <v>218</v>
      </c>
      <c r="H18" s="36" t="n">
        <f aca="false">IF(OR($B18="",H$4=""),"",SUMIFS(CSV貼付!$C$5:$C$504,CSV貼付!$A$5:$A$504,H$4,CSV貼付!$B$5:$B$504,$B18))</f>
        <v>96</v>
      </c>
      <c r="I18" s="36" t="n">
        <f aca="false">IF(OR($B18="",I$4=""),"",SUMIFS(CSV貼付!$C$5:$C$504,CSV貼付!$A$5:$A$504,I$4,CSV貼付!$B$5:$B$504,$B18))</f>
        <v>93</v>
      </c>
      <c r="J18" s="54" t="n">
        <f aca="false">IF($B18="","",SUM(C18:I18))</f>
        <v>1013</v>
      </c>
      <c r="K18" s="55"/>
    </row>
    <row r="19" customFormat="false" ht="19.5" hidden="false" customHeight="true" outlineLevel="0" collapsed="false">
      <c r="A19" s="28" t="n">
        <v>11</v>
      </c>
      <c r="B19" s="52" t="s">
        <v>66</v>
      </c>
      <c r="C19" s="53" t="n">
        <f aca="false">IF(OR($B19="",C$4=""),"",SUMIFS(CSV貼付!$C$5:$C$504,CSV貼付!$A$5:$A$504,C$4,CSV貼付!$B$5:$B$504,$B19))</f>
        <v>58</v>
      </c>
      <c r="D19" s="53" t="n">
        <f aca="false">IF(OR($B19="",D$4=""),"",SUMIFS(CSV貼付!$C$5:$C$504,CSV貼付!$A$5:$A$504,D$4,CSV貼付!$B$5:$B$504,$B19))</f>
        <v>63</v>
      </c>
      <c r="E19" s="53" t="n">
        <f aca="false">IF(OR($B19="",E$4=""),"",SUMIFS(CSV貼付!$C$5:$C$504,CSV貼付!$A$5:$A$504,E$4,CSV貼付!$B$5:$B$504,$B19))</f>
        <v>72</v>
      </c>
      <c r="F19" s="53" t="n">
        <f aca="false">IF(OR($B19="",F$4=""),"",SUMIFS(CSV貼付!$C$5:$C$504,CSV貼付!$A$5:$A$504,F$4,CSV貼付!$B$5:$B$504,$B19))</f>
        <v>154</v>
      </c>
      <c r="G19" s="53" t="n">
        <f aca="false">IF(OR($B19="",G$4=""),"",SUMIFS(CSV貼付!$C$5:$C$504,CSV貼付!$A$5:$A$504,G$4,CSV貼付!$B$5:$B$504,$B19))</f>
        <v>108</v>
      </c>
      <c r="H19" s="53" t="n">
        <f aca="false">IF(OR($B19="",H$4=""),"",SUMIFS(CSV貼付!$C$5:$C$504,CSV貼付!$A$5:$A$504,H$4,CSV貼付!$B$5:$B$504,$B19))</f>
        <v>51</v>
      </c>
      <c r="I19" s="53" t="n">
        <f aca="false">IF(OR($B19="",I$4=""),"",SUMIFS(CSV貼付!$C$5:$C$504,CSV貼付!$A$5:$A$504,I$4,CSV貼付!$B$5:$B$504,$B19))</f>
        <v>55</v>
      </c>
      <c r="J19" s="54" t="n">
        <f aca="false">IF($B19="","",SUM(C19:I19))</f>
        <v>561</v>
      </c>
      <c r="K19" s="55"/>
    </row>
    <row r="20" customFormat="false" ht="19.5" hidden="false" customHeight="true" outlineLevel="0" collapsed="false">
      <c r="A20" s="28" t="n">
        <v>12</v>
      </c>
      <c r="B20" s="52" t="s">
        <v>67</v>
      </c>
      <c r="C20" s="36" t="n">
        <f aca="false">IF(OR($B20="",C$4=""),"",SUMIFS(CSV貼付!$C$5:$C$504,CSV貼付!$A$5:$A$504,C$4,CSV貼付!$B$5:$B$504,$B20))</f>
        <v>48</v>
      </c>
      <c r="D20" s="36" t="n">
        <f aca="false">IF(OR($B20="",D$4=""),"",SUMIFS(CSV貼付!$C$5:$C$504,CSV貼付!$A$5:$A$504,D$4,CSV貼付!$B$5:$B$504,$B20))</f>
        <v>44</v>
      </c>
      <c r="E20" s="36" t="n">
        <f aca="false">IF(OR($B20="",E$4=""),"",SUMIFS(CSV貼付!$C$5:$C$504,CSV貼付!$A$5:$A$504,E$4,CSV貼付!$B$5:$B$504,$B20))</f>
        <v>63</v>
      </c>
      <c r="F20" s="36" t="n">
        <f aca="false">IF(OR($B20="",F$4=""),"",SUMIFS(CSV貼付!$C$5:$C$504,CSV貼付!$A$5:$A$504,F$4,CSV貼付!$B$5:$B$504,$B20))</f>
        <v>103</v>
      </c>
      <c r="G20" s="36" t="n">
        <f aca="false">IF(OR($B20="",G$4=""),"",SUMIFS(CSV貼付!$C$5:$C$504,CSV貼付!$A$5:$A$504,G$4,CSV貼付!$B$5:$B$504,$B20))</f>
        <v>121</v>
      </c>
      <c r="H20" s="36" t="n">
        <f aca="false">IF(OR($B20="",H$4=""),"",SUMIFS(CSV貼付!$C$5:$C$504,CSV貼付!$A$5:$A$504,H$4,CSV貼付!$B$5:$B$504,$B20))</f>
        <v>52</v>
      </c>
      <c r="I20" s="36" t="n">
        <f aca="false">IF(OR($B20="",I$4=""),"",SUMIFS(CSV貼付!$C$5:$C$504,CSV貼付!$A$5:$A$504,I$4,CSV貼付!$B$5:$B$504,$B20))</f>
        <v>50</v>
      </c>
      <c r="J20" s="54" t="n">
        <f aca="false">IF($B20="","",SUM(C20:I20))</f>
        <v>481</v>
      </c>
      <c r="K20" s="55"/>
    </row>
    <row r="21" customFormat="false" ht="19.5" hidden="false" customHeight="true" outlineLevel="0" collapsed="false">
      <c r="A21" s="28" t="n">
        <v>13</v>
      </c>
      <c r="B21" s="52"/>
      <c r="C21" s="53" t="str">
        <f aca="false">IF(OR($B21="",C$4=""),"",SUMIFS(CSV貼付!$C$5:$C$504,CSV貼付!$A$5:$A$504,C$4,CSV貼付!$B$5:$B$504,$B21))</f>
        <v/>
      </c>
      <c r="D21" s="53" t="str">
        <f aca="false">IF(OR($B21="",D$4=""),"",SUMIFS(CSV貼付!$C$5:$C$504,CSV貼付!$A$5:$A$504,D$4,CSV貼付!$B$5:$B$504,$B21))</f>
        <v/>
      </c>
      <c r="E21" s="53" t="str">
        <f aca="false">IF(OR($B21="",E$4=""),"",SUMIFS(CSV貼付!$C$5:$C$504,CSV貼付!$A$5:$A$504,E$4,CSV貼付!$B$5:$B$504,$B21))</f>
        <v/>
      </c>
      <c r="F21" s="53" t="str">
        <f aca="false">IF(OR($B21="",F$4=""),"",SUMIFS(CSV貼付!$C$5:$C$504,CSV貼付!$A$5:$A$504,F$4,CSV貼付!$B$5:$B$504,$B21))</f>
        <v/>
      </c>
      <c r="G21" s="53" t="str">
        <f aca="false">IF(OR($B21="",G$4=""),"",SUMIFS(CSV貼付!$C$5:$C$504,CSV貼付!$A$5:$A$504,G$4,CSV貼付!$B$5:$B$504,$B21))</f>
        <v/>
      </c>
      <c r="H21" s="53" t="str">
        <f aca="false">IF(OR($B21="",H$4=""),"",SUMIFS(CSV貼付!$C$5:$C$504,CSV貼付!$A$5:$A$504,H$4,CSV貼付!$B$5:$B$504,$B21))</f>
        <v/>
      </c>
      <c r="I21" s="53" t="str">
        <f aca="false">IF(OR($B21="",I$4=""),"",SUMIFS(CSV貼付!$C$5:$C$504,CSV貼付!$A$5:$A$504,I$4,CSV貼付!$B$5:$B$504,$B21))</f>
        <v/>
      </c>
      <c r="J21" s="54" t="str">
        <f aca="false">IF($B21="","",SUM(C21:I21))</f>
        <v/>
      </c>
      <c r="K21" s="55"/>
    </row>
    <row r="22" customFormat="false" ht="19.5" hidden="false" customHeight="true" outlineLevel="0" collapsed="false">
      <c r="A22" s="28" t="n">
        <v>14</v>
      </c>
      <c r="B22" s="52"/>
      <c r="C22" s="36" t="str">
        <f aca="false">IF(OR($B22="",C$4=""),"",SUMIFS(CSV貼付!$C$5:$C$504,CSV貼付!$A$5:$A$504,C$4,CSV貼付!$B$5:$B$504,$B22))</f>
        <v/>
      </c>
      <c r="D22" s="36" t="str">
        <f aca="false">IF(OR($B22="",D$4=""),"",SUMIFS(CSV貼付!$C$5:$C$504,CSV貼付!$A$5:$A$504,D$4,CSV貼付!$B$5:$B$504,$B22))</f>
        <v/>
      </c>
      <c r="E22" s="36" t="str">
        <f aca="false">IF(OR($B22="",E$4=""),"",SUMIFS(CSV貼付!$C$5:$C$504,CSV貼付!$A$5:$A$504,E$4,CSV貼付!$B$5:$B$504,$B22))</f>
        <v/>
      </c>
      <c r="F22" s="36" t="str">
        <f aca="false">IF(OR($B22="",F$4=""),"",SUMIFS(CSV貼付!$C$5:$C$504,CSV貼付!$A$5:$A$504,F$4,CSV貼付!$B$5:$B$504,$B22))</f>
        <v/>
      </c>
      <c r="G22" s="36" t="str">
        <f aca="false">IF(OR($B22="",G$4=""),"",SUMIFS(CSV貼付!$C$5:$C$504,CSV貼付!$A$5:$A$504,G$4,CSV貼付!$B$5:$B$504,$B22))</f>
        <v/>
      </c>
      <c r="H22" s="36" t="str">
        <f aca="false">IF(OR($B22="",H$4=""),"",SUMIFS(CSV貼付!$C$5:$C$504,CSV貼付!$A$5:$A$504,H$4,CSV貼付!$B$5:$B$504,$B22))</f>
        <v/>
      </c>
      <c r="I22" s="36" t="str">
        <f aca="false">IF(OR($B22="",I$4=""),"",SUMIFS(CSV貼付!$C$5:$C$504,CSV貼付!$A$5:$A$504,I$4,CSV貼付!$B$5:$B$504,$B22))</f>
        <v/>
      </c>
      <c r="J22" s="54" t="str">
        <f aca="false">IF($B22="","",SUM(C22:I22))</f>
        <v/>
      </c>
      <c r="K22" s="55"/>
    </row>
    <row r="23" customFormat="false" ht="19.5" hidden="false" customHeight="true" outlineLevel="0" collapsed="false">
      <c r="A23" s="28" t="n">
        <v>15</v>
      </c>
      <c r="B23" s="52"/>
      <c r="C23" s="53" t="str">
        <f aca="false">IF(OR($B23="",C$4=""),"",SUMIFS(CSV貼付!$C$5:$C$504,CSV貼付!$A$5:$A$504,C$4,CSV貼付!$B$5:$B$504,$B23))</f>
        <v/>
      </c>
      <c r="D23" s="53" t="str">
        <f aca="false">IF(OR($B23="",D$4=""),"",SUMIFS(CSV貼付!$C$5:$C$504,CSV貼付!$A$5:$A$504,D$4,CSV貼付!$B$5:$B$504,$B23))</f>
        <v/>
      </c>
      <c r="E23" s="53" t="str">
        <f aca="false">IF(OR($B23="",E$4=""),"",SUMIFS(CSV貼付!$C$5:$C$504,CSV貼付!$A$5:$A$504,E$4,CSV貼付!$B$5:$B$504,$B23))</f>
        <v/>
      </c>
      <c r="F23" s="53" t="str">
        <f aca="false">IF(OR($B23="",F$4=""),"",SUMIFS(CSV貼付!$C$5:$C$504,CSV貼付!$A$5:$A$504,F$4,CSV貼付!$B$5:$B$504,$B23))</f>
        <v/>
      </c>
      <c r="G23" s="53" t="str">
        <f aca="false">IF(OR($B23="",G$4=""),"",SUMIFS(CSV貼付!$C$5:$C$504,CSV貼付!$A$5:$A$504,G$4,CSV貼付!$B$5:$B$504,$B23))</f>
        <v/>
      </c>
      <c r="H23" s="53" t="str">
        <f aca="false">IF(OR($B23="",H$4=""),"",SUMIFS(CSV貼付!$C$5:$C$504,CSV貼付!$A$5:$A$504,H$4,CSV貼付!$B$5:$B$504,$B23))</f>
        <v/>
      </c>
      <c r="I23" s="53" t="str">
        <f aca="false">IF(OR($B23="",I$4=""),"",SUMIFS(CSV貼付!$C$5:$C$504,CSV貼付!$A$5:$A$504,I$4,CSV貼付!$B$5:$B$504,$B23))</f>
        <v/>
      </c>
      <c r="J23" s="54" t="str">
        <f aca="false">IF($B23="","",SUM(C23:I23))</f>
        <v/>
      </c>
      <c r="K23" s="55"/>
    </row>
    <row r="24" customFormat="false" ht="19.5" hidden="false" customHeight="true" outlineLevel="0" collapsed="false">
      <c r="A24" s="28" t="n">
        <v>16</v>
      </c>
      <c r="B24" s="52"/>
      <c r="C24" s="36" t="str">
        <f aca="false">IF(OR($B24="",C$4=""),"",SUMIFS(CSV貼付!$C$5:$C$504,CSV貼付!$A$5:$A$504,C$4,CSV貼付!$B$5:$B$504,$B24))</f>
        <v/>
      </c>
      <c r="D24" s="36" t="str">
        <f aca="false">IF(OR($B24="",D$4=""),"",SUMIFS(CSV貼付!$C$5:$C$504,CSV貼付!$A$5:$A$504,D$4,CSV貼付!$B$5:$B$504,$B24))</f>
        <v/>
      </c>
      <c r="E24" s="36" t="str">
        <f aca="false">IF(OR($B24="",E$4=""),"",SUMIFS(CSV貼付!$C$5:$C$504,CSV貼付!$A$5:$A$504,E$4,CSV貼付!$B$5:$B$504,$B24))</f>
        <v/>
      </c>
      <c r="F24" s="36" t="str">
        <f aca="false">IF(OR($B24="",F$4=""),"",SUMIFS(CSV貼付!$C$5:$C$504,CSV貼付!$A$5:$A$504,F$4,CSV貼付!$B$5:$B$504,$B24))</f>
        <v/>
      </c>
      <c r="G24" s="36" t="str">
        <f aca="false">IF(OR($B24="",G$4=""),"",SUMIFS(CSV貼付!$C$5:$C$504,CSV貼付!$A$5:$A$504,G$4,CSV貼付!$B$5:$B$504,$B24))</f>
        <v/>
      </c>
      <c r="H24" s="36" t="str">
        <f aca="false">IF(OR($B24="",H$4=""),"",SUMIFS(CSV貼付!$C$5:$C$504,CSV貼付!$A$5:$A$504,H$4,CSV貼付!$B$5:$B$504,$B24))</f>
        <v/>
      </c>
      <c r="I24" s="36" t="str">
        <f aca="false">IF(OR($B24="",I$4=""),"",SUMIFS(CSV貼付!$C$5:$C$504,CSV貼付!$A$5:$A$504,I$4,CSV貼付!$B$5:$B$504,$B24))</f>
        <v/>
      </c>
      <c r="J24" s="54" t="str">
        <f aca="false">IF($B24="","",SUM(C24:I24))</f>
        <v/>
      </c>
      <c r="K24" s="55"/>
    </row>
    <row r="25" customFormat="false" ht="19.5" hidden="false" customHeight="true" outlineLevel="0" collapsed="false">
      <c r="A25" s="28" t="n">
        <v>17</v>
      </c>
      <c r="B25" s="52"/>
      <c r="C25" s="53" t="str">
        <f aca="false">IF(OR($B25="",C$4=""),"",SUMIFS(CSV貼付!$C$5:$C$504,CSV貼付!$A$5:$A$504,C$4,CSV貼付!$B$5:$B$504,$B25))</f>
        <v/>
      </c>
      <c r="D25" s="53" t="str">
        <f aca="false">IF(OR($B25="",D$4=""),"",SUMIFS(CSV貼付!$C$5:$C$504,CSV貼付!$A$5:$A$504,D$4,CSV貼付!$B$5:$B$504,$B25))</f>
        <v/>
      </c>
      <c r="E25" s="53" t="str">
        <f aca="false">IF(OR($B25="",E$4=""),"",SUMIFS(CSV貼付!$C$5:$C$504,CSV貼付!$A$5:$A$504,E$4,CSV貼付!$B$5:$B$504,$B25))</f>
        <v/>
      </c>
      <c r="F25" s="53" t="str">
        <f aca="false">IF(OR($B25="",F$4=""),"",SUMIFS(CSV貼付!$C$5:$C$504,CSV貼付!$A$5:$A$504,F$4,CSV貼付!$B$5:$B$504,$B25))</f>
        <v/>
      </c>
      <c r="G25" s="53" t="str">
        <f aca="false">IF(OR($B25="",G$4=""),"",SUMIFS(CSV貼付!$C$5:$C$504,CSV貼付!$A$5:$A$504,G$4,CSV貼付!$B$5:$B$504,$B25))</f>
        <v/>
      </c>
      <c r="H25" s="53" t="str">
        <f aca="false">IF(OR($B25="",H$4=""),"",SUMIFS(CSV貼付!$C$5:$C$504,CSV貼付!$A$5:$A$504,H$4,CSV貼付!$B$5:$B$504,$B25))</f>
        <v/>
      </c>
      <c r="I25" s="53" t="str">
        <f aca="false">IF(OR($B25="",I$4=""),"",SUMIFS(CSV貼付!$C$5:$C$504,CSV貼付!$A$5:$A$504,I$4,CSV貼付!$B$5:$B$504,$B25))</f>
        <v/>
      </c>
      <c r="J25" s="54" t="str">
        <f aca="false">IF($B25="","",SUM(C25:I25))</f>
        <v/>
      </c>
      <c r="K25" s="55"/>
    </row>
    <row r="26" customFormat="false" ht="19.5" hidden="false" customHeight="true" outlineLevel="0" collapsed="false">
      <c r="A26" s="28" t="n">
        <v>18</v>
      </c>
      <c r="B26" s="52"/>
      <c r="C26" s="36" t="str">
        <f aca="false">IF(OR($B26="",C$4=""),"",SUMIFS(CSV貼付!$C$5:$C$504,CSV貼付!$A$5:$A$504,C$4,CSV貼付!$B$5:$B$504,$B26))</f>
        <v/>
      </c>
      <c r="D26" s="36" t="str">
        <f aca="false">IF(OR($B26="",D$4=""),"",SUMIFS(CSV貼付!$C$5:$C$504,CSV貼付!$A$5:$A$504,D$4,CSV貼付!$B$5:$B$504,$B26))</f>
        <v/>
      </c>
      <c r="E26" s="36" t="str">
        <f aca="false">IF(OR($B26="",E$4=""),"",SUMIFS(CSV貼付!$C$5:$C$504,CSV貼付!$A$5:$A$504,E$4,CSV貼付!$B$5:$B$504,$B26))</f>
        <v/>
      </c>
      <c r="F26" s="36" t="str">
        <f aca="false">IF(OR($B26="",F$4=""),"",SUMIFS(CSV貼付!$C$5:$C$504,CSV貼付!$A$5:$A$504,F$4,CSV貼付!$B$5:$B$504,$B26))</f>
        <v/>
      </c>
      <c r="G26" s="36" t="str">
        <f aca="false">IF(OR($B26="",G$4=""),"",SUMIFS(CSV貼付!$C$5:$C$504,CSV貼付!$A$5:$A$504,G$4,CSV貼付!$B$5:$B$504,$B26))</f>
        <v/>
      </c>
      <c r="H26" s="36" t="str">
        <f aca="false">IF(OR($B26="",H$4=""),"",SUMIFS(CSV貼付!$C$5:$C$504,CSV貼付!$A$5:$A$504,H$4,CSV貼付!$B$5:$B$504,$B26))</f>
        <v/>
      </c>
      <c r="I26" s="36" t="str">
        <f aca="false">IF(OR($B26="",I$4=""),"",SUMIFS(CSV貼付!$C$5:$C$504,CSV貼付!$A$5:$A$504,I$4,CSV貼付!$B$5:$B$504,$B26))</f>
        <v/>
      </c>
      <c r="J26" s="54" t="str">
        <f aca="false">IF($B26="","",SUM(C26:I26))</f>
        <v/>
      </c>
      <c r="K26" s="55"/>
    </row>
    <row r="27" customFormat="false" ht="19.5" hidden="false" customHeight="true" outlineLevel="0" collapsed="false">
      <c r="A27" s="28" t="n">
        <v>19</v>
      </c>
      <c r="B27" s="52"/>
      <c r="C27" s="53" t="str">
        <f aca="false">IF(OR($B27="",C$4=""),"",SUMIFS(CSV貼付!$C$5:$C$504,CSV貼付!$A$5:$A$504,C$4,CSV貼付!$B$5:$B$504,$B27))</f>
        <v/>
      </c>
      <c r="D27" s="53" t="str">
        <f aca="false">IF(OR($B27="",D$4=""),"",SUMIFS(CSV貼付!$C$5:$C$504,CSV貼付!$A$5:$A$504,D$4,CSV貼付!$B$5:$B$504,$B27))</f>
        <v/>
      </c>
      <c r="E27" s="53" t="str">
        <f aca="false">IF(OR($B27="",E$4=""),"",SUMIFS(CSV貼付!$C$5:$C$504,CSV貼付!$A$5:$A$504,E$4,CSV貼付!$B$5:$B$504,$B27))</f>
        <v/>
      </c>
      <c r="F27" s="53" t="str">
        <f aca="false">IF(OR($B27="",F$4=""),"",SUMIFS(CSV貼付!$C$5:$C$504,CSV貼付!$A$5:$A$504,F$4,CSV貼付!$B$5:$B$504,$B27))</f>
        <v/>
      </c>
      <c r="G27" s="53" t="str">
        <f aca="false">IF(OR($B27="",G$4=""),"",SUMIFS(CSV貼付!$C$5:$C$504,CSV貼付!$A$5:$A$504,G$4,CSV貼付!$B$5:$B$504,$B27))</f>
        <v/>
      </c>
      <c r="H27" s="53" t="str">
        <f aca="false">IF(OR($B27="",H$4=""),"",SUMIFS(CSV貼付!$C$5:$C$504,CSV貼付!$A$5:$A$504,H$4,CSV貼付!$B$5:$B$504,$B27))</f>
        <v/>
      </c>
      <c r="I27" s="53" t="str">
        <f aca="false">IF(OR($B27="",I$4=""),"",SUMIFS(CSV貼付!$C$5:$C$504,CSV貼付!$A$5:$A$504,I$4,CSV貼付!$B$5:$B$504,$B27))</f>
        <v/>
      </c>
      <c r="J27" s="54" t="str">
        <f aca="false">IF($B27="","",SUM(C27:I27))</f>
        <v/>
      </c>
      <c r="K27" s="55"/>
    </row>
    <row r="28" customFormat="false" ht="19.5" hidden="false" customHeight="true" outlineLevel="0" collapsed="false">
      <c r="A28" s="28" t="n">
        <v>20</v>
      </c>
      <c r="B28" s="52"/>
      <c r="C28" s="36" t="str">
        <f aca="false">IF(OR($B28="",C$4=""),"",SUMIFS(CSV貼付!$C$5:$C$504,CSV貼付!$A$5:$A$504,C$4,CSV貼付!$B$5:$B$504,$B28))</f>
        <v/>
      </c>
      <c r="D28" s="36" t="str">
        <f aca="false">IF(OR($B28="",D$4=""),"",SUMIFS(CSV貼付!$C$5:$C$504,CSV貼付!$A$5:$A$504,D$4,CSV貼付!$B$5:$B$504,$B28))</f>
        <v/>
      </c>
      <c r="E28" s="36" t="str">
        <f aca="false">IF(OR($B28="",E$4=""),"",SUMIFS(CSV貼付!$C$5:$C$504,CSV貼付!$A$5:$A$504,E$4,CSV貼付!$B$5:$B$504,$B28))</f>
        <v/>
      </c>
      <c r="F28" s="36" t="str">
        <f aca="false">IF(OR($B28="",F$4=""),"",SUMIFS(CSV貼付!$C$5:$C$504,CSV貼付!$A$5:$A$504,F$4,CSV貼付!$B$5:$B$504,$B28))</f>
        <v/>
      </c>
      <c r="G28" s="36" t="str">
        <f aca="false">IF(OR($B28="",G$4=""),"",SUMIFS(CSV貼付!$C$5:$C$504,CSV貼付!$A$5:$A$504,G$4,CSV貼付!$B$5:$B$504,$B28))</f>
        <v/>
      </c>
      <c r="H28" s="36" t="str">
        <f aca="false">IF(OR($B28="",H$4=""),"",SUMIFS(CSV貼付!$C$5:$C$504,CSV貼付!$A$5:$A$504,H$4,CSV貼付!$B$5:$B$504,$B28))</f>
        <v/>
      </c>
      <c r="I28" s="36" t="str">
        <f aca="false">IF(OR($B28="",I$4=""),"",SUMIFS(CSV貼付!$C$5:$C$504,CSV貼付!$A$5:$A$504,I$4,CSV貼付!$B$5:$B$504,$B28))</f>
        <v/>
      </c>
      <c r="J28" s="54" t="str">
        <f aca="false">IF($B28="","",SUM(C28:I28))</f>
        <v/>
      </c>
      <c r="K28" s="55"/>
    </row>
    <row r="29" customFormat="false" ht="25.5" hidden="false" customHeight="true" outlineLevel="0" collapsed="false">
      <c r="A29" s="56" t="s">
        <v>68</v>
      </c>
      <c r="B29" s="56"/>
      <c r="C29" s="56"/>
      <c r="D29" s="56"/>
      <c r="E29" s="56"/>
      <c r="F29" s="56"/>
      <c r="G29" s="56"/>
      <c r="H29" s="56"/>
      <c r="I29" s="56"/>
      <c r="J29" s="56"/>
      <c r="K29" s="56"/>
    </row>
  </sheetData>
  <mergeCells count="4">
    <mergeCell ref="A1:K1"/>
    <mergeCell ref="C2:D2"/>
    <mergeCell ref="F2:K2"/>
    <mergeCell ref="A29:K29"/>
  </mergeCells>
  <conditionalFormatting sqref="C4:I5">
    <cfRule type="expression" priority="2" aboveAverage="0" equalAverage="0" bottom="0" percent="0" rank="0" text="" dxfId="0">
      <formula>WEEKDAY(C$4)=1</formula>
    </cfRule>
    <cfRule type="expression" priority="3" aboveAverage="0" equalAverage="0" bottom="0" percent="0" rank="0" text="" dxfId="1">
      <formula>WEEKDAY(C$4)=7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A13B"/>
    <pageSetUpPr fitToPage="true"/>
  </sheetPr>
  <dimension ref="A1:I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2.5"/>
    <col collapsed="false" customWidth="true" hidden="false" outlineLevel="0" max="8" min="8" style="0" width="11"/>
    <col collapsed="false" customWidth="true" hidden="false" outlineLevel="0" max="9" min="9" style="0" width="9"/>
  </cols>
  <sheetData>
    <row r="1" customFormat="false" ht="33.75" hidden="false" customHeight="true" outlineLevel="0" collapsed="false">
      <c r="A1" s="1" t="s">
        <v>69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6" t="s">
        <v>70</v>
      </c>
      <c r="B2" s="6"/>
      <c r="C2" s="6"/>
      <c r="D2" s="6"/>
      <c r="E2" s="6"/>
      <c r="F2" s="6"/>
      <c r="H2" s="57" t="s">
        <v>71</v>
      </c>
      <c r="I2" s="58" t="n">
        <f aca="false">COUNTA($A$5:$A$504)</f>
        <v>84</v>
      </c>
    </row>
    <row r="3" customFormat="false" ht="18" hidden="false" customHeight="true" outlineLevel="0" collapsed="false">
      <c r="H3" s="57" t="s">
        <v>72</v>
      </c>
      <c r="I3" s="58" t="n">
        <f aca="false">COUNTIF($F$5:$F$504,"⚠ 未登録")</f>
        <v>0</v>
      </c>
    </row>
    <row r="4" customFormat="false" ht="21.75" hidden="false" customHeight="true" outlineLevel="0" collapsed="false">
      <c r="A4" s="50" t="s">
        <v>73</v>
      </c>
      <c r="B4" s="50" t="s">
        <v>36</v>
      </c>
      <c r="C4" s="50" t="s">
        <v>74</v>
      </c>
      <c r="D4" s="50" t="s">
        <v>75</v>
      </c>
      <c r="E4" s="50" t="s">
        <v>76</v>
      </c>
      <c r="F4" s="50" t="s">
        <v>77</v>
      </c>
    </row>
    <row r="5" customFormat="false" ht="15" hidden="false" customHeight="false" outlineLevel="0" collapsed="false">
      <c r="A5" s="59" t="n">
        <v>46253</v>
      </c>
      <c r="B5" s="60" t="s">
        <v>78</v>
      </c>
      <c r="C5" s="61" t="n">
        <v>313</v>
      </c>
      <c r="D5" s="61" t="n">
        <v>172150</v>
      </c>
      <c r="E5" s="60"/>
      <c r="F5" s="62" t="str">
        <f aca="false">IF($B5="","",IF(ISNUMBER(MATCH($B5,日別データ!$B$9:$B$28,0)),"✔ OK","⚠ 未登録"))</f>
        <v>✔ OK</v>
      </c>
    </row>
    <row r="6" customFormat="false" ht="15" hidden="false" customHeight="false" outlineLevel="0" collapsed="false">
      <c r="A6" s="59" t="n">
        <v>46253</v>
      </c>
      <c r="B6" s="60" t="s">
        <v>79</v>
      </c>
      <c r="C6" s="61" t="n">
        <v>251</v>
      </c>
      <c r="D6" s="61" t="n">
        <v>143070</v>
      </c>
      <c r="E6" s="60"/>
      <c r="F6" s="62" t="str">
        <f aca="false">IF($B6="","",IF(ISNUMBER(MATCH($B6,日別データ!$B$9:$B$28,0)),"✔ OK","⚠ 未登録"))</f>
        <v>✔ OK</v>
      </c>
    </row>
    <row r="7" customFormat="false" ht="15" hidden="false" customHeight="false" outlineLevel="0" collapsed="false">
      <c r="A7" s="59" t="n">
        <v>46253</v>
      </c>
      <c r="B7" s="60" t="s">
        <v>58</v>
      </c>
      <c r="C7" s="61" t="n">
        <v>185</v>
      </c>
      <c r="D7" s="61" t="n">
        <v>111000</v>
      </c>
      <c r="E7" s="60"/>
      <c r="F7" s="62" t="str">
        <f aca="false">IF($B7="","",IF(ISNUMBER(MATCH($B7,日別データ!$B$9:$B$28,0)),"✔ OK","⚠ 未登録"))</f>
        <v>✔ OK</v>
      </c>
    </row>
    <row r="8" customFormat="false" ht="15" hidden="false" customHeight="false" outlineLevel="0" collapsed="false">
      <c r="A8" s="59" t="n">
        <v>46253</v>
      </c>
      <c r="B8" s="60" t="s">
        <v>80</v>
      </c>
      <c r="C8" s="61" t="n">
        <v>196</v>
      </c>
      <c r="D8" s="61" t="n">
        <v>66640</v>
      </c>
      <c r="E8" s="60"/>
      <c r="F8" s="62" t="str">
        <f aca="false">IF($B8="","",IF(ISNUMBER(MATCH($B8,日別データ!$B$9:$B$28,0)),"✔ OK","⚠ 未登録"))</f>
        <v>✔ OK</v>
      </c>
    </row>
    <row r="9" customFormat="false" ht="15" hidden="false" customHeight="false" outlineLevel="0" collapsed="false">
      <c r="A9" s="59" t="n">
        <v>46253</v>
      </c>
      <c r="B9" s="60" t="s">
        <v>81</v>
      </c>
      <c r="C9" s="61" t="n">
        <v>346</v>
      </c>
      <c r="D9" s="61" t="n">
        <v>138400</v>
      </c>
      <c r="E9" s="60"/>
      <c r="F9" s="62" t="str">
        <f aca="false">IF($B9="","",IF(ISNUMBER(MATCH($B9,日別データ!$B$9:$B$28,0)),"✔ OK","⚠ 未登録"))</f>
        <v>✔ OK</v>
      </c>
    </row>
    <row r="10" customFormat="false" ht="15" hidden="false" customHeight="false" outlineLevel="0" collapsed="false">
      <c r="A10" s="59" t="n">
        <v>46253</v>
      </c>
      <c r="B10" s="60" t="s">
        <v>82</v>
      </c>
      <c r="C10" s="61" t="n">
        <v>126</v>
      </c>
      <c r="D10" s="61" t="n">
        <v>57960</v>
      </c>
      <c r="E10" s="60"/>
      <c r="F10" s="62" t="str">
        <f aca="false">IF($B10="","",IF(ISNUMBER(MATCH($B10,日別データ!$B$9:$B$28,0)),"✔ OK","⚠ 未登録"))</f>
        <v>✔ OK</v>
      </c>
    </row>
    <row r="11" customFormat="false" ht="15" hidden="false" customHeight="false" outlineLevel="0" collapsed="false">
      <c r="A11" s="59" t="n">
        <v>46253</v>
      </c>
      <c r="B11" s="60" t="s">
        <v>62</v>
      </c>
      <c r="C11" s="61" t="n">
        <v>104</v>
      </c>
      <c r="D11" s="61" t="n">
        <v>39520</v>
      </c>
      <c r="E11" s="60"/>
      <c r="F11" s="62" t="str">
        <f aca="false">IF($B11="","",IF(ISNUMBER(MATCH($B11,日別データ!$B$9:$B$28,0)),"✔ OK","⚠ 未登録"))</f>
        <v>✔ OK</v>
      </c>
    </row>
    <row r="12" customFormat="false" ht="15" hidden="false" customHeight="false" outlineLevel="0" collapsed="false">
      <c r="A12" s="59" t="n">
        <v>46253</v>
      </c>
      <c r="B12" s="60" t="s">
        <v>63</v>
      </c>
      <c r="C12" s="61" t="n">
        <v>80</v>
      </c>
      <c r="D12" s="61" t="n">
        <v>40000</v>
      </c>
      <c r="E12" s="60"/>
      <c r="F12" s="62" t="str">
        <f aca="false">IF($B12="","",IF(ISNUMBER(MATCH($B12,日別データ!$B$9:$B$28,0)),"✔ OK","⚠ 未登録"))</f>
        <v>✔ OK</v>
      </c>
    </row>
    <row r="13" customFormat="false" ht="15" hidden="false" customHeight="false" outlineLevel="0" collapsed="false">
      <c r="A13" s="59" t="n">
        <v>46253</v>
      </c>
      <c r="B13" s="60" t="s">
        <v>64</v>
      </c>
      <c r="C13" s="61" t="n">
        <v>59</v>
      </c>
      <c r="D13" s="61" t="n">
        <v>28320</v>
      </c>
      <c r="E13" s="60"/>
      <c r="F13" s="62" t="str">
        <f aca="false">IF($B13="","",IF(ISNUMBER(MATCH($B13,日別データ!$B$9:$B$28,0)),"✔ OK","⚠ 未登録"))</f>
        <v>✔ OK</v>
      </c>
    </row>
    <row r="14" customFormat="false" ht="15" hidden="false" customHeight="false" outlineLevel="0" collapsed="false">
      <c r="A14" s="59" t="n">
        <v>46253</v>
      </c>
      <c r="B14" s="60" t="s">
        <v>65</v>
      </c>
      <c r="C14" s="61" t="n">
        <v>121</v>
      </c>
      <c r="D14" s="61" t="n">
        <v>50820</v>
      </c>
      <c r="E14" s="60"/>
      <c r="F14" s="62" t="str">
        <f aca="false">IF($B14="","",IF(ISNUMBER(MATCH($B14,日別データ!$B$9:$B$28,0)),"✔ OK","⚠ 未登録"))</f>
        <v>✔ OK</v>
      </c>
    </row>
    <row r="15" customFormat="false" ht="15" hidden="false" customHeight="false" outlineLevel="0" collapsed="false">
      <c r="A15" s="59" t="n">
        <v>46253</v>
      </c>
      <c r="B15" s="60" t="s">
        <v>66</v>
      </c>
      <c r="C15" s="61" t="n">
        <v>58</v>
      </c>
      <c r="D15" s="61" t="n">
        <v>26100</v>
      </c>
      <c r="E15" s="60"/>
      <c r="F15" s="62" t="str">
        <f aca="false">IF($B15="","",IF(ISNUMBER(MATCH($B15,日別データ!$B$9:$B$28,0)),"✔ OK","⚠ 未登録"))</f>
        <v>✔ OK</v>
      </c>
    </row>
    <row r="16" customFormat="false" ht="15" hidden="false" customHeight="false" outlineLevel="0" collapsed="false">
      <c r="A16" s="59" t="n">
        <v>46253</v>
      </c>
      <c r="B16" s="60" t="s">
        <v>67</v>
      </c>
      <c r="C16" s="61" t="n">
        <v>48</v>
      </c>
      <c r="D16" s="61" t="n">
        <v>16800</v>
      </c>
      <c r="E16" s="60"/>
      <c r="F16" s="62" t="str">
        <f aca="false">IF($B16="","",IF(ISNUMBER(MATCH($B16,日別データ!$B$9:$B$28,0)),"✔ OK","⚠ 未登録"))</f>
        <v>✔ OK</v>
      </c>
    </row>
    <row r="17" customFormat="false" ht="15" hidden="false" customHeight="false" outlineLevel="0" collapsed="false">
      <c r="A17" s="59" t="n">
        <v>46254</v>
      </c>
      <c r="B17" s="60" t="s">
        <v>78</v>
      </c>
      <c r="C17" s="61" t="n">
        <v>251</v>
      </c>
      <c r="D17" s="61" t="n">
        <v>138050</v>
      </c>
      <c r="E17" s="60"/>
      <c r="F17" s="62" t="str">
        <f aca="false">IF($B17="","",IF(ISNUMBER(MATCH($B17,日別データ!$B$9:$B$28,0)),"✔ OK","⚠ 未登録"))</f>
        <v>✔ OK</v>
      </c>
    </row>
    <row r="18" customFormat="false" ht="15" hidden="false" customHeight="false" outlineLevel="0" collapsed="false">
      <c r="A18" s="59" t="n">
        <v>46254</v>
      </c>
      <c r="B18" s="60" t="s">
        <v>79</v>
      </c>
      <c r="C18" s="61" t="n">
        <v>219</v>
      </c>
      <c r="D18" s="61" t="n">
        <v>124830</v>
      </c>
      <c r="E18" s="60"/>
      <c r="F18" s="62" t="str">
        <f aca="false">IF($B18="","",IF(ISNUMBER(MATCH($B18,日別データ!$B$9:$B$28,0)),"✔ OK","⚠ 未登録"))</f>
        <v>✔ OK</v>
      </c>
    </row>
    <row r="19" customFormat="false" ht="15" hidden="false" customHeight="false" outlineLevel="0" collapsed="false">
      <c r="A19" s="59" t="n">
        <v>46254</v>
      </c>
      <c r="B19" s="60" t="s">
        <v>58</v>
      </c>
      <c r="C19" s="61" t="n">
        <v>143</v>
      </c>
      <c r="D19" s="61" t="n">
        <v>85800</v>
      </c>
      <c r="E19" s="60"/>
      <c r="F19" s="62" t="str">
        <f aca="false">IF($B19="","",IF(ISNUMBER(MATCH($B19,日別データ!$B$9:$B$28,0)),"✔ OK","⚠ 未登録"))</f>
        <v>✔ OK</v>
      </c>
    </row>
    <row r="20" customFormat="false" ht="15" hidden="false" customHeight="false" outlineLevel="0" collapsed="false">
      <c r="A20" s="59" t="n">
        <v>46254</v>
      </c>
      <c r="B20" s="60" t="s">
        <v>80</v>
      </c>
      <c r="C20" s="61" t="n">
        <v>156</v>
      </c>
      <c r="D20" s="61" t="n">
        <v>53040</v>
      </c>
      <c r="E20" s="60"/>
      <c r="F20" s="62" t="str">
        <f aca="false">IF($B20="","",IF(ISNUMBER(MATCH($B20,日別データ!$B$9:$B$28,0)),"✔ OK","⚠ 未登録"))</f>
        <v>✔ OK</v>
      </c>
    </row>
    <row r="21" customFormat="false" ht="15" hidden="false" customHeight="false" outlineLevel="0" collapsed="false">
      <c r="A21" s="59" t="n">
        <v>46254</v>
      </c>
      <c r="B21" s="60" t="s">
        <v>81</v>
      </c>
      <c r="C21" s="61" t="n">
        <v>399</v>
      </c>
      <c r="D21" s="61" t="n">
        <v>159600</v>
      </c>
      <c r="E21" s="60"/>
      <c r="F21" s="62" t="str">
        <f aca="false">IF($B21="","",IF(ISNUMBER(MATCH($B21,日別データ!$B$9:$B$28,0)),"✔ OK","⚠ 未登録"))</f>
        <v>✔ OK</v>
      </c>
    </row>
    <row r="22" customFormat="false" ht="15" hidden="false" customHeight="false" outlineLevel="0" collapsed="false">
      <c r="A22" s="59" t="n">
        <v>46254</v>
      </c>
      <c r="B22" s="60" t="s">
        <v>82</v>
      </c>
      <c r="C22" s="61" t="n">
        <v>135</v>
      </c>
      <c r="D22" s="61" t="n">
        <v>62100</v>
      </c>
      <c r="E22" s="60"/>
      <c r="F22" s="62" t="str">
        <f aca="false">IF($B22="","",IF(ISNUMBER(MATCH($B22,日別データ!$B$9:$B$28,0)),"✔ OK","⚠ 未登録"))</f>
        <v>✔ OK</v>
      </c>
    </row>
    <row r="23" customFormat="false" ht="15" hidden="false" customHeight="false" outlineLevel="0" collapsed="false">
      <c r="A23" s="59" t="n">
        <v>46254</v>
      </c>
      <c r="B23" s="60" t="s">
        <v>62</v>
      </c>
      <c r="C23" s="61" t="n">
        <v>118</v>
      </c>
      <c r="D23" s="61" t="n">
        <v>44840</v>
      </c>
      <c r="E23" s="60"/>
      <c r="F23" s="62" t="str">
        <f aca="false">IF($B23="","",IF(ISNUMBER(MATCH($B23,日別データ!$B$9:$B$28,0)),"✔ OK","⚠ 未登録"))</f>
        <v>✔ OK</v>
      </c>
    </row>
    <row r="24" customFormat="false" ht="15" hidden="false" customHeight="false" outlineLevel="0" collapsed="false">
      <c r="A24" s="59" t="n">
        <v>46254</v>
      </c>
      <c r="B24" s="60" t="s">
        <v>63</v>
      </c>
      <c r="C24" s="61" t="n">
        <v>86</v>
      </c>
      <c r="D24" s="61" t="n">
        <v>43000</v>
      </c>
      <c r="E24" s="60"/>
      <c r="F24" s="62" t="str">
        <f aca="false">IF($B24="","",IF(ISNUMBER(MATCH($B24,日別データ!$B$9:$B$28,0)),"✔ OK","⚠ 未登録"))</f>
        <v>✔ OK</v>
      </c>
    </row>
    <row r="25" customFormat="false" ht="15" hidden="false" customHeight="false" outlineLevel="0" collapsed="false">
      <c r="A25" s="59" t="n">
        <v>46254</v>
      </c>
      <c r="B25" s="60" t="s">
        <v>64</v>
      </c>
      <c r="C25" s="61" t="n">
        <v>55</v>
      </c>
      <c r="D25" s="61" t="n">
        <v>26400</v>
      </c>
      <c r="E25" s="60"/>
      <c r="F25" s="62" t="str">
        <f aca="false">IF($B25="","",IF(ISNUMBER(MATCH($B25,日別データ!$B$9:$B$28,0)),"✔ OK","⚠ 未登録"))</f>
        <v>✔ OK</v>
      </c>
    </row>
    <row r="26" customFormat="false" ht="15" hidden="false" customHeight="false" outlineLevel="0" collapsed="false">
      <c r="A26" s="59" t="n">
        <v>46254</v>
      </c>
      <c r="B26" s="60" t="s">
        <v>65</v>
      </c>
      <c r="C26" s="61" t="n">
        <v>111</v>
      </c>
      <c r="D26" s="61" t="n">
        <v>46620</v>
      </c>
      <c r="E26" s="60"/>
      <c r="F26" s="62" t="str">
        <f aca="false">IF($B26="","",IF(ISNUMBER(MATCH($B26,日別データ!$B$9:$B$28,0)),"✔ OK","⚠ 未登録"))</f>
        <v>✔ OK</v>
      </c>
    </row>
    <row r="27" customFormat="false" ht="15" hidden="false" customHeight="false" outlineLevel="0" collapsed="false">
      <c r="A27" s="59" t="n">
        <v>46254</v>
      </c>
      <c r="B27" s="60" t="s">
        <v>66</v>
      </c>
      <c r="C27" s="61" t="n">
        <v>63</v>
      </c>
      <c r="D27" s="61" t="n">
        <v>28350</v>
      </c>
      <c r="E27" s="60"/>
      <c r="F27" s="62" t="str">
        <f aca="false">IF($B27="","",IF(ISNUMBER(MATCH($B27,日別データ!$B$9:$B$28,0)),"✔ OK","⚠ 未登録"))</f>
        <v>✔ OK</v>
      </c>
    </row>
    <row r="28" customFormat="false" ht="15" hidden="false" customHeight="false" outlineLevel="0" collapsed="false">
      <c r="A28" s="59" t="n">
        <v>46254</v>
      </c>
      <c r="B28" s="60" t="s">
        <v>67</v>
      </c>
      <c r="C28" s="61" t="n">
        <v>44</v>
      </c>
      <c r="D28" s="61" t="n">
        <v>15400</v>
      </c>
      <c r="E28" s="60"/>
      <c r="F28" s="62" t="str">
        <f aca="false">IF($B28="","",IF(ISNUMBER(MATCH($B28,日別データ!$B$9:$B$28,0)),"✔ OK","⚠ 未登録"))</f>
        <v>✔ OK</v>
      </c>
    </row>
    <row r="29" customFormat="false" ht="15" hidden="false" customHeight="false" outlineLevel="0" collapsed="false">
      <c r="A29" s="59" t="n">
        <v>46255</v>
      </c>
      <c r="B29" s="60" t="s">
        <v>78</v>
      </c>
      <c r="C29" s="61" t="n">
        <v>414</v>
      </c>
      <c r="D29" s="61" t="n">
        <v>227700</v>
      </c>
      <c r="E29" s="60"/>
      <c r="F29" s="62" t="str">
        <f aca="false">IF($B29="","",IF(ISNUMBER(MATCH($B29,日別データ!$B$9:$B$28,0)),"✔ OK","⚠ 未登録"))</f>
        <v>✔ OK</v>
      </c>
    </row>
    <row r="30" customFormat="false" ht="15" hidden="false" customHeight="false" outlineLevel="0" collapsed="false">
      <c r="A30" s="59" t="n">
        <v>46255</v>
      </c>
      <c r="B30" s="60" t="s">
        <v>79</v>
      </c>
      <c r="C30" s="61" t="n">
        <v>316</v>
      </c>
      <c r="D30" s="61" t="n">
        <v>180120</v>
      </c>
      <c r="E30" s="60"/>
      <c r="F30" s="62" t="str">
        <f aca="false">IF($B30="","",IF(ISNUMBER(MATCH($B30,日別データ!$B$9:$B$28,0)),"✔ OK","⚠ 未登録"))</f>
        <v>✔ OK</v>
      </c>
    </row>
    <row r="31" customFormat="false" ht="15" hidden="false" customHeight="false" outlineLevel="0" collapsed="false">
      <c r="A31" s="59" t="n">
        <v>46255</v>
      </c>
      <c r="B31" s="60" t="s">
        <v>58</v>
      </c>
      <c r="C31" s="61" t="n">
        <v>209</v>
      </c>
      <c r="D31" s="61" t="n">
        <v>125400</v>
      </c>
      <c r="E31" s="60"/>
      <c r="F31" s="62" t="str">
        <f aca="false">IF($B31="","",IF(ISNUMBER(MATCH($B31,日別データ!$B$9:$B$28,0)),"✔ OK","⚠ 未登録"))</f>
        <v>✔ OK</v>
      </c>
    </row>
    <row r="32" customFormat="false" ht="15" hidden="false" customHeight="false" outlineLevel="0" collapsed="false">
      <c r="A32" s="59" t="n">
        <v>46255</v>
      </c>
      <c r="B32" s="60" t="s">
        <v>80</v>
      </c>
      <c r="C32" s="61" t="n">
        <v>213</v>
      </c>
      <c r="D32" s="61" t="n">
        <v>72420</v>
      </c>
      <c r="E32" s="60"/>
      <c r="F32" s="62" t="str">
        <f aca="false">IF($B32="","",IF(ISNUMBER(MATCH($B32,日別データ!$B$9:$B$28,0)),"✔ OK","⚠ 未登録"))</f>
        <v>✔ OK</v>
      </c>
    </row>
    <row r="33" customFormat="false" ht="15" hidden="false" customHeight="false" outlineLevel="0" collapsed="false">
      <c r="A33" s="59" t="n">
        <v>46255</v>
      </c>
      <c r="B33" s="60" t="s">
        <v>81</v>
      </c>
      <c r="C33" s="61" t="n">
        <v>538</v>
      </c>
      <c r="D33" s="61" t="n">
        <v>215200</v>
      </c>
      <c r="E33" s="60"/>
      <c r="F33" s="62" t="str">
        <f aca="false">IF($B33="","",IF(ISNUMBER(MATCH($B33,日別データ!$B$9:$B$28,0)),"✔ OK","⚠ 未登録"))</f>
        <v>✔ OK</v>
      </c>
    </row>
    <row r="34" customFormat="false" ht="15" hidden="false" customHeight="false" outlineLevel="0" collapsed="false">
      <c r="A34" s="59" t="n">
        <v>46255</v>
      </c>
      <c r="B34" s="60" t="s">
        <v>82</v>
      </c>
      <c r="C34" s="61" t="n">
        <v>181</v>
      </c>
      <c r="D34" s="61" t="n">
        <v>83260</v>
      </c>
      <c r="E34" s="60"/>
      <c r="F34" s="62" t="str">
        <f aca="false">IF($B34="","",IF(ISNUMBER(MATCH($B34,日別データ!$B$9:$B$28,0)),"✔ OK","⚠ 未登録"))</f>
        <v>✔ OK</v>
      </c>
    </row>
    <row r="35" customFormat="false" ht="15" hidden="false" customHeight="false" outlineLevel="0" collapsed="false">
      <c r="A35" s="59" t="n">
        <v>46255</v>
      </c>
      <c r="B35" s="60" t="s">
        <v>62</v>
      </c>
      <c r="C35" s="61" t="n">
        <v>155</v>
      </c>
      <c r="D35" s="61" t="n">
        <v>58900</v>
      </c>
      <c r="E35" s="60"/>
      <c r="F35" s="62" t="str">
        <f aca="false">IF($B35="","",IF(ISNUMBER(MATCH($B35,日別データ!$B$9:$B$28,0)),"✔ OK","⚠ 未登録"))</f>
        <v>✔ OK</v>
      </c>
    </row>
    <row r="36" customFormat="false" ht="15" hidden="false" customHeight="false" outlineLevel="0" collapsed="false">
      <c r="A36" s="59" t="n">
        <v>46255</v>
      </c>
      <c r="B36" s="60" t="s">
        <v>63</v>
      </c>
      <c r="C36" s="61" t="n">
        <v>105</v>
      </c>
      <c r="D36" s="61" t="n">
        <v>52500</v>
      </c>
      <c r="E36" s="60"/>
      <c r="F36" s="62" t="str">
        <f aca="false">IF($B36="","",IF(ISNUMBER(MATCH($B36,日別データ!$B$9:$B$28,0)),"✔ OK","⚠ 未登録"))</f>
        <v>✔ OK</v>
      </c>
    </row>
    <row r="37" customFormat="false" ht="15" hidden="false" customHeight="false" outlineLevel="0" collapsed="false">
      <c r="A37" s="59" t="n">
        <v>46255</v>
      </c>
      <c r="B37" s="60" t="s">
        <v>64</v>
      </c>
      <c r="C37" s="61" t="n">
        <v>83</v>
      </c>
      <c r="D37" s="61" t="n">
        <v>39840</v>
      </c>
      <c r="E37" s="60"/>
      <c r="F37" s="62" t="str">
        <f aca="false">IF($B37="","",IF(ISNUMBER(MATCH($B37,日別データ!$B$9:$B$28,0)),"✔ OK","⚠ 未登録"))</f>
        <v>✔ OK</v>
      </c>
    </row>
    <row r="38" customFormat="false" ht="15" hidden="false" customHeight="false" outlineLevel="0" collapsed="false">
      <c r="A38" s="59" t="n">
        <v>46255</v>
      </c>
      <c r="B38" s="60" t="s">
        <v>65</v>
      </c>
      <c r="C38" s="61" t="n">
        <v>151</v>
      </c>
      <c r="D38" s="61" t="n">
        <v>63420</v>
      </c>
      <c r="E38" s="60"/>
      <c r="F38" s="62" t="str">
        <f aca="false">IF($B38="","",IF(ISNUMBER(MATCH($B38,日別データ!$B$9:$B$28,0)),"✔ OK","⚠ 未登録"))</f>
        <v>✔ OK</v>
      </c>
    </row>
    <row r="39" customFormat="false" ht="15" hidden="false" customHeight="false" outlineLevel="0" collapsed="false">
      <c r="A39" s="59" t="n">
        <v>46255</v>
      </c>
      <c r="B39" s="60" t="s">
        <v>66</v>
      </c>
      <c r="C39" s="61" t="n">
        <v>72</v>
      </c>
      <c r="D39" s="61" t="n">
        <v>32400</v>
      </c>
      <c r="E39" s="60"/>
      <c r="F39" s="62" t="str">
        <f aca="false">IF($B39="","",IF(ISNUMBER(MATCH($B39,日別データ!$B$9:$B$28,0)),"✔ OK","⚠ 未登録"))</f>
        <v>✔ OK</v>
      </c>
    </row>
    <row r="40" customFormat="false" ht="15" hidden="false" customHeight="false" outlineLevel="0" collapsed="false">
      <c r="A40" s="59" t="n">
        <v>46255</v>
      </c>
      <c r="B40" s="60" t="s">
        <v>67</v>
      </c>
      <c r="C40" s="61" t="n">
        <v>63</v>
      </c>
      <c r="D40" s="61" t="n">
        <v>22050</v>
      </c>
      <c r="E40" s="60"/>
      <c r="F40" s="62" t="str">
        <f aca="false">IF($B40="","",IF(ISNUMBER(MATCH($B40,日別データ!$B$9:$B$28,0)),"✔ OK","⚠ 未登録"))</f>
        <v>✔ OK</v>
      </c>
    </row>
    <row r="41" customFormat="false" ht="15" hidden="false" customHeight="false" outlineLevel="0" collapsed="false">
      <c r="A41" s="59" t="n">
        <v>46256</v>
      </c>
      <c r="B41" s="60" t="s">
        <v>78</v>
      </c>
      <c r="C41" s="61" t="n">
        <v>677</v>
      </c>
      <c r="D41" s="61" t="n">
        <v>372350</v>
      </c>
      <c r="E41" s="60"/>
      <c r="F41" s="62" t="str">
        <f aca="false">IF($B41="","",IF(ISNUMBER(MATCH($B41,日別データ!$B$9:$B$28,0)),"✔ OK","⚠ 未登録"))</f>
        <v>✔ OK</v>
      </c>
    </row>
    <row r="42" customFormat="false" ht="15" hidden="false" customHeight="false" outlineLevel="0" collapsed="false">
      <c r="A42" s="59" t="n">
        <v>46256</v>
      </c>
      <c r="B42" s="60" t="s">
        <v>79</v>
      </c>
      <c r="C42" s="61" t="n">
        <v>514</v>
      </c>
      <c r="D42" s="61" t="n">
        <v>292980</v>
      </c>
      <c r="E42" s="60"/>
      <c r="F42" s="62" t="str">
        <f aca="false">IF($B42="","",IF(ISNUMBER(MATCH($B42,日別データ!$B$9:$B$28,0)),"✔ OK","⚠ 未登録"))</f>
        <v>✔ OK</v>
      </c>
    </row>
    <row r="43" customFormat="false" ht="15" hidden="false" customHeight="false" outlineLevel="0" collapsed="false">
      <c r="A43" s="59" t="n">
        <v>46256</v>
      </c>
      <c r="B43" s="60" t="s">
        <v>58</v>
      </c>
      <c r="C43" s="61" t="n">
        <v>394</v>
      </c>
      <c r="D43" s="61" t="n">
        <v>236400</v>
      </c>
      <c r="E43" s="60"/>
      <c r="F43" s="62" t="str">
        <f aca="false">IF($B43="","",IF(ISNUMBER(MATCH($B43,日別データ!$B$9:$B$28,0)),"✔ OK","⚠ 未登録"))</f>
        <v>✔ OK</v>
      </c>
    </row>
    <row r="44" customFormat="false" ht="15" hidden="false" customHeight="false" outlineLevel="0" collapsed="false">
      <c r="A44" s="59" t="n">
        <v>46256</v>
      </c>
      <c r="B44" s="60" t="s">
        <v>80</v>
      </c>
      <c r="C44" s="61" t="n">
        <v>439</v>
      </c>
      <c r="D44" s="61" t="n">
        <v>149260</v>
      </c>
      <c r="E44" s="60"/>
      <c r="F44" s="62" t="str">
        <f aca="false">IF($B44="","",IF(ISNUMBER(MATCH($B44,日別データ!$B$9:$B$28,0)),"✔ OK","⚠ 未登録"))</f>
        <v>✔ OK</v>
      </c>
    </row>
    <row r="45" customFormat="false" ht="15" hidden="false" customHeight="false" outlineLevel="0" collapsed="false">
      <c r="A45" s="59" t="n">
        <v>46256</v>
      </c>
      <c r="B45" s="60" t="s">
        <v>81</v>
      </c>
      <c r="C45" s="61" t="n">
        <v>930</v>
      </c>
      <c r="D45" s="61" t="n">
        <v>372000</v>
      </c>
      <c r="E45" s="60"/>
      <c r="F45" s="62" t="str">
        <f aca="false">IF($B45="","",IF(ISNUMBER(MATCH($B45,日別データ!$B$9:$B$28,0)),"✔ OK","⚠ 未登録"))</f>
        <v>✔ OK</v>
      </c>
    </row>
    <row r="46" customFormat="false" ht="15" hidden="false" customHeight="false" outlineLevel="0" collapsed="false">
      <c r="A46" s="59" t="n">
        <v>46256</v>
      </c>
      <c r="B46" s="60" t="s">
        <v>82</v>
      </c>
      <c r="C46" s="61" t="n">
        <v>289</v>
      </c>
      <c r="D46" s="61" t="n">
        <v>132940</v>
      </c>
      <c r="E46" s="60"/>
      <c r="F46" s="62" t="str">
        <f aca="false">IF($B46="","",IF(ISNUMBER(MATCH($B46,日別データ!$B$9:$B$28,0)),"✔ OK","⚠ 未登録"))</f>
        <v>✔ OK</v>
      </c>
    </row>
    <row r="47" customFormat="false" ht="15" hidden="false" customHeight="false" outlineLevel="0" collapsed="false">
      <c r="A47" s="59" t="n">
        <v>46256</v>
      </c>
      <c r="B47" s="60" t="s">
        <v>62</v>
      </c>
      <c r="C47" s="61" t="n">
        <v>271</v>
      </c>
      <c r="D47" s="61" t="n">
        <v>102980</v>
      </c>
      <c r="E47" s="60"/>
      <c r="F47" s="62" t="str">
        <f aca="false">IF($B47="","",IF(ISNUMBER(MATCH($B47,日別データ!$B$9:$B$28,0)),"✔ OK","⚠ 未登録"))</f>
        <v>✔ OK</v>
      </c>
    </row>
    <row r="48" customFormat="false" ht="15" hidden="false" customHeight="false" outlineLevel="0" collapsed="false">
      <c r="A48" s="59" t="n">
        <v>46256</v>
      </c>
      <c r="B48" s="60" t="s">
        <v>63</v>
      </c>
      <c r="C48" s="61" t="n">
        <v>182</v>
      </c>
      <c r="D48" s="61" t="n">
        <v>91000</v>
      </c>
      <c r="E48" s="60"/>
      <c r="F48" s="62" t="str">
        <f aca="false">IF($B48="","",IF(ISNUMBER(MATCH($B48,日別データ!$B$9:$B$28,0)),"✔ OK","⚠ 未登録"))</f>
        <v>✔ OK</v>
      </c>
    </row>
    <row r="49" customFormat="false" ht="15" hidden="false" customHeight="false" outlineLevel="0" collapsed="false">
      <c r="A49" s="59" t="n">
        <v>46256</v>
      </c>
      <c r="B49" s="60" t="s">
        <v>64</v>
      </c>
      <c r="C49" s="61" t="n">
        <v>158</v>
      </c>
      <c r="D49" s="61" t="n">
        <v>75840</v>
      </c>
      <c r="E49" s="60"/>
      <c r="F49" s="62" t="str">
        <f aca="false">IF($B49="","",IF(ISNUMBER(MATCH($B49,日別データ!$B$9:$B$28,0)),"✔ OK","⚠ 未登録"))</f>
        <v>✔ OK</v>
      </c>
    </row>
    <row r="50" customFormat="false" ht="15" hidden="false" customHeight="false" outlineLevel="0" collapsed="false">
      <c r="A50" s="59" t="n">
        <v>46256</v>
      </c>
      <c r="B50" s="60" t="s">
        <v>65</v>
      </c>
      <c r="C50" s="61" t="n">
        <v>223</v>
      </c>
      <c r="D50" s="61" t="n">
        <v>93660</v>
      </c>
      <c r="E50" s="60"/>
      <c r="F50" s="62" t="str">
        <f aca="false">IF($B50="","",IF(ISNUMBER(MATCH($B50,日別データ!$B$9:$B$28,0)),"✔ OK","⚠ 未登録"))</f>
        <v>✔ OK</v>
      </c>
    </row>
    <row r="51" customFormat="false" ht="15" hidden="false" customHeight="false" outlineLevel="0" collapsed="false">
      <c r="A51" s="59" t="n">
        <v>46256</v>
      </c>
      <c r="B51" s="60" t="s">
        <v>66</v>
      </c>
      <c r="C51" s="61" t="n">
        <v>154</v>
      </c>
      <c r="D51" s="61" t="n">
        <v>69300</v>
      </c>
      <c r="E51" s="60"/>
      <c r="F51" s="62" t="str">
        <f aca="false">IF($B51="","",IF(ISNUMBER(MATCH($B51,日別データ!$B$9:$B$28,0)),"✔ OK","⚠ 未登録"))</f>
        <v>✔ OK</v>
      </c>
    </row>
    <row r="52" customFormat="false" ht="15" hidden="false" customHeight="false" outlineLevel="0" collapsed="false">
      <c r="A52" s="59" t="n">
        <v>46256</v>
      </c>
      <c r="B52" s="60" t="s">
        <v>67</v>
      </c>
      <c r="C52" s="61" t="n">
        <v>103</v>
      </c>
      <c r="D52" s="61" t="n">
        <v>36050</v>
      </c>
      <c r="E52" s="60"/>
      <c r="F52" s="62" t="str">
        <f aca="false">IF($B52="","",IF(ISNUMBER(MATCH($B52,日別データ!$B$9:$B$28,0)),"✔ OK","⚠ 未登録"))</f>
        <v>✔ OK</v>
      </c>
    </row>
    <row r="53" customFormat="false" ht="15" hidden="false" customHeight="false" outlineLevel="0" collapsed="false">
      <c r="A53" s="59" t="n">
        <v>46257</v>
      </c>
      <c r="B53" s="60" t="s">
        <v>78</v>
      </c>
      <c r="C53" s="61" t="n">
        <v>611</v>
      </c>
      <c r="D53" s="61" t="n">
        <v>336050</v>
      </c>
      <c r="E53" s="60"/>
      <c r="F53" s="62" t="str">
        <f aca="false">IF($B53="","",IF(ISNUMBER(MATCH($B53,日別データ!$B$9:$B$28,0)),"✔ OK","⚠ 未登録"))</f>
        <v>✔ OK</v>
      </c>
    </row>
    <row r="54" customFormat="false" ht="15" hidden="false" customHeight="false" outlineLevel="0" collapsed="false">
      <c r="A54" s="59" t="n">
        <v>46257</v>
      </c>
      <c r="B54" s="60" t="s">
        <v>79</v>
      </c>
      <c r="C54" s="61" t="n">
        <v>500</v>
      </c>
      <c r="D54" s="61" t="n">
        <v>285000</v>
      </c>
      <c r="E54" s="60"/>
      <c r="F54" s="62" t="str">
        <f aca="false">IF($B54="","",IF(ISNUMBER(MATCH($B54,日別データ!$B$9:$B$28,0)),"✔ OK","⚠ 未登録"))</f>
        <v>✔ OK</v>
      </c>
    </row>
    <row r="55" customFormat="false" ht="15" hidden="false" customHeight="false" outlineLevel="0" collapsed="false">
      <c r="A55" s="59" t="n">
        <v>46257</v>
      </c>
      <c r="B55" s="60" t="s">
        <v>58</v>
      </c>
      <c r="C55" s="61" t="n">
        <v>350</v>
      </c>
      <c r="D55" s="61" t="n">
        <v>210000</v>
      </c>
      <c r="E55" s="60"/>
      <c r="F55" s="62" t="str">
        <f aca="false">IF($B55="","",IF(ISNUMBER(MATCH($B55,日別データ!$B$9:$B$28,0)),"✔ OK","⚠ 未登録"))</f>
        <v>✔ OK</v>
      </c>
    </row>
    <row r="56" customFormat="false" ht="15" hidden="false" customHeight="false" outlineLevel="0" collapsed="false">
      <c r="A56" s="59" t="n">
        <v>46257</v>
      </c>
      <c r="B56" s="60" t="s">
        <v>80</v>
      </c>
      <c r="C56" s="61" t="n">
        <v>331</v>
      </c>
      <c r="D56" s="61" t="n">
        <v>112540</v>
      </c>
      <c r="E56" s="60"/>
      <c r="F56" s="62" t="str">
        <f aca="false">IF($B56="","",IF(ISNUMBER(MATCH($B56,日別データ!$B$9:$B$28,0)),"✔ OK","⚠ 未登録"))</f>
        <v>✔ OK</v>
      </c>
    </row>
    <row r="57" customFormat="false" ht="15" hidden="false" customHeight="false" outlineLevel="0" collapsed="false">
      <c r="A57" s="59" t="n">
        <v>46257</v>
      </c>
      <c r="B57" s="60" t="s">
        <v>81</v>
      </c>
      <c r="C57" s="61" t="n">
        <v>688</v>
      </c>
      <c r="D57" s="61" t="n">
        <v>275200</v>
      </c>
      <c r="E57" s="60"/>
      <c r="F57" s="62" t="str">
        <f aca="false">IF($B57="","",IF(ISNUMBER(MATCH($B57,日別データ!$B$9:$B$28,0)),"✔ OK","⚠ 未登録"))</f>
        <v>✔ OK</v>
      </c>
    </row>
    <row r="58" customFormat="false" ht="15" hidden="false" customHeight="false" outlineLevel="0" collapsed="false">
      <c r="A58" s="59" t="n">
        <v>46257</v>
      </c>
      <c r="B58" s="60" t="s">
        <v>82</v>
      </c>
      <c r="C58" s="61" t="n">
        <v>294</v>
      </c>
      <c r="D58" s="61" t="n">
        <v>135240</v>
      </c>
      <c r="E58" s="60"/>
      <c r="F58" s="62" t="str">
        <f aca="false">IF($B58="","",IF(ISNUMBER(MATCH($B58,日別データ!$B$9:$B$28,0)),"✔ OK","⚠ 未登録"))</f>
        <v>✔ OK</v>
      </c>
    </row>
    <row r="59" customFormat="false" ht="15" hidden="false" customHeight="false" outlineLevel="0" collapsed="false">
      <c r="A59" s="59" t="n">
        <v>46257</v>
      </c>
      <c r="B59" s="60" t="s">
        <v>62</v>
      </c>
      <c r="C59" s="61" t="n">
        <v>230</v>
      </c>
      <c r="D59" s="61" t="n">
        <v>87400</v>
      </c>
      <c r="E59" s="60"/>
      <c r="F59" s="62" t="str">
        <f aca="false">IF($B59="","",IF(ISNUMBER(MATCH($B59,日別データ!$B$9:$B$28,0)),"✔ OK","⚠ 未登録"))</f>
        <v>✔ OK</v>
      </c>
    </row>
    <row r="60" customFormat="false" ht="15" hidden="false" customHeight="false" outlineLevel="0" collapsed="false">
      <c r="A60" s="59" t="n">
        <v>46257</v>
      </c>
      <c r="B60" s="60" t="s">
        <v>63</v>
      </c>
      <c r="C60" s="61" t="n">
        <v>170</v>
      </c>
      <c r="D60" s="61" t="n">
        <v>85000</v>
      </c>
      <c r="E60" s="60"/>
      <c r="F60" s="62" t="str">
        <f aca="false">IF($B60="","",IF(ISNUMBER(MATCH($B60,日別データ!$B$9:$B$28,0)),"✔ OK","⚠ 未登録"))</f>
        <v>✔ OK</v>
      </c>
    </row>
    <row r="61" customFormat="false" ht="15" hidden="false" customHeight="false" outlineLevel="0" collapsed="false">
      <c r="A61" s="59" t="n">
        <v>46257</v>
      </c>
      <c r="B61" s="60" t="s">
        <v>64</v>
      </c>
      <c r="C61" s="61" t="n">
        <v>143</v>
      </c>
      <c r="D61" s="61" t="n">
        <v>68640</v>
      </c>
      <c r="E61" s="60"/>
      <c r="F61" s="62" t="str">
        <f aca="false">IF($B61="","",IF(ISNUMBER(MATCH($B61,日別データ!$B$9:$B$28,0)),"✔ OK","⚠ 未登録"))</f>
        <v>✔ OK</v>
      </c>
    </row>
    <row r="62" customFormat="false" ht="15" hidden="false" customHeight="false" outlineLevel="0" collapsed="false">
      <c r="A62" s="59" t="n">
        <v>46257</v>
      </c>
      <c r="B62" s="60" t="s">
        <v>65</v>
      </c>
      <c r="C62" s="61" t="n">
        <v>218</v>
      </c>
      <c r="D62" s="61" t="n">
        <v>91560</v>
      </c>
      <c r="E62" s="60"/>
      <c r="F62" s="62" t="str">
        <f aca="false">IF($B62="","",IF(ISNUMBER(MATCH($B62,日別データ!$B$9:$B$28,0)),"✔ OK","⚠ 未登録"))</f>
        <v>✔ OK</v>
      </c>
    </row>
    <row r="63" customFormat="false" ht="15" hidden="false" customHeight="false" outlineLevel="0" collapsed="false">
      <c r="A63" s="59" t="n">
        <v>46257</v>
      </c>
      <c r="B63" s="60" t="s">
        <v>66</v>
      </c>
      <c r="C63" s="61" t="n">
        <v>108</v>
      </c>
      <c r="D63" s="61" t="n">
        <v>48600</v>
      </c>
      <c r="E63" s="60"/>
      <c r="F63" s="62" t="str">
        <f aca="false">IF($B63="","",IF(ISNUMBER(MATCH($B63,日別データ!$B$9:$B$28,0)),"✔ OK","⚠ 未登録"))</f>
        <v>✔ OK</v>
      </c>
    </row>
    <row r="64" customFormat="false" ht="15" hidden="false" customHeight="false" outlineLevel="0" collapsed="false">
      <c r="A64" s="59" t="n">
        <v>46257</v>
      </c>
      <c r="B64" s="60" t="s">
        <v>67</v>
      </c>
      <c r="C64" s="61" t="n">
        <v>121</v>
      </c>
      <c r="D64" s="61" t="n">
        <v>42350</v>
      </c>
      <c r="E64" s="60"/>
      <c r="F64" s="62" t="str">
        <f aca="false">IF($B64="","",IF(ISNUMBER(MATCH($B64,日別データ!$B$9:$B$28,0)),"✔ OK","⚠ 未登録"))</f>
        <v>✔ OK</v>
      </c>
    </row>
    <row r="65" customFormat="false" ht="15" hidden="false" customHeight="false" outlineLevel="0" collapsed="false">
      <c r="A65" s="59" t="n">
        <v>46258</v>
      </c>
      <c r="B65" s="60" t="s">
        <v>78</v>
      </c>
      <c r="C65" s="61" t="n">
        <v>268</v>
      </c>
      <c r="D65" s="61" t="n">
        <v>147400</v>
      </c>
      <c r="E65" s="60"/>
      <c r="F65" s="62" t="str">
        <f aca="false">IF($B65="","",IF(ISNUMBER(MATCH($B65,日別データ!$B$9:$B$28,0)),"✔ OK","⚠ 未登録"))</f>
        <v>✔ OK</v>
      </c>
    </row>
    <row r="66" customFormat="false" ht="15" hidden="false" customHeight="false" outlineLevel="0" collapsed="false">
      <c r="A66" s="59" t="n">
        <v>46258</v>
      </c>
      <c r="B66" s="60" t="s">
        <v>79</v>
      </c>
      <c r="C66" s="61" t="n">
        <v>196</v>
      </c>
      <c r="D66" s="61" t="n">
        <v>111720</v>
      </c>
      <c r="E66" s="60"/>
      <c r="F66" s="62" t="str">
        <f aca="false">IF($B66="","",IF(ISNUMBER(MATCH($B66,日別データ!$B$9:$B$28,0)),"✔ OK","⚠ 未登録"))</f>
        <v>✔ OK</v>
      </c>
    </row>
    <row r="67" customFormat="false" ht="15" hidden="false" customHeight="false" outlineLevel="0" collapsed="false">
      <c r="A67" s="59" t="n">
        <v>46258</v>
      </c>
      <c r="B67" s="60" t="s">
        <v>58</v>
      </c>
      <c r="C67" s="61" t="n">
        <v>156</v>
      </c>
      <c r="D67" s="61" t="n">
        <v>93600</v>
      </c>
      <c r="E67" s="60"/>
      <c r="F67" s="62" t="str">
        <f aca="false">IF($B67="","",IF(ISNUMBER(MATCH($B67,日別データ!$B$9:$B$28,0)),"✔ OK","⚠ 未登録"))</f>
        <v>✔ OK</v>
      </c>
    </row>
    <row r="68" customFormat="false" ht="15" hidden="false" customHeight="false" outlineLevel="0" collapsed="false">
      <c r="A68" s="59" t="n">
        <v>46258</v>
      </c>
      <c r="B68" s="60" t="s">
        <v>80</v>
      </c>
      <c r="C68" s="61" t="n">
        <v>177</v>
      </c>
      <c r="D68" s="61" t="n">
        <v>60180</v>
      </c>
      <c r="E68" s="60"/>
      <c r="F68" s="62" t="str">
        <f aca="false">IF($B68="","",IF(ISNUMBER(MATCH($B68,日別データ!$B$9:$B$28,0)),"✔ OK","⚠ 未登録"))</f>
        <v>✔ OK</v>
      </c>
    </row>
    <row r="69" customFormat="false" ht="15" hidden="false" customHeight="false" outlineLevel="0" collapsed="false">
      <c r="A69" s="59" t="n">
        <v>46258</v>
      </c>
      <c r="B69" s="60" t="s">
        <v>81</v>
      </c>
      <c r="C69" s="61" t="n">
        <v>299</v>
      </c>
      <c r="D69" s="61" t="n">
        <v>119600</v>
      </c>
      <c r="E69" s="60"/>
      <c r="F69" s="62" t="str">
        <f aca="false">IF($B69="","",IF(ISNUMBER(MATCH($B69,日別データ!$B$9:$B$28,0)),"✔ OK","⚠ 未登録"))</f>
        <v>✔ OK</v>
      </c>
    </row>
    <row r="70" customFormat="false" ht="15" hidden="false" customHeight="false" outlineLevel="0" collapsed="false">
      <c r="A70" s="59" t="n">
        <v>46258</v>
      </c>
      <c r="B70" s="60" t="s">
        <v>82</v>
      </c>
      <c r="C70" s="61" t="n">
        <v>121</v>
      </c>
      <c r="D70" s="61" t="n">
        <v>55660</v>
      </c>
      <c r="E70" s="60"/>
      <c r="F70" s="62" t="str">
        <f aca="false">IF($B70="","",IF(ISNUMBER(MATCH($B70,日別データ!$B$9:$B$28,0)),"✔ OK","⚠ 未登録"))</f>
        <v>✔ OK</v>
      </c>
    </row>
    <row r="71" customFormat="false" ht="15" hidden="false" customHeight="false" outlineLevel="0" collapsed="false">
      <c r="A71" s="59" t="n">
        <v>46258</v>
      </c>
      <c r="B71" s="60" t="s">
        <v>62</v>
      </c>
      <c r="C71" s="61" t="n">
        <v>107</v>
      </c>
      <c r="D71" s="61" t="n">
        <v>40660</v>
      </c>
      <c r="E71" s="60"/>
      <c r="F71" s="62" t="str">
        <f aca="false">IF($B71="","",IF(ISNUMBER(MATCH($B71,日別データ!$B$9:$B$28,0)),"✔ OK","⚠ 未登録"))</f>
        <v>✔ OK</v>
      </c>
    </row>
    <row r="72" customFormat="false" ht="15" hidden="false" customHeight="false" outlineLevel="0" collapsed="false">
      <c r="A72" s="59" t="n">
        <v>46258</v>
      </c>
      <c r="B72" s="60" t="s">
        <v>63</v>
      </c>
      <c r="C72" s="61" t="n">
        <v>79</v>
      </c>
      <c r="D72" s="61" t="n">
        <v>39500</v>
      </c>
      <c r="E72" s="60"/>
      <c r="F72" s="62" t="str">
        <f aca="false">IF($B72="","",IF(ISNUMBER(MATCH($B72,日別データ!$B$9:$B$28,0)),"✔ OK","⚠ 未登録"))</f>
        <v>✔ OK</v>
      </c>
    </row>
    <row r="73" customFormat="false" ht="15" hidden="false" customHeight="false" outlineLevel="0" collapsed="false">
      <c r="A73" s="59" t="n">
        <v>46258</v>
      </c>
      <c r="B73" s="60" t="s">
        <v>64</v>
      </c>
      <c r="C73" s="61" t="n">
        <v>52</v>
      </c>
      <c r="D73" s="61" t="n">
        <v>24960</v>
      </c>
      <c r="E73" s="60"/>
      <c r="F73" s="62" t="str">
        <f aca="false">IF($B73="","",IF(ISNUMBER(MATCH($B73,日別データ!$B$9:$B$28,0)),"✔ OK","⚠ 未登録"))</f>
        <v>✔ OK</v>
      </c>
    </row>
    <row r="74" customFormat="false" ht="15" hidden="false" customHeight="false" outlineLevel="0" collapsed="false">
      <c r="A74" s="59" t="n">
        <v>46258</v>
      </c>
      <c r="B74" s="60" t="s">
        <v>65</v>
      </c>
      <c r="C74" s="61" t="n">
        <v>96</v>
      </c>
      <c r="D74" s="61" t="n">
        <v>40320</v>
      </c>
      <c r="E74" s="60"/>
      <c r="F74" s="62" t="str">
        <f aca="false">IF($B74="","",IF(ISNUMBER(MATCH($B74,日別データ!$B$9:$B$28,0)),"✔ OK","⚠ 未登録"))</f>
        <v>✔ OK</v>
      </c>
    </row>
    <row r="75" customFormat="false" ht="15" hidden="false" customHeight="false" outlineLevel="0" collapsed="false">
      <c r="A75" s="59" t="n">
        <v>46258</v>
      </c>
      <c r="B75" s="60" t="s">
        <v>66</v>
      </c>
      <c r="C75" s="61" t="n">
        <v>51</v>
      </c>
      <c r="D75" s="61" t="n">
        <v>22950</v>
      </c>
      <c r="E75" s="60"/>
      <c r="F75" s="62" t="str">
        <f aca="false">IF($B75="","",IF(ISNUMBER(MATCH($B75,日別データ!$B$9:$B$28,0)),"✔ OK","⚠ 未登録"))</f>
        <v>✔ OK</v>
      </c>
    </row>
    <row r="76" customFormat="false" ht="15" hidden="false" customHeight="false" outlineLevel="0" collapsed="false">
      <c r="A76" s="59" t="n">
        <v>46258</v>
      </c>
      <c r="B76" s="60" t="s">
        <v>67</v>
      </c>
      <c r="C76" s="61" t="n">
        <v>52</v>
      </c>
      <c r="D76" s="61" t="n">
        <v>18200</v>
      </c>
      <c r="E76" s="60"/>
      <c r="F76" s="62" t="str">
        <f aca="false">IF($B76="","",IF(ISNUMBER(MATCH($B76,日別データ!$B$9:$B$28,0)),"✔ OK","⚠ 未登録"))</f>
        <v>✔ OK</v>
      </c>
    </row>
    <row r="77" customFormat="false" ht="15" hidden="false" customHeight="false" outlineLevel="0" collapsed="false">
      <c r="A77" s="59" t="n">
        <v>46259</v>
      </c>
      <c r="B77" s="60" t="s">
        <v>78</v>
      </c>
      <c r="C77" s="61" t="n">
        <v>264</v>
      </c>
      <c r="D77" s="61" t="n">
        <v>145200</v>
      </c>
      <c r="E77" s="60"/>
      <c r="F77" s="62" t="str">
        <f aca="false">IF($B77="","",IF(ISNUMBER(MATCH($B77,日別データ!$B$9:$B$28,0)),"✔ OK","⚠ 未登録"))</f>
        <v>✔ OK</v>
      </c>
    </row>
    <row r="78" customFormat="false" ht="15" hidden="false" customHeight="false" outlineLevel="0" collapsed="false">
      <c r="A78" s="59" t="n">
        <v>46259</v>
      </c>
      <c r="B78" s="60" t="s">
        <v>79</v>
      </c>
      <c r="C78" s="61" t="n">
        <v>264</v>
      </c>
      <c r="D78" s="61" t="n">
        <v>150480</v>
      </c>
      <c r="E78" s="60"/>
      <c r="F78" s="62" t="str">
        <f aca="false">IF($B78="","",IF(ISNUMBER(MATCH($B78,日別データ!$B$9:$B$28,0)),"✔ OK","⚠ 未登録"))</f>
        <v>✔ OK</v>
      </c>
    </row>
    <row r="79" customFormat="false" ht="15" hidden="false" customHeight="false" outlineLevel="0" collapsed="false">
      <c r="A79" s="59" t="n">
        <v>46259</v>
      </c>
      <c r="B79" s="60" t="s">
        <v>58</v>
      </c>
      <c r="C79" s="61" t="n">
        <v>160</v>
      </c>
      <c r="D79" s="61" t="n">
        <v>96000</v>
      </c>
      <c r="E79" s="60"/>
      <c r="F79" s="62" t="str">
        <f aca="false">IF($B79="","",IF(ISNUMBER(MATCH($B79,日別データ!$B$9:$B$28,0)),"✔ OK","⚠ 未登録"))</f>
        <v>✔ OK</v>
      </c>
    </row>
    <row r="80" customFormat="false" ht="15" hidden="false" customHeight="false" outlineLevel="0" collapsed="false">
      <c r="A80" s="59" t="n">
        <v>46259</v>
      </c>
      <c r="B80" s="60" t="s">
        <v>80</v>
      </c>
      <c r="C80" s="61" t="n">
        <v>203</v>
      </c>
      <c r="D80" s="61" t="n">
        <v>69020</v>
      </c>
      <c r="E80" s="60"/>
      <c r="F80" s="62" t="str">
        <f aca="false">IF($B80="","",IF(ISNUMBER(MATCH($B80,日別データ!$B$9:$B$28,0)),"✔ OK","⚠ 未登録"))</f>
        <v>✔ OK</v>
      </c>
    </row>
    <row r="81" customFormat="false" ht="15" hidden="false" customHeight="false" outlineLevel="0" collapsed="false">
      <c r="A81" s="59" t="n">
        <v>46259</v>
      </c>
      <c r="B81" s="60" t="s">
        <v>81</v>
      </c>
      <c r="C81" s="61" t="n">
        <v>349</v>
      </c>
      <c r="D81" s="61" t="n">
        <v>139600</v>
      </c>
      <c r="E81" s="60"/>
      <c r="F81" s="62" t="str">
        <f aca="false">IF($B81="","",IF(ISNUMBER(MATCH($B81,日別データ!$B$9:$B$28,0)),"✔ OK","⚠ 未登録"))</f>
        <v>✔ OK</v>
      </c>
    </row>
    <row r="82" customFormat="false" ht="15" hidden="false" customHeight="false" outlineLevel="0" collapsed="false">
      <c r="A82" s="59" t="n">
        <v>46259</v>
      </c>
      <c r="B82" s="60" t="s">
        <v>82</v>
      </c>
      <c r="C82" s="61" t="n">
        <v>120</v>
      </c>
      <c r="D82" s="61" t="n">
        <v>55200</v>
      </c>
      <c r="E82" s="60"/>
      <c r="F82" s="62" t="str">
        <f aca="false">IF($B82="","",IF(ISNUMBER(MATCH($B82,日別データ!$B$9:$B$28,0)),"✔ OK","⚠ 未登録"))</f>
        <v>✔ OK</v>
      </c>
    </row>
    <row r="83" customFormat="false" ht="15" hidden="false" customHeight="false" outlineLevel="0" collapsed="false">
      <c r="A83" s="59" t="n">
        <v>46259</v>
      </c>
      <c r="B83" s="60" t="s">
        <v>62</v>
      </c>
      <c r="C83" s="61" t="n">
        <v>107</v>
      </c>
      <c r="D83" s="61" t="n">
        <v>40660</v>
      </c>
      <c r="E83" s="60"/>
      <c r="F83" s="62" t="str">
        <f aca="false">IF($B83="","",IF(ISNUMBER(MATCH($B83,日別データ!$B$9:$B$28,0)),"✔ OK","⚠ 未登録"))</f>
        <v>✔ OK</v>
      </c>
    </row>
    <row r="84" customFormat="false" ht="15" hidden="false" customHeight="false" outlineLevel="0" collapsed="false">
      <c r="A84" s="59" t="n">
        <v>46259</v>
      </c>
      <c r="B84" s="60" t="s">
        <v>63</v>
      </c>
      <c r="C84" s="61" t="n">
        <v>100</v>
      </c>
      <c r="D84" s="61" t="n">
        <v>50000</v>
      </c>
      <c r="E84" s="60"/>
      <c r="F84" s="62" t="str">
        <f aca="false">IF($B84="","",IF(ISNUMBER(MATCH($B84,日別データ!$B$9:$B$28,0)),"✔ OK","⚠ 未登録"))</f>
        <v>✔ OK</v>
      </c>
    </row>
    <row r="85" customFormat="false" ht="15" hidden="false" customHeight="false" outlineLevel="0" collapsed="false">
      <c r="A85" s="59" t="n">
        <v>46259</v>
      </c>
      <c r="B85" s="60" t="s">
        <v>64</v>
      </c>
      <c r="C85" s="61" t="n">
        <v>66</v>
      </c>
      <c r="D85" s="61" t="n">
        <v>31680</v>
      </c>
      <c r="E85" s="60"/>
      <c r="F85" s="62" t="str">
        <f aca="false">IF($B85="","",IF(ISNUMBER(MATCH($B85,日別データ!$B$9:$B$28,0)),"✔ OK","⚠ 未登録"))</f>
        <v>✔ OK</v>
      </c>
    </row>
    <row r="86" customFormat="false" ht="15" hidden="false" customHeight="false" outlineLevel="0" collapsed="false">
      <c r="A86" s="59" t="n">
        <v>46259</v>
      </c>
      <c r="B86" s="60" t="s">
        <v>65</v>
      </c>
      <c r="C86" s="61" t="n">
        <v>93</v>
      </c>
      <c r="D86" s="61" t="n">
        <v>39060</v>
      </c>
      <c r="E86" s="60"/>
      <c r="F86" s="62" t="str">
        <f aca="false">IF($B86="","",IF(ISNUMBER(MATCH($B86,日別データ!$B$9:$B$28,0)),"✔ OK","⚠ 未登録"))</f>
        <v>✔ OK</v>
      </c>
    </row>
    <row r="87" customFormat="false" ht="15" hidden="false" customHeight="false" outlineLevel="0" collapsed="false">
      <c r="A87" s="59" t="n">
        <v>46259</v>
      </c>
      <c r="B87" s="60" t="s">
        <v>66</v>
      </c>
      <c r="C87" s="61" t="n">
        <v>55</v>
      </c>
      <c r="D87" s="61" t="n">
        <v>24750</v>
      </c>
      <c r="E87" s="60"/>
      <c r="F87" s="62" t="str">
        <f aca="false">IF($B87="","",IF(ISNUMBER(MATCH($B87,日別データ!$B$9:$B$28,0)),"✔ OK","⚠ 未登録"))</f>
        <v>✔ OK</v>
      </c>
    </row>
    <row r="88" customFormat="false" ht="15" hidden="false" customHeight="false" outlineLevel="0" collapsed="false">
      <c r="A88" s="59" t="n">
        <v>46259</v>
      </c>
      <c r="B88" s="60" t="s">
        <v>67</v>
      </c>
      <c r="C88" s="61" t="n">
        <v>50</v>
      </c>
      <c r="D88" s="61" t="n">
        <v>17500</v>
      </c>
      <c r="E88" s="60"/>
      <c r="F88" s="62" t="str">
        <f aca="false">IF($B88="","",IF(ISNUMBER(MATCH($B88,日別データ!$B$9:$B$28,0)),"✔ OK","⚠ 未登録"))</f>
        <v>✔ OK</v>
      </c>
    </row>
    <row r="89" customFormat="false" ht="15" hidden="false" customHeight="false" outlineLevel="0" collapsed="false">
      <c r="A89" s="59"/>
      <c r="B89" s="60"/>
      <c r="C89" s="61"/>
      <c r="D89" s="61"/>
      <c r="E89" s="60"/>
      <c r="F89" s="62" t="str">
        <f aca="false">IF($B89="","",IF(ISNUMBER(MATCH($B89,日別データ!$B$9:$B$28,0)),"✔ OK","⚠ 未登録"))</f>
        <v/>
      </c>
    </row>
    <row r="90" customFormat="false" ht="15" hidden="false" customHeight="false" outlineLevel="0" collapsed="false">
      <c r="A90" s="59"/>
      <c r="B90" s="60"/>
      <c r="C90" s="61"/>
      <c r="D90" s="61"/>
      <c r="E90" s="60"/>
      <c r="F90" s="62" t="str">
        <f aca="false">IF($B90="","",IF(ISNUMBER(MATCH($B90,日別データ!$B$9:$B$28,0)),"✔ OK","⚠ 未登録"))</f>
        <v/>
      </c>
    </row>
    <row r="91" customFormat="false" ht="15" hidden="false" customHeight="false" outlineLevel="0" collapsed="false">
      <c r="A91" s="59"/>
      <c r="B91" s="60"/>
      <c r="C91" s="61"/>
      <c r="D91" s="61"/>
      <c r="E91" s="60"/>
      <c r="F91" s="62" t="str">
        <f aca="false">IF($B91="","",IF(ISNUMBER(MATCH($B91,日別データ!$B$9:$B$28,0)),"✔ OK","⚠ 未登録"))</f>
        <v/>
      </c>
    </row>
    <row r="92" customFormat="false" ht="15" hidden="false" customHeight="false" outlineLevel="0" collapsed="false">
      <c r="A92" s="59"/>
      <c r="B92" s="60"/>
      <c r="C92" s="61"/>
      <c r="D92" s="61"/>
      <c r="E92" s="60"/>
      <c r="F92" s="62" t="str">
        <f aca="false">IF($B92="","",IF(ISNUMBER(MATCH($B92,日別データ!$B$9:$B$28,0)),"✔ OK","⚠ 未登録"))</f>
        <v/>
      </c>
    </row>
    <row r="93" customFormat="false" ht="15" hidden="false" customHeight="false" outlineLevel="0" collapsed="false">
      <c r="A93" s="59"/>
      <c r="B93" s="60"/>
      <c r="C93" s="61"/>
      <c r="D93" s="61"/>
      <c r="E93" s="60"/>
      <c r="F93" s="62" t="str">
        <f aca="false">IF($B93="","",IF(ISNUMBER(MATCH($B93,日別データ!$B$9:$B$28,0)),"✔ OK","⚠ 未登録"))</f>
        <v/>
      </c>
    </row>
    <row r="94" customFormat="false" ht="15" hidden="false" customHeight="false" outlineLevel="0" collapsed="false">
      <c r="A94" s="59"/>
      <c r="B94" s="60"/>
      <c r="C94" s="61"/>
      <c r="D94" s="61"/>
      <c r="E94" s="60"/>
      <c r="F94" s="62" t="str">
        <f aca="false">IF($B94="","",IF(ISNUMBER(MATCH($B94,日別データ!$B$9:$B$28,0)),"✔ OK","⚠ 未登録"))</f>
        <v/>
      </c>
    </row>
    <row r="95" customFormat="false" ht="15" hidden="false" customHeight="false" outlineLevel="0" collapsed="false">
      <c r="A95" s="59"/>
      <c r="B95" s="60"/>
      <c r="C95" s="61"/>
      <c r="D95" s="61"/>
      <c r="E95" s="60"/>
      <c r="F95" s="62" t="str">
        <f aca="false">IF($B95="","",IF(ISNUMBER(MATCH($B95,日別データ!$B$9:$B$28,0)),"✔ OK","⚠ 未登録"))</f>
        <v/>
      </c>
    </row>
    <row r="96" customFormat="false" ht="15" hidden="false" customHeight="false" outlineLevel="0" collapsed="false">
      <c r="A96" s="59"/>
      <c r="B96" s="60"/>
      <c r="C96" s="61"/>
      <c r="D96" s="61"/>
      <c r="E96" s="60"/>
      <c r="F96" s="62" t="str">
        <f aca="false">IF($B96="","",IF(ISNUMBER(MATCH($B96,日別データ!$B$9:$B$28,0)),"✔ OK","⚠ 未登録"))</f>
        <v/>
      </c>
    </row>
    <row r="97" customFormat="false" ht="15" hidden="false" customHeight="false" outlineLevel="0" collapsed="false">
      <c r="A97" s="59"/>
      <c r="B97" s="60"/>
      <c r="C97" s="61"/>
      <c r="D97" s="61"/>
      <c r="E97" s="60"/>
      <c r="F97" s="62" t="str">
        <f aca="false">IF($B97="","",IF(ISNUMBER(MATCH($B97,日別データ!$B$9:$B$28,0)),"✔ OK","⚠ 未登録"))</f>
        <v/>
      </c>
    </row>
    <row r="98" customFormat="false" ht="15" hidden="false" customHeight="false" outlineLevel="0" collapsed="false">
      <c r="A98" s="59"/>
      <c r="B98" s="60"/>
      <c r="C98" s="61"/>
      <c r="D98" s="61"/>
      <c r="E98" s="60"/>
      <c r="F98" s="62" t="str">
        <f aca="false">IF($B98="","",IF(ISNUMBER(MATCH($B98,日別データ!$B$9:$B$28,0)),"✔ OK","⚠ 未登録"))</f>
        <v/>
      </c>
    </row>
    <row r="99" customFormat="false" ht="15" hidden="false" customHeight="false" outlineLevel="0" collapsed="false">
      <c r="A99" s="59"/>
      <c r="B99" s="60"/>
      <c r="C99" s="61"/>
      <c r="D99" s="61"/>
      <c r="E99" s="60"/>
      <c r="F99" s="62" t="str">
        <f aca="false">IF($B99="","",IF(ISNUMBER(MATCH($B99,日別データ!$B$9:$B$28,0)),"✔ OK","⚠ 未登録"))</f>
        <v/>
      </c>
    </row>
    <row r="100" customFormat="false" ht="15" hidden="false" customHeight="false" outlineLevel="0" collapsed="false">
      <c r="A100" s="59"/>
      <c r="B100" s="60"/>
      <c r="C100" s="61"/>
      <c r="D100" s="61"/>
      <c r="E100" s="60"/>
      <c r="F100" s="62" t="str">
        <f aca="false">IF($B100="","",IF(ISNUMBER(MATCH($B100,日別データ!$B$9:$B$28,0)),"✔ OK","⚠ 未登録"))</f>
        <v/>
      </c>
    </row>
    <row r="101" customFormat="false" ht="15" hidden="false" customHeight="false" outlineLevel="0" collapsed="false">
      <c r="A101" s="59"/>
      <c r="B101" s="60"/>
      <c r="C101" s="61"/>
      <c r="D101" s="61"/>
      <c r="E101" s="60"/>
      <c r="F101" s="62" t="str">
        <f aca="false">IF($B101="","",IF(ISNUMBER(MATCH($B101,日別データ!$B$9:$B$28,0)),"✔ OK","⚠ 未登録"))</f>
        <v/>
      </c>
    </row>
    <row r="102" customFormat="false" ht="15" hidden="false" customHeight="false" outlineLevel="0" collapsed="false">
      <c r="A102" s="59"/>
      <c r="B102" s="60"/>
      <c r="C102" s="61"/>
      <c r="D102" s="61"/>
      <c r="E102" s="60"/>
      <c r="F102" s="62" t="str">
        <f aca="false">IF($B102="","",IF(ISNUMBER(MATCH($B102,日別データ!$B$9:$B$28,0)),"✔ OK","⚠ 未登録"))</f>
        <v/>
      </c>
    </row>
    <row r="103" customFormat="false" ht="15" hidden="false" customHeight="false" outlineLevel="0" collapsed="false">
      <c r="A103" s="59"/>
      <c r="B103" s="60"/>
      <c r="C103" s="61"/>
      <c r="D103" s="61"/>
      <c r="E103" s="60"/>
      <c r="F103" s="62" t="str">
        <f aca="false">IF($B103="","",IF(ISNUMBER(MATCH($B103,日別データ!$B$9:$B$28,0)),"✔ OK","⚠ 未登録"))</f>
        <v/>
      </c>
    </row>
    <row r="104" customFormat="false" ht="15" hidden="false" customHeight="false" outlineLevel="0" collapsed="false">
      <c r="A104" s="59"/>
      <c r="B104" s="60"/>
      <c r="C104" s="61"/>
      <c r="D104" s="61"/>
      <c r="E104" s="60"/>
      <c r="F104" s="62" t="str">
        <f aca="false">IF($B104="","",IF(ISNUMBER(MATCH($B104,日別データ!$B$9:$B$28,0)),"✔ OK","⚠ 未登録"))</f>
        <v/>
      </c>
    </row>
    <row r="105" customFormat="false" ht="15" hidden="false" customHeight="false" outlineLevel="0" collapsed="false">
      <c r="A105" s="59"/>
      <c r="B105" s="60"/>
      <c r="C105" s="61"/>
      <c r="D105" s="61"/>
      <c r="E105" s="60"/>
      <c r="F105" s="62" t="str">
        <f aca="false">IF($B105="","",IF(ISNUMBER(MATCH($B105,日別データ!$B$9:$B$28,0)),"✔ OK","⚠ 未登録"))</f>
        <v/>
      </c>
    </row>
    <row r="106" customFormat="false" ht="15" hidden="false" customHeight="false" outlineLevel="0" collapsed="false">
      <c r="A106" s="59"/>
      <c r="B106" s="60"/>
      <c r="C106" s="61"/>
      <c r="D106" s="61"/>
      <c r="E106" s="60"/>
      <c r="F106" s="62" t="str">
        <f aca="false">IF($B106="","",IF(ISNUMBER(MATCH($B106,日別データ!$B$9:$B$28,0)),"✔ OK","⚠ 未登録"))</f>
        <v/>
      </c>
    </row>
    <row r="107" customFormat="false" ht="15" hidden="false" customHeight="false" outlineLevel="0" collapsed="false">
      <c r="A107" s="59"/>
      <c r="B107" s="60"/>
      <c r="C107" s="61"/>
      <c r="D107" s="61"/>
      <c r="E107" s="60"/>
      <c r="F107" s="62" t="str">
        <f aca="false">IF($B107="","",IF(ISNUMBER(MATCH($B107,日別データ!$B$9:$B$28,0)),"✔ OK","⚠ 未登録"))</f>
        <v/>
      </c>
    </row>
    <row r="108" customFormat="false" ht="15" hidden="false" customHeight="false" outlineLevel="0" collapsed="false">
      <c r="A108" s="59"/>
      <c r="B108" s="60"/>
      <c r="C108" s="61"/>
      <c r="D108" s="61"/>
      <c r="E108" s="60"/>
      <c r="F108" s="62" t="str">
        <f aca="false">IF($B108="","",IF(ISNUMBER(MATCH($B108,日別データ!$B$9:$B$28,0)),"✔ OK","⚠ 未登録"))</f>
        <v/>
      </c>
    </row>
    <row r="109" customFormat="false" ht="15" hidden="false" customHeight="false" outlineLevel="0" collapsed="false">
      <c r="A109" s="59"/>
      <c r="B109" s="60"/>
      <c r="C109" s="61"/>
      <c r="D109" s="61"/>
      <c r="E109" s="60"/>
      <c r="F109" s="62" t="str">
        <f aca="false">IF($B109="","",IF(ISNUMBER(MATCH($B109,日別データ!$B$9:$B$28,0)),"✔ OK","⚠ 未登録"))</f>
        <v/>
      </c>
    </row>
    <row r="110" customFormat="false" ht="15" hidden="false" customHeight="false" outlineLevel="0" collapsed="false">
      <c r="A110" s="59"/>
      <c r="B110" s="60"/>
      <c r="C110" s="61"/>
      <c r="D110" s="61"/>
      <c r="E110" s="60"/>
      <c r="F110" s="62" t="str">
        <f aca="false">IF($B110="","",IF(ISNUMBER(MATCH($B110,日別データ!$B$9:$B$28,0)),"✔ OK","⚠ 未登録"))</f>
        <v/>
      </c>
    </row>
    <row r="111" customFormat="false" ht="15" hidden="false" customHeight="false" outlineLevel="0" collapsed="false">
      <c r="A111" s="59"/>
      <c r="B111" s="60"/>
      <c r="C111" s="61"/>
      <c r="D111" s="61"/>
      <c r="E111" s="60"/>
      <c r="F111" s="62" t="str">
        <f aca="false">IF($B111="","",IF(ISNUMBER(MATCH($B111,日別データ!$B$9:$B$28,0)),"✔ OK","⚠ 未登録"))</f>
        <v/>
      </c>
    </row>
    <row r="112" customFormat="false" ht="15" hidden="false" customHeight="false" outlineLevel="0" collapsed="false">
      <c r="A112" s="59"/>
      <c r="B112" s="60"/>
      <c r="C112" s="61"/>
      <c r="D112" s="61"/>
      <c r="E112" s="60"/>
      <c r="F112" s="62" t="str">
        <f aca="false">IF($B112="","",IF(ISNUMBER(MATCH($B112,日別データ!$B$9:$B$28,0)),"✔ OK","⚠ 未登録"))</f>
        <v/>
      </c>
    </row>
    <row r="113" customFormat="false" ht="15" hidden="false" customHeight="false" outlineLevel="0" collapsed="false">
      <c r="A113" s="59"/>
      <c r="B113" s="60"/>
      <c r="C113" s="61"/>
      <c r="D113" s="61"/>
      <c r="E113" s="60"/>
      <c r="F113" s="62" t="str">
        <f aca="false">IF($B113="","",IF(ISNUMBER(MATCH($B113,日別データ!$B$9:$B$28,0)),"✔ OK","⚠ 未登録"))</f>
        <v/>
      </c>
    </row>
    <row r="114" customFormat="false" ht="15" hidden="false" customHeight="false" outlineLevel="0" collapsed="false">
      <c r="A114" s="59"/>
      <c r="B114" s="60"/>
      <c r="C114" s="61"/>
      <c r="D114" s="61"/>
      <c r="E114" s="60"/>
      <c r="F114" s="62" t="str">
        <f aca="false">IF($B114="","",IF(ISNUMBER(MATCH($B114,日別データ!$B$9:$B$28,0)),"✔ OK","⚠ 未登録"))</f>
        <v/>
      </c>
    </row>
    <row r="115" customFormat="false" ht="15" hidden="false" customHeight="false" outlineLevel="0" collapsed="false">
      <c r="A115" s="59"/>
      <c r="B115" s="60"/>
      <c r="C115" s="61"/>
      <c r="D115" s="61"/>
      <c r="E115" s="60"/>
      <c r="F115" s="62" t="str">
        <f aca="false">IF($B115="","",IF(ISNUMBER(MATCH($B115,日別データ!$B$9:$B$28,0)),"✔ OK","⚠ 未登録"))</f>
        <v/>
      </c>
    </row>
    <row r="116" customFormat="false" ht="15" hidden="false" customHeight="false" outlineLevel="0" collapsed="false">
      <c r="A116" s="59"/>
      <c r="B116" s="60"/>
      <c r="C116" s="61"/>
      <c r="D116" s="61"/>
      <c r="E116" s="60"/>
      <c r="F116" s="62" t="str">
        <f aca="false">IF($B116="","",IF(ISNUMBER(MATCH($B116,日別データ!$B$9:$B$28,0)),"✔ OK","⚠ 未登録"))</f>
        <v/>
      </c>
    </row>
    <row r="117" customFormat="false" ht="15" hidden="false" customHeight="false" outlineLevel="0" collapsed="false">
      <c r="A117" s="59"/>
      <c r="B117" s="60"/>
      <c r="C117" s="61"/>
      <c r="D117" s="61"/>
      <c r="E117" s="60"/>
      <c r="F117" s="62" t="str">
        <f aca="false">IF($B117="","",IF(ISNUMBER(MATCH($B117,日別データ!$B$9:$B$28,0)),"✔ OK","⚠ 未登録"))</f>
        <v/>
      </c>
    </row>
    <row r="118" customFormat="false" ht="15" hidden="false" customHeight="false" outlineLevel="0" collapsed="false">
      <c r="A118" s="59"/>
      <c r="B118" s="60"/>
      <c r="C118" s="61"/>
      <c r="D118" s="61"/>
      <c r="E118" s="60"/>
      <c r="F118" s="62" t="str">
        <f aca="false">IF($B118="","",IF(ISNUMBER(MATCH($B118,日別データ!$B$9:$B$28,0)),"✔ OK","⚠ 未登録"))</f>
        <v/>
      </c>
    </row>
    <row r="119" customFormat="false" ht="15" hidden="false" customHeight="false" outlineLevel="0" collapsed="false">
      <c r="A119" s="59"/>
      <c r="B119" s="60"/>
      <c r="C119" s="61"/>
      <c r="D119" s="61"/>
      <c r="E119" s="60"/>
      <c r="F119" s="62" t="str">
        <f aca="false">IF($B119="","",IF(ISNUMBER(MATCH($B119,日別データ!$B$9:$B$28,0)),"✔ OK","⚠ 未登録"))</f>
        <v/>
      </c>
    </row>
    <row r="120" customFormat="false" ht="15" hidden="false" customHeight="false" outlineLevel="0" collapsed="false">
      <c r="A120" s="59"/>
      <c r="B120" s="60"/>
      <c r="C120" s="61"/>
      <c r="D120" s="61"/>
      <c r="E120" s="60"/>
      <c r="F120" s="62" t="str">
        <f aca="false">IF($B120="","",IF(ISNUMBER(MATCH($B120,日別データ!$B$9:$B$28,0)),"✔ OK","⚠ 未登録"))</f>
        <v/>
      </c>
    </row>
    <row r="121" customFormat="false" ht="15" hidden="false" customHeight="false" outlineLevel="0" collapsed="false">
      <c r="A121" s="59"/>
      <c r="B121" s="60"/>
      <c r="C121" s="61"/>
      <c r="D121" s="61"/>
      <c r="E121" s="60"/>
      <c r="F121" s="62" t="str">
        <f aca="false">IF($B121="","",IF(ISNUMBER(MATCH($B121,日別データ!$B$9:$B$28,0)),"✔ OK","⚠ 未登録"))</f>
        <v/>
      </c>
    </row>
    <row r="122" customFormat="false" ht="15" hidden="false" customHeight="false" outlineLevel="0" collapsed="false">
      <c r="A122" s="59"/>
      <c r="B122" s="60"/>
      <c r="C122" s="61"/>
      <c r="D122" s="61"/>
      <c r="E122" s="60"/>
      <c r="F122" s="62" t="str">
        <f aca="false">IF($B122="","",IF(ISNUMBER(MATCH($B122,日別データ!$B$9:$B$28,0)),"✔ OK","⚠ 未登録"))</f>
        <v/>
      </c>
    </row>
    <row r="123" customFormat="false" ht="15" hidden="false" customHeight="false" outlineLevel="0" collapsed="false">
      <c r="A123" s="59"/>
      <c r="B123" s="60"/>
      <c r="C123" s="61"/>
      <c r="D123" s="61"/>
      <c r="E123" s="60"/>
      <c r="F123" s="62" t="str">
        <f aca="false">IF($B123="","",IF(ISNUMBER(MATCH($B123,日別データ!$B$9:$B$28,0)),"✔ OK","⚠ 未登録"))</f>
        <v/>
      </c>
    </row>
    <row r="124" customFormat="false" ht="15" hidden="false" customHeight="false" outlineLevel="0" collapsed="false">
      <c r="A124" s="59"/>
      <c r="B124" s="60"/>
      <c r="C124" s="61"/>
      <c r="D124" s="61"/>
      <c r="E124" s="60"/>
      <c r="F124" s="62" t="str">
        <f aca="false">IF($B124="","",IF(ISNUMBER(MATCH($B124,日別データ!$B$9:$B$28,0)),"✔ OK","⚠ 未登録"))</f>
        <v/>
      </c>
    </row>
    <row r="125" customFormat="false" ht="15" hidden="false" customHeight="false" outlineLevel="0" collapsed="false">
      <c r="A125" s="59"/>
      <c r="B125" s="60"/>
      <c r="C125" s="61"/>
      <c r="D125" s="61"/>
      <c r="E125" s="60"/>
      <c r="F125" s="62" t="str">
        <f aca="false">IF($B125="","",IF(ISNUMBER(MATCH($B125,日別データ!$B$9:$B$28,0)),"✔ OK","⚠ 未登録"))</f>
        <v/>
      </c>
    </row>
    <row r="126" customFormat="false" ht="15" hidden="false" customHeight="false" outlineLevel="0" collapsed="false">
      <c r="A126" s="59"/>
      <c r="B126" s="60"/>
      <c r="C126" s="61"/>
      <c r="D126" s="61"/>
      <c r="E126" s="60"/>
      <c r="F126" s="62" t="str">
        <f aca="false">IF($B126="","",IF(ISNUMBER(MATCH($B126,日別データ!$B$9:$B$28,0)),"✔ OK","⚠ 未登録"))</f>
        <v/>
      </c>
    </row>
    <row r="127" customFormat="false" ht="15" hidden="false" customHeight="false" outlineLevel="0" collapsed="false">
      <c r="A127" s="59"/>
      <c r="B127" s="60"/>
      <c r="C127" s="61"/>
      <c r="D127" s="61"/>
      <c r="E127" s="60"/>
      <c r="F127" s="62" t="str">
        <f aca="false">IF($B127="","",IF(ISNUMBER(MATCH($B127,日別データ!$B$9:$B$28,0)),"✔ OK","⚠ 未登録"))</f>
        <v/>
      </c>
    </row>
    <row r="128" customFormat="false" ht="15" hidden="false" customHeight="false" outlineLevel="0" collapsed="false">
      <c r="A128" s="59"/>
      <c r="B128" s="60"/>
      <c r="C128" s="61"/>
      <c r="D128" s="61"/>
      <c r="E128" s="60"/>
      <c r="F128" s="62" t="str">
        <f aca="false">IF($B128="","",IF(ISNUMBER(MATCH($B128,日別データ!$B$9:$B$28,0)),"✔ OK","⚠ 未登録"))</f>
        <v/>
      </c>
    </row>
    <row r="129" customFormat="false" ht="15" hidden="false" customHeight="false" outlineLevel="0" collapsed="false">
      <c r="A129" s="59"/>
      <c r="B129" s="60"/>
      <c r="C129" s="61"/>
      <c r="D129" s="61"/>
      <c r="E129" s="60"/>
      <c r="F129" s="62" t="str">
        <f aca="false">IF($B129="","",IF(ISNUMBER(MATCH($B129,日別データ!$B$9:$B$28,0)),"✔ OK","⚠ 未登録"))</f>
        <v/>
      </c>
    </row>
    <row r="130" customFormat="false" ht="15" hidden="false" customHeight="false" outlineLevel="0" collapsed="false">
      <c r="A130" s="59"/>
      <c r="B130" s="60"/>
      <c r="C130" s="61"/>
      <c r="D130" s="61"/>
      <c r="E130" s="60"/>
      <c r="F130" s="62" t="str">
        <f aca="false">IF($B130="","",IF(ISNUMBER(MATCH($B130,日別データ!$B$9:$B$28,0)),"✔ OK","⚠ 未登録"))</f>
        <v/>
      </c>
    </row>
    <row r="131" customFormat="false" ht="15" hidden="false" customHeight="false" outlineLevel="0" collapsed="false">
      <c r="A131" s="59"/>
      <c r="B131" s="60"/>
      <c r="C131" s="61"/>
      <c r="D131" s="61"/>
      <c r="E131" s="60"/>
      <c r="F131" s="62" t="str">
        <f aca="false">IF($B131="","",IF(ISNUMBER(MATCH($B131,日別データ!$B$9:$B$28,0)),"✔ OK","⚠ 未登録"))</f>
        <v/>
      </c>
    </row>
    <row r="132" customFormat="false" ht="15" hidden="false" customHeight="false" outlineLevel="0" collapsed="false">
      <c r="A132" s="59"/>
      <c r="B132" s="60"/>
      <c r="C132" s="61"/>
      <c r="D132" s="61"/>
      <c r="E132" s="60"/>
      <c r="F132" s="62" t="str">
        <f aca="false">IF($B132="","",IF(ISNUMBER(MATCH($B132,日別データ!$B$9:$B$28,0)),"✔ OK","⚠ 未登録"))</f>
        <v/>
      </c>
    </row>
    <row r="133" customFormat="false" ht="15" hidden="false" customHeight="false" outlineLevel="0" collapsed="false">
      <c r="A133" s="59"/>
      <c r="B133" s="60"/>
      <c r="C133" s="61"/>
      <c r="D133" s="61"/>
      <c r="E133" s="60"/>
      <c r="F133" s="62" t="str">
        <f aca="false">IF($B133="","",IF(ISNUMBER(MATCH($B133,日別データ!$B$9:$B$28,0)),"✔ OK","⚠ 未登録"))</f>
        <v/>
      </c>
    </row>
    <row r="134" customFormat="false" ht="15" hidden="false" customHeight="false" outlineLevel="0" collapsed="false">
      <c r="A134" s="59"/>
      <c r="B134" s="60"/>
      <c r="C134" s="61"/>
      <c r="D134" s="61"/>
      <c r="E134" s="60"/>
      <c r="F134" s="62" t="str">
        <f aca="false">IF($B134="","",IF(ISNUMBER(MATCH($B134,日別データ!$B$9:$B$28,0)),"✔ OK","⚠ 未登録"))</f>
        <v/>
      </c>
    </row>
    <row r="135" customFormat="false" ht="15" hidden="false" customHeight="false" outlineLevel="0" collapsed="false">
      <c r="A135" s="59"/>
      <c r="B135" s="60"/>
      <c r="C135" s="61"/>
      <c r="D135" s="61"/>
      <c r="E135" s="60"/>
      <c r="F135" s="62" t="str">
        <f aca="false">IF($B135="","",IF(ISNUMBER(MATCH($B135,日別データ!$B$9:$B$28,0)),"✔ OK","⚠ 未登録"))</f>
        <v/>
      </c>
    </row>
    <row r="136" customFormat="false" ht="15" hidden="false" customHeight="false" outlineLevel="0" collapsed="false">
      <c r="A136" s="59"/>
      <c r="B136" s="60"/>
      <c r="C136" s="61"/>
      <c r="D136" s="61"/>
      <c r="E136" s="60"/>
      <c r="F136" s="62" t="str">
        <f aca="false">IF($B136="","",IF(ISNUMBER(MATCH($B136,日別データ!$B$9:$B$28,0)),"✔ OK","⚠ 未登録"))</f>
        <v/>
      </c>
    </row>
    <row r="137" customFormat="false" ht="15" hidden="false" customHeight="false" outlineLevel="0" collapsed="false">
      <c r="A137" s="59"/>
      <c r="B137" s="60"/>
      <c r="C137" s="61"/>
      <c r="D137" s="61"/>
      <c r="E137" s="60"/>
      <c r="F137" s="62" t="str">
        <f aca="false">IF($B137="","",IF(ISNUMBER(MATCH($B137,日別データ!$B$9:$B$28,0)),"✔ OK","⚠ 未登録"))</f>
        <v/>
      </c>
    </row>
    <row r="138" customFormat="false" ht="15" hidden="false" customHeight="false" outlineLevel="0" collapsed="false">
      <c r="A138" s="59"/>
      <c r="B138" s="60"/>
      <c r="C138" s="61"/>
      <c r="D138" s="61"/>
      <c r="E138" s="60"/>
      <c r="F138" s="62" t="str">
        <f aca="false">IF($B138="","",IF(ISNUMBER(MATCH($B138,日別データ!$B$9:$B$28,0)),"✔ OK","⚠ 未登録"))</f>
        <v/>
      </c>
    </row>
    <row r="139" customFormat="false" ht="15" hidden="false" customHeight="false" outlineLevel="0" collapsed="false">
      <c r="A139" s="59"/>
      <c r="B139" s="60"/>
      <c r="C139" s="61"/>
      <c r="D139" s="61"/>
      <c r="E139" s="60"/>
      <c r="F139" s="62" t="str">
        <f aca="false">IF($B139="","",IF(ISNUMBER(MATCH($B139,日別データ!$B$9:$B$28,0)),"✔ OK","⚠ 未登録"))</f>
        <v/>
      </c>
    </row>
    <row r="140" customFormat="false" ht="15" hidden="false" customHeight="false" outlineLevel="0" collapsed="false">
      <c r="A140" s="59"/>
      <c r="B140" s="60"/>
      <c r="C140" s="61"/>
      <c r="D140" s="61"/>
      <c r="E140" s="60"/>
      <c r="F140" s="62" t="str">
        <f aca="false">IF($B140="","",IF(ISNUMBER(MATCH($B140,日別データ!$B$9:$B$28,0)),"✔ OK","⚠ 未登録"))</f>
        <v/>
      </c>
    </row>
    <row r="141" customFormat="false" ht="15" hidden="false" customHeight="false" outlineLevel="0" collapsed="false">
      <c r="A141" s="59"/>
      <c r="B141" s="60"/>
      <c r="C141" s="61"/>
      <c r="D141" s="61"/>
      <c r="E141" s="60"/>
      <c r="F141" s="62" t="str">
        <f aca="false">IF($B141="","",IF(ISNUMBER(MATCH($B141,日別データ!$B$9:$B$28,0)),"✔ OK","⚠ 未登録"))</f>
        <v/>
      </c>
    </row>
    <row r="142" customFormat="false" ht="15" hidden="false" customHeight="false" outlineLevel="0" collapsed="false">
      <c r="A142" s="59"/>
      <c r="B142" s="60"/>
      <c r="C142" s="61"/>
      <c r="D142" s="61"/>
      <c r="E142" s="60"/>
      <c r="F142" s="62" t="str">
        <f aca="false">IF($B142="","",IF(ISNUMBER(MATCH($B142,日別データ!$B$9:$B$28,0)),"✔ OK","⚠ 未登録"))</f>
        <v/>
      </c>
    </row>
    <row r="143" customFormat="false" ht="15" hidden="false" customHeight="false" outlineLevel="0" collapsed="false">
      <c r="A143" s="59"/>
      <c r="B143" s="60"/>
      <c r="C143" s="61"/>
      <c r="D143" s="61"/>
      <c r="E143" s="60"/>
      <c r="F143" s="62" t="str">
        <f aca="false">IF($B143="","",IF(ISNUMBER(MATCH($B143,日別データ!$B$9:$B$28,0)),"✔ OK","⚠ 未登録"))</f>
        <v/>
      </c>
    </row>
    <row r="144" customFormat="false" ht="15" hidden="false" customHeight="false" outlineLevel="0" collapsed="false">
      <c r="A144" s="59"/>
      <c r="B144" s="60"/>
      <c r="C144" s="61"/>
      <c r="D144" s="61"/>
      <c r="E144" s="60"/>
      <c r="F144" s="62" t="str">
        <f aca="false">IF($B144="","",IF(ISNUMBER(MATCH($B144,日別データ!$B$9:$B$28,0)),"✔ OK","⚠ 未登録"))</f>
        <v/>
      </c>
    </row>
    <row r="145" customFormat="false" ht="15" hidden="false" customHeight="false" outlineLevel="0" collapsed="false">
      <c r="A145" s="59"/>
      <c r="B145" s="60"/>
      <c r="C145" s="61"/>
      <c r="D145" s="61"/>
      <c r="E145" s="60"/>
      <c r="F145" s="62" t="str">
        <f aca="false">IF($B145="","",IF(ISNUMBER(MATCH($B145,日別データ!$B$9:$B$28,0)),"✔ OK","⚠ 未登録"))</f>
        <v/>
      </c>
    </row>
    <row r="146" customFormat="false" ht="15" hidden="false" customHeight="false" outlineLevel="0" collapsed="false">
      <c r="A146" s="59"/>
      <c r="B146" s="60"/>
      <c r="C146" s="61"/>
      <c r="D146" s="61"/>
      <c r="E146" s="60"/>
      <c r="F146" s="62" t="str">
        <f aca="false">IF($B146="","",IF(ISNUMBER(MATCH($B146,日別データ!$B$9:$B$28,0)),"✔ OK","⚠ 未登録"))</f>
        <v/>
      </c>
    </row>
    <row r="147" customFormat="false" ht="15" hidden="false" customHeight="false" outlineLevel="0" collapsed="false">
      <c r="A147" s="59"/>
      <c r="B147" s="60"/>
      <c r="C147" s="61"/>
      <c r="D147" s="61"/>
      <c r="E147" s="60"/>
      <c r="F147" s="62" t="str">
        <f aca="false">IF($B147="","",IF(ISNUMBER(MATCH($B147,日別データ!$B$9:$B$28,0)),"✔ OK","⚠ 未登録"))</f>
        <v/>
      </c>
    </row>
    <row r="148" customFormat="false" ht="15" hidden="false" customHeight="false" outlineLevel="0" collapsed="false">
      <c r="A148" s="59"/>
      <c r="B148" s="60"/>
      <c r="C148" s="61"/>
      <c r="D148" s="61"/>
      <c r="E148" s="60"/>
      <c r="F148" s="62" t="str">
        <f aca="false">IF($B148="","",IF(ISNUMBER(MATCH($B148,日別データ!$B$9:$B$28,0)),"✔ OK","⚠ 未登録"))</f>
        <v/>
      </c>
    </row>
    <row r="149" customFormat="false" ht="15" hidden="false" customHeight="false" outlineLevel="0" collapsed="false">
      <c r="A149" s="59"/>
      <c r="B149" s="60"/>
      <c r="C149" s="61"/>
      <c r="D149" s="61"/>
      <c r="E149" s="60"/>
      <c r="F149" s="62" t="str">
        <f aca="false">IF($B149="","",IF(ISNUMBER(MATCH($B149,日別データ!$B$9:$B$28,0)),"✔ OK","⚠ 未登録"))</f>
        <v/>
      </c>
    </row>
    <row r="150" customFormat="false" ht="15" hidden="false" customHeight="false" outlineLevel="0" collapsed="false">
      <c r="A150" s="59"/>
      <c r="B150" s="60"/>
      <c r="C150" s="61"/>
      <c r="D150" s="61"/>
      <c r="E150" s="60"/>
      <c r="F150" s="62" t="str">
        <f aca="false">IF($B150="","",IF(ISNUMBER(MATCH($B150,日別データ!$B$9:$B$28,0)),"✔ OK","⚠ 未登録"))</f>
        <v/>
      </c>
    </row>
    <row r="151" customFormat="false" ht="15" hidden="false" customHeight="false" outlineLevel="0" collapsed="false">
      <c r="A151" s="59"/>
      <c r="B151" s="60"/>
      <c r="C151" s="61"/>
      <c r="D151" s="61"/>
      <c r="E151" s="60"/>
      <c r="F151" s="62" t="str">
        <f aca="false">IF($B151="","",IF(ISNUMBER(MATCH($B151,日別データ!$B$9:$B$28,0)),"✔ OK","⚠ 未登録"))</f>
        <v/>
      </c>
    </row>
    <row r="152" customFormat="false" ht="15" hidden="false" customHeight="false" outlineLevel="0" collapsed="false">
      <c r="A152" s="59"/>
      <c r="B152" s="60"/>
      <c r="C152" s="61"/>
      <c r="D152" s="61"/>
      <c r="E152" s="60"/>
      <c r="F152" s="62" t="str">
        <f aca="false">IF($B152="","",IF(ISNUMBER(MATCH($B152,日別データ!$B$9:$B$28,0)),"✔ OK","⚠ 未登録"))</f>
        <v/>
      </c>
    </row>
    <row r="153" customFormat="false" ht="15" hidden="false" customHeight="false" outlineLevel="0" collapsed="false">
      <c r="A153" s="59"/>
      <c r="B153" s="60"/>
      <c r="C153" s="61"/>
      <c r="D153" s="61"/>
      <c r="E153" s="60"/>
      <c r="F153" s="62" t="str">
        <f aca="false">IF($B153="","",IF(ISNUMBER(MATCH($B153,日別データ!$B$9:$B$28,0)),"✔ OK","⚠ 未登録"))</f>
        <v/>
      </c>
    </row>
    <row r="154" customFormat="false" ht="15" hidden="false" customHeight="false" outlineLevel="0" collapsed="false">
      <c r="A154" s="59"/>
      <c r="B154" s="60"/>
      <c r="C154" s="61"/>
      <c r="D154" s="61"/>
      <c r="E154" s="60"/>
      <c r="F154" s="62" t="str">
        <f aca="false">IF($B154="","",IF(ISNUMBER(MATCH($B154,日別データ!$B$9:$B$28,0)),"✔ OK","⚠ 未登録"))</f>
        <v/>
      </c>
    </row>
    <row r="155" customFormat="false" ht="15" hidden="false" customHeight="false" outlineLevel="0" collapsed="false">
      <c r="A155" s="59"/>
      <c r="B155" s="60"/>
      <c r="C155" s="61"/>
      <c r="D155" s="61"/>
      <c r="E155" s="60"/>
      <c r="F155" s="62" t="str">
        <f aca="false">IF($B155="","",IF(ISNUMBER(MATCH($B155,日別データ!$B$9:$B$28,0)),"✔ OK","⚠ 未登録"))</f>
        <v/>
      </c>
    </row>
    <row r="156" customFormat="false" ht="15" hidden="false" customHeight="false" outlineLevel="0" collapsed="false">
      <c r="A156" s="59"/>
      <c r="B156" s="60"/>
      <c r="C156" s="61"/>
      <c r="D156" s="61"/>
      <c r="E156" s="60"/>
      <c r="F156" s="62" t="str">
        <f aca="false">IF($B156="","",IF(ISNUMBER(MATCH($B156,日別データ!$B$9:$B$28,0)),"✔ OK","⚠ 未登録"))</f>
        <v/>
      </c>
    </row>
    <row r="157" customFormat="false" ht="15" hidden="false" customHeight="false" outlineLevel="0" collapsed="false">
      <c r="A157" s="59"/>
      <c r="B157" s="60"/>
      <c r="C157" s="61"/>
      <c r="D157" s="61"/>
      <c r="E157" s="60"/>
      <c r="F157" s="62" t="str">
        <f aca="false">IF($B157="","",IF(ISNUMBER(MATCH($B157,日別データ!$B$9:$B$28,0)),"✔ OK","⚠ 未登録"))</f>
        <v/>
      </c>
    </row>
    <row r="158" customFormat="false" ht="15" hidden="false" customHeight="false" outlineLevel="0" collapsed="false">
      <c r="A158" s="59"/>
      <c r="B158" s="60"/>
      <c r="C158" s="61"/>
      <c r="D158" s="61"/>
      <c r="E158" s="60"/>
      <c r="F158" s="62" t="str">
        <f aca="false">IF($B158="","",IF(ISNUMBER(MATCH($B158,日別データ!$B$9:$B$28,0)),"✔ OK","⚠ 未登録"))</f>
        <v/>
      </c>
    </row>
    <row r="159" customFormat="false" ht="15" hidden="false" customHeight="false" outlineLevel="0" collapsed="false">
      <c r="A159" s="59"/>
      <c r="B159" s="60"/>
      <c r="C159" s="61"/>
      <c r="D159" s="61"/>
      <c r="E159" s="60"/>
      <c r="F159" s="62" t="str">
        <f aca="false">IF($B159="","",IF(ISNUMBER(MATCH($B159,日別データ!$B$9:$B$28,0)),"✔ OK","⚠ 未登録"))</f>
        <v/>
      </c>
    </row>
    <row r="160" customFormat="false" ht="15" hidden="false" customHeight="false" outlineLevel="0" collapsed="false">
      <c r="A160" s="59"/>
      <c r="B160" s="60"/>
      <c r="C160" s="61"/>
      <c r="D160" s="61"/>
      <c r="E160" s="60"/>
      <c r="F160" s="62" t="str">
        <f aca="false">IF($B160="","",IF(ISNUMBER(MATCH($B160,日別データ!$B$9:$B$28,0)),"✔ OK","⚠ 未登録"))</f>
        <v/>
      </c>
    </row>
    <row r="161" customFormat="false" ht="15" hidden="false" customHeight="false" outlineLevel="0" collapsed="false">
      <c r="A161" s="59"/>
      <c r="B161" s="60"/>
      <c r="C161" s="61"/>
      <c r="D161" s="61"/>
      <c r="E161" s="60"/>
      <c r="F161" s="62" t="str">
        <f aca="false">IF($B161="","",IF(ISNUMBER(MATCH($B161,日別データ!$B$9:$B$28,0)),"✔ OK","⚠ 未登録"))</f>
        <v/>
      </c>
    </row>
    <row r="162" customFormat="false" ht="15" hidden="false" customHeight="false" outlineLevel="0" collapsed="false">
      <c r="A162" s="59"/>
      <c r="B162" s="60"/>
      <c r="C162" s="61"/>
      <c r="D162" s="61"/>
      <c r="E162" s="60"/>
      <c r="F162" s="62" t="str">
        <f aca="false">IF($B162="","",IF(ISNUMBER(MATCH($B162,日別データ!$B$9:$B$28,0)),"✔ OK","⚠ 未登録"))</f>
        <v/>
      </c>
    </row>
    <row r="163" customFormat="false" ht="15" hidden="false" customHeight="false" outlineLevel="0" collapsed="false">
      <c r="A163" s="59"/>
      <c r="B163" s="60"/>
      <c r="C163" s="61"/>
      <c r="D163" s="61"/>
      <c r="E163" s="60"/>
      <c r="F163" s="62" t="str">
        <f aca="false">IF($B163="","",IF(ISNUMBER(MATCH($B163,日別データ!$B$9:$B$28,0)),"✔ OK","⚠ 未登録"))</f>
        <v/>
      </c>
    </row>
    <row r="164" customFormat="false" ht="15" hidden="false" customHeight="false" outlineLevel="0" collapsed="false">
      <c r="A164" s="59"/>
      <c r="B164" s="60"/>
      <c r="C164" s="61"/>
      <c r="D164" s="61"/>
      <c r="E164" s="60"/>
      <c r="F164" s="62" t="str">
        <f aca="false">IF($B164="","",IF(ISNUMBER(MATCH($B164,日別データ!$B$9:$B$28,0)),"✔ OK","⚠ 未登録"))</f>
        <v/>
      </c>
    </row>
    <row r="165" customFormat="false" ht="15" hidden="false" customHeight="false" outlineLevel="0" collapsed="false">
      <c r="A165" s="59"/>
      <c r="B165" s="60"/>
      <c r="C165" s="61"/>
      <c r="D165" s="61"/>
      <c r="E165" s="60"/>
      <c r="F165" s="62" t="str">
        <f aca="false">IF($B165="","",IF(ISNUMBER(MATCH($B165,日別データ!$B$9:$B$28,0)),"✔ OK","⚠ 未登録"))</f>
        <v/>
      </c>
    </row>
    <row r="166" customFormat="false" ht="15" hidden="false" customHeight="false" outlineLevel="0" collapsed="false">
      <c r="A166" s="59"/>
      <c r="B166" s="60"/>
      <c r="C166" s="61"/>
      <c r="D166" s="61"/>
      <c r="E166" s="60"/>
      <c r="F166" s="62" t="str">
        <f aca="false">IF($B166="","",IF(ISNUMBER(MATCH($B166,日別データ!$B$9:$B$28,0)),"✔ OK","⚠ 未登録"))</f>
        <v/>
      </c>
    </row>
    <row r="167" customFormat="false" ht="15" hidden="false" customHeight="false" outlineLevel="0" collapsed="false">
      <c r="A167" s="59"/>
      <c r="B167" s="60"/>
      <c r="C167" s="61"/>
      <c r="D167" s="61"/>
      <c r="E167" s="60"/>
      <c r="F167" s="62" t="str">
        <f aca="false">IF($B167="","",IF(ISNUMBER(MATCH($B167,日別データ!$B$9:$B$28,0)),"✔ OK","⚠ 未登録"))</f>
        <v/>
      </c>
    </row>
    <row r="168" customFormat="false" ht="15" hidden="false" customHeight="false" outlineLevel="0" collapsed="false">
      <c r="A168" s="59"/>
      <c r="B168" s="60"/>
      <c r="C168" s="61"/>
      <c r="D168" s="61"/>
      <c r="E168" s="60"/>
      <c r="F168" s="62" t="str">
        <f aca="false">IF($B168="","",IF(ISNUMBER(MATCH($B168,日別データ!$B$9:$B$28,0)),"✔ OK","⚠ 未登録"))</f>
        <v/>
      </c>
    </row>
    <row r="169" customFormat="false" ht="15" hidden="false" customHeight="false" outlineLevel="0" collapsed="false">
      <c r="A169" s="59"/>
      <c r="B169" s="60"/>
      <c r="C169" s="61"/>
      <c r="D169" s="61"/>
      <c r="E169" s="60"/>
      <c r="F169" s="62" t="str">
        <f aca="false">IF($B169="","",IF(ISNUMBER(MATCH($B169,日別データ!$B$9:$B$28,0)),"✔ OK","⚠ 未登録"))</f>
        <v/>
      </c>
    </row>
    <row r="170" customFormat="false" ht="15" hidden="false" customHeight="false" outlineLevel="0" collapsed="false">
      <c r="A170" s="59"/>
      <c r="B170" s="60"/>
      <c r="C170" s="61"/>
      <c r="D170" s="61"/>
      <c r="E170" s="60"/>
      <c r="F170" s="62" t="str">
        <f aca="false">IF($B170="","",IF(ISNUMBER(MATCH($B170,日別データ!$B$9:$B$28,0)),"✔ OK","⚠ 未登録"))</f>
        <v/>
      </c>
    </row>
    <row r="171" customFormat="false" ht="15" hidden="false" customHeight="false" outlineLevel="0" collapsed="false">
      <c r="A171" s="59"/>
      <c r="B171" s="60"/>
      <c r="C171" s="61"/>
      <c r="D171" s="61"/>
      <c r="E171" s="60"/>
      <c r="F171" s="62" t="str">
        <f aca="false">IF($B171="","",IF(ISNUMBER(MATCH($B171,日別データ!$B$9:$B$28,0)),"✔ OK","⚠ 未登録"))</f>
        <v/>
      </c>
    </row>
    <row r="172" customFormat="false" ht="15" hidden="false" customHeight="false" outlineLevel="0" collapsed="false">
      <c r="A172" s="59"/>
      <c r="B172" s="60"/>
      <c r="C172" s="61"/>
      <c r="D172" s="61"/>
      <c r="E172" s="60"/>
      <c r="F172" s="62" t="str">
        <f aca="false">IF($B172="","",IF(ISNUMBER(MATCH($B172,日別データ!$B$9:$B$28,0)),"✔ OK","⚠ 未登録"))</f>
        <v/>
      </c>
    </row>
    <row r="173" customFormat="false" ht="15" hidden="false" customHeight="false" outlineLevel="0" collapsed="false">
      <c r="A173" s="59"/>
      <c r="B173" s="60"/>
      <c r="C173" s="61"/>
      <c r="D173" s="61"/>
      <c r="E173" s="60"/>
      <c r="F173" s="62" t="str">
        <f aca="false">IF($B173="","",IF(ISNUMBER(MATCH($B173,日別データ!$B$9:$B$28,0)),"✔ OK","⚠ 未登録"))</f>
        <v/>
      </c>
    </row>
    <row r="174" customFormat="false" ht="15" hidden="false" customHeight="false" outlineLevel="0" collapsed="false">
      <c r="A174" s="59"/>
      <c r="B174" s="60"/>
      <c r="C174" s="61"/>
      <c r="D174" s="61"/>
      <c r="E174" s="60"/>
      <c r="F174" s="62" t="str">
        <f aca="false">IF($B174="","",IF(ISNUMBER(MATCH($B174,日別データ!$B$9:$B$28,0)),"✔ OK","⚠ 未登録"))</f>
        <v/>
      </c>
    </row>
    <row r="175" customFormat="false" ht="15" hidden="false" customHeight="false" outlineLevel="0" collapsed="false">
      <c r="A175" s="59"/>
      <c r="B175" s="60"/>
      <c r="C175" s="61"/>
      <c r="D175" s="61"/>
      <c r="E175" s="60"/>
      <c r="F175" s="62" t="str">
        <f aca="false">IF($B175="","",IF(ISNUMBER(MATCH($B175,日別データ!$B$9:$B$28,0)),"✔ OK","⚠ 未登録"))</f>
        <v/>
      </c>
    </row>
    <row r="176" customFormat="false" ht="15" hidden="false" customHeight="false" outlineLevel="0" collapsed="false">
      <c r="A176" s="59"/>
      <c r="B176" s="60"/>
      <c r="C176" s="61"/>
      <c r="D176" s="61"/>
      <c r="E176" s="60"/>
      <c r="F176" s="62" t="str">
        <f aca="false">IF($B176="","",IF(ISNUMBER(MATCH($B176,日別データ!$B$9:$B$28,0)),"✔ OK","⚠ 未登録"))</f>
        <v/>
      </c>
    </row>
    <row r="177" customFormat="false" ht="15" hidden="false" customHeight="false" outlineLevel="0" collapsed="false">
      <c r="A177" s="59"/>
      <c r="B177" s="60"/>
      <c r="C177" s="61"/>
      <c r="D177" s="61"/>
      <c r="E177" s="60"/>
      <c r="F177" s="62" t="str">
        <f aca="false">IF($B177="","",IF(ISNUMBER(MATCH($B177,日別データ!$B$9:$B$28,0)),"✔ OK","⚠ 未登録"))</f>
        <v/>
      </c>
    </row>
    <row r="178" customFormat="false" ht="15" hidden="false" customHeight="false" outlineLevel="0" collapsed="false">
      <c r="A178" s="59"/>
      <c r="B178" s="60"/>
      <c r="C178" s="61"/>
      <c r="D178" s="61"/>
      <c r="E178" s="60"/>
      <c r="F178" s="62" t="str">
        <f aca="false">IF($B178="","",IF(ISNUMBER(MATCH($B178,日別データ!$B$9:$B$28,0)),"✔ OK","⚠ 未登録"))</f>
        <v/>
      </c>
    </row>
    <row r="179" customFormat="false" ht="15" hidden="false" customHeight="false" outlineLevel="0" collapsed="false">
      <c r="A179" s="59"/>
      <c r="B179" s="60"/>
      <c r="C179" s="61"/>
      <c r="D179" s="61"/>
      <c r="E179" s="60"/>
      <c r="F179" s="62" t="str">
        <f aca="false">IF($B179="","",IF(ISNUMBER(MATCH($B179,日別データ!$B$9:$B$28,0)),"✔ OK","⚠ 未登録"))</f>
        <v/>
      </c>
    </row>
    <row r="180" customFormat="false" ht="15" hidden="false" customHeight="false" outlineLevel="0" collapsed="false">
      <c r="A180" s="59"/>
      <c r="B180" s="60"/>
      <c r="C180" s="61"/>
      <c r="D180" s="61"/>
      <c r="E180" s="60"/>
      <c r="F180" s="62" t="str">
        <f aca="false">IF($B180="","",IF(ISNUMBER(MATCH($B180,日別データ!$B$9:$B$28,0)),"✔ OK","⚠ 未登録"))</f>
        <v/>
      </c>
    </row>
    <row r="181" customFormat="false" ht="15" hidden="false" customHeight="false" outlineLevel="0" collapsed="false">
      <c r="A181" s="59"/>
      <c r="B181" s="60"/>
      <c r="C181" s="61"/>
      <c r="D181" s="61"/>
      <c r="E181" s="60"/>
      <c r="F181" s="62" t="str">
        <f aca="false">IF($B181="","",IF(ISNUMBER(MATCH($B181,日別データ!$B$9:$B$28,0)),"✔ OK","⚠ 未登録"))</f>
        <v/>
      </c>
    </row>
    <row r="182" customFormat="false" ht="15" hidden="false" customHeight="false" outlineLevel="0" collapsed="false">
      <c r="A182" s="59"/>
      <c r="B182" s="60"/>
      <c r="C182" s="61"/>
      <c r="D182" s="61"/>
      <c r="E182" s="60"/>
      <c r="F182" s="62" t="str">
        <f aca="false">IF($B182="","",IF(ISNUMBER(MATCH($B182,日別データ!$B$9:$B$28,0)),"✔ OK","⚠ 未登録"))</f>
        <v/>
      </c>
    </row>
    <row r="183" customFormat="false" ht="15" hidden="false" customHeight="false" outlineLevel="0" collapsed="false">
      <c r="A183" s="59"/>
      <c r="B183" s="60"/>
      <c r="C183" s="61"/>
      <c r="D183" s="61"/>
      <c r="E183" s="60"/>
      <c r="F183" s="62" t="str">
        <f aca="false">IF($B183="","",IF(ISNUMBER(MATCH($B183,日別データ!$B$9:$B$28,0)),"✔ OK","⚠ 未登録"))</f>
        <v/>
      </c>
    </row>
    <row r="184" customFormat="false" ht="15" hidden="false" customHeight="false" outlineLevel="0" collapsed="false">
      <c r="A184" s="59"/>
      <c r="B184" s="60"/>
      <c r="C184" s="61"/>
      <c r="D184" s="61"/>
      <c r="E184" s="60"/>
      <c r="F184" s="62" t="str">
        <f aca="false">IF($B184="","",IF(ISNUMBER(MATCH($B184,日別データ!$B$9:$B$28,0)),"✔ OK","⚠ 未登録"))</f>
        <v/>
      </c>
    </row>
    <row r="185" customFormat="false" ht="15" hidden="false" customHeight="false" outlineLevel="0" collapsed="false">
      <c r="A185" s="59"/>
      <c r="B185" s="60"/>
      <c r="C185" s="61"/>
      <c r="D185" s="61"/>
      <c r="E185" s="60"/>
      <c r="F185" s="62" t="str">
        <f aca="false">IF($B185="","",IF(ISNUMBER(MATCH($B185,日別データ!$B$9:$B$28,0)),"✔ OK","⚠ 未登録"))</f>
        <v/>
      </c>
    </row>
    <row r="186" customFormat="false" ht="15" hidden="false" customHeight="false" outlineLevel="0" collapsed="false">
      <c r="A186" s="59"/>
      <c r="B186" s="60"/>
      <c r="C186" s="61"/>
      <c r="D186" s="61"/>
      <c r="E186" s="60"/>
      <c r="F186" s="62" t="str">
        <f aca="false">IF($B186="","",IF(ISNUMBER(MATCH($B186,日別データ!$B$9:$B$28,0)),"✔ OK","⚠ 未登録"))</f>
        <v/>
      </c>
    </row>
    <row r="187" customFormat="false" ht="15" hidden="false" customHeight="false" outlineLevel="0" collapsed="false">
      <c r="A187" s="59"/>
      <c r="B187" s="60"/>
      <c r="C187" s="61"/>
      <c r="D187" s="61"/>
      <c r="E187" s="60"/>
      <c r="F187" s="62" t="str">
        <f aca="false">IF($B187="","",IF(ISNUMBER(MATCH($B187,日別データ!$B$9:$B$28,0)),"✔ OK","⚠ 未登録"))</f>
        <v/>
      </c>
    </row>
    <row r="188" customFormat="false" ht="15" hidden="false" customHeight="false" outlineLevel="0" collapsed="false">
      <c r="A188" s="59"/>
      <c r="B188" s="60"/>
      <c r="C188" s="61"/>
      <c r="D188" s="61"/>
      <c r="E188" s="60"/>
      <c r="F188" s="62" t="str">
        <f aca="false">IF($B188="","",IF(ISNUMBER(MATCH($B188,日別データ!$B$9:$B$28,0)),"✔ OK","⚠ 未登録"))</f>
        <v/>
      </c>
    </row>
    <row r="189" customFormat="false" ht="15" hidden="false" customHeight="false" outlineLevel="0" collapsed="false">
      <c r="A189" s="59"/>
      <c r="B189" s="60"/>
      <c r="C189" s="61"/>
      <c r="D189" s="61"/>
      <c r="E189" s="60"/>
      <c r="F189" s="62" t="str">
        <f aca="false">IF($B189="","",IF(ISNUMBER(MATCH($B189,日別データ!$B$9:$B$28,0)),"✔ OK","⚠ 未登録"))</f>
        <v/>
      </c>
    </row>
    <row r="190" customFormat="false" ht="15" hidden="false" customHeight="false" outlineLevel="0" collapsed="false">
      <c r="A190" s="59"/>
      <c r="B190" s="60"/>
      <c r="C190" s="61"/>
      <c r="D190" s="61"/>
      <c r="E190" s="60"/>
      <c r="F190" s="62" t="str">
        <f aca="false">IF($B190="","",IF(ISNUMBER(MATCH($B190,日別データ!$B$9:$B$28,0)),"✔ OK","⚠ 未登録"))</f>
        <v/>
      </c>
    </row>
    <row r="191" customFormat="false" ht="15" hidden="false" customHeight="false" outlineLevel="0" collapsed="false">
      <c r="A191" s="59"/>
      <c r="B191" s="60"/>
      <c r="C191" s="61"/>
      <c r="D191" s="61"/>
      <c r="E191" s="60"/>
      <c r="F191" s="62" t="str">
        <f aca="false">IF($B191="","",IF(ISNUMBER(MATCH($B191,日別データ!$B$9:$B$28,0)),"✔ OK","⚠ 未登録"))</f>
        <v/>
      </c>
    </row>
    <row r="192" customFormat="false" ht="15" hidden="false" customHeight="false" outlineLevel="0" collapsed="false">
      <c r="A192" s="59"/>
      <c r="B192" s="60"/>
      <c r="C192" s="61"/>
      <c r="D192" s="61"/>
      <c r="E192" s="60"/>
      <c r="F192" s="62" t="str">
        <f aca="false">IF($B192="","",IF(ISNUMBER(MATCH($B192,日別データ!$B$9:$B$28,0)),"✔ OK","⚠ 未登録"))</f>
        <v/>
      </c>
    </row>
    <row r="193" customFormat="false" ht="15" hidden="false" customHeight="false" outlineLevel="0" collapsed="false">
      <c r="A193" s="59"/>
      <c r="B193" s="60"/>
      <c r="C193" s="61"/>
      <c r="D193" s="61"/>
      <c r="E193" s="60"/>
      <c r="F193" s="62" t="str">
        <f aca="false">IF($B193="","",IF(ISNUMBER(MATCH($B193,日別データ!$B$9:$B$28,0)),"✔ OK","⚠ 未登録"))</f>
        <v/>
      </c>
    </row>
    <row r="194" customFormat="false" ht="15" hidden="false" customHeight="false" outlineLevel="0" collapsed="false">
      <c r="A194" s="59"/>
      <c r="B194" s="60"/>
      <c r="C194" s="61"/>
      <c r="D194" s="61"/>
      <c r="E194" s="60"/>
      <c r="F194" s="62" t="str">
        <f aca="false">IF($B194="","",IF(ISNUMBER(MATCH($B194,日別データ!$B$9:$B$28,0)),"✔ OK","⚠ 未登録"))</f>
        <v/>
      </c>
    </row>
    <row r="195" customFormat="false" ht="15" hidden="false" customHeight="false" outlineLevel="0" collapsed="false">
      <c r="A195" s="59"/>
      <c r="B195" s="60"/>
      <c r="C195" s="61"/>
      <c r="D195" s="61"/>
      <c r="E195" s="60"/>
      <c r="F195" s="62" t="str">
        <f aca="false">IF($B195="","",IF(ISNUMBER(MATCH($B195,日別データ!$B$9:$B$28,0)),"✔ OK","⚠ 未登録"))</f>
        <v/>
      </c>
    </row>
    <row r="196" customFormat="false" ht="15" hidden="false" customHeight="false" outlineLevel="0" collapsed="false">
      <c r="A196" s="59"/>
      <c r="B196" s="60"/>
      <c r="C196" s="61"/>
      <c r="D196" s="61"/>
      <c r="E196" s="60"/>
      <c r="F196" s="62" t="str">
        <f aca="false">IF($B196="","",IF(ISNUMBER(MATCH($B196,日別データ!$B$9:$B$28,0)),"✔ OK","⚠ 未登録"))</f>
        <v/>
      </c>
    </row>
    <row r="197" customFormat="false" ht="15" hidden="false" customHeight="false" outlineLevel="0" collapsed="false">
      <c r="A197" s="59"/>
      <c r="B197" s="60"/>
      <c r="C197" s="61"/>
      <c r="D197" s="61"/>
      <c r="E197" s="60"/>
      <c r="F197" s="62" t="str">
        <f aca="false">IF($B197="","",IF(ISNUMBER(MATCH($B197,日別データ!$B$9:$B$28,0)),"✔ OK","⚠ 未登録"))</f>
        <v/>
      </c>
    </row>
    <row r="198" customFormat="false" ht="15" hidden="false" customHeight="false" outlineLevel="0" collapsed="false">
      <c r="A198" s="59"/>
      <c r="B198" s="60"/>
      <c r="C198" s="61"/>
      <c r="D198" s="61"/>
      <c r="E198" s="60"/>
      <c r="F198" s="62" t="str">
        <f aca="false">IF($B198="","",IF(ISNUMBER(MATCH($B198,日別データ!$B$9:$B$28,0)),"✔ OK","⚠ 未登録"))</f>
        <v/>
      </c>
    </row>
    <row r="199" customFormat="false" ht="15" hidden="false" customHeight="false" outlineLevel="0" collapsed="false">
      <c r="A199" s="59"/>
      <c r="B199" s="60"/>
      <c r="C199" s="61"/>
      <c r="D199" s="61"/>
      <c r="E199" s="60"/>
      <c r="F199" s="62" t="str">
        <f aca="false">IF($B199="","",IF(ISNUMBER(MATCH($B199,日別データ!$B$9:$B$28,0)),"✔ OK","⚠ 未登録"))</f>
        <v/>
      </c>
    </row>
    <row r="200" customFormat="false" ht="15" hidden="false" customHeight="false" outlineLevel="0" collapsed="false">
      <c r="A200" s="59"/>
      <c r="B200" s="60"/>
      <c r="C200" s="61"/>
      <c r="D200" s="61"/>
      <c r="E200" s="60"/>
      <c r="F200" s="62" t="str">
        <f aca="false">IF($B200="","",IF(ISNUMBER(MATCH($B200,日別データ!$B$9:$B$28,0)),"✔ OK","⚠ 未登録"))</f>
        <v/>
      </c>
    </row>
    <row r="201" customFormat="false" ht="15" hidden="false" customHeight="false" outlineLevel="0" collapsed="false">
      <c r="A201" s="59"/>
      <c r="B201" s="60"/>
      <c r="C201" s="61"/>
      <c r="D201" s="61"/>
      <c r="E201" s="60"/>
      <c r="F201" s="62" t="str">
        <f aca="false">IF($B201="","",IF(ISNUMBER(MATCH($B201,日別データ!$B$9:$B$28,0)),"✔ OK","⚠ 未登録"))</f>
        <v/>
      </c>
    </row>
    <row r="202" customFormat="false" ht="15" hidden="false" customHeight="false" outlineLevel="0" collapsed="false">
      <c r="A202" s="59"/>
      <c r="B202" s="60"/>
      <c r="C202" s="61"/>
      <c r="D202" s="61"/>
      <c r="E202" s="60"/>
      <c r="F202" s="62" t="str">
        <f aca="false">IF($B202="","",IF(ISNUMBER(MATCH($B202,日別データ!$B$9:$B$28,0)),"✔ OK","⚠ 未登録"))</f>
        <v/>
      </c>
    </row>
    <row r="203" customFormat="false" ht="15" hidden="false" customHeight="false" outlineLevel="0" collapsed="false">
      <c r="A203" s="59"/>
      <c r="B203" s="60"/>
      <c r="C203" s="61"/>
      <c r="D203" s="61"/>
      <c r="E203" s="60"/>
      <c r="F203" s="62" t="str">
        <f aca="false">IF($B203="","",IF(ISNUMBER(MATCH($B203,日別データ!$B$9:$B$28,0)),"✔ OK","⚠ 未登録"))</f>
        <v/>
      </c>
    </row>
    <row r="204" customFormat="false" ht="15" hidden="false" customHeight="false" outlineLevel="0" collapsed="false">
      <c r="A204" s="59"/>
      <c r="B204" s="60"/>
      <c r="C204" s="61"/>
      <c r="D204" s="61"/>
      <c r="E204" s="60"/>
      <c r="F204" s="62" t="str">
        <f aca="false">IF($B204="","",IF(ISNUMBER(MATCH($B204,日別データ!$B$9:$B$28,0)),"✔ OK","⚠ 未登録"))</f>
        <v/>
      </c>
    </row>
    <row r="205" customFormat="false" ht="15" hidden="false" customHeight="false" outlineLevel="0" collapsed="false">
      <c r="A205" s="59"/>
      <c r="B205" s="60"/>
      <c r="C205" s="61"/>
      <c r="D205" s="61"/>
      <c r="E205" s="60"/>
      <c r="F205" s="62" t="str">
        <f aca="false">IF($B205="","",IF(ISNUMBER(MATCH($B205,日別データ!$B$9:$B$28,0)),"✔ OK","⚠ 未登録"))</f>
        <v/>
      </c>
    </row>
    <row r="206" customFormat="false" ht="15" hidden="false" customHeight="false" outlineLevel="0" collapsed="false">
      <c r="A206" s="59"/>
      <c r="B206" s="60"/>
      <c r="C206" s="61"/>
      <c r="D206" s="61"/>
      <c r="E206" s="60"/>
      <c r="F206" s="62" t="str">
        <f aca="false">IF($B206="","",IF(ISNUMBER(MATCH($B206,日別データ!$B$9:$B$28,0)),"✔ OK","⚠ 未登録"))</f>
        <v/>
      </c>
    </row>
    <row r="207" customFormat="false" ht="15" hidden="false" customHeight="false" outlineLevel="0" collapsed="false">
      <c r="A207" s="59"/>
      <c r="B207" s="60"/>
      <c r="C207" s="61"/>
      <c r="D207" s="61"/>
      <c r="E207" s="60"/>
      <c r="F207" s="62" t="str">
        <f aca="false">IF($B207="","",IF(ISNUMBER(MATCH($B207,日別データ!$B$9:$B$28,0)),"✔ OK","⚠ 未登録"))</f>
        <v/>
      </c>
    </row>
    <row r="208" customFormat="false" ht="15" hidden="false" customHeight="false" outlineLevel="0" collapsed="false">
      <c r="A208" s="59"/>
      <c r="B208" s="60"/>
      <c r="C208" s="61"/>
      <c r="D208" s="61"/>
      <c r="E208" s="60"/>
      <c r="F208" s="62" t="str">
        <f aca="false">IF($B208="","",IF(ISNUMBER(MATCH($B208,日別データ!$B$9:$B$28,0)),"✔ OK","⚠ 未登録"))</f>
        <v/>
      </c>
    </row>
    <row r="209" customFormat="false" ht="15" hidden="false" customHeight="false" outlineLevel="0" collapsed="false">
      <c r="A209" s="59"/>
      <c r="B209" s="60"/>
      <c r="C209" s="61"/>
      <c r="D209" s="61"/>
      <c r="E209" s="60"/>
      <c r="F209" s="62" t="str">
        <f aca="false">IF($B209="","",IF(ISNUMBER(MATCH($B209,日別データ!$B$9:$B$28,0)),"✔ OK","⚠ 未登録"))</f>
        <v/>
      </c>
    </row>
    <row r="210" customFormat="false" ht="15" hidden="false" customHeight="false" outlineLevel="0" collapsed="false">
      <c r="A210" s="59"/>
      <c r="B210" s="60"/>
      <c r="C210" s="61"/>
      <c r="D210" s="61"/>
      <c r="E210" s="60"/>
      <c r="F210" s="62" t="str">
        <f aca="false">IF($B210="","",IF(ISNUMBER(MATCH($B210,日別データ!$B$9:$B$28,0)),"✔ OK","⚠ 未登録"))</f>
        <v/>
      </c>
    </row>
    <row r="211" customFormat="false" ht="15" hidden="false" customHeight="false" outlineLevel="0" collapsed="false">
      <c r="A211" s="59"/>
      <c r="B211" s="60"/>
      <c r="C211" s="61"/>
      <c r="D211" s="61"/>
      <c r="E211" s="60"/>
      <c r="F211" s="62" t="str">
        <f aca="false">IF($B211="","",IF(ISNUMBER(MATCH($B211,日別データ!$B$9:$B$28,0)),"✔ OK","⚠ 未登録"))</f>
        <v/>
      </c>
    </row>
    <row r="212" customFormat="false" ht="15" hidden="false" customHeight="false" outlineLevel="0" collapsed="false">
      <c r="A212" s="59"/>
      <c r="B212" s="60"/>
      <c r="C212" s="61"/>
      <c r="D212" s="61"/>
      <c r="E212" s="60"/>
      <c r="F212" s="62" t="str">
        <f aca="false">IF($B212="","",IF(ISNUMBER(MATCH($B212,日別データ!$B$9:$B$28,0)),"✔ OK","⚠ 未登録"))</f>
        <v/>
      </c>
    </row>
    <row r="213" customFormat="false" ht="15" hidden="false" customHeight="false" outlineLevel="0" collapsed="false">
      <c r="A213" s="59"/>
      <c r="B213" s="60"/>
      <c r="C213" s="61"/>
      <c r="D213" s="61"/>
      <c r="E213" s="60"/>
      <c r="F213" s="62" t="str">
        <f aca="false">IF($B213="","",IF(ISNUMBER(MATCH($B213,日別データ!$B$9:$B$28,0)),"✔ OK","⚠ 未登録"))</f>
        <v/>
      </c>
    </row>
    <row r="214" customFormat="false" ht="15" hidden="false" customHeight="false" outlineLevel="0" collapsed="false">
      <c r="A214" s="59"/>
      <c r="B214" s="60"/>
      <c r="C214" s="61"/>
      <c r="D214" s="61"/>
      <c r="E214" s="60"/>
      <c r="F214" s="62" t="str">
        <f aca="false">IF($B214="","",IF(ISNUMBER(MATCH($B214,日別データ!$B$9:$B$28,0)),"✔ OK","⚠ 未登録"))</f>
        <v/>
      </c>
    </row>
    <row r="215" customFormat="false" ht="15" hidden="false" customHeight="false" outlineLevel="0" collapsed="false">
      <c r="A215" s="59"/>
      <c r="B215" s="60"/>
      <c r="C215" s="61"/>
      <c r="D215" s="61"/>
      <c r="E215" s="60"/>
      <c r="F215" s="62" t="str">
        <f aca="false">IF($B215="","",IF(ISNUMBER(MATCH($B215,日別データ!$B$9:$B$28,0)),"✔ OK","⚠ 未登録"))</f>
        <v/>
      </c>
    </row>
    <row r="216" customFormat="false" ht="15" hidden="false" customHeight="false" outlineLevel="0" collapsed="false">
      <c r="A216" s="59"/>
      <c r="B216" s="60"/>
      <c r="C216" s="61"/>
      <c r="D216" s="61"/>
      <c r="E216" s="60"/>
      <c r="F216" s="62" t="str">
        <f aca="false">IF($B216="","",IF(ISNUMBER(MATCH($B216,日別データ!$B$9:$B$28,0)),"✔ OK","⚠ 未登録"))</f>
        <v/>
      </c>
    </row>
    <row r="217" customFormat="false" ht="15" hidden="false" customHeight="false" outlineLevel="0" collapsed="false">
      <c r="A217" s="59"/>
      <c r="B217" s="60"/>
      <c r="C217" s="61"/>
      <c r="D217" s="61"/>
      <c r="E217" s="60"/>
      <c r="F217" s="62" t="str">
        <f aca="false">IF($B217="","",IF(ISNUMBER(MATCH($B217,日別データ!$B$9:$B$28,0)),"✔ OK","⚠ 未登録"))</f>
        <v/>
      </c>
    </row>
    <row r="218" customFormat="false" ht="15" hidden="false" customHeight="false" outlineLevel="0" collapsed="false">
      <c r="A218" s="59"/>
      <c r="B218" s="60"/>
      <c r="C218" s="61"/>
      <c r="D218" s="61"/>
      <c r="E218" s="60"/>
      <c r="F218" s="62" t="str">
        <f aca="false">IF($B218="","",IF(ISNUMBER(MATCH($B218,日別データ!$B$9:$B$28,0)),"✔ OK","⚠ 未登録"))</f>
        <v/>
      </c>
    </row>
    <row r="219" customFormat="false" ht="15" hidden="false" customHeight="false" outlineLevel="0" collapsed="false">
      <c r="A219" s="59"/>
      <c r="B219" s="60"/>
      <c r="C219" s="61"/>
      <c r="D219" s="61"/>
      <c r="E219" s="60"/>
      <c r="F219" s="62" t="str">
        <f aca="false">IF($B219="","",IF(ISNUMBER(MATCH($B219,日別データ!$B$9:$B$28,0)),"✔ OK","⚠ 未登録"))</f>
        <v/>
      </c>
    </row>
    <row r="220" customFormat="false" ht="15" hidden="false" customHeight="false" outlineLevel="0" collapsed="false">
      <c r="A220" s="59"/>
      <c r="B220" s="60"/>
      <c r="C220" s="61"/>
      <c r="D220" s="61"/>
      <c r="E220" s="60"/>
      <c r="F220" s="62" t="str">
        <f aca="false">IF($B220="","",IF(ISNUMBER(MATCH($B220,日別データ!$B$9:$B$28,0)),"✔ OK","⚠ 未登録"))</f>
        <v/>
      </c>
    </row>
    <row r="221" customFormat="false" ht="15" hidden="false" customHeight="false" outlineLevel="0" collapsed="false">
      <c r="A221" s="59"/>
      <c r="B221" s="60"/>
      <c r="C221" s="61"/>
      <c r="D221" s="61"/>
      <c r="E221" s="60"/>
      <c r="F221" s="62" t="str">
        <f aca="false">IF($B221="","",IF(ISNUMBER(MATCH($B221,日別データ!$B$9:$B$28,0)),"✔ OK","⚠ 未登録"))</f>
        <v/>
      </c>
    </row>
    <row r="222" customFormat="false" ht="15" hidden="false" customHeight="false" outlineLevel="0" collapsed="false">
      <c r="A222" s="59"/>
      <c r="B222" s="60"/>
      <c r="C222" s="61"/>
      <c r="D222" s="61"/>
      <c r="E222" s="60"/>
      <c r="F222" s="62" t="str">
        <f aca="false">IF($B222="","",IF(ISNUMBER(MATCH($B222,日別データ!$B$9:$B$28,0)),"✔ OK","⚠ 未登録"))</f>
        <v/>
      </c>
    </row>
    <row r="223" customFormat="false" ht="15" hidden="false" customHeight="false" outlineLevel="0" collapsed="false">
      <c r="A223" s="59"/>
      <c r="B223" s="60"/>
      <c r="C223" s="61"/>
      <c r="D223" s="61"/>
      <c r="E223" s="60"/>
      <c r="F223" s="62" t="str">
        <f aca="false">IF($B223="","",IF(ISNUMBER(MATCH($B223,日別データ!$B$9:$B$28,0)),"✔ OK","⚠ 未登録"))</f>
        <v/>
      </c>
    </row>
    <row r="224" customFormat="false" ht="15" hidden="false" customHeight="false" outlineLevel="0" collapsed="false">
      <c r="A224" s="59"/>
      <c r="B224" s="60"/>
      <c r="C224" s="61"/>
      <c r="D224" s="61"/>
      <c r="E224" s="60"/>
      <c r="F224" s="62" t="str">
        <f aca="false">IF($B224="","",IF(ISNUMBER(MATCH($B224,日別データ!$B$9:$B$28,0)),"✔ OK","⚠ 未登録"))</f>
        <v/>
      </c>
    </row>
    <row r="225" customFormat="false" ht="15" hidden="false" customHeight="false" outlineLevel="0" collapsed="false">
      <c r="A225" s="59"/>
      <c r="B225" s="60"/>
      <c r="C225" s="61"/>
      <c r="D225" s="61"/>
      <c r="E225" s="60"/>
      <c r="F225" s="62" t="str">
        <f aca="false">IF($B225="","",IF(ISNUMBER(MATCH($B225,日別データ!$B$9:$B$28,0)),"✔ OK","⚠ 未登録"))</f>
        <v/>
      </c>
    </row>
    <row r="226" customFormat="false" ht="15" hidden="false" customHeight="false" outlineLevel="0" collapsed="false">
      <c r="A226" s="59"/>
      <c r="B226" s="60"/>
      <c r="C226" s="61"/>
      <c r="D226" s="61"/>
      <c r="E226" s="60"/>
      <c r="F226" s="62" t="str">
        <f aca="false">IF($B226="","",IF(ISNUMBER(MATCH($B226,日別データ!$B$9:$B$28,0)),"✔ OK","⚠ 未登録"))</f>
        <v/>
      </c>
    </row>
    <row r="227" customFormat="false" ht="15" hidden="false" customHeight="false" outlineLevel="0" collapsed="false">
      <c r="A227" s="59"/>
      <c r="B227" s="60"/>
      <c r="C227" s="61"/>
      <c r="D227" s="61"/>
      <c r="E227" s="60"/>
      <c r="F227" s="62" t="str">
        <f aca="false">IF($B227="","",IF(ISNUMBER(MATCH($B227,日別データ!$B$9:$B$28,0)),"✔ OK","⚠ 未登録"))</f>
        <v/>
      </c>
    </row>
    <row r="228" customFormat="false" ht="15" hidden="false" customHeight="false" outlineLevel="0" collapsed="false">
      <c r="A228" s="59"/>
      <c r="B228" s="60"/>
      <c r="C228" s="61"/>
      <c r="D228" s="61"/>
      <c r="E228" s="60"/>
      <c r="F228" s="62" t="str">
        <f aca="false">IF($B228="","",IF(ISNUMBER(MATCH($B228,日別データ!$B$9:$B$28,0)),"✔ OK","⚠ 未登録"))</f>
        <v/>
      </c>
    </row>
    <row r="229" customFormat="false" ht="15" hidden="false" customHeight="false" outlineLevel="0" collapsed="false">
      <c r="A229" s="59"/>
      <c r="B229" s="60"/>
      <c r="C229" s="61"/>
      <c r="D229" s="61"/>
      <c r="E229" s="60"/>
      <c r="F229" s="62" t="str">
        <f aca="false">IF($B229="","",IF(ISNUMBER(MATCH($B229,日別データ!$B$9:$B$28,0)),"✔ OK","⚠ 未登録"))</f>
        <v/>
      </c>
    </row>
    <row r="230" customFormat="false" ht="15" hidden="false" customHeight="false" outlineLevel="0" collapsed="false">
      <c r="A230" s="59"/>
      <c r="B230" s="60"/>
      <c r="C230" s="61"/>
      <c r="D230" s="61"/>
      <c r="E230" s="60"/>
      <c r="F230" s="62" t="str">
        <f aca="false">IF($B230="","",IF(ISNUMBER(MATCH($B230,日別データ!$B$9:$B$28,0)),"✔ OK","⚠ 未登録"))</f>
        <v/>
      </c>
    </row>
    <row r="231" customFormat="false" ht="15" hidden="false" customHeight="false" outlineLevel="0" collapsed="false">
      <c r="A231" s="59"/>
      <c r="B231" s="60"/>
      <c r="C231" s="61"/>
      <c r="D231" s="61"/>
      <c r="E231" s="60"/>
      <c r="F231" s="62" t="str">
        <f aca="false">IF($B231="","",IF(ISNUMBER(MATCH($B231,日別データ!$B$9:$B$28,0)),"✔ OK","⚠ 未登録"))</f>
        <v/>
      </c>
    </row>
    <row r="232" customFormat="false" ht="15" hidden="false" customHeight="false" outlineLevel="0" collapsed="false">
      <c r="A232" s="59"/>
      <c r="B232" s="60"/>
      <c r="C232" s="61"/>
      <c r="D232" s="61"/>
      <c r="E232" s="60"/>
      <c r="F232" s="62" t="str">
        <f aca="false">IF($B232="","",IF(ISNUMBER(MATCH($B232,日別データ!$B$9:$B$28,0)),"✔ OK","⚠ 未登録"))</f>
        <v/>
      </c>
    </row>
    <row r="233" customFormat="false" ht="15" hidden="false" customHeight="false" outlineLevel="0" collapsed="false">
      <c r="A233" s="59"/>
      <c r="B233" s="60"/>
      <c r="C233" s="61"/>
      <c r="D233" s="61"/>
      <c r="E233" s="60"/>
      <c r="F233" s="62" t="str">
        <f aca="false">IF($B233="","",IF(ISNUMBER(MATCH($B233,日別データ!$B$9:$B$28,0)),"✔ OK","⚠ 未登録"))</f>
        <v/>
      </c>
    </row>
    <row r="234" customFormat="false" ht="15" hidden="false" customHeight="false" outlineLevel="0" collapsed="false">
      <c r="A234" s="59"/>
      <c r="B234" s="60"/>
      <c r="C234" s="61"/>
      <c r="D234" s="61"/>
      <c r="E234" s="60"/>
      <c r="F234" s="62" t="str">
        <f aca="false">IF($B234="","",IF(ISNUMBER(MATCH($B234,日別データ!$B$9:$B$28,0)),"✔ OK","⚠ 未登録"))</f>
        <v/>
      </c>
    </row>
    <row r="235" customFormat="false" ht="15" hidden="false" customHeight="false" outlineLevel="0" collapsed="false">
      <c r="A235" s="59"/>
      <c r="B235" s="60"/>
      <c r="C235" s="61"/>
      <c r="D235" s="61"/>
      <c r="E235" s="60"/>
      <c r="F235" s="62" t="str">
        <f aca="false">IF($B235="","",IF(ISNUMBER(MATCH($B235,日別データ!$B$9:$B$28,0)),"✔ OK","⚠ 未登録"))</f>
        <v/>
      </c>
    </row>
    <row r="236" customFormat="false" ht="15" hidden="false" customHeight="false" outlineLevel="0" collapsed="false">
      <c r="A236" s="59"/>
      <c r="B236" s="60"/>
      <c r="C236" s="61"/>
      <c r="D236" s="61"/>
      <c r="E236" s="60"/>
      <c r="F236" s="62" t="str">
        <f aca="false">IF($B236="","",IF(ISNUMBER(MATCH($B236,日別データ!$B$9:$B$28,0)),"✔ OK","⚠ 未登録"))</f>
        <v/>
      </c>
    </row>
    <row r="237" customFormat="false" ht="15" hidden="false" customHeight="false" outlineLevel="0" collapsed="false">
      <c r="A237" s="59"/>
      <c r="B237" s="60"/>
      <c r="C237" s="61"/>
      <c r="D237" s="61"/>
      <c r="E237" s="60"/>
      <c r="F237" s="62" t="str">
        <f aca="false">IF($B237="","",IF(ISNUMBER(MATCH($B237,日別データ!$B$9:$B$28,0)),"✔ OK","⚠ 未登録"))</f>
        <v/>
      </c>
    </row>
    <row r="238" customFormat="false" ht="15" hidden="false" customHeight="false" outlineLevel="0" collapsed="false">
      <c r="A238" s="59"/>
      <c r="B238" s="60"/>
      <c r="C238" s="61"/>
      <c r="D238" s="61"/>
      <c r="E238" s="60"/>
      <c r="F238" s="62" t="str">
        <f aca="false">IF($B238="","",IF(ISNUMBER(MATCH($B238,日別データ!$B$9:$B$28,0)),"✔ OK","⚠ 未登録"))</f>
        <v/>
      </c>
    </row>
    <row r="239" customFormat="false" ht="15" hidden="false" customHeight="false" outlineLevel="0" collapsed="false">
      <c r="A239" s="59"/>
      <c r="B239" s="60"/>
      <c r="C239" s="61"/>
      <c r="D239" s="61"/>
      <c r="E239" s="60"/>
      <c r="F239" s="62" t="str">
        <f aca="false">IF($B239="","",IF(ISNUMBER(MATCH($B239,日別データ!$B$9:$B$28,0)),"✔ OK","⚠ 未登録"))</f>
        <v/>
      </c>
    </row>
    <row r="240" customFormat="false" ht="15" hidden="false" customHeight="false" outlineLevel="0" collapsed="false">
      <c r="A240" s="59"/>
      <c r="B240" s="60"/>
      <c r="C240" s="61"/>
      <c r="D240" s="61"/>
      <c r="E240" s="60"/>
      <c r="F240" s="62" t="str">
        <f aca="false">IF($B240="","",IF(ISNUMBER(MATCH($B240,日別データ!$B$9:$B$28,0)),"✔ OK","⚠ 未登録"))</f>
        <v/>
      </c>
    </row>
    <row r="241" customFormat="false" ht="15" hidden="false" customHeight="false" outlineLevel="0" collapsed="false">
      <c r="A241" s="59"/>
      <c r="B241" s="60"/>
      <c r="C241" s="61"/>
      <c r="D241" s="61"/>
      <c r="E241" s="60"/>
      <c r="F241" s="62" t="str">
        <f aca="false">IF($B241="","",IF(ISNUMBER(MATCH($B241,日別データ!$B$9:$B$28,0)),"✔ OK","⚠ 未登録"))</f>
        <v/>
      </c>
    </row>
    <row r="242" customFormat="false" ht="15" hidden="false" customHeight="false" outlineLevel="0" collapsed="false">
      <c r="A242" s="59"/>
      <c r="B242" s="60"/>
      <c r="C242" s="61"/>
      <c r="D242" s="61"/>
      <c r="E242" s="60"/>
      <c r="F242" s="62" t="str">
        <f aca="false">IF($B242="","",IF(ISNUMBER(MATCH($B242,日別データ!$B$9:$B$28,0)),"✔ OK","⚠ 未登録"))</f>
        <v/>
      </c>
    </row>
    <row r="243" customFormat="false" ht="15" hidden="false" customHeight="false" outlineLevel="0" collapsed="false">
      <c r="A243" s="59"/>
      <c r="B243" s="60"/>
      <c r="C243" s="61"/>
      <c r="D243" s="61"/>
      <c r="E243" s="60"/>
      <c r="F243" s="62" t="str">
        <f aca="false">IF($B243="","",IF(ISNUMBER(MATCH($B243,日別データ!$B$9:$B$28,0)),"✔ OK","⚠ 未登録"))</f>
        <v/>
      </c>
    </row>
    <row r="244" customFormat="false" ht="15" hidden="false" customHeight="false" outlineLevel="0" collapsed="false">
      <c r="A244" s="59"/>
      <c r="B244" s="60"/>
      <c r="C244" s="61"/>
      <c r="D244" s="61"/>
      <c r="E244" s="60"/>
      <c r="F244" s="62" t="str">
        <f aca="false">IF($B244="","",IF(ISNUMBER(MATCH($B244,日別データ!$B$9:$B$28,0)),"✔ OK","⚠ 未登録"))</f>
        <v/>
      </c>
    </row>
    <row r="245" customFormat="false" ht="15" hidden="false" customHeight="false" outlineLevel="0" collapsed="false">
      <c r="A245" s="59"/>
      <c r="B245" s="60"/>
      <c r="C245" s="61"/>
      <c r="D245" s="61"/>
      <c r="E245" s="60"/>
      <c r="F245" s="62" t="str">
        <f aca="false">IF($B245="","",IF(ISNUMBER(MATCH($B245,日別データ!$B$9:$B$28,0)),"✔ OK","⚠ 未登録"))</f>
        <v/>
      </c>
    </row>
    <row r="246" customFormat="false" ht="15" hidden="false" customHeight="false" outlineLevel="0" collapsed="false">
      <c r="A246" s="59"/>
      <c r="B246" s="60"/>
      <c r="C246" s="61"/>
      <c r="D246" s="61"/>
      <c r="E246" s="60"/>
      <c r="F246" s="62" t="str">
        <f aca="false">IF($B246="","",IF(ISNUMBER(MATCH($B246,日別データ!$B$9:$B$28,0)),"✔ OK","⚠ 未登録"))</f>
        <v/>
      </c>
    </row>
    <row r="247" customFormat="false" ht="15" hidden="false" customHeight="false" outlineLevel="0" collapsed="false">
      <c r="A247" s="59"/>
      <c r="B247" s="60"/>
      <c r="C247" s="61"/>
      <c r="D247" s="61"/>
      <c r="E247" s="60"/>
      <c r="F247" s="62" t="str">
        <f aca="false">IF($B247="","",IF(ISNUMBER(MATCH($B247,日別データ!$B$9:$B$28,0)),"✔ OK","⚠ 未登録"))</f>
        <v/>
      </c>
    </row>
    <row r="248" customFormat="false" ht="15" hidden="false" customHeight="false" outlineLevel="0" collapsed="false">
      <c r="A248" s="59"/>
      <c r="B248" s="60"/>
      <c r="C248" s="61"/>
      <c r="D248" s="61"/>
      <c r="E248" s="60"/>
      <c r="F248" s="62" t="str">
        <f aca="false">IF($B248="","",IF(ISNUMBER(MATCH($B248,日別データ!$B$9:$B$28,0)),"✔ OK","⚠ 未登録"))</f>
        <v/>
      </c>
    </row>
    <row r="249" customFormat="false" ht="15" hidden="false" customHeight="false" outlineLevel="0" collapsed="false">
      <c r="A249" s="59"/>
      <c r="B249" s="60"/>
      <c r="C249" s="61"/>
      <c r="D249" s="61"/>
      <c r="E249" s="60"/>
      <c r="F249" s="62" t="str">
        <f aca="false">IF($B249="","",IF(ISNUMBER(MATCH($B249,日別データ!$B$9:$B$28,0)),"✔ OK","⚠ 未登録"))</f>
        <v/>
      </c>
    </row>
    <row r="250" customFormat="false" ht="15" hidden="false" customHeight="false" outlineLevel="0" collapsed="false">
      <c r="A250" s="59"/>
      <c r="B250" s="60"/>
      <c r="C250" s="61"/>
      <c r="D250" s="61"/>
      <c r="E250" s="60"/>
      <c r="F250" s="62" t="str">
        <f aca="false">IF($B250="","",IF(ISNUMBER(MATCH($B250,日別データ!$B$9:$B$28,0)),"✔ OK","⚠ 未登録"))</f>
        <v/>
      </c>
    </row>
    <row r="251" customFormat="false" ht="15" hidden="false" customHeight="false" outlineLevel="0" collapsed="false">
      <c r="A251" s="59"/>
      <c r="B251" s="60"/>
      <c r="C251" s="61"/>
      <c r="D251" s="61"/>
      <c r="E251" s="60"/>
      <c r="F251" s="62" t="str">
        <f aca="false">IF($B251="","",IF(ISNUMBER(MATCH($B251,日別データ!$B$9:$B$28,0)),"✔ OK","⚠ 未登録"))</f>
        <v/>
      </c>
    </row>
    <row r="252" customFormat="false" ht="15" hidden="false" customHeight="false" outlineLevel="0" collapsed="false">
      <c r="A252" s="59"/>
      <c r="B252" s="60"/>
      <c r="C252" s="61"/>
      <c r="D252" s="61"/>
      <c r="E252" s="60"/>
      <c r="F252" s="62" t="str">
        <f aca="false">IF($B252="","",IF(ISNUMBER(MATCH($B252,日別データ!$B$9:$B$28,0)),"✔ OK","⚠ 未登録"))</f>
        <v/>
      </c>
    </row>
    <row r="253" customFormat="false" ht="15" hidden="false" customHeight="false" outlineLevel="0" collapsed="false">
      <c r="A253" s="59"/>
      <c r="B253" s="60"/>
      <c r="C253" s="61"/>
      <c r="D253" s="61"/>
      <c r="E253" s="60"/>
      <c r="F253" s="62" t="str">
        <f aca="false">IF($B253="","",IF(ISNUMBER(MATCH($B253,日別データ!$B$9:$B$28,0)),"✔ OK","⚠ 未登録"))</f>
        <v/>
      </c>
    </row>
    <row r="254" customFormat="false" ht="15" hidden="false" customHeight="false" outlineLevel="0" collapsed="false">
      <c r="A254" s="59"/>
      <c r="B254" s="60"/>
      <c r="C254" s="61"/>
      <c r="D254" s="61"/>
      <c r="E254" s="60"/>
      <c r="F254" s="62" t="str">
        <f aca="false">IF($B254="","",IF(ISNUMBER(MATCH($B254,日別データ!$B$9:$B$28,0)),"✔ OK","⚠ 未登録"))</f>
        <v/>
      </c>
    </row>
    <row r="255" customFormat="false" ht="15" hidden="false" customHeight="false" outlineLevel="0" collapsed="false">
      <c r="A255" s="59"/>
      <c r="B255" s="60"/>
      <c r="C255" s="61"/>
      <c r="D255" s="61"/>
      <c r="E255" s="60"/>
      <c r="F255" s="62" t="str">
        <f aca="false">IF($B255="","",IF(ISNUMBER(MATCH($B255,日別データ!$B$9:$B$28,0)),"✔ OK","⚠ 未登録"))</f>
        <v/>
      </c>
    </row>
    <row r="256" customFormat="false" ht="15" hidden="false" customHeight="false" outlineLevel="0" collapsed="false">
      <c r="A256" s="59"/>
      <c r="B256" s="60"/>
      <c r="C256" s="61"/>
      <c r="D256" s="61"/>
      <c r="E256" s="60"/>
      <c r="F256" s="62" t="str">
        <f aca="false">IF($B256="","",IF(ISNUMBER(MATCH($B256,日別データ!$B$9:$B$28,0)),"✔ OK","⚠ 未登録"))</f>
        <v/>
      </c>
    </row>
    <row r="257" customFormat="false" ht="15" hidden="false" customHeight="false" outlineLevel="0" collapsed="false">
      <c r="A257" s="59"/>
      <c r="B257" s="60"/>
      <c r="C257" s="61"/>
      <c r="D257" s="61"/>
      <c r="E257" s="60"/>
      <c r="F257" s="62" t="str">
        <f aca="false">IF($B257="","",IF(ISNUMBER(MATCH($B257,日別データ!$B$9:$B$28,0)),"✔ OK","⚠ 未登録"))</f>
        <v/>
      </c>
    </row>
    <row r="258" customFormat="false" ht="15" hidden="false" customHeight="false" outlineLevel="0" collapsed="false">
      <c r="A258" s="59"/>
      <c r="B258" s="60"/>
      <c r="C258" s="61"/>
      <c r="D258" s="61"/>
      <c r="E258" s="60"/>
      <c r="F258" s="62" t="str">
        <f aca="false">IF($B258="","",IF(ISNUMBER(MATCH($B258,日別データ!$B$9:$B$28,0)),"✔ OK","⚠ 未登録"))</f>
        <v/>
      </c>
    </row>
    <row r="259" customFormat="false" ht="15" hidden="false" customHeight="false" outlineLevel="0" collapsed="false">
      <c r="A259" s="59"/>
      <c r="B259" s="60"/>
      <c r="C259" s="61"/>
      <c r="D259" s="61"/>
      <c r="E259" s="60"/>
      <c r="F259" s="62" t="str">
        <f aca="false">IF($B259="","",IF(ISNUMBER(MATCH($B259,日別データ!$B$9:$B$28,0)),"✔ OK","⚠ 未登録"))</f>
        <v/>
      </c>
    </row>
    <row r="260" customFormat="false" ht="15" hidden="false" customHeight="false" outlineLevel="0" collapsed="false">
      <c r="A260" s="59"/>
      <c r="B260" s="60"/>
      <c r="C260" s="61"/>
      <c r="D260" s="61"/>
      <c r="E260" s="60"/>
      <c r="F260" s="62" t="str">
        <f aca="false">IF($B260="","",IF(ISNUMBER(MATCH($B260,日別データ!$B$9:$B$28,0)),"✔ OK","⚠ 未登録"))</f>
        <v/>
      </c>
    </row>
    <row r="261" customFormat="false" ht="15" hidden="false" customHeight="false" outlineLevel="0" collapsed="false">
      <c r="A261" s="59"/>
      <c r="B261" s="60"/>
      <c r="C261" s="61"/>
      <c r="D261" s="61"/>
      <c r="E261" s="60"/>
      <c r="F261" s="62" t="str">
        <f aca="false">IF($B261="","",IF(ISNUMBER(MATCH($B261,日別データ!$B$9:$B$28,0)),"✔ OK","⚠ 未登録"))</f>
        <v/>
      </c>
    </row>
    <row r="262" customFormat="false" ht="15" hidden="false" customHeight="false" outlineLevel="0" collapsed="false">
      <c r="A262" s="59"/>
      <c r="B262" s="60"/>
      <c r="C262" s="61"/>
      <c r="D262" s="61"/>
      <c r="E262" s="60"/>
      <c r="F262" s="62" t="str">
        <f aca="false">IF($B262="","",IF(ISNUMBER(MATCH($B262,日別データ!$B$9:$B$28,0)),"✔ OK","⚠ 未登録"))</f>
        <v/>
      </c>
    </row>
    <row r="263" customFormat="false" ht="15" hidden="false" customHeight="false" outlineLevel="0" collapsed="false">
      <c r="A263" s="59"/>
      <c r="B263" s="60"/>
      <c r="C263" s="61"/>
      <c r="D263" s="61"/>
      <c r="E263" s="60"/>
      <c r="F263" s="62" t="str">
        <f aca="false">IF($B263="","",IF(ISNUMBER(MATCH($B263,日別データ!$B$9:$B$28,0)),"✔ OK","⚠ 未登録"))</f>
        <v/>
      </c>
    </row>
    <row r="264" customFormat="false" ht="15" hidden="false" customHeight="false" outlineLevel="0" collapsed="false">
      <c r="A264" s="59"/>
      <c r="B264" s="60"/>
      <c r="C264" s="61"/>
      <c r="D264" s="61"/>
      <c r="E264" s="60"/>
      <c r="F264" s="62" t="str">
        <f aca="false">IF($B264="","",IF(ISNUMBER(MATCH($B264,日別データ!$B$9:$B$28,0)),"✔ OK","⚠ 未登録"))</f>
        <v/>
      </c>
    </row>
    <row r="265" customFormat="false" ht="15" hidden="false" customHeight="false" outlineLevel="0" collapsed="false">
      <c r="A265" s="59"/>
      <c r="B265" s="60"/>
      <c r="C265" s="61"/>
      <c r="D265" s="61"/>
      <c r="E265" s="60"/>
      <c r="F265" s="62" t="str">
        <f aca="false">IF($B265="","",IF(ISNUMBER(MATCH($B265,日別データ!$B$9:$B$28,0)),"✔ OK","⚠ 未登録"))</f>
        <v/>
      </c>
    </row>
    <row r="266" customFormat="false" ht="15" hidden="false" customHeight="false" outlineLevel="0" collapsed="false">
      <c r="A266" s="59"/>
      <c r="B266" s="60"/>
      <c r="C266" s="61"/>
      <c r="D266" s="61"/>
      <c r="E266" s="60"/>
      <c r="F266" s="62" t="str">
        <f aca="false">IF($B266="","",IF(ISNUMBER(MATCH($B266,日別データ!$B$9:$B$28,0)),"✔ OK","⚠ 未登録"))</f>
        <v/>
      </c>
    </row>
    <row r="267" customFormat="false" ht="15" hidden="false" customHeight="false" outlineLevel="0" collapsed="false">
      <c r="A267" s="59"/>
      <c r="B267" s="60"/>
      <c r="C267" s="61"/>
      <c r="D267" s="61"/>
      <c r="E267" s="60"/>
      <c r="F267" s="62" t="str">
        <f aca="false">IF($B267="","",IF(ISNUMBER(MATCH($B267,日別データ!$B$9:$B$28,0)),"✔ OK","⚠ 未登録"))</f>
        <v/>
      </c>
    </row>
    <row r="268" customFormat="false" ht="15" hidden="false" customHeight="false" outlineLevel="0" collapsed="false">
      <c r="A268" s="59"/>
      <c r="B268" s="60"/>
      <c r="C268" s="61"/>
      <c r="D268" s="61"/>
      <c r="E268" s="60"/>
      <c r="F268" s="62" t="str">
        <f aca="false">IF($B268="","",IF(ISNUMBER(MATCH($B268,日別データ!$B$9:$B$28,0)),"✔ OK","⚠ 未登録"))</f>
        <v/>
      </c>
    </row>
    <row r="269" customFormat="false" ht="15" hidden="false" customHeight="false" outlineLevel="0" collapsed="false">
      <c r="A269" s="59"/>
      <c r="B269" s="60"/>
      <c r="C269" s="61"/>
      <c r="D269" s="61"/>
      <c r="E269" s="60"/>
      <c r="F269" s="62" t="str">
        <f aca="false">IF($B269="","",IF(ISNUMBER(MATCH($B269,日別データ!$B$9:$B$28,0)),"✔ OK","⚠ 未登録"))</f>
        <v/>
      </c>
    </row>
    <row r="270" customFormat="false" ht="15" hidden="false" customHeight="false" outlineLevel="0" collapsed="false">
      <c r="A270" s="59"/>
      <c r="B270" s="60"/>
      <c r="C270" s="61"/>
      <c r="D270" s="61"/>
      <c r="E270" s="60"/>
      <c r="F270" s="62" t="str">
        <f aca="false">IF($B270="","",IF(ISNUMBER(MATCH($B270,日別データ!$B$9:$B$28,0)),"✔ OK","⚠ 未登録"))</f>
        <v/>
      </c>
    </row>
    <row r="271" customFormat="false" ht="15" hidden="false" customHeight="false" outlineLevel="0" collapsed="false">
      <c r="A271" s="59"/>
      <c r="B271" s="60"/>
      <c r="C271" s="61"/>
      <c r="D271" s="61"/>
      <c r="E271" s="60"/>
      <c r="F271" s="62" t="str">
        <f aca="false">IF($B271="","",IF(ISNUMBER(MATCH($B271,日別データ!$B$9:$B$28,0)),"✔ OK","⚠ 未登録"))</f>
        <v/>
      </c>
    </row>
    <row r="272" customFormat="false" ht="15" hidden="false" customHeight="false" outlineLevel="0" collapsed="false">
      <c r="A272" s="59"/>
      <c r="B272" s="60"/>
      <c r="C272" s="61"/>
      <c r="D272" s="61"/>
      <c r="E272" s="60"/>
      <c r="F272" s="62" t="str">
        <f aca="false">IF($B272="","",IF(ISNUMBER(MATCH($B272,日別データ!$B$9:$B$28,0)),"✔ OK","⚠ 未登録"))</f>
        <v/>
      </c>
    </row>
    <row r="273" customFormat="false" ht="15" hidden="false" customHeight="false" outlineLevel="0" collapsed="false">
      <c r="A273" s="59"/>
      <c r="B273" s="60"/>
      <c r="C273" s="61"/>
      <c r="D273" s="61"/>
      <c r="E273" s="60"/>
      <c r="F273" s="62" t="str">
        <f aca="false">IF($B273="","",IF(ISNUMBER(MATCH($B273,日別データ!$B$9:$B$28,0)),"✔ OK","⚠ 未登録"))</f>
        <v/>
      </c>
    </row>
    <row r="274" customFormat="false" ht="15" hidden="false" customHeight="false" outlineLevel="0" collapsed="false">
      <c r="A274" s="59"/>
      <c r="B274" s="60"/>
      <c r="C274" s="61"/>
      <c r="D274" s="61"/>
      <c r="E274" s="60"/>
      <c r="F274" s="62" t="str">
        <f aca="false">IF($B274="","",IF(ISNUMBER(MATCH($B274,日別データ!$B$9:$B$28,0)),"✔ OK","⚠ 未登録"))</f>
        <v/>
      </c>
    </row>
    <row r="275" customFormat="false" ht="15" hidden="false" customHeight="false" outlineLevel="0" collapsed="false">
      <c r="A275" s="59"/>
      <c r="B275" s="60"/>
      <c r="C275" s="61"/>
      <c r="D275" s="61"/>
      <c r="E275" s="60"/>
      <c r="F275" s="62" t="str">
        <f aca="false">IF($B275="","",IF(ISNUMBER(MATCH($B275,日別データ!$B$9:$B$28,0)),"✔ OK","⚠ 未登録"))</f>
        <v/>
      </c>
    </row>
    <row r="276" customFormat="false" ht="15" hidden="false" customHeight="false" outlineLevel="0" collapsed="false">
      <c r="A276" s="59"/>
      <c r="B276" s="60"/>
      <c r="C276" s="61"/>
      <c r="D276" s="61"/>
      <c r="E276" s="60"/>
      <c r="F276" s="62" t="str">
        <f aca="false">IF($B276="","",IF(ISNUMBER(MATCH($B276,日別データ!$B$9:$B$28,0)),"✔ OK","⚠ 未登録"))</f>
        <v/>
      </c>
    </row>
    <row r="277" customFormat="false" ht="15" hidden="false" customHeight="false" outlineLevel="0" collapsed="false">
      <c r="A277" s="59"/>
      <c r="B277" s="60"/>
      <c r="C277" s="61"/>
      <c r="D277" s="61"/>
      <c r="E277" s="60"/>
      <c r="F277" s="62" t="str">
        <f aca="false">IF($B277="","",IF(ISNUMBER(MATCH($B277,日別データ!$B$9:$B$28,0)),"✔ OK","⚠ 未登録"))</f>
        <v/>
      </c>
    </row>
    <row r="278" customFormat="false" ht="15" hidden="false" customHeight="false" outlineLevel="0" collapsed="false">
      <c r="A278" s="59"/>
      <c r="B278" s="60"/>
      <c r="C278" s="61"/>
      <c r="D278" s="61"/>
      <c r="E278" s="60"/>
      <c r="F278" s="62" t="str">
        <f aca="false">IF($B278="","",IF(ISNUMBER(MATCH($B278,日別データ!$B$9:$B$28,0)),"✔ OK","⚠ 未登録"))</f>
        <v/>
      </c>
    </row>
    <row r="279" customFormat="false" ht="15" hidden="false" customHeight="false" outlineLevel="0" collapsed="false">
      <c r="A279" s="59"/>
      <c r="B279" s="60"/>
      <c r="C279" s="61"/>
      <c r="D279" s="61"/>
      <c r="E279" s="60"/>
      <c r="F279" s="62" t="str">
        <f aca="false">IF($B279="","",IF(ISNUMBER(MATCH($B279,日別データ!$B$9:$B$28,0)),"✔ OK","⚠ 未登録"))</f>
        <v/>
      </c>
    </row>
    <row r="280" customFormat="false" ht="15" hidden="false" customHeight="false" outlineLevel="0" collapsed="false">
      <c r="A280" s="59"/>
      <c r="B280" s="60"/>
      <c r="C280" s="61"/>
      <c r="D280" s="61"/>
      <c r="E280" s="60"/>
      <c r="F280" s="62" t="str">
        <f aca="false">IF($B280="","",IF(ISNUMBER(MATCH($B280,日別データ!$B$9:$B$28,0)),"✔ OK","⚠ 未登録"))</f>
        <v/>
      </c>
    </row>
    <row r="281" customFormat="false" ht="15" hidden="false" customHeight="false" outlineLevel="0" collapsed="false">
      <c r="A281" s="59"/>
      <c r="B281" s="60"/>
      <c r="C281" s="61"/>
      <c r="D281" s="61"/>
      <c r="E281" s="60"/>
      <c r="F281" s="62" t="str">
        <f aca="false">IF($B281="","",IF(ISNUMBER(MATCH($B281,日別データ!$B$9:$B$28,0)),"✔ OK","⚠ 未登録"))</f>
        <v/>
      </c>
    </row>
    <row r="282" customFormat="false" ht="15" hidden="false" customHeight="false" outlineLevel="0" collapsed="false">
      <c r="A282" s="59"/>
      <c r="B282" s="60"/>
      <c r="C282" s="61"/>
      <c r="D282" s="61"/>
      <c r="E282" s="60"/>
      <c r="F282" s="62" t="str">
        <f aca="false">IF($B282="","",IF(ISNUMBER(MATCH($B282,日別データ!$B$9:$B$28,0)),"✔ OK","⚠ 未登録"))</f>
        <v/>
      </c>
    </row>
    <row r="283" customFormat="false" ht="15" hidden="false" customHeight="false" outlineLevel="0" collapsed="false">
      <c r="A283" s="59"/>
      <c r="B283" s="60"/>
      <c r="C283" s="61"/>
      <c r="D283" s="61"/>
      <c r="E283" s="60"/>
      <c r="F283" s="62" t="str">
        <f aca="false">IF($B283="","",IF(ISNUMBER(MATCH($B283,日別データ!$B$9:$B$28,0)),"✔ OK","⚠ 未登録"))</f>
        <v/>
      </c>
    </row>
    <row r="284" customFormat="false" ht="15" hidden="false" customHeight="false" outlineLevel="0" collapsed="false">
      <c r="A284" s="59"/>
      <c r="B284" s="60"/>
      <c r="C284" s="61"/>
      <c r="D284" s="61"/>
      <c r="E284" s="60"/>
      <c r="F284" s="62" t="str">
        <f aca="false">IF($B284="","",IF(ISNUMBER(MATCH($B284,日別データ!$B$9:$B$28,0)),"✔ OK","⚠ 未登録"))</f>
        <v/>
      </c>
    </row>
    <row r="285" customFormat="false" ht="15" hidden="false" customHeight="false" outlineLevel="0" collapsed="false">
      <c r="A285" s="59"/>
      <c r="B285" s="60"/>
      <c r="C285" s="61"/>
      <c r="D285" s="61"/>
      <c r="E285" s="60"/>
      <c r="F285" s="62" t="str">
        <f aca="false">IF($B285="","",IF(ISNUMBER(MATCH($B285,日別データ!$B$9:$B$28,0)),"✔ OK","⚠ 未登録"))</f>
        <v/>
      </c>
    </row>
    <row r="286" customFormat="false" ht="15" hidden="false" customHeight="false" outlineLevel="0" collapsed="false">
      <c r="A286" s="59"/>
      <c r="B286" s="60"/>
      <c r="C286" s="61"/>
      <c r="D286" s="61"/>
      <c r="E286" s="60"/>
      <c r="F286" s="62" t="str">
        <f aca="false">IF($B286="","",IF(ISNUMBER(MATCH($B286,日別データ!$B$9:$B$28,0)),"✔ OK","⚠ 未登録"))</f>
        <v/>
      </c>
    </row>
    <row r="287" customFormat="false" ht="15" hidden="false" customHeight="false" outlineLevel="0" collapsed="false">
      <c r="A287" s="59"/>
      <c r="B287" s="60"/>
      <c r="C287" s="61"/>
      <c r="D287" s="61"/>
      <c r="E287" s="60"/>
      <c r="F287" s="62" t="str">
        <f aca="false">IF($B287="","",IF(ISNUMBER(MATCH($B287,日別データ!$B$9:$B$28,0)),"✔ OK","⚠ 未登録"))</f>
        <v/>
      </c>
    </row>
    <row r="288" customFormat="false" ht="15" hidden="false" customHeight="false" outlineLevel="0" collapsed="false">
      <c r="A288" s="59"/>
      <c r="B288" s="60"/>
      <c r="C288" s="61"/>
      <c r="D288" s="61"/>
      <c r="E288" s="60"/>
      <c r="F288" s="62" t="str">
        <f aca="false">IF($B288="","",IF(ISNUMBER(MATCH($B288,日別データ!$B$9:$B$28,0)),"✔ OK","⚠ 未登録"))</f>
        <v/>
      </c>
    </row>
    <row r="289" customFormat="false" ht="15" hidden="false" customHeight="false" outlineLevel="0" collapsed="false">
      <c r="A289" s="59"/>
      <c r="B289" s="60"/>
      <c r="C289" s="61"/>
      <c r="D289" s="61"/>
      <c r="E289" s="60"/>
      <c r="F289" s="62" t="str">
        <f aca="false">IF($B289="","",IF(ISNUMBER(MATCH($B289,日別データ!$B$9:$B$28,0)),"✔ OK","⚠ 未登録"))</f>
        <v/>
      </c>
    </row>
    <row r="290" customFormat="false" ht="15" hidden="false" customHeight="false" outlineLevel="0" collapsed="false">
      <c r="A290" s="59"/>
      <c r="B290" s="60"/>
      <c r="C290" s="61"/>
      <c r="D290" s="61"/>
      <c r="E290" s="60"/>
      <c r="F290" s="62" t="str">
        <f aca="false">IF($B290="","",IF(ISNUMBER(MATCH($B290,日別データ!$B$9:$B$28,0)),"✔ OK","⚠ 未登録"))</f>
        <v/>
      </c>
    </row>
    <row r="291" customFormat="false" ht="15" hidden="false" customHeight="false" outlineLevel="0" collapsed="false">
      <c r="A291" s="59"/>
      <c r="B291" s="60"/>
      <c r="C291" s="61"/>
      <c r="D291" s="61"/>
      <c r="E291" s="60"/>
      <c r="F291" s="62" t="str">
        <f aca="false">IF($B291="","",IF(ISNUMBER(MATCH($B291,日別データ!$B$9:$B$28,0)),"✔ OK","⚠ 未登録"))</f>
        <v/>
      </c>
    </row>
    <row r="292" customFormat="false" ht="15" hidden="false" customHeight="false" outlineLevel="0" collapsed="false">
      <c r="A292" s="59"/>
      <c r="B292" s="60"/>
      <c r="C292" s="61"/>
      <c r="D292" s="61"/>
      <c r="E292" s="60"/>
      <c r="F292" s="62" t="str">
        <f aca="false">IF($B292="","",IF(ISNUMBER(MATCH($B292,日別データ!$B$9:$B$28,0)),"✔ OK","⚠ 未登録"))</f>
        <v/>
      </c>
    </row>
    <row r="293" customFormat="false" ht="15" hidden="false" customHeight="false" outlineLevel="0" collapsed="false">
      <c r="A293" s="59"/>
      <c r="B293" s="60"/>
      <c r="C293" s="61"/>
      <c r="D293" s="61"/>
      <c r="E293" s="60"/>
      <c r="F293" s="62" t="str">
        <f aca="false">IF($B293="","",IF(ISNUMBER(MATCH($B293,日別データ!$B$9:$B$28,0)),"✔ OK","⚠ 未登録"))</f>
        <v/>
      </c>
    </row>
    <row r="294" customFormat="false" ht="15" hidden="false" customHeight="false" outlineLevel="0" collapsed="false">
      <c r="A294" s="59"/>
      <c r="B294" s="60"/>
      <c r="C294" s="61"/>
      <c r="D294" s="61"/>
      <c r="E294" s="60"/>
      <c r="F294" s="62" t="str">
        <f aca="false">IF($B294="","",IF(ISNUMBER(MATCH($B294,日別データ!$B$9:$B$28,0)),"✔ OK","⚠ 未登録"))</f>
        <v/>
      </c>
    </row>
    <row r="295" customFormat="false" ht="15" hidden="false" customHeight="false" outlineLevel="0" collapsed="false">
      <c r="A295" s="59"/>
      <c r="B295" s="60"/>
      <c r="C295" s="61"/>
      <c r="D295" s="61"/>
      <c r="E295" s="60"/>
      <c r="F295" s="62" t="str">
        <f aca="false">IF($B295="","",IF(ISNUMBER(MATCH($B295,日別データ!$B$9:$B$28,0)),"✔ OK","⚠ 未登録"))</f>
        <v/>
      </c>
    </row>
    <row r="296" customFormat="false" ht="15" hidden="false" customHeight="false" outlineLevel="0" collapsed="false">
      <c r="A296" s="59"/>
      <c r="B296" s="60"/>
      <c r="C296" s="61"/>
      <c r="D296" s="61"/>
      <c r="E296" s="60"/>
      <c r="F296" s="62" t="str">
        <f aca="false">IF($B296="","",IF(ISNUMBER(MATCH($B296,日別データ!$B$9:$B$28,0)),"✔ OK","⚠ 未登録"))</f>
        <v/>
      </c>
    </row>
    <row r="297" customFormat="false" ht="15" hidden="false" customHeight="false" outlineLevel="0" collapsed="false">
      <c r="A297" s="59"/>
      <c r="B297" s="60"/>
      <c r="C297" s="61"/>
      <c r="D297" s="61"/>
      <c r="E297" s="60"/>
      <c r="F297" s="62" t="str">
        <f aca="false">IF($B297="","",IF(ISNUMBER(MATCH($B297,日別データ!$B$9:$B$28,0)),"✔ OK","⚠ 未登録"))</f>
        <v/>
      </c>
    </row>
    <row r="298" customFormat="false" ht="15" hidden="false" customHeight="false" outlineLevel="0" collapsed="false">
      <c r="A298" s="59"/>
      <c r="B298" s="60"/>
      <c r="C298" s="61"/>
      <c r="D298" s="61"/>
      <c r="E298" s="60"/>
      <c r="F298" s="62" t="str">
        <f aca="false">IF($B298="","",IF(ISNUMBER(MATCH($B298,日別データ!$B$9:$B$28,0)),"✔ OK","⚠ 未登録"))</f>
        <v/>
      </c>
    </row>
    <row r="299" customFormat="false" ht="15" hidden="false" customHeight="false" outlineLevel="0" collapsed="false">
      <c r="A299" s="59"/>
      <c r="B299" s="60"/>
      <c r="C299" s="61"/>
      <c r="D299" s="61"/>
      <c r="E299" s="60"/>
      <c r="F299" s="62" t="str">
        <f aca="false">IF($B299="","",IF(ISNUMBER(MATCH($B299,日別データ!$B$9:$B$28,0)),"✔ OK","⚠ 未登録"))</f>
        <v/>
      </c>
    </row>
    <row r="300" customFormat="false" ht="15" hidden="false" customHeight="false" outlineLevel="0" collapsed="false">
      <c r="A300" s="59"/>
      <c r="B300" s="60"/>
      <c r="C300" s="61"/>
      <c r="D300" s="61"/>
      <c r="E300" s="60"/>
      <c r="F300" s="62" t="str">
        <f aca="false">IF($B300="","",IF(ISNUMBER(MATCH($B300,日別データ!$B$9:$B$28,0)),"✔ OK","⚠ 未登録"))</f>
        <v/>
      </c>
    </row>
    <row r="301" customFormat="false" ht="15" hidden="false" customHeight="false" outlineLevel="0" collapsed="false">
      <c r="A301" s="59"/>
      <c r="B301" s="60"/>
      <c r="C301" s="61"/>
      <c r="D301" s="61"/>
      <c r="E301" s="60"/>
      <c r="F301" s="62" t="str">
        <f aca="false">IF($B301="","",IF(ISNUMBER(MATCH($B301,日別データ!$B$9:$B$28,0)),"✔ OK","⚠ 未登録"))</f>
        <v/>
      </c>
    </row>
    <row r="302" customFormat="false" ht="15" hidden="false" customHeight="false" outlineLevel="0" collapsed="false">
      <c r="A302" s="59"/>
      <c r="B302" s="60"/>
      <c r="C302" s="61"/>
      <c r="D302" s="61"/>
      <c r="E302" s="60"/>
      <c r="F302" s="62" t="str">
        <f aca="false">IF($B302="","",IF(ISNUMBER(MATCH($B302,日別データ!$B$9:$B$28,0)),"✔ OK","⚠ 未登録"))</f>
        <v/>
      </c>
    </row>
    <row r="303" customFormat="false" ht="15" hidden="false" customHeight="false" outlineLevel="0" collapsed="false">
      <c r="A303" s="59"/>
      <c r="B303" s="60"/>
      <c r="C303" s="61"/>
      <c r="D303" s="61"/>
      <c r="E303" s="60"/>
      <c r="F303" s="62" t="str">
        <f aca="false">IF($B303="","",IF(ISNUMBER(MATCH($B303,日別データ!$B$9:$B$28,0)),"✔ OK","⚠ 未登録"))</f>
        <v/>
      </c>
    </row>
    <row r="304" customFormat="false" ht="15" hidden="false" customHeight="false" outlineLevel="0" collapsed="false">
      <c r="A304" s="59"/>
      <c r="B304" s="60"/>
      <c r="C304" s="61"/>
      <c r="D304" s="61"/>
      <c r="E304" s="60"/>
      <c r="F304" s="62" t="str">
        <f aca="false">IF($B304="","",IF(ISNUMBER(MATCH($B304,日別データ!$B$9:$B$28,0)),"✔ OK","⚠ 未登録"))</f>
        <v/>
      </c>
    </row>
    <row r="305" customFormat="false" ht="15" hidden="false" customHeight="false" outlineLevel="0" collapsed="false">
      <c r="A305" s="59"/>
      <c r="B305" s="60"/>
      <c r="C305" s="61"/>
      <c r="D305" s="61"/>
      <c r="E305" s="60"/>
      <c r="F305" s="62" t="str">
        <f aca="false">IF($B305="","",IF(ISNUMBER(MATCH($B305,日別データ!$B$9:$B$28,0)),"✔ OK","⚠ 未登録"))</f>
        <v/>
      </c>
    </row>
    <row r="306" customFormat="false" ht="15" hidden="false" customHeight="false" outlineLevel="0" collapsed="false">
      <c r="A306" s="59"/>
      <c r="B306" s="60"/>
      <c r="C306" s="61"/>
      <c r="D306" s="61"/>
      <c r="E306" s="60"/>
      <c r="F306" s="62" t="str">
        <f aca="false">IF($B306="","",IF(ISNUMBER(MATCH($B306,日別データ!$B$9:$B$28,0)),"✔ OK","⚠ 未登録"))</f>
        <v/>
      </c>
    </row>
    <row r="307" customFormat="false" ht="15" hidden="false" customHeight="false" outlineLevel="0" collapsed="false">
      <c r="A307" s="59"/>
      <c r="B307" s="60"/>
      <c r="C307" s="61"/>
      <c r="D307" s="61"/>
      <c r="E307" s="60"/>
      <c r="F307" s="62" t="str">
        <f aca="false">IF($B307="","",IF(ISNUMBER(MATCH($B307,日別データ!$B$9:$B$28,0)),"✔ OK","⚠ 未登録"))</f>
        <v/>
      </c>
    </row>
    <row r="308" customFormat="false" ht="15" hidden="false" customHeight="false" outlineLevel="0" collapsed="false">
      <c r="A308" s="59"/>
      <c r="B308" s="60"/>
      <c r="C308" s="61"/>
      <c r="D308" s="61"/>
      <c r="E308" s="60"/>
      <c r="F308" s="62" t="str">
        <f aca="false">IF($B308="","",IF(ISNUMBER(MATCH($B308,日別データ!$B$9:$B$28,0)),"✔ OK","⚠ 未登録"))</f>
        <v/>
      </c>
    </row>
    <row r="309" customFormat="false" ht="15" hidden="false" customHeight="false" outlineLevel="0" collapsed="false">
      <c r="A309" s="59"/>
      <c r="B309" s="60"/>
      <c r="C309" s="61"/>
      <c r="D309" s="61"/>
      <c r="E309" s="60"/>
      <c r="F309" s="62" t="str">
        <f aca="false">IF($B309="","",IF(ISNUMBER(MATCH($B309,日別データ!$B$9:$B$28,0)),"✔ OK","⚠ 未登録"))</f>
        <v/>
      </c>
    </row>
    <row r="310" customFormat="false" ht="15" hidden="false" customHeight="false" outlineLevel="0" collapsed="false">
      <c r="A310" s="59"/>
      <c r="B310" s="60"/>
      <c r="C310" s="61"/>
      <c r="D310" s="61"/>
      <c r="E310" s="60"/>
      <c r="F310" s="62" t="str">
        <f aca="false">IF($B310="","",IF(ISNUMBER(MATCH($B310,日別データ!$B$9:$B$28,0)),"✔ OK","⚠ 未登録"))</f>
        <v/>
      </c>
    </row>
    <row r="311" customFormat="false" ht="15" hidden="false" customHeight="false" outlineLevel="0" collapsed="false">
      <c r="A311" s="59"/>
      <c r="B311" s="60"/>
      <c r="C311" s="61"/>
      <c r="D311" s="61"/>
      <c r="E311" s="60"/>
      <c r="F311" s="62" t="str">
        <f aca="false">IF($B311="","",IF(ISNUMBER(MATCH($B311,日別データ!$B$9:$B$28,0)),"✔ OK","⚠ 未登録"))</f>
        <v/>
      </c>
    </row>
    <row r="312" customFormat="false" ht="15" hidden="false" customHeight="false" outlineLevel="0" collapsed="false">
      <c r="A312" s="59"/>
      <c r="B312" s="60"/>
      <c r="C312" s="61"/>
      <c r="D312" s="61"/>
      <c r="E312" s="60"/>
      <c r="F312" s="62" t="str">
        <f aca="false">IF($B312="","",IF(ISNUMBER(MATCH($B312,日別データ!$B$9:$B$28,0)),"✔ OK","⚠ 未登録"))</f>
        <v/>
      </c>
    </row>
    <row r="313" customFormat="false" ht="15" hidden="false" customHeight="false" outlineLevel="0" collapsed="false">
      <c r="A313" s="59"/>
      <c r="B313" s="60"/>
      <c r="C313" s="61"/>
      <c r="D313" s="61"/>
      <c r="E313" s="60"/>
      <c r="F313" s="62" t="str">
        <f aca="false">IF($B313="","",IF(ISNUMBER(MATCH($B313,日別データ!$B$9:$B$28,0)),"✔ OK","⚠ 未登録"))</f>
        <v/>
      </c>
    </row>
    <row r="314" customFormat="false" ht="15" hidden="false" customHeight="false" outlineLevel="0" collapsed="false">
      <c r="A314" s="59"/>
      <c r="B314" s="60"/>
      <c r="C314" s="61"/>
      <c r="D314" s="61"/>
      <c r="E314" s="60"/>
      <c r="F314" s="62" t="str">
        <f aca="false">IF($B314="","",IF(ISNUMBER(MATCH($B314,日別データ!$B$9:$B$28,0)),"✔ OK","⚠ 未登録"))</f>
        <v/>
      </c>
    </row>
    <row r="315" customFormat="false" ht="15" hidden="false" customHeight="false" outlineLevel="0" collapsed="false">
      <c r="A315" s="59"/>
      <c r="B315" s="60"/>
      <c r="C315" s="61"/>
      <c r="D315" s="61"/>
      <c r="E315" s="60"/>
      <c r="F315" s="62" t="str">
        <f aca="false">IF($B315="","",IF(ISNUMBER(MATCH($B315,日別データ!$B$9:$B$28,0)),"✔ OK","⚠ 未登録"))</f>
        <v/>
      </c>
    </row>
    <row r="316" customFormat="false" ht="15" hidden="false" customHeight="false" outlineLevel="0" collapsed="false">
      <c r="A316" s="59"/>
      <c r="B316" s="60"/>
      <c r="C316" s="61"/>
      <c r="D316" s="61"/>
      <c r="E316" s="60"/>
      <c r="F316" s="62" t="str">
        <f aca="false">IF($B316="","",IF(ISNUMBER(MATCH($B316,日別データ!$B$9:$B$28,0)),"✔ OK","⚠ 未登録"))</f>
        <v/>
      </c>
    </row>
    <row r="317" customFormat="false" ht="15" hidden="false" customHeight="false" outlineLevel="0" collapsed="false">
      <c r="A317" s="59"/>
      <c r="B317" s="60"/>
      <c r="C317" s="61"/>
      <c r="D317" s="61"/>
      <c r="E317" s="60"/>
      <c r="F317" s="62" t="str">
        <f aca="false">IF($B317="","",IF(ISNUMBER(MATCH($B317,日別データ!$B$9:$B$28,0)),"✔ OK","⚠ 未登録"))</f>
        <v/>
      </c>
    </row>
    <row r="318" customFormat="false" ht="15" hidden="false" customHeight="false" outlineLevel="0" collapsed="false">
      <c r="A318" s="59"/>
      <c r="B318" s="60"/>
      <c r="C318" s="61"/>
      <c r="D318" s="61"/>
      <c r="E318" s="60"/>
      <c r="F318" s="62" t="str">
        <f aca="false">IF($B318="","",IF(ISNUMBER(MATCH($B318,日別データ!$B$9:$B$28,0)),"✔ OK","⚠ 未登録"))</f>
        <v/>
      </c>
    </row>
    <row r="319" customFormat="false" ht="15" hidden="false" customHeight="false" outlineLevel="0" collapsed="false">
      <c r="A319" s="59"/>
      <c r="B319" s="60"/>
      <c r="C319" s="61"/>
      <c r="D319" s="61"/>
      <c r="E319" s="60"/>
      <c r="F319" s="62" t="str">
        <f aca="false">IF($B319="","",IF(ISNUMBER(MATCH($B319,日別データ!$B$9:$B$28,0)),"✔ OK","⚠ 未登録"))</f>
        <v/>
      </c>
    </row>
    <row r="320" customFormat="false" ht="15" hidden="false" customHeight="false" outlineLevel="0" collapsed="false">
      <c r="A320" s="59"/>
      <c r="B320" s="60"/>
      <c r="C320" s="61"/>
      <c r="D320" s="61"/>
      <c r="E320" s="60"/>
      <c r="F320" s="62" t="str">
        <f aca="false">IF($B320="","",IF(ISNUMBER(MATCH($B320,日別データ!$B$9:$B$28,0)),"✔ OK","⚠ 未登録"))</f>
        <v/>
      </c>
    </row>
    <row r="321" customFormat="false" ht="15" hidden="false" customHeight="false" outlineLevel="0" collapsed="false">
      <c r="A321" s="59"/>
      <c r="B321" s="60"/>
      <c r="C321" s="61"/>
      <c r="D321" s="61"/>
      <c r="E321" s="60"/>
      <c r="F321" s="62" t="str">
        <f aca="false">IF($B321="","",IF(ISNUMBER(MATCH($B321,日別データ!$B$9:$B$28,0)),"✔ OK","⚠ 未登録"))</f>
        <v/>
      </c>
    </row>
    <row r="322" customFormat="false" ht="15" hidden="false" customHeight="false" outlineLevel="0" collapsed="false">
      <c r="A322" s="59"/>
      <c r="B322" s="60"/>
      <c r="C322" s="61"/>
      <c r="D322" s="61"/>
      <c r="E322" s="60"/>
      <c r="F322" s="62" t="str">
        <f aca="false">IF($B322="","",IF(ISNUMBER(MATCH($B322,日別データ!$B$9:$B$28,0)),"✔ OK","⚠ 未登録"))</f>
        <v/>
      </c>
    </row>
    <row r="323" customFormat="false" ht="15" hidden="false" customHeight="false" outlineLevel="0" collapsed="false">
      <c r="A323" s="59"/>
      <c r="B323" s="60"/>
      <c r="C323" s="61"/>
      <c r="D323" s="61"/>
      <c r="E323" s="60"/>
      <c r="F323" s="62" t="str">
        <f aca="false">IF($B323="","",IF(ISNUMBER(MATCH($B323,日別データ!$B$9:$B$28,0)),"✔ OK","⚠ 未登録"))</f>
        <v/>
      </c>
    </row>
    <row r="324" customFormat="false" ht="15" hidden="false" customHeight="false" outlineLevel="0" collapsed="false">
      <c r="A324" s="59"/>
      <c r="B324" s="60"/>
      <c r="C324" s="61"/>
      <c r="D324" s="61"/>
      <c r="E324" s="60"/>
      <c r="F324" s="62" t="str">
        <f aca="false">IF($B324="","",IF(ISNUMBER(MATCH($B324,日別データ!$B$9:$B$28,0)),"✔ OK","⚠ 未登録"))</f>
        <v/>
      </c>
    </row>
    <row r="325" customFormat="false" ht="15" hidden="false" customHeight="false" outlineLevel="0" collapsed="false">
      <c r="A325" s="59"/>
      <c r="B325" s="60"/>
      <c r="C325" s="61"/>
      <c r="D325" s="61"/>
      <c r="E325" s="60"/>
      <c r="F325" s="62" t="str">
        <f aca="false">IF($B325="","",IF(ISNUMBER(MATCH($B325,日別データ!$B$9:$B$28,0)),"✔ OK","⚠ 未登録"))</f>
        <v/>
      </c>
    </row>
    <row r="326" customFormat="false" ht="15" hidden="false" customHeight="false" outlineLevel="0" collapsed="false">
      <c r="A326" s="59"/>
      <c r="B326" s="60"/>
      <c r="C326" s="61"/>
      <c r="D326" s="61"/>
      <c r="E326" s="60"/>
      <c r="F326" s="62" t="str">
        <f aca="false">IF($B326="","",IF(ISNUMBER(MATCH($B326,日別データ!$B$9:$B$28,0)),"✔ OK","⚠ 未登録"))</f>
        <v/>
      </c>
    </row>
    <row r="327" customFormat="false" ht="15" hidden="false" customHeight="false" outlineLevel="0" collapsed="false">
      <c r="A327" s="59"/>
      <c r="B327" s="60"/>
      <c r="C327" s="61"/>
      <c r="D327" s="61"/>
      <c r="E327" s="60"/>
      <c r="F327" s="62" t="str">
        <f aca="false">IF($B327="","",IF(ISNUMBER(MATCH($B327,日別データ!$B$9:$B$28,0)),"✔ OK","⚠ 未登録"))</f>
        <v/>
      </c>
    </row>
    <row r="328" customFormat="false" ht="15" hidden="false" customHeight="false" outlineLevel="0" collapsed="false">
      <c r="A328" s="59"/>
      <c r="B328" s="60"/>
      <c r="C328" s="61"/>
      <c r="D328" s="61"/>
      <c r="E328" s="60"/>
      <c r="F328" s="62" t="str">
        <f aca="false">IF($B328="","",IF(ISNUMBER(MATCH($B328,日別データ!$B$9:$B$28,0)),"✔ OK","⚠ 未登録"))</f>
        <v/>
      </c>
    </row>
    <row r="329" customFormat="false" ht="15" hidden="false" customHeight="false" outlineLevel="0" collapsed="false">
      <c r="A329" s="59"/>
      <c r="B329" s="60"/>
      <c r="C329" s="61"/>
      <c r="D329" s="61"/>
      <c r="E329" s="60"/>
      <c r="F329" s="62" t="str">
        <f aca="false">IF($B329="","",IF(ISNUMBER(MATCH($B329,日別データ!$B$9:$B$28,0)),"✔ OK","⚠ 未登録"))</f>
        <v/>
      </c>
    </row>
    <row r="330" customFormat="false" ht="15" hidden="false" customHeight="false" outlineLevel="0" collapsed="false">
      <c r="A330" s="59"/>
      <c r="B330" s="60"/>
      <c r="C330" s="61"/>
      <c r="D330" s="61"/>
      <c r="E330" s="60"/>
      <c r="F330" s="62" t="str">
        <f aca="false">IF($B330="","",IF(ISNUMBER(MATCH($B330,日別データ!$B$9:$B$28,0)),"✔ OK","⚠ 未登録"))</f>
        <v/>
      </c>
    </row>
    <row r="331" customFormat="false" ht="15" hidden="false" customHeight="false" outlineLevel="0" collapsed="false">
      <c r="A331" s="59"/>
      <c r="B331" s="60"/>
      <c r="C331" s="61"/>
      <c r="D331" s="61"/>
      <c r="E331" s="60"/>
      <c r="F331" s="62" t="str">
        <f aca="false">IF($B331="","",IF(ISNUMBER(MATCH($B331,日別データ!$B$9:$B$28,0)),"✔ OK","⚠ 未登録"))</f>
        <v/>
      </c>
    </row>
    <row r="332" customFormat="false" ht="15" hidden="false" customHeight="false" outlineLevel="0" collapsed="false">
      <c r="A332" s="59"/>
      <c r="B332" s="60"/>
      <c r="C332" s="61"/>
      <c r="D332" s="61"/>
      <c r="E332" s="60"/>
      <c r="F332" s="62" t="str">
        <f aca="false">IF($B332="","",IF(ISNUMBER(MATCH($B332,日別データ!$B$9:$B$28,0)),"✔ OK","⚠ 未登録"))</f>
        <v/>
      </c>
    </row>
    <row r="333" customFormat="false" ht="15" hidden="false" customHeight="false" outlineLevel="0" collapsed="false">
      <c r="A333" s="59"/>
      <c r="B333" s="60"/>
      <c r="C333" s="61"/>
      <c r="D333" s="61"/>
      <c r="E333" s="60"/>
      <c r="F333" s="62" t="str">
        <f aca="false">IF($B333="","",IF(ISNUMBER(MATCH($B333,日別データ!$B$9:$B$28,0)),"✔ OK","⚠ 未登録"))</f>
        <v/>
      </c>
    </row>
    <row r="334" customFormat="false" ht="15" hidden="false" customHeight="false" outlineLevel="0" collapsed="false">
      <c r="A334" s="59"/>
      <c r="B334" s="60"/>
      <c r="C334" s="61"/>
      <c r="D334" s="61"/>
      <c r="E334" s="60"/>
      <c r="F334" s="62" t="str">
        <f aca="false">IF($B334="","",IF(ISNUMBER(MATCH($B334,日別データ!$B$9:$B$28,0)),"✔ OK","⚠ 未登録"))</f>
        <v/>
      </c>
    </row>
    <row r="335" customFormat="false" ht="15" hidden="false" customHeight="false" outlineLevel="0" collapsed="false">
      <c r="A335" s="59"/>
      <c r="B335" s="60"/>
      <c r="C335" s="61"/>
      <c r="D335" s="61"/>
      <c r="E335" s="60"/>
      <c r="F335" s="62" t="str">
        <f aca="false">IF($B335="","",IF(ISNUMBER(MATCH($B335,日別データ!$B$9:$B$28,0)),"✔ OK","⚠ 未登録"))</f>
        <v/>
      </c>
    </row>
    <row r="336" customFormat="false" ht="15" hidden="false" customHeight="false" outlineLevel="0" collapsed="false">
      <c r="A336" s="59"/>
      <c r="B336" s="60"/>
      <c r="C336" s="61"/>
      <c r="D336" s="61"/>
      <c r="E336" s="60"/>
      <c r="F336" s="62" t="str">
        <f aca="false">IF($B336="","",IF(ISNUMBER(MATCH($B336,日別データ!$B$9:$B$28,0)),"✔ OK","⚠ 未登録"))</f>
        <v/>
      </c>
    </row>
    <row r="337" customFormat="false" ht="15" hidden="false" customHeight="false" outlineLevel="0" collapsed="false">
      <c r="A337" s="59"/>
      <c r="B337" s="60"/>
      <c r="C337" s="61"/>
      <c r="D337" s="61"/>
      <c r="E337" s="60"/>
      <c r="F337" s="62" t="str">
        <f aca="false">IF($B337="","",IF(ISNUMBER(MATCH($B337,日別データ!$B$9:$B$28,0)),"✔ OK","⚠ 未登録"))</f>
        <v/>
      </c>
    </row>
    <row r="338" customFormat="false" ht="15" hidden="false" customHeight="false" outlineLevel="0" collapsed="false">
      <c r="A338" s="59"/>
      <c r="B338" s="60"/>
      <c r="C338" s="61"/>
      <c r="D338" s="61"/>
      <c r="E338" s="60"/>
      <c r="F338" s="62" t="str">
        <f aca="false">IF($B338="","",IF(ISNUMBER(MATCH($B338,日別データ!$B$9:$B$28,0)),"✔ OK","⚠ 未登録"))</f>
        <v/>
      </c>
    </row>
    <row r="339" customFormat="false" ht="15" hidden="false" customHeight="false" outlineLevel="0" collapsed="false">
      <c r="A339" s="59"/>
      <c r="B339" s="60"/>
      <c r="C339" s="61"/>
      <c r="D339" s="61"/>
      <c r="E339" s="60"/>
      <c r="F339" s="62" t="str">
        <f aca="false">IF($B339="","",IF(ISNUMBER(MATCH($B339,日別データ!$B$9:$B$28,0)),"✔ OK","⚠ 未登録"))</f>
        <v/>
      </c>
    </row>
    <row r="340" customFormat="false" ht="15" hidden="false" customHeight="false" outlineLevel="0" collapsed="false">
      <c r="A340" s="59"/>
      <c r="B340" s="60"/>
      <c r="C340" s="61"/>
      <c r="D340" s="61"/>
      <c r="E340" s="60"/>
      <c r="F340" s="62" t="str">
        <f aca="false">IF($B340="","",IF(ISNUMBER(MATCH($B340,日別データ!$B$9:$B$28,0)),"✔ OK","⚠ 未登録"))</f>
        <v/>
      </c>
    </row>
    <row r="341" customFormat="false" ht="15" hidden="false" customHeight="false" outlineLevel="0" collapsed="false">
      <c r="A341" s="59"/>
      <c r="B341" s="60"/>
      <c r="C341" s="61"/>
      <c r="D341" s="61"/>
      <c r="E341" s="60"/>
      <c r="F341" s="62" t="str">
        <f aca="false">IF($B341="","",IF(ISNUMBER(MATCH($B341,日別データ!$B$9:$B$28,0)),"✔ OK","⚠ 未登録"))</f>
        <v/>
      </c>
    </row>
    <row r="342" customFormat="false" ht="15" hidden="false" customHeight="false" outlineLevel="0" collapsed="false">
      <c r="A342" s="59"/>
      <c r="B342" s="60"/>
      <c r="C342" s="61"/>
      <c r="D342" s="61"/>
      <c r="E342" s="60"/>
      <c r="F342" s="62" t="str">
        <f aca="false">IF($B342="","",IF(ISNUMBER(MATCH($B342,日別データ!$B$9:$B$28,0)),"✔ OK","⚠ 未登録"))</f>
        <v/>
      </c>
    </row>
    <row r="343" customFormat="false" ht="15" hidden="false" customHeight="false" outlineLevel="0" collapsed="false">
      <c r="A343" s="59"/>
      <c r="B343" s="60"/>
      <c r="C343" s="61"/>
      <c r="D343" s="61"/>
      <c r="E343" s="60"/>
      <c r="F343" s="62" t="str">
        <f aca="false">IF($B343="","",IF(ISNUMBER(MATCH($B343,日別データ!$B$9:$B$28,0)),"✔ OK","⚠ 未登録"))</f>
        <v/>
      </c>
    </row>
    <row r="344" customFormat="false" ht="15" hidden="false" customHeight="false" outlineLevel="0" collapsed="false">
      <c r="A344" s="59"/>
      <c r="B344" s="60"/>
      <c r="C344" s="61"/>
      <c r="D344" s="61"/>
      <c r="E344" s="60"/>
      <c r="F344" s="62" t="str">
        <f aca="false">IF($B344="","",IF(ISNUMBER(MATCH($B344,日別データ!$B$9:$B$28,0)),"✔ OK","⚠ 未登録"))</f>
        <v/>
      </c>
    </row>
    <row r="345" customFormat="false" ht="15" hidden="false" customHeight="false" outlineLevel="0" collapsed="false">
      <c r="A345" s="59"/>
      <c r="B345" s="60"/>
      <c r="C345" s="61"/>
      <c r="D345" s="61"/>
      <c r="E345" s="60"/>
      <c r="F345" s="62" t="str">
        <f aca="false">IF($B345="","",IF(ISNUMBER(MATCH($B345,日別データ!$B$9:$B$28,0)),"✔ OK","⚠ 未登録"))</f>
        <v/>
      </c>
    </row>
    <row r="346" customFormat="false" ht="15" hidden="false" customHeight="false" outlineLevel="0" collapsed="false">
      <c r="A346" s="59"/>
      <c r="B346" s="60"/>
      <c r="C346" s="61"/>
      <c r="D346" s="61"/>
      <c r="E346" s="60"/>
      <c r="F346" s="62" t="str">
        <f aca="false">IF($B346="","",IF(ISNUMBER(MATCH($B346,日別データ!$B$9:$B$28,0)),"✔ OK","⚠ 未登録"))</f>
        <v/>
      </c>
    </row>
    <row r="347" customFormat="false" ht="15" hidden="false" customHeight="false" outlineLevel="0" collapsed="false">
      <c r="A347" s="59"/>
      <c r="B347" s="60"/>
      <c r="C347" s="61"/>
      <c r="D347" s="61"/>
      <c r="E347" s="60"/>
      <c r="F347" s="62" t="str">
        <f aca="false">IF($B347="","",IF(ISNUMBER(MATCH($B347,日別データ!$B$9:$B$28,0)),"✔ OK","⚠ 未登録"))</f>
        <v/>
      </c>
    </row>
    <row r="348" customFormat="false" ht="15" hidden="false" customHeight="false" outlineLevel="0" collapsed="false">
      <c r="A348" s="59"/>
      <c r="B348" s="60"/>
      <c r="C348" s="61"/>
      <c r="D348" s="61"/>
      <c r="E348" s="60"/>
      <c r="F348" s="62" t="str">
        <f aca="false">IF($B348="","",IF(ISNUMBER(MATCH($B348,日別データ!$B$9:$B$28,0)),"✔ OK","⚠ 未登録"))</f>
        <v/>
      </c>
    </row>
    <row r="349" customFormat="false" ht="15" hidden="false" customHeight="false" outlineLevel="0" collapsed="false">
      <c r="A349" s="59"/>
      <c r="B349" s="60"/>
      <c r="C349" s="61"/>
      <c r="D349" s="61"/>
      <c r="E349" s="60"/>
      <c r="F349" s="62" t="str">
        <f aca="false">IF($B349="","",IF(ISNUMBER(MATCH($B349,日別データ!$B$9:$B$28,0)),"✔ OK","⚠ 未登録"))</f>
        <v/>
      </c>
    </row>
    <row r="350" customFormat="false" ht="15" hidden="false" customHeight="false" outlineLevel="0" collapsed="false">
      <c r="A350" s="59"/>
      <c r="B350" s="60"/>
      <c r="C350" s="61"/>
      <c r="D350" s="61"/>
      <c r="E350" s="60"/>
      <c r="F350" s="62" t="str">
        <f aca="false">IF($B350="","",IF(ISNUMBER(MATCH($B350,日別データ!$B$9:$B$28,0)),"✔ OK","⚠ 未登録"))</f>
        <v/>
      </c>
    </row>
    <row r="351" customFormat="false" ht="15" hidden="false" customHeight="false" outlineLevel="0" collapsed="false">
      <c r="A351" s="59"/>
      <c r="B351" s="60"/>
      <c r="C351" s="61"/>
      <c r="D351" s="61"/>
      <c r="E351" s="60"/>
      <c r="F351" s="62" t="str">
        <f aca="false">IF($B351="","",IF(ISNUMBER(MATCH($B351,日別データ!$B$9:$B$28,0)),"✔ OK","⚠ 未登録"))</f>
        <v/>
      </c>
    </row>
    <row r="352" customFormat="false" ht="15" hidden="false" customHeight="false" outlineLevel="0" collapsed="false">
      <c r="A352" s="59"/>
      <c r="B352" s="60"/>
      <c r="C352" s="61"/>
      <c r="D352" s="61"/>
      <c r="E352" s="60"/>
      <c r="F352" s="62" t="str">
        <f aca="false">IF($B352="","",IF(ISNUMBER(MATCH($B352,日別データ!$B$9:$B$28,0)),"✔ OK","⚠ 未登録"))</f>
        <v/>
      </c>
    </row>
    <row r="353" customFormat="false" ht="15" hidden="false" customHeight="false" outlineLevel="0" collapsed="false">
      <c r="A353" s="59"/>
      <c r="B353" s="60"/>
      <c r="C353" s="61"/>
      <c r="D353" s="61"/>
      <c r="E353" s="60"/>
      <c r="F353" s="62" t="str">
        <f aca="false">IF($B353="","",IF(ISNUMBER(MATCH($B353,日別データ!$B$9:$B$28,0)),"✔ OK","⚠ 未登録"))</f>
        <v/>
      </c>
    </row>
    <row r="354" customFormat="false" ht="15" hidden="false" customHeight="false" outlineLevel="0" collapsed="false">
      <c r="A354" s="59"/>
      <c r="B354" s="60"/>
      <c r="C354" s="61"/>
      <c r="D354" s="61"/>
      <c r="E354" s="60"/>
      <c r="F354" s="62" t="str">
        <f aca="false">IF($B354="","",IF(ISNUMBER(MATCH($B354,日別データ!$B$9:$B$28,0)),"✔ OK","⚠ 未登録"))</f>
        <v/>
      </c>
    </row>
    <row r="355" customFormat="false" ht="15" hidden="false" customHeight="false" outlineLevel="0" collapsed="false">
      <c r="A355" s="59"/>
      <c r="B355" s="60"/>
      <c r="C355" s="61"/>
      <c r="D355" s="61"/>
      <c r="E355" s="60"/>
      <c r="F355" s="62" t="str">
        <f aca="false">IF($B355="","",IF(ISNUMBER(MATCH($B355,日別データ!$B$9:$B$28,0)),"✔ OK","⚠ 未登録"))</f>
        <v/>
      </c>
    </row>
    <row r="356" customFormat="false" ht="15" hidden="false" customHeight="false" outlineLevel="0" collapsed="false">
      <c r="A356" s="59"/>
      <c r="B356" s="60"/>
      <c r="C356" s="61"/>
      <c r="D356" s="61"/>
      <c r="E356" s="60"/>
      <c r="F356" s="62" t="str">
        <f aca="false">IF($B356="","",IF(ISNUMBER(MATCH($B356,日別データ!$B$9:$B$28,0)),"✔ OK","⚠ 未登録"))</f>
        <v/>
      </c>
    </row>
    <row r="357" customFormat="false" ht="15" hidden="false" customHeight="false" outlineLevel="0" collapsed="false">
      <c r="A357" s="59"/>
      <c r="B357" s="60"/>
      <c r="C357" s="61"/>
      <c r="D357" s="61"/>
      <c r="E357" s="60"/>
      <c r="F357" s="62" t="str">
        <f aca="false">IF($B357="","",IF(ISNUMBER(MATCH($B357,日別データ!$B$9:$B$28,0)),"✔ OK","⚠ 未登録"))</f>
        <v/>
      </c>
    </row>
    <row r="358" customFormat="false" ht="15" hidden="false" customHeight="false" outlineLevel="0" collapsed="false">
      <c r="A358" s="59"/>
      <c r="B358" s="60"/>
      <c r="C358" s="61"/>
      <c r="D358" s="61"/>
      <c r="E358" s="60"/>
      <c r="F358" s="62" t="str">
        <f aca="false">IF($B358="","",IF(ISNUMBER(MATCH($B358,日別データ!$B$9:$B$28,0)),"✔ OK","⚠ 未登録"))</f>
        <v/>
      </c>
    </row>
    <row r="359" customFormat="false" ht="15" hidden="false" customHeight="false" outlineLevel="0" collapsed="false">
      <c r="A359" s="59"/>
      <c r="B359" s="60"/>
      <c r="C359" s="61"/>
      <c r="D359" s="61"/>
      <c r="E359" s="60"/>
      <c r="F359" s="62" t="str">
        <f aca="false">IF($B359="","",IF(ISNUMBER(MATCH($B359,日別データ!$B$9:$B$28,0)),"✔ OK","⚠ 未登録"))</f>
        <v/>
      </c>
    </row>
    <row r="360" customFormat="false" ht="15" hidden="false" customHeight="false" outlineLevel="0" collapsed="false">
      <c r="A360" s="59"/>
      <c r="B360" s="60"/>
      <c r="C360" s="61"/>
      <c r="D360" s="61"/>
      <c r="E360" s="60"/>
      <c r="F360" s="62" t="str">
        <f aca="false">IF($B360="","",IF(ISNUMBER(MATCH($B360,日別データ!$B$9:$B$28,0)),"✔ OK","⚠ 未登録"))</f>
        <v/>
      </c>
    </row>
    <row r="361" customFormat="false" ht="15" hidden="false" customHeight="false" outlineLevel="0" collapsed="false">
      <c r="A361" s="59"/>
      <c r="B361" s="60"/>
      <c r="C361" s="61"/>
      <c r="D361" s="61"/>
      <c r="E361" s="60"/>
      <c r="F361" s="62" t="str">
        <f aca="false">IF($B361="","",IF(ISNUMBER(MATCH($B361,日別データ!$B$9:$B$28,0)),"✔ OK","⚠ 未登録"))</f>
        <v/>
      </c>
    </row>
    <row r="362" customFormat="false" ht="15" hidden="false" customHeight="false" outlineLevel="0" collapsed="false">
      <c r="A362" s="59"/>
      <c r="B362" s="60"/>
      <c r="C362" s="61"/>
      <c r="D362" s="61"/>
      <c r="E362" s="60"/>
      <c r="F362" s="62" t="str">
        <f aca="false">IF($B362="","",IF(ISNUMBER(MATCH($B362,日別データ!$B$9:$B$28,0)),"✔ OK","⚠ 未登録"))</f>
        <v/>
      </c>
    </row>
    <row r="363" customFormat="false" ht="15" hidden="false" customHeight="false" outlineLevel="0" collapsed="false">
      <c r="A363" s="59"/>
      <c r="B363" s="60"/>
      <c r="C363" s="61"/>
      <c r="D363" s="61"/>
      <c r="E363" s="60"/>
      <c r="F363" s="62" t="str">
        <f aca="false">IF($B363="","",IF(ISNUMBER(MATCH($B363,日別データ!$B$9:$B$28,0)),"✔ OK","⚠ 未登録"))</f>
        <v/>
      </c>
    </row>
    <row r="364" customFormat="false" ht="15" hidden="false" customHeight="false" outlineLevel="0" collapsed="false">
      <c r="A364" s="59"/>
      <c r="B364" s="60"/>
      <c r="C364" s="61"/>
      <c r="D364" s="61"/>
      <c r="E364" s="60"/>
      <c r="F364" s="62" t="str">
        <f aca="false">IF($B364="","",IF(ISNUMBER(MATCH($B364,日別データ!$B$9:$B$28,0)),"✔ OK","⚠ 未登録"))</f>
        <v/>
      </c>
    </row>
    <row r="365" customFormat="false" ht="15" hidden="false" customHeight="false" outlineLevel="0" collapsed="false">
      <c r="A365" s="59"/>
      <c r="B365" s="60"/>
      <c r="C365" s="61"/>
      <c r="D365" s="61"/>
      <c r="E365" s="60"/>
      <c r="F365" s="62" t="str">
        <f aca="false">IF($B365="","",IF(ISNUMBER(MATCH($B365,日別データ!$B$9:$B$28,0)),"✔ OK","⚠ 未登録"))</f>
        <v/>
      </c>
    </row>
    <row r="366" customFormat="false" ht="15" hidden="false" customHeight="false" outlineLevel="0" collapsed="false">
      <c r="A366" s="59"/>
      <c r="B366" s="60"/>
      <c r="C366" s="61"/>
      <c r="D366" s="61"/>
      <c r="E366" s="60"/>
      <c r="F366" s="62" t="str">
        <f aca="false">IF($B366="","",IF(ISNUMBER(MATCH($B366,日別データ!$B$9:$B$28,0)),"✔ OK","⚠ 未登録"))</f>
        <v/>
      </c>
    </row>
    <row r="367" customFormat="false" ht="15" hidden="false" customHeight="false" outlineLevel="0" collapsed="false">
      <c r="A367" s="59"/>
      <c r="B367" s="60"/>
      <c r="C367" s="61"/>
      <c r="D367" s="61"/>
      <c r="E367" s="60"/>
      <c r="F367" s="62" t="str">
        <f aca="false">IF($B367="","",IF(ISNUMBER(MATCH($B367,日別データ!$B$9:$B$28,0)),"✔ OK","⚠ 未登録"))</f>
        <v/>
      </c>
    </row>
    <row r="368" customFormat="false" ht="15" hidden="false" customHeight="false" outlineLevel="0" collapsed="false">
      <c r="A368" s="59"/>
      <c r="B368" s="60"/>
      <c r="C368" s="61"/>
      <c r="D368" s="61"/>
      <c r="E368" s="60"/>
      <c r="F368" s="62" t="str">
        <f aca="false">IF($B368="","",IF(ISNUMBER(MATCH($B368,日別データ!$B$9:$B$28,0)),"✔ OK","⚠ 未登録"))</f>
        <v/>
      </c>
    </row>
    <row r="369" customFormat="false" ht="15" hidden="false" customHeight="false" outlineLevel="0" collapsed="false">
      <c r="A369" s="59"/>
      <c r="B369" s="60"/>
      <c r="C369" s="61"/>
      <c r="D369" s="61"/>
      <c r="E369" s="60"/>
      <c r="F369" s="62" t="str">
        <f aca="false">IF($B369="","",IF(ISNUMBER(MATCH($B369,日別データ!$B$9:$B$28,0)),"✔ OK","⚠ 未登録"))</f>
        <v/>
      </c>
    </row>
    <row r="370" customFormat="false" ht="15" hidden="false" customHeight="false" outlineLevel="0" collapsed="false">
      <c r="A370" s="59"/>
      <c r="B370" s="60"/>
      <c r="C370" s="61"/>
      <c r="D370" s="61"/>
      <c r="E370" s="60"/>
      <c r="F370" s="62" t="str">
        <f aca="false">IF($B370="","",IF(ISNUMBER(MATCH($B370,日別データ!$B$9:$B$28,0)),"✔ OK","⚠ 未登録"))</f>
        <v/>
      </c>
    </row>
    <row r="371" customFormat="false" ht="15" hidden="false" customHeight="false" outlineLevel="0" collapsed="false">
      <c r="A371" s="59"/>
      <c r="B371" s="60"/>
      <c r="C371" s="61"/>
      <c r="D371" s="61"/>
      <c r="E371" s="60"/>
      <c r="F371" s="62" t="str">
        <f aca="false">IF($B371="","",IF(ISNUMBER(MATCH($B371,日別データ!$B$9:$B$28,0)),"✔ OK","⚠ 未登録"))</f>
        <v/>
      </c>
    </row>
    <row r="372" customFormat="false" ht="15" hidden="false" customHeight="false" outlineLevel="0" collapsed="false">
      <c r="A372" s="59"/>
      <c r="B372" s="60"/>
      <c r="C372" s="61"/>
      <c r="D372" s="61"/>
      <c r="E372" s="60"/>
      <c r="F372" s="62" t="str">
        <f aca="false">IF($B372="","",IF(ISNUMBER(MATCH($B372,日別データ!$B$9:$B$28,0)),"✔ OK","⚠ 未登録"))</f>
        <v/>
      </c>
    </row>
    <row r="373" customFormat="false" ht="15" hidden="false" customHeight="false" outlineLevel="0" collapsed="false">
      <c r="A373" s="59"/>
      <c r="B373" s="60"/>
      <c r="C373" s="61"/>
      <c r="D373" s="61"/>
      <c r="E373" s="60"/>
      <c r="F373" s="62" t="str">
        <f aca="false">IF($B373="","",IF(ISNUMBER(MATCH($B373,日別データ!$B$9:$B$28,0)),"✔ OK","⚠ 未登録"))</f>
        <v/>
      </c>
    </row>
    <row r="374" customFormat="false" ht="15" hidden="false" customHeight="false" outlineLevel="0" collapsed="false">
      <c r="A374" s="59"/>
      <c r="B374" s="60"/>
      <c r="C374" s="61"/>
      <c r="D374" s="61"/>
      <c r="E374" s="60"/>
      <c r="F374" s="62" t="str">
        <f aca="false">IF($B374="","",IF(ISNUMBER(MATCH($B374,日別データ!$B$9:$B$28,0)),"✔ OK","⚠ 未登録"))</f>
        <v/>
      </c>
    </row>
    <row r="375" customFormat="false" ht="15" hidden="false" customHeight="false" outlineLevel="0" collapsed="false">
      <c r="A375" s="59"/>
      <c r="B375" s="60"/>
      <c r="C375" s="61"/>
      <c r="D375" s="61"/>
      <c r="E375" s="60"/>
      <c r="F375" s="62" t="str">
        <f aca="false">IF($B375="","",IF(ISNUMBER(MATCH($B375,日別データ!$B$9:$B$28,0)),"✔ OK","⚠ 未登録"))</f>
        <v/>
      </c>
    </row>
    <row r="376" customFormat="false" ht="15" hidden="false" customHeight="false" outlineLevel="0" collapsed="false">
      <c r="A376" s="59"/>
      <c r="B376" s="60"/>
      <c r="C376" s="61"/>
      <c r="D376" s="61"/>
      <c r="E376" s="60"/>
      <c r="F376" s="62" t="str">
        <f aca="false">IF($B376="","",IF(ISNUMBER(MATCH($B376,日別データ!$B$9:$B$28,0)),"✔ OK","⚠ 未登録"))</f>
        <v/>
      </c>
    </row>
    <row r="377" customFormat="false" ht="15" hidden="false" customHeight="false" outlineLevel="0" collapsed="false">
      <c r="A377" s="59"/>
      <c r="B377" s="60"/>
      <c r="C377" s="61"/>
      <c r="D377" s="61"/>
      <c r="E377" s="60"/>
      <c r="F377" s="62" t="str">
        <f aca="false">IF($B377="","",IF(ISNUMBER(MATCH($B377,日別データ!$B$9:$B$28,0)),"✔ OK","⚠ 未登録"))</f>
        <v/>
      </c>
    </row>
    <row r="378" customFormat="false" ht="15" hidden="false" customHeight="false" outlineLevel="0" collapsed="false">
      <c r="A378" s="59"/>
      <c r="B378" s="60"/>
      <c r="C378" s="61"/>
      <c r="D378" s="61"/>
      <c r="E378" s="60"/>
      <c r="F378" s="62" t="str">
        <f aca="false">IF($B378="","",IF(ISNUMBER(MATCH($B378,日別データ!$B$9:$B$28,0)),"✔ OK","⚠ 未登録"))</f>
        <v/>
      </c>
    </row>
    <row r="379" customFormat="false" ht="15" hidden="false" customHeight="false" outlineLevel="0" collapsed="false">
      <c r="A379" s="59"/>
      <c r="B379" s="60"/>
      <c r="C379" s="61"/>
      <c r="D379" s="61"/>
      <c r="E379" s="60"/>
      <c r="F379" s="62" t="str">
        <f aca="false">IF($B379="","",IF(ISNUMBER(MATCH($B379,日別データ!$B$9:$B$28,0)),"✔ OK","⚠ 未登録"))</f>
        <v/>
      </c>
    </row>
    <row r="380" customFormat="false" ht="15" hidden="false" customHeight="false" outlineLevel="0" collapsed="false">
      <c r="A380" s="59"/>
      <c r="B380" s="60"/>
      <c r="C380" s="61"/>
      <c r="D380" s="61"/>
      <c r="E380" s="60"/>
      <c r="F380" s="62" t="str">
        <f aca="false">IF($B380="","",IF(ISNUMBER(MATCH($B380,日別データ!$B$9:$B$28,0)),"✔ OK","⚠ 未登録"))</f>
        <v/>
      </c>
    </row>
    <row r="381" customFormat="false" ht="15" hidden="false" customHeight="false" outlineLevel="0" collapsed="false">
      <c r="A381" s="59"/>
      <c r="B381" s="60"/>
      <c r="C381" s="61"/>
      <c r="D381" s="61"/>
      <c r="E381" s="60"/>
      <c r="F381" s="62" t="str">
        <f aca="false">IF($B381="","",IF(ISNUMBER(MATCH($B381,日別データ!$B$9:$B$28,0)),"✔ OK","⚠ 未登録"))</f>
        <v/>
      </c>
    </row>
    <row r="382" customFormat="false" ht="15" hidden="false" customHeight="false" outlineLevel="0" collapsed="false">
      <c r="A382" s="59"/>
      <c r="B382" s="60"/>
      <c r="C382" s="61"/>
      <c r="D382" s="61"/>
      <c r="E382" s="60"/>
      <c r="F382" s="62" t="str">
        <f aca="false">IF($B382="","",IF(ISNUMBER(MATCH($B382,日別データ!$B$9:$B$28,0)),"✔ OK","⚠ 未登録"))</f>
        <v/>
      </c>
    </row>
    <row r="383" customFormat="false" ht="15" hidden="false" customHeight="false" outlineLevel="0" collapsed="false">
      <c r="A383" s="59"/>
      <c r="B383" s="60"/>
      <c r="C383" s="61"/>
      <c r="D383" s="61"/>
      <c r="E383" s="60"/>
      <c r="F383" s="62" t="str">
        <f aca="false">IF($B383="","",IF(ISNUMBER(MATCH($B383,日別データ!$B$9:$B$28,0)),"✔ OK","⚠ 未登録"))</f>
        <v/>
      </c>
    </row>
    <row r="384" customFormat="false" ht="15" hidden="false" customHeight="false" outlineLevel="0" collapsed="false">
      <c r="A384" s="59"/>
      <c r="B384" s="60"/>
      <c r="C384" s="61"/>
      <c r="D384" s="61"/>
      <c r="E384" s="60"/>
      <c r="F384" s="62" t="str">
        <f aca="false">IF($B384="","",IF(ISNUMBER(MATCH($B384,日別データ!$B$9:$B$28,0)),"✔ OK","⚠ 未登録"))</f>
        <v/>
      </c>
    </row>
    <row r="385" customFormat="false" ht="15" hidden="false" customHeight="false" outlineLevel="0" collapsed="false">
      <c r="A385" s="59"/>
      <c r="B385" s="60"/>
      <c r="C385" s="61"/>
      <c r="D385" s="61"/>
      <c r="E385" s="60"/>
      <c r="F385" s="62" t="str">
        <f aca="false">IF($B385="","",IF(ISNUMBER(MATCH($B385,日別データ!$B$9:$B$28,0)),"✔ OK","⚠ 未登録"))</f>
        <v/>
      </c>
    </row>
    <row r="386" customFormat="false" ht="15" hidden="false" customHeight="false" outlineLevel="0" collapsed="false">
      <c r="A386" s="59"/>
      <c r="B386" s="60"/>
      <c r="C386" s="61"/>
      <c r="D386" s="61"/>
      <c r="E386" s="60"/>
      <c r="F386" s="62" t="str">
        <f aca="false">IF($B386="","",IF(ISNUMBER(MATCH($B386,日別データ!$B$9:$B$28,0)),"✔ OK","⚠ 未登録"))</f>
        <v/>
      </c>
    </row>
    <row r="387" customFormat="false" ht="15" hidden="false" customHeight="false" outlineLevel="0" collapsed="false">
      <c r="A387" s="59"/>
      <c r="B387" s="60"/>
      <c r="C387" s="61"/>
      <c r="D387" s="61"/>
      <c r="E387" s="60"/>
      <c r="F387" s="62" t="str">
        <f aca="false">IF($B387="","",IF(ISNUMBER(MATCH($B387,日別データ!$B$9:$B$28,0)),"✔ OK","⚠ 未登録"))</f>
        <v/>
      </c>
    </row>
    <row r="388" customFormat="false" ht="15" hidden="false" customHeight="false" outlineLevel="0" collapsed="false">
      <c r="A388" s="59"/>
      <c r="B388" s="60"/>
      <c r="C388" s="61"/>
      <c r="D388" s="61"/>
      <c r="E388" s="60"/>
      <c r="F388" s="62" t="str">
        <f aca="false">IF($B388="","",IF(ISNUMBER(MATCH($B388,日別データ!$B$9:$B$28,0)),"✔ OK","⚠ 未登録"))</f>
        <v/>
      </c>
    </row>
    <row r="389" customFormat="false" ht="15" hidden="false" customHeight="false" outlineLevel="0" collapsed="false">
      <c r="A389" s="59"/>
      <c r="B389" s="60"/>
      <c r="C389" s="61"/>
      <c r="D389" s="61"/>
      <c r="E389" s="60"/>
      <c r="F389" s="62" t="str">
        <f aca="false">IF($B389="","",IF(ISNUMBER(MATCH($B389,日別データ!$B$9:$B$28,0)),"✔ OK","⚠ 未登録"))</f>
        <v/>
      </c>
    </row>
    <row r="390" customFormat="false" ht="15" hidden="false" customHeight="false" outlineLevel="0" collapsed="false">
      <c r="A390" s="59"/>
      <c r="B390" s="60"/>
      <c r="C390" s="61"/>
      <c r="D390" s="61"/>
      <c r="E390" s="60"/>
      <c r="F390" s="62" t="str">
        <f aca="false">IF($B390="","",IF(ISNUMBER(MATCH($B390,日別データ!$B$9:$B$28,0)),"✔ OK","⚠ 未登録"))</f>
        <v/>
      </c>
    </row>
    <row r="391" customFormat="false" ht="15" hidden="false" customHeight="false" outlineLevel="0" collapsed="false">
      <c r="A391" s="59"/>
      <c r="B391" s="60"/>
      <c r="C391" s="61"/>
      <c r="D391" s="61"/>
      <c r="E391" s="60"/>
      <c r="F391" s="62" t="str">
        <f aca="false">IF($B391="","",IF(ISNUMBER(MATCH($B391,日別データ!$B$9:$B$28,0)),"✔ OK","⚠ 未登録"))</f>
        <v/>
      </c>
    </row>
    <row r="392" customFormat="false" ht="15" hidden="false" customHeight="false" outlineLevel="0" collapsed="false">
      <c r="A392" s="59"/>
      <c r="B392" s="60"/>
      <c r="C392" s="61"/>
      <c r="D392" s="61"/>
      <c r="E392" s="60"/>
      <c r="F392" s="62" t="str">
        <f aca="false">IF($B392="","",IF(ISNUMBER(MATCH($B392,日別データ!$B$9:$B$28,0)),"✔ OK","⚠ 未登録"))</f>
        <v/>
      </c>
    </row>
    <row r="393" customFormat="false" ht="15" hidden="false" customHeight="false" outlineLevel="0" collapsed="false">
      <c r="A393" s="59"/>
      <c r="B393" s="60"/>
      <c r="C393" s="61"/>
      <c r="D393" s="61"/>
      <c r="E393" s="60"/>
      <c r="F393" s="62" t="str">
        <f aca="false">IF($B393="","",IF(ISNUMBER(MATCH($B393,日別データ!$B$9:$B$28,0)),"✔ OK","⚠ 未登録"))</f>
        <v/>
      </c>
    </row>
    <row r="394" customFormat="false" ht="15" hidden="false" customHeight="false" outlineLevel="0" collapsed="false">
      <c r="A394" s="59"/>
      <c r="B394" s="60"/>
      <c r="C394" s="61"/>
      <c r="D394" s="61"/>
      <c r="E394" s="60"/>
      <c r="F394" s="62" t="str">
        <f aca="false">IF($B394="","",IF(ISNUMBER(MATCH($B394,日別データ!$B$9:$B$28,0)),"✔ OK","⚠ 未登録"))</f>
        <v/>
      </c>
    </row>
    <row r="395" customFormat="false" ht="15" hidden="false" customHeight="false" outlineLevel="0" collapsed="false">
      <c r="A395" s="59"/>
      <c r="B395" s="60"/>
      <c r="C395" s="61"/>
      <c r="D395" s="61"/>
      <c r="E395" s="60"/>
      <c r="F395" s="62" t="str">
        <f aca="false">IF($B395="","",IF(ISNUMBER(MATCH($B395,日別データ!$B$9:$B$28,0)),"✔ OK","⚠ 未登録"))</f>
        <v/>
      </c>
    </row>
    <row r="396" customFormat="false" ht="15" hidden="false" customHeight="false" outlineLevel="0" collapsed="false">
      <c r="A396" s="59"/>
      <c r="B396" s="60"/>
      <c r="C396" s="61"/>
      <c r="D396" s="61"/>
      <c r="E396" s="60"/>
      <c r="F396" s="62" t="str">
        <f aca="false">IF($B396="","",IF(ISNUMBER(MATCH($B396,日別データ!$B$9:$B$28,0)),"✔ OK","⚠ 未登録"))</f>
        <v/>
      </c>
    </row>
    <row r="397" customFormat="false" ht="15" hidden="false" customHeight="false" outlineLevel="0" collapsed="false">
      <c r="A397" s="59"/>
      <c r="B397" s="60"/>
      <c r="C397" s="61"/>
      <c r="D397" s="61"/>
      <c r="E397" s="60"/>
      <c r="F397" s="62" t="str">
        <f aca="false">IF($B397="","",IF(ISNUMBER(MATCH($B397,日別データ!$B$9:$B$28,0)),"✔ OK","⚠ 未登録"))</f>
        <v/>
      </c>
    </row>
    <row r="398" customFormat="false" ht="15" hidden="false" customHeight="false" outlineLevel="0" collapsed="false">
      <c r="A398" s="59"/>
      <c r="B398" s="60"/>
      <c r="C398" s="61"/>
      <c r="D398" s="61"/>
      <c r="E398" s="60"/>
      <c r="F398" s="62" t="str">
        <f aca="false">IF($B398="","",IF(ISNUMBER(MATCH($B398,日別データ!$B$9:$B$28,0)),"✔ OK","⚠ 未登録"))</f>
        <v/>
      </c>
    </row>
    <row r="399" customFormat="false" ht="15" hidden="false" customHeight="false" outlineLevel="0" collapsed="false">
      <c r="A399" s="59"/>
      <c r="B399" s="60"/>
      <c r="C399" s="61"/>
      <c r="D399" s="61"/>
      <c r="E399" s="60"/>
      <c r="F399" s="62" t="str">
        <f aca="false">IF($B399="","",IF(ISNUMBER(MATCH($B399,日別データ!$B$9:$B$28,0)),"✔ OK","⚠ 未登録"))</f>
        <v/>
      </c>
    </row>
    <row r="400" customFormat="false" ht="15" hidden="false" customHeight="false" outlineLevel="0" collapsed="false">
      <c r="A400" s="59"/>
      <c r="B400" s="60"/>
      <c r="C400" s="61"/>
      <c r="D400" s="61"/>
      <c r="E400" s="60"/>
      <c r="F400" s="62" t="str">
        <f aca="false">IF($B400="","",IF(ISNUMBER(MATCH($B400,日別データ!$B$9:$B$28,0)),"✔ OK","⚠ 未登録"))</f>
        <v/>
      </c>
    </row>
    <row r="401" customFormat="false" ht="15" hidden="false" customHeight="false" outlineLevel="0" collapsed="false">
      <c r="A401" s="59"/>
      <c r="B401" s="60"/>
      <c r="C401" s="61"/>
      <c r="D401" s="61"/>
      <c r="E401" s="60"/>
      <c r="F401" s="62" t="str">
        <f aca="false">IF($B401="","",IF(ISNUMBER(MATCH($B401,日別データ!$B$9:$B$28,0)),"✔ OK","⚠ 未登録"))</f>
        <v/>
      </c>
    </row>
    <row r="402" customFormat="false" ht="15" hidden="false" customHeight="false" outlineLevel="0" collapsed="false">
      <c r="A402" s="59"/>
      <c r="B402" s="60"/>
      <c r="C402" s="61"/>
      <c r="D402" s="61"/>
      <c r="E402" s="60"/>
      <c r="F402" s="62" t="str">
        <f aca="false">IF($B402="","",IF(ISNUMBER(MATCH($B402,日別データ!$B$9:$B$28,0)),"✔ OK","⚠ 未登録"))</f>
        <v/>
      </c>
    </row>
    <row r="403" customFormat="false" ht="15" hidden="false" customHeight="false" outlineLevel="0" collapsed="false">
      <c r="A403" s="59"/>
      <c r="B403" s="60"/>
      <c r="C403" s="61"/>
      <c r="D403" s="61"/>
      <c r="E403" s="60"/>
      <c r="F403" s="62" t="str">
        <f aca="false">IF($B403="","",IF(ISNUMBER(MATCH($B403,日別データ!$B$9:$B$28,0)),"✔ OK","⚠ 未登録"))</f>
        <v/>
      </c>
    </row>
    <row r="404" customFormat="false" ht="15" hidden="false" customHeight="false" outlineLevel="0" collapsed="false">
      <c r="A404" s="59"/>
      <c r="B404" s="60"/>
      <c r="C404" s="61"/>
      <c r="D404" s="61"/>
      <c r="E404" s="60"/>
      <c r="F404" s="62" t="str">
        <f aca="false">IF($B404="","",IF(ISNUMBER(MATCH($B404,日別データ!$B$9:$B$28,0)),"✔ OK","⚠ 未登録"))</f>
        <v/>
      </c>
    </row>
    <row r="405" customFormat="false" ht="15" hidden="false" customHeight="false" outlineLevel="0" collapsed="false">
      <c r="A405" s="59"/>
      <c r="B405" s="60"/>
      <c r="C405" s="61"/>
      <c r="D405" s="61"/>
      <c r="E405" s="60"/>
      <c r="F405" s="62" t="str">
        <f aca="false">IF($B405="","",IF(ISNUMBER(MATCH($B405,日別データ!$B$9:$B$28,0)),"✔ OK","⚠ 未登録"))</f>
        <v/>
      </c>
    </row>
    <row r="406" customFormat="false" ht="15" hidden="false" customHeight="false" outlineLevel="0" collapsed="false">
      <c r="A406" s="59"/>
      <c r="B406" s="60"/>
      <c r="C406" s="61"/>
      <c r="D406" s="61"/>
      <c r="E406" s="60"/>
      <c r="F406" s="62" t="str">
        <f aca="false">IF($B406="","",IF(ISNUMBER(MATCH($B406,日別データ!$B$9:$B$28,0)),"✔ OK","⚠ 未登録"))</f>
        <v/>
      </c>
    </row>
    <row r="407" customFormat="false" ht="15" hidden="false" customHeight="false" outlineLevel="0" collapsed="false">
      <c r="A407" s="59"/>
      <c r="B407" s="60"/>
      <c r="C407" s="61"/>
      <c r="D407" s="61"/>
      <c r="E407" s="60"/>
      <c r="F407" s="62" t="str">
        <f aca="false">IF($B407="","",IF(ISNUMBER(MATCH($B407,日別データ!$B$9:$B$28,0)),"✔ OK","⚠ 未登録"))</f>
        <v/>
      </c>
    </row>
    <row r="408" customFormat="false" ht="15" hidden="false" customHeight="false" outlineLevel="0" collapsed="false">
      <c r="A408" s="59"/>
      <c r="B408" s="60"/>
      <c r="C408" s="61"/>
      <c r="D408" s="61"/>
      <c r="E408" s="60"/>
      <c r="F408" s="62" t="str">
        <f aca="false">IF($B408="","",IF(ISNUMBER(MATCH($B408,日別データ!$B$9:$B$28,0)),"✔ OK","⚠ 未登録"))</f>
        <v/>
      </c>
    </row>
    <row r="409" customFormat="false" ht="15" hidden="false" customHeight="false" outlineLevel="0" collapsed="false">
      <c r="A409" s="59"/>
      <c r="B409" s="60"/>
      <c r="C409" s="61"/>
      <c r="D409" s="61"/>
      <c r="E409" s="60"/>
      <c r="F409" s="62" t="str">
        <f aca="false">IF($B409="","",IF(ISNUMBER(MATCH($B409,日別データ!$B$9:$B$28,0)),"✔ OK","⚠ 未登録"))</f>
        <v/>
      </c>
    </row>
    <row r="410" customFormat="false" ht="15" hidden="false" customHeight="false" outlineLevel="0" collapsed="false">
      <c r="A410" s="59"/>
      <c r="B410" s="60"/>
      <c r="C410" s="61"/>
      <c r="D410" s="61"/>
      <c r="E410" s="60"/>
      <c r="F410" s="62" t="str">
        <f aca="false">IF($B410="","",IF(ISNUMBER(MATCH($B410,日別データ!$B$9:$B$28,0)),"✔ OK","⚠ 未登録"))</f>
        <v/>
      </c>
    </row>
    <row r="411" customFormat="false" ht="15" hidden="false" customHeight="false" outlineLevel="0" collapsed="false">
      <c r="A411" s="59"/>
      <c r="B411" s="60"/>
      <c r="C411" s="61"/>
      <c r="D411" s="61"/>
      <c r="E411" s="60"/>
      <c r="F411" s="62" t="str">
        <f aca="false">IF($B411="","",IF(ISNUMBER(MATCH($B411,日別データ!$B$9:$B$28,0)),"✔ OK","⚠ 未登録"))</f>
        <v/>
      </c>
    </row>
    <row r="412" customFormat="false" ht="15" hidden="false" customHeight="false" outlineLevel="0" collapsed="false">
      <c r="A412" s="59"/>
      <c r="B412" s="60"/>
      <c r="C412" s="61"/>
      <c r="D412" s="61"/>
      <c r="E412" s="60"/>
      <c r="F412" s="62" t="str">
        <f aca="false">IF($B412="","",IF(ISNUMBER(MATCH($B412,日別データ!$B$9:$B$28,0)),"✔ OK","⚠ 未登録"))</f>
        <v/>
      </c>
    </row>
    <row r="413" customFormat="false" ht="15" hidden="false" customHeight="false" outlineLevel="0" collapsed="false">
      <c r="A413" s="59"/>
      <c r="B413" s="60"/>
      <c r="C413" s="61"/>
      <c r="D413" s="61"/>
      <c r="E413" s="60"/>
      <c r="F413" s="62" t="str">
        <f aca="false">IF($B413="","",IF(ISNUMBER(MATCH($B413,日別データ!$B$9:$B$28,0)),"✔ OK","⚠ 未登録"))</f>
        <v/>
      </c>
    </row>
    <row r="414" customFormat="false" ht="15" hidden="false" customHeight="false" outlineLevel="0" collapsed="false">
      <c r="A414" s="59"/>
      <c r="B414" s="60"/>
      <c r="C414" s="61"/>
      <c r="D414" s="61"/>
      <c r="E414" s="60"/>
      <c r="F414" s="62" t="str">
        <f aca="false">IF($B414="","",IF(ISNUMBER(MATCH($B414,日別データ!$B$9:$B$28,0)),"✔ OK","⚠ 未登録"))</f>
        <v/>
      </c>
    </row>
    <row r="415" customFormat="false" ht="15" hidden="false" customHeight="false" outlineLevel="0" collapsed="false">
      <c r="A415" s="59"/>
      <c r="B415" s="60"/>
      <c r="C415" s="61"/>
      <c r="D415" s="61"/>
      <c r="E415" s="60"/>
      <c r="F415" s="62" t="str">
        <f aca="false">IF($B415="","",IF(ISNUMBER(MATCH($B415,日別データ!$B$9:$B$28,0)),"✔ OK","⚠ 未登録"))</f>
        <v/>
      </c>
    </row>
    <row r="416" customFormat="false" ht="15" hidden="false" customHeight="false" outlineLevel="0" collapsed="false">
      <c r="A416" s="59"/>
      <c r="B416" s="60"/>
      <c r="C416" s="61"/>
      <c r="D416" s="61"/>
      <c r="E416" s="60"/>
      <c r="F416" s="62" t="str">
        <f aca="false">IF($B416="","",IF(ISNUMBER(MATCH($B416,日別データ!$B$9:$B$28,0)),"✔ OK","⚠ 未登録"))</f>
        <v/>
      </c>
    </row>
    <row r="417" customFormat="false" ht="15" hidden="false" customHeight="false" outlineLevel="0" collapsed="false">
      <c r="A417" s="59"/>
      <c r="B417" s="60"/>
      <c r="C417" s="61"/>
      <c r="D417" s="61"/>
      <c r="E417" s="60"/>
      <c r="F417" s="62" t="str">
        <f aca="false">IF($B417="","",IF(ISNUMBER(MATCH($B417,日別データ!$B$9:$B$28,0)),"✔ OK","⚠ 未登録"))</f>
        <v/>
      </c>
    </row>
    <row r="418" customFormat="false" ht="15" hidden="false" customHeight="false" outlineLevel="0" collapsed="false">
      <c r="A418" s="59"/>
      <c r="B418" s="60"/>
      <c r="C418" s="61"/>
      <c r="D418" s="61"/>
      <c r="E418" s="60"/>
      <c r="F418" s="62" t="str">
        <f aca="false">IF($B418="","",IF(ISNUMBER(MATCH($B418,日別データ!$B$9:$B$28,0)),"✔ OK","⚠ 未登録"))</f>
        <v/>
      </c>
    </row>
    <row r="419" customFormat="false" ht="15" hidden="false" customHeight="false" outlineLevel="0" collapsed="false">
      <c r="A419" s="59"/>
      <c r="B419" s="60"/>
      <c r="C419" s="61"/>
      <c r="D419" s="61"/>
      <c r="E419" s="60"/>
      <c r="F419" s="62" t="str">
        <f aca="false">IF($B419="","",IF(ISNUMBER(MATCH($B419,日別データ!$B$9:$B$28,0)),"✔ OK","⚠ 未登録"))</f>
        <v/>
      </c>
    </row>
    <row r="420" customFormat="false" ht="15" hidden="false" customHeight="false" outlineLevel="0" collapsed="false">
      <c r="A420" s="59"/>
      <c r="B420" s="60"/>
      <c r="C420" s="61"/>
      <c r="D420" s="61"/>
      <c r="E420" s="60"/>
      <c r="F420" s="62" t="str">
        <f aca="false">IF($B420="","",IF(ISNUMBER(MATCH($B420,日別データ!$B$9:$B$28,0)),"✔ OK","⚠ 未登録"))</f>
        <v/>
      </c>
    </row>
    <row r="421" customFormat="false" ht="15" hidden="false" customHeight="false" outlineLevel="0" collapsed="false">
      <c r="A421" s="59"/>
      <c r="B421" s="60"/>
      <c r="C421" s="61"/>
      <c r="D421" s="61"/>
      <c r="E421" s="60"/>
      <c r="F421" s="62" t="str">
        <f aca="false">IF($B421="","",IF(ISNUMBER(MATCH($B421,日別データ!$B$9:$B$28,0)),"✔ OK","⚠ 未登録"))</f>
        <v/>
      </c>
    </row>
    <row r="422" customFormat="false" ht="15" hidden="false" customHeight="false" outlineLevel="0" collapsed="false">
      <c r="A422" s="59"/>
      <c r="B422" s="60"/>
      <c r="C422" s="61"/>
      <c r="D422" s="61"/>
      <c r="E422" s="60"/>
      <c r="F422" s="62" t="str">
        <f aca="false">IF($B422="","",IF(ISNUMBER(MATCH($B422,日別データ!$B$9:$B$28,0)),"✔ OK","⚠ 未登録"))</f>
        <v/>
      </c>
    </row>
    <row r="423" customFormat="false" ht="15" hidden="false" customHeight="false" outlineLevel="0" collapsed="false">
      <c r="A423" s="59"/>
      <c r="B423" s="60"/>
      <c r="C423" s="61"/>
      <c r="D423" s="61"/>
      <c r="E423" s="60"/>
      <c r="F423" s="62" t="str">
        <f aca="false">IF($B423="","",IF(ISNUMBER(MATCH($B423,日別データ!$B$9:$B$28,0)),"✔ OK","⚠ 未登録"))</f>
        <v/>
      </c>
    </row>
    <row r="424" customFormat="false" ht="15" hidden="false" customHeight="false" outlineLevel="0" collapsed="false">
      <c r="A424" s="59"/>
      <c r="B424" s="60"/>
      <c r="C424" s="61"/>
      <c r="D424" s="61"/>
      <c r="E424" s="60"/>
      <c r="F424" s="62" t="str">
        <f aca="false">IF($B424="","",IF(ISNUMBER(MATCH($B424,日別データ!$B$9:$B$28,0)),"✔ OK","⚠ 未登録"))</f>
        <v/>
      </c>
    </row>
    <row r="425" customFormat="false" ht="15" hidden="false" customHeight="false" outlineLevel="0" collapsed="false">
      <c r="A425" s="59"/>
      <c r="B425" s="60"/>
      <c r="C425" s="61"/>
      <c r="D425" s="61"/>
      <c r="E425" s="60"/>
      <c r="F425" s="62" t="str">
        <f aca="false">IF($B425="","",IF(ISNUMBER(MATCH($B425,日別データ!$B$9:$B$28,0)),"✔ OK","⚠ 未登録"))</f>
        <v/>
      </c>
    </row>
    <row r="426" customFormat="false" ht="15" hidden="false" customHeight="false" outlineLevel="0" collapsed="false">
      <c r="A426" s="59"/>
      <c r="B426" s="60"/>
      <c r="C426" s="61"/>
      <c r="D426" s="61"/>
      <c r="E426" s="60"/>
      <c r="F426" s="62" t="str">
        <f aca="false">IF($B426="","",IF(ISNUMBER(MATCH($B426,日別データ!$B$9:$B$28,0)),"✔ OK","⚠ 未登録"))</f>
        <v/>
      </c>
    </row>
    <row r="427" customFormat="false" ht="15" hidden="false" customHeight="false" outlineLevel="0" collapsed="false">
      <c r="A427" s="59"/>
      <c r="B427" s="60"/>
      <c r="C427" s="61"/>
      <c r="D427" s="61"/>
      <c r="E427" s="60"/>
      <c r="F427" s="62" t="str">
        <f aca="false">IF($B427="","",IF(ISNUMBER(MATCH($B427,日別データ!$B$9:$B$28,0)),"✔ OK","⚠ 未登録"))</f>
        <v/>
      </c>
    </row>
    <row r="428" customFormat="false" ht="15" hidden="false" customHeight="false" outlineLevel="0" collapsed="false">
      <c r="A428" s="59"/>
      <c r="B428" s="60"/>
      <c r="C428" s="61"/>
      <c r="D428" s="61"/>
      <c r="E428" s="60"/>
      <c r="F428" s="62" t="str">
        <f aca="false">IF($B428="","",IF(ISNUMBER(MATCH($B428,日別データ!$B$9:$B$28,0)),"✔ OK","⚠ 未登録"))</f>
        <v/>
      </c>
    </row>
    <row r="429" customFormat="false" ht="15" hidden="false" customHeight="false" outlineLevel="0" collapsed="false">
      <c r="A429" s="59"/>
      <c r="B429" s="60"/>
      <c r="C429" s="61"/>
      <c r="D429" s="61"/>
      <c r="E429" s="60"/>
      <c r="F429" s="62" t="str">
        <f aca="false">IF($B429="","",IF(ISNUMBER(MATCH($B429,日別データ!$B$9:$B$28,0)),"✔ OK","⚠ 未登録"))</f>
        <v/>
      </c>
    </row>
    <row r="430" customFormat="false" ht="15" hidden="false" customHeight="false" outlineLevel="0" collapsed="false">
      <c r="A430" s="59"/>
      <c r="B430" s="60"/>
      <c r="C430" s="61"/>
      <c r="D430" s="61"/>
      <c r="E430" s="60"/>
      <c r="F430" s="62" t="str">
        <f aca="false">IF($B430="","",IF(ISNUMBER(MATCH($B430,日別データ!$B$9:$B$28,0)),"✔ OK","⚠ 未登録"))</f>
        <v/>
      </c>
    </row>
    <row r="431" customFormat="false" ht="15" hidden="false" customHeight="false" outlineLevel="0" collapsed="false">
      <c r="A431" s="59"/>
      <c r="B431" s="60"/>
      <c r="C431" s="61"/>
      <c r="D431" s="61"/>
      <c r="E431" s="60"/>
      <c r="F431" s="62" t="str">
        <f aca="false">IF($B431="","",IF(ISNUMBER(MATCH($B431,日別データ!$B$9:$B$28,0)),"✔ OK","⚠ 未登録"))</f>
        <v/>
      </c>
    </row>
    <row r="432" customFormat="false" ht="15" hidden="false" customHeight="false" outlineLevel="0" collapsed="false">
      <c r="A432" s="59"/>
      <c r="B432" s="60"/>
      <c r="C432" s="61"/>
      <c r="D432" s="61"/>
      <c r="E432" s="60"/>
      <c r="F432" s="62" t="str">
        <f aca="false">IF($B432="","",IF(ISNUMBER(MATCH($B432,日別データ!$B$9:$B$28,0)),"✔ OK","⚠ 未登録"))</f>
        <v/>
      </c>
    </row>
    <row r="433" customFormat="false" ht="15" hidden="false" customHeight="false" outlineLevel="0" collapsed="false">
      <c r="A433" s="59"/>
      <c r="B433" s="60"/>
      <c r="C433" s="61"/>
      <c r="D433" s="61"/>
      <c r="E433" s="60"/>
      <c r="F433" s="62" t="str">
        <f aca="false">IF($B433="","",IF(ISNUMBER(MATCH($B433,日別データ!$B$9:$B$28,0)),"✔ OK","⚠ 未登録"))</f>
        <v/>
      </c>
    </row>
    <row r="434" customFormat="false" ht="15" hidden="false" customHeight="false" outlineLevel="0" collapsed="false">
      <c r="A434" s="59"/>
      <c r="B434" s="60"/>
      <c r="C434" s="61"/>
      <c r="D434" s="61"/>
      <c r="E434" s="60"/>
      <c r="F434" s="62" t="str">
        <f aca="false">IF($B434="","",IF(ISNUMBER(MATCH($B434,日別データ!$B$9:$B$28,0)),"✔ OK","⚠ 未登録"))</f>
        <v/>
      </c>
    </row>
    <row r="435" customFormat="false" ht="15" hidden="false" customHeight="false" outlineLevel="0" collapsed="false">
      <c r="A435" s="59"/>
      <c r="B435" s="60"/>
      <c r="C435" s="61"/>
      <c r="D435" s="61"/>
      <c r="E435" s="60"/>
      <c r="F435" s="62" t="str">
        <f aca="false">IF($B435="","",IF(ISNUMBER(MATCH($B435,日別データ!$B$9:$B$28,0)),"✔ OK","⚠ 未登録"))</f>
        <v/>
      </c>
    </row>
    <row r="436" customFormat="false" ht="15" hidden="false" customHeight="false" outlineLevel="0" collapsed="false">
      <c r="A436" s="59"/>
      <c r="B436" s="60"/>
      <c r="C436" s="61"/>
      <c r="D436" s="61"/>
      <c r="E436" s="60"/>
      <c r="F436" s="62" t="str">
        <f aca="false">IF($B436="","",IF(ISNUMBER(MATCH($B436,日別データ!$B$9:$B$28,0)),"✔ OK","⚠ 未登録"))</f>
        <v/>
      </c>
    </row>
    <row r="437" customFormat="false" ht="15" hidden="false" customHeight="false" outlineLevel="0" collapsed="false">
      <c r="A437" s="59"/>
      <c r="B437" s="60"/>
      <c r="C437" s="61"/>
      <c r="D437" s="61"/>
      <c r="E437" s="60"/>
      <c r="F437" s="62" t="str">
        <f aca="false">IF($B437="","",IF(ISNUMBER(MATCH($B437,日別データ!$B$9:$B$28,0)),"✔ OK","⚠ 未登録"))</f>
        <v/>
      </c>
    </row>
    <row r="438" customFormat="false" ht="15" hidden="false" customHeight="false" outlineLevel="0" collapsed="false">
      <c r="A438" s="59"/>
      <c r="B438" s="60"/>
      <c r="C438" s="61"/>
      <c r="D438" s="61"/>
      <c r="E438" s="60"/>
      <c r="F438" s="62" t="str">
        <f aca="false">IF($B438="","",IF(ISNUMBER(MATCH($B438,日別データ!$B$9:$B$28,0)),"✔ OK","⚠ 未登録"))</f>
        <v/>
      </c>
    </row>
    <row r="439" customFormat="false" ht="15" hidden="false" customHeight="false" outlineLevel="0" collapsed="false">
      <c r="A439" s="59"/>
      <c r="B439" s="60"/>
      <c r="C439" s="61"/>
      <c r="D439" s="61"/>
      <c r="E439" s="60"/>
      <c r="F439" s="62" t="str">
        <f aca="false">IF($B439="","",IF(ISNUMBER(MATCH($B439,日別データ!$B$9:$B$28,0)),"✔ OK","⚠ 未登録"))</f>
        <v/>
      </c>
    </row>
    <row r="440" customFormat="false" ht="15" hidden="false" customHeight="false" outlineLevel="0" collapsed="false">
      <c r="A440" s="59"/>
      <c r="B440" s="60"/>
      <c r="C440" s="61"/>
      <c r="D440" s="61"/>
      <c r="E440" s="60"/>
      <c r="F440" s="62" t="str">
        <f aca="false">IF($B440="","",IF(ISNUMBER(MATCH($B440,日別データ!$B$9:$B$28,0)),"✔ OK","⚠ 未登録"))</f>
        <v/>
      </c>
    </row>
    <row r="441" customFormat="false" ht="15" hidden="false" customHeight="false" outlineLevel="0" collapsed="false">
      <c r="A441" s="59"/>
      <c r="B441" s="60"/>
      <c r="C441" s="61"/>
      <c r="D441" s="61"/>
      <c r="E441" s="60"/>
      <c r="F441" s="62" t="str">
        <f aca="false">IF($B441="","",IF(ISNUMBER(MATCH($B441,日別データ!$B$9:$B$28,0)),"✔ OK","⚠ 未登録"))</f>
        <v/>
      </c>
    </row>
    <row r="442" customFormat="false" ht="15" hidden="false" customHeight="false" outlineLevel="0" collapsed="false">
      <c r="A442" s="59"/>
      <c r="B442" s="60"/>
      <c r="C442" s="61"/>
      <c r="D442" s="61"/>
      <c r="E442" s="60"/>
      <c r="F442" s="62" t="str">
        <f aca="false">IF($B442="","",IF(ISNUMBER(MATCH($B442,日別データ!$B$9:$B$28,0)),"✔ OK","⚠ 未登録"))</f>
        <v/>
      </c>
    </row>
    <row r="443" customFormat="false" ht="15" hidden="false" customHeight="false" outlineLevel="0" collapsed="false">
      <c r="A443" s="59"/>
      <c r="B443" s="60"/>
      <c r="C443" s="61"/>
      <c r="D443" s="61"/>
      <c r="E443" s="60"/>
      <c r="F443" s="62" t="str">
        <f aca="false">IF($B443="","",IF(ISNUMBER(MATCH($B443,日別データ!$B$9:$B$28,0)),"✔ OK","⚠ 未登録"))</f>
        <v/>
      </c>
    </row>
    <row r="444" customFormat="false" ht="15" hidden="false" customHeight="false" outlineLevel="0" collapsed="false">
      <c r="A444" s="59"/>
      <c r="B444" s="60"/>
      <c r="C444" s="61"/>
      <c r="D444" s="61"/>
      <c r="E444" s="60"/>
      <c r="F444" s="62" t="str">
        <f aca="false">IF($B444="","",IF(ISNUMBER(MATCH($B444,日別データ!$B$9:$B$28,0)),"✔ OK","⚠ 未登録"))</f>
        <v/>
      </c>
    </row>
    <row r="445" customFormat="false" ht="15" hidden="false" customHeight="false" outlineLevel="0" collapsed="false">
      <c r="A445" s="59"/>
      <c r="B445" s="60"/>
      <c r="C445" s="61"/>
      <c r="D445" s="61"/>
      <c r="E445" s="60"/>
      <c r="F445" s="62" t="str">
        <f aca="false">IF($B445="","",IF(ISNUMBER(MATCH($B445,日別データ!$B$9:$B$28,0)),"✔ OK","⚠ 未登録"))</f>
        <v/>
      </c>
    </row>
    <row r="446" customFormat="false" ht="15" hidden="false" customHeight="false" outlineLevel="0" collapsed="false">
      <c r="A446" s="59"/>
      <c r="B446" s="60"/>
      <c r="C446" s="61"/>
      <c r="D446" s="61"/>
      <c r="E446" s="60"/>
      <c r="F446" s="62" t="str">
        <f aca="false">IF($B446="","",IF(ISNUMBER(MATCH($B446,日別データ!$B$9:$B$28,0)),"✔ OK","⚠ 未登録"))</f>
        <v/>
      </c>
    </row>
    <row r="447" customFormat="false" ht="15" hidden="false" customHeight="false" outlineLevel="0" collapsed="false">
      <c r="A447" s="59"/>
      <c r="B447" s="60"/>
      <c r="C447" s="61"/>
      <c r="D447" s="61"/>
      <c r="E447" s="60"/>
      <c r="F447" s="62" t="str">
        <f aca="false">IF($B447="","",IF(ISNUMBER(MATCH($B447,日別データ!$B$9:$B$28,0)),"✔ OK","⚠ 未登録"))</f>
        <v/>
      </c>
    </row>
    <row r="448" customFormat="false" ht="15" hidden="false" customHeight="false" outlineLevel="0" collapsed="false">
      <c r="A448" s="59"/>
      <c r="B448" s="60"/>
      <c r="C448" s="61"/>
      <c r="D448" s="61"/>
      <c r="E448" s="60"/>
      <c r="F448" s="62" t="str">
        <f aca="false">IF($B448="","",IF(ISNUMBER(MATCH($B448,日別データ!$B$9:$B$28,0)),"✔ OK","⚠ 未登録"))</f>
        <v/>
      </c>
    </row>
    <row r="449" customFormat="false" ht="15" hidden="false" customHeight="false" outlineLevel="0" collapsed="false">
      <c r="A449" s="59"/>
      <c r="B449" s="60"/>
      <c r="C449" s="61"/>
      <c r="D449" s="61"/>
      <c r="E449" s="60"/>
      <c r="F449" s="62" t="str">
        <f aca="false">IF($B449="","",IF(ISNUMBER(MATCH($B449,日別データ!$B$9:$B$28,0)),"✔ OK","⚠ 未登録"))</f>
        <v/>
      </c>
    </row>
    <row r="450" customFormat="false" ht="15" hidden="false" customHeight="false" outlineLevel="0" collapsed="false">
      <c r="A450" s="59"/>
      <c r="B450" s="60"/>
      <c r="C450" s="61"/>
      <c r="D450" s="61"/>
      <c r="E450" s="60"/>
      <c r="F450" s="62" t="str">
        <f aca="false">IF($B450="","",IF(ISNUMBER(MATCH($B450,日別データ!$B$9:$B$28,0)),"✔ OK","⚠ 未登録"))</f>
        <v/>
      </c>
    </row>
    <row r="451" customFormat="false" ht="15" hidden="false" customHeight="false" outlineLevel="0" collapsed="false">
      <c r="A451" s="59"/>
      <c r="B451" s="60"/>
      <c r="C451" s="61"/>
      <c r="D451" s="61"/>
      <c r="E451" s="60"/>
      <c r="F451" s="62" t="str">
        <f aca="false">IF($B451="","",IF(ISNUMBER(MATCH($B451,日別データ!$B$9:$B$28,0)),"✔ OK","⚠ 未登録"))</f>
        <v/>
      </c>
    </row>
    <row r="452" customFormat="false" ht="15" hidden="false" customHeight="false" outlineLevel="0" collapsed="false">
      <c r="A452" s="59"/>
      <c r="B452" s="60"/>
      <c r="C452" s="61"/>
      <c r="D452" s="61"/>
      <c r="E452" s="60"/>
      <c r="F452" s="62" t="str">
        <f aca="false">IF($B452="","",IF(ISNUMBER(MATCH($B452,日別データ!$B$9:$B$28,0)),"✔ OK","⚠ 未登録"))</f>
        <v/>
      </c>
    </row>
    <row r="453" customFormat="false" ht="15" hidden="false" customHeight="false" outlineLevel="0" collapsed="false">
      <c r="A453" s="59"/>
      <c r="B453" s="60"/>
      <c r="C453" s="61"/>
      <c r="D453" s="61"/>
      <c r="E453" s="60"/>
      <c r="F453" s="62" t="str">
        <f aca="false">IF($B453="","",IF(ISNUMBER(MATCH($B453,日別データ!$B$9:$B$28,0)),"✔ OK","⚠ 未登録"))</f>
        <v/>
      </c>
    </row>
    <row r="454" customFormat="false" ht="15" hidden="false" customHeight="false" outlineLevel="0" collapsed="false">
      <c r="A454" s="59"/>
      <c r="B454" s="60"/>
      <c r="C454" s="61"/>
      <c r="D454" s="61"/>
      <c r="E454" s="60"/>
      <c r="F454" s="62" t="str">
        <f aca="false">IF($B454="","",IF(ISNUMBER(MATCH($B454,日別データ!$B$9:$B$28,0)),"✔ OK","⚠ 未登録"))</f>
        <v/>
      </c>
    </row>
    <row r="455" customFormat="false" ht="15" hidden="false" customHeight="false" outlineLevel="0" collapsed="false">
      <c r="A455" s="59"/>
      <c r="B455" s="60"/>
      <c r="C455" s="61"/>
      <c r="D455" s="61"/>
      <c r="E455" s="60"/>
      <c r="F455" s="62" t="str">
        <f aca="false">IF($B455="","",IF(ISNUMBER(MATCH($B455,日別データ!$B$9:$B$28,0)),"✔ OK","⚠ 未登録"))</f>
        <v/>
      </c>
    </row>
    <row r="456" customFormat="false" ht="15" hidden="false" customHeight="false" outlineLevel="0" collapsed="false">
      <c r="A456" s="59"/>
      <c r="B456" s="60"/>
      <c r="C456" s="61"/>
      <c r="D456" s="61"/>
      <c r="E456" s="60"/>
      <c r="F456" s="62" t="str">
        <f aca="false">IF($B456="","",IF(ISNUMBER(MATCH($B456,日別データ!$B$9:$B$28,0)),"✔ OK","⚠ 未登録"))</f>
        <v/>
      </c>
    </row>
    <row r="457" customFormat="false" ht="15" hidden="false" customHeight="false" outlineLevel="0" collapsed="false">
      <c r="A457" s="59"/>
      <c r="B457" s="60"/>
      <c r="C457" s="61"/>
      <c r="D457" s="61"/>
      <c r="E457" s="60"/>
      <c r="F457" s="62" t="str">
        <f aca="false">IF($B457="","",IF(ISNUMBER(MATCH($B457,日別データ!$B$9:$B$28,0)),"✔ OK","⚠ 未登録"))</f>
        <v/>
      </c>
    </row>
    <row r="458" customFormat="false" ht="15" hidden="false" customHeight="false" outlineLevel="0" collapsed="false">
      <c r="A458" s="59"/>
      <c r="B458" s="60"/>
      <c r="C458" s="61"/>
      <c r="D458" s="61"/>
      <c r="E458" s="60"/>
      <c r="F458" s="62" t="str">
        <f aca="false">IF($B458="","",IF(ISNUMBER(MATCH($B458,日別データ!$B$9:$B$28,0)),"✔ OK","⚠ 未登録"))</f>
        <v/>
      </c>
    </row>
    <row r="459" customFormat="false" ht="15" hidden="false" customHeight="false" outlineLevel="0" collapsed="false">
      <c r="A459" s="59"/>
      <c r="B459" s="60"/>
      <c r="C459" s="61"/>
      <c r="D459" s="61"/>
      <c r="E459" s="60"/>
      <c r="F459" s="62" t="str">
        <f aca="false">IF($B459="","",IF(ISNUMBER(MATCH($B459,日別データ!$B$9:$B$28,0)),"✔ OK","⚠ 未登録"))</f>
        <v/>
      </c>
    </row>
    <row r="460" customFormat="false" ht="15" hidden="false" customHeight="false" outlineLevel="0" collapsed="false">
      <c r="A460" s="59"/>
      <c r="B460" s="60"/>
      <c r="C460" s="61"/>
      <c r="D460" s="61"/>
      <c r="E460" s="60"/>
      <c r="F460" s="62" t="str">
        <f aca="false">IF($B460="","",IF(ISNUMBER(MATCH($B460,日別データ!$B$9:$B$28,0)),"✔ OK","⚠ 未登録"))</f>
        <v/>
      </c>
    </row>
    <row r="461" customFormat="false" ht="15" hidden="false" customHeight="false" outlineLevel="0" collapsed="false">
      <c r="A461" s="59"/>
      <c r="B461" s="60"/>
      <c r="C461" s="61"/>
      <c r="D461" s="61"/>
      <c r="E461" s="60"/>
      <c r="F461" s="62" t="str">
        <f aca="false">IF($B461="","",IF(ISNUMBER(MATCH($B461,日別データ!$B$9:$B$28,0)),"✔ OK","⚠ 未登録"))</f>
        <v/>
      </c>
    </row>
    <row r="462" customFormat="false" ht="15" hidden="false" customHeight="false" outlineLevel="0" collapsed="false">
      <c r="A462" s="59"/>
      <c r="B462" s="60"/>
      <c r="C462" s="61"/>
      <c r="D462" s="61"/>
      <c r="E462" s="60"/>
      <c r="F462" s="62" t="str">
        <f aca="false">IF($B462="","",IF(ISNUMBER(MATCH($B462,日別データ!$B$9:$B$28,0)),"✔ OK","⚠ 未登録"))</f>
        <v/>
      </c>
    </row>
    <row r="463" customFormat="false" ht="15" hidden="false" customHeight="false" outlineLevel="0" collapsed="false">
      <c r="A463" s="59"/>
      <c r="B463" s="60"/>
      <c r="C463" s="61"/>
      <c r="D463" s="61"/>
      <c r="E463" s="60"/>
      <c r="F463" s="62" t="str">
        <f aca="false">IF($B463="","",IF(ISNUMBER(MATCH($B463,日別データ!$B$9:$B$28,0)),"✔ OK","⚠ 未登録"))</f>
        <v/>
      </c>
    </row>
    <row r="464" customFormat="false" ht="15" hidden="false" customHeight="false" outlineLevel="0" collapsed="false">
      <c r="A464" s="59"/>
      <c r="B464" s="60"/>
      <c r="C464" s="61"/>
      <c r="D464" s="61"/>
      <c r="E464" s="60"/>
      <c r="F464" s="62" t="str">
        <f aca="false">IF($B464="","",IF(ISNUMBER(MATCH($B464,日別データ!$B$9:$B$28,0)),"✔ OK","⚠ 未登録"))</f>
        <v/>
      </c>
    </row>
    <row r="465" customFormat="false" ht="15" hidden="false" customHeight="false" outlineLevel="0" collapsed="false">
      <c r="A465" s="59"/>
      <c r="B465" s="60"/>
      <c r="C465" s="61"/>
      <c r="D465" s="61"/>
      <c r="E465" s="60"/>
      <c r="F465" s="62" t="str">
        <f aca="false">IF($B465="","",IF(ISNUMBER(MATCH($B465,日別データ!$B$9:$B$28,0)),"✔ OK","⚠ 未登録"))</f>
        <v/>
      </c>
    </row>
    <row r="466" customFormat="false" ht="15" hidden="false" customHeight="false" outlineLevel="0" collapsed="false">
      <c r="A466" s="59"/>
      <c r="B466" s="60"/>
      <c r="C466" s="61"/>
      <c r="D466" s="61"/>
      <c r="E466" s="60"/>
      <c r="F466" s="62" t="str">
        <f aca="false">IF($B466="","",IF(ISNUMBER(MATCH($B466,日別データ!$B$9:$B$28,0)),"✔ OK","⚠ 未登録"))</f>
        <v/>
      </c>
    </row>
    <row r="467" customFormat="false" ht="15" hidden="false" customHeight="false" outlineLevel="0" collapsed="false">
      <c r="A467" s="59"/>
      <c r="B467" s="60"/>
      <c r="C467" s="61"/>
      <c r="D467" s="61"/>
      <c r="E467" s="60"/>
      <c r="F467" s="62" t="str">
        <f aca="false">IF($B467="","",IF(ISNUMBER(MATCH($B467,日別データ!$B$9:$B$28,0)),"✔ OK","⚠ 未登録"))</f>
        <v/>
      </c>
    </row>
    <row r="468" customFormat="false" ht="15" hidden="false" customHeight="false" outlineLevel="0" collapsed="false">
      <c r="A468" s="59"/>
      <c r="B468" s="60"/>
      <c r="C468" s="61"/>
      <c r="D468" s="61"/>
      <c r="E468" s="60"/>
      <c r="F468" s="62" t="str">
        <f aca="false">IF($B468="","",IF(ISNUMBER(MATCH($B468,日別データ!$B$9:$B$28,0)),"✔ OK","⚠ 未登録"))</f>
        <v/>
      </c>
    </row>
    <row r="469" customFormat="false" ht="15" hidden="false" customHeight="false" outlineLevel="0" collapsed="false">
      <c r="A469" s="59"/>
      <c r="B469" s="60"/>
      <c r="C469" s="61"/>
      <c r="D469" s="61"/>
      <c r="E469" s="60"/>
      <c r="F469" s="62" t="str">
        <f aca="false">IF($B469="","",IF(ISNUMBER(MATCH($B469,日別データ!$B$9:$B$28,0)),"✔ OK","⚠ 未登録"))</f>
        <v/>
      </c>
    </row>
    <row r="470" customFormat="false" ht="15" hidden="false" customHeight="false" outlineLevel="0" collapsed="false">
      <c r="A470" s="59"/>
      <c r="B470" s="60"/>
      <c r="C470" s="61"/>
      <c r="D470" s="61"/>
      <c r="E470" s="60"/>
      <c r="F470" s="62" t="str">
        <f aca="false">IF($B470="","",IF(ISNUMBER(MATCH($B470,日別データ!$B$9:$B$28,0)),"✔ OK","⚠ 未登録"))</f>
        <v/>
      </c>
    </row>
    <row r="471" customFormat="false" ht="15" hidden="false" customHeight="false" outlineLevel="0" collapsed="false">
      <c r="A471" s="59"/>
      <c r="B471" s="60"/>
      <c r="C471" s="61"/>
      <c r="D471" s="61"/>
      <c r="E471" s="60"/>
      <c r="F471" s="62" t="str">
        <f aca="false">IF($B471="","",IF(ISNUMBER(MATCH($B471,日別データ!$B$9:$B$28,0)),"✔ OK","⚠ 未登録"))</f>
        <v/>
      </c>
    </row>
    <row r="472" customFormat="false" ht="15" hidden="false" customHeight="false" outlineLevel="0" collapsed="false">
      <c r="A472" s="59"/>
      <c r="B472" s="60"/>
      <c r="C472" s="61"/>
      <c r="D472" s="61"/>
      <c r="E472" s="60"/>
      <c r="F472" s="62" t="str">
        <f aca="false">IF($B472="","",IF(ISNUMBER(MATCH($B472,日別データ!$B$9:$B$28,0)),"✔ OK","⚠ 未登録"))</f>
        <v/>
      </c>
    </row>
    <row r="473" customFormat="false" ht="15" hidden="false" customHeight="false" outlineLevel="0" collapsed="false">
      <c r="A473" s="59"/>
      <c r="B473" s="60"/>
      <c r="C473" s="61"/>
      <c r="D473" s="61"/>
      <c r="E473" s="60"/>
      <c r="F473" s="62" t="str">
        <f aca="false">IF($B473="","",IF(ISNUMBER(MATCH($B473,日別データ!$B$9:$B$28,0)),"✔ OK","⚠ 未登録"))</f>
        <v/>
      </c>
    </row>
    <row r="474" customFormat="false" ht="15" hidden="false" customHeight="false" outlineLevel="0" collapsed="false">
      <c r="A474" s="59"/>
      <c r="B474" s="60"/>
      <c r="C474" s="61"/>
      <c r="D474" s="61"/>
      <c r="E474" s="60"/>
      <c r="F474" s="62" t="str">
        <f aca="false">IF($B474="","",IF(ISNUMBER(MATCH($B474,日別データ!$B$9:$B$28,0)),"✔ OK","⚠ 未登録"))</f>
        <v/>
      </c>
    </row>
    <row r="475" customFormat="false" ht="15" hidden="false" customHeight="false" outlineLevel="0" collapsed="false">
      <c r="A475" s="59"/>
      <c r="B475" s="60"/>
      <c r="C475" s="61"/>
      <c r="D475" s="61"/>
      <c r="E475" s="60"/>
      <c r="F475" s="62" t="str">
        <f aca="false">IF($B475="","",IF(ISNUMBER(MATCH($B475,日別データ!$B$9:$B$28,0)),"✔ OK","⚠ 未登録"))</f>
        <v/>
      </c>
    </row>
    <row r="476" customFormat="false" ht="15" hidden="false" customHeight="false" outlineLevel="0" collapsed="false">
      <c r="A476" s="59"/>
      <c r="B476" s="60"/>
      <c r="C476" s="61"/>
      <c r="D476" s="61"/>
      <c r="E476" s="60"/>
      <c r="F476" s="62" t="str">
        <f aca="false">IF($B476="","",IF(ISNUMBER(MATCH($B476,日別データ!$B$9:$B$28,0)),"✔ OK","⚠ 未登録"))</f>
        <v/>
      </c>
    </row>
    <row r="477" customFormat="false" ht="15" hidden="false" customHeight="false" outlineLevel="0" collapsed="false">
      <c r="A477" s="59"/>
      <c r="B477" s="60"/>
      <c r="C477" s="61"/>
      <c r="D477" s="61"/>
      <c r="E477" s="60"/>
      <c r="F477" s="62" t="str">
        <f aca="false">IF($B477="","",IF(ISNUMBER(MATCH($B477,日別データ!$B$9:$B$28,0)),"✔ OK","⚠ 未登録"))</f>
        <v/>
      </c>
    </row>
    <row r="478" customFormat="false" ht="15" hidden="false" customHeight="false" outlineLevel="0" collapsed="false">
      <c r="A478" s="59"/>
      <c r="B478" s="60"/>
      <c r="C478" s="61"/>
      <c r="D478" s="61"/>
      <c r="E478" s="60"/>
      <c r="F478" s="62" t="str">
        <f aca="false">IF($B478="","",IF(ISNUMBER(MATCH($B478,日別データ!$B$9:$B$28,0)),"✔ OK","⚠ 未登録"))</f>
        <v/>
      </c>
    </row>
    <row r="479" customFormat="false" ht="15" hidden="false" customHeight="false" outlineLevel="0" collapsed="false">
      <c r="A479" s="59"/>
      <c r="B479" s="60"/>
      <c r="C479" s="61"/>
      <c r="D479" s="61"/>
      <c r="E479" s="60"/>
      <c r="F479" s="62" t="str">
        <f aca="false">IF($B479="","",IF(ISNUMBER(MATCH($B479,日別データ!$B$9:$B$28,0)),"✔ OK","⚠ 未登録"))</f>
        <v/>
      </c>
    </row>
    <row r="480" customFormat="false" ht="15" hidden="false" customHeight="false" outlineLevel="0" collapsed="false">
      <c r="A480" s="59"/>
      <c r="B480" s="60"/>
      <c r="C480" s="61"/>
      <c r="D480" s="61"/>
      <c r="E480" s="60"/>
      <c r="F480" s="62" t="str">
        <f aca="false">IF($B480="","",IF(ISNUMBER(MATCH($B480,日別データ!$B$9:$B$28,0)),"✔ OK","⚠ 未登録"))</f>
        <v/>
      </c>
    </row>
    <row r="481" customFormat="false" ht="15" hidden="false" customHeight="false" outlineLevel="0" collapsed="false">
      <c r="A481" s="59"/>
      <c r="B481" s="60"/>
      <c r="C481" s="61"/>
      <c r="D481" s="61"/>
      <c r="E481" s="60"/>
      <c r="F481" s="62" t="str">
        <f aca="false">IF($B481="","",IF(ISNUMBER(MATCH($B481,日別データ!$B$9:$B$28,0)),"✔ OK","⚠ 未登録"))</f>
        <v/>
      </c>
    </row>
    <row r="482" customFormat="false" ht="15" hidden="false" customHeight="false" outlineLevel="0" collapsed="false">
      <c r="A482" s="59"/>
      <c r="B482" s="60"/>
      <c r="C482" s="61"/>
      <c r="D482" s="61"/>
      <c r="E482" s="60"/>
      <c r="F482" s="62" t="str">
        <f aca="false">IF($B482="","",IF(ISNUMBER(MATCH($B482,日別データ!$B$9:$B$28,0)),"✔ OK","⚠ 未登録"))</f>
        <v/>
      </c>
    </row>
    <row r="483" customFormat="false" ht="15" hidden="false" customHeight="false" outlineLevel="0" collapsed="false">
      <c r="A483" s="59"/>
      <c r="B483" s="60"/>
      <c r="C483" s="61"/>
      <c r="D483" s="61"/>
      <c r="E483" s="60"/>
      <c r="F483" s="62" t="str">
        <f aca="false">IF($B483="","",IF(ISNUMBER(MATCH($B483,日別データ!$B$9:$B$28,0)),"✔ OK","⚠ 未登録"))</f>
        <v/>
      </c>
    </row>
    <row r="484" customFormat="false" ht="15" hidden="false" customHeight="false" outlineLevel="0" collapsed="false">
      <c r="A484" s="59"/>
      <c r="B484" s="60"/>
      <c r="C484" s="61"/>
      <c r="D484" s="61"/>
      <c r="E484" s="60"/>
      <c r="F484" s="62" t="str">
        <f aca="false">IF($B484="","",IF(ISNUMBER(MATCH($B484,日別データ!$B$9:$B$28,0)),"✔ OK","⚠ 未登録"))</f>
        <v/>
      </c>
    </row>
    <row r="485" customFormat="false" ht="15" hidden="false" customHeight="false" outlineLevel="0" collapsed="false">
      <c r="A485" s="59"/>
      <c r="B485" s="60"/>
      <c r="C485" s="61"/>
      <c r="D485" s="61"/>
      <c r="E485" s="60"/>
      <c r="F485" s="62" t="str">
        <f aca="false">IF($B485="","",IF(ISNUMBER(MATCH($B485,日別データ!$B$9:$B$28,0)),"✔ OK","⚠ 未登録"))</f>
        <v/>
      </c>
    </row>
    <row r="486" customFormat="false" ht="15" hidden="false" customHeight="false" outlineLevel="0" collapsed="false">
      <c r="A486" s="59"/>
      <c r="B486" s="60"/>
      <c r="C486" s="61"/>
      <c r="D486" s="61"/>
      <c r="E486" s="60"/>
      <c r="F486" s="62" t="str">
        <f aca="false">IF($B486="","",IF(ISNUMBER(MATCH($B486,日別データ!$B$9:$B$28,0)),"✔ OK","⚠ 未登録"))</f>
        <v/>
      </c>
    </row>
    <row r="487" customFormat="false" ht="15" hidden="false" customHeight="false" outlineLevel="0" collapsed="false">
      <c r="A487" s="59"/>
      <c r="B487" s="60"/>
      <c r="C487" s="61"/>
      <c r="D487" s="61"/>
      <c r="E487" s="60"/>
      <c r="F487" s="62" t="str">
        <f aca="false">IF($B487="","",IF(ISNUMBER(MATCH($B487,日別データ!$B$9:$B$28,0)),"✔ OK","⚠ 未登録"))</f>
        <v/>
      </c>
    </row>
    <row r="488" customFormat="false" ht="15" hidden="false" customHeight="false" outlineLevel="0" collapsed="false">
      <c r="A488" s="59"/>
      <c r="B488" s="60"/>
      <c r="C488" s="61"/>
      <c r="D488" s="61"/>
      <c r="E488" s="60"/>
      <c r="F488" s="62" t="str">
        <f aca="false">IF($B488="","",IF(ISNUMBER(MATCH($B488,日別データ!$B$9:$B$28,0)),"✔ OK","⚠ 未登録"))</f>
        <v/>
      </c>
    </row>
    <row r="489" customFormat="false" ht="15" hidden="false" customHeight="false" outlineLevel="0" collapsed="false">
      <c r="A489" s="59"/>
      <c r="B489" s="60"/>
      <c r="C489" s="61"/>
      <c r="D489" s="61"/>
      <c r="E489" s="60"/>
      <c r="F489" s="62" t="str">
        <f aca="false">IF($B489="","",IF(ISNUMBER(MATCH($B489,日別データ!$B$9:$B$28,0)),"✔ OK","⚠ 未登録"))</f>
        <v/>
      </c>
    </row>
    <row r="490" customFormat="false" ht="15" hidden="false" customHeight="false" outlineLevel="0" collapsed="false">
      <c r="A490" s="59"/>
      <c r="B490" s="60"/>
      <c r="C490" s="61"/>
      <c r="D490" s="61"/>
      <c r="E490" s="60"/>
      <c r="F490" s="62" t="str">
        <f aca="false">IF($B490="","",IF(ISNUMBER(MATCH($B490,日別データ!$B$9:$B$28,0)),"✔ OK","⚠ 未登録"))</f>
        <v/>
      </c>
    </row>
    <row r="491" customFormat="false" ht="15" hidden="false" customHeight="false" outlineLevel="0" collapsed="false">
      <c r="A491" s="59"/>
      <c r="B491" s="60"/>
      <c r="C491" s="61"/>
      <c r="D491" s="61"/>
      <c r="E491" s="60"/>
      <c r="F491" s="62" t="str">
        <f aca="false">IF($B491="","",IF(ISNUMBER(MATCH($B491,日別データ!$B$9:$B$28,0)),"✔ OK","⚠ 未登録"))</f>
        <v/>
      </c>
    </row>
    <row r="492" customFormat="false" ht="15" hidden="false" customHeight="false" outlineLevel="0" collapsed="false">
      <c r="A492" s="59"/>
      <c r="B492" s="60"/>
      <c r="C492" s="61"/>
      <c r="D492" s="61"/>
      <c r="E492" s="60"/>
      <c r="F492" s="62" t="str">
        <f aca="false">IF($B492="","",IF(ISNUMBER(MATCH($B492,日別データ!$B$9:$B$28,0)),"✔ OK","⚠ 未登録"))</f>
        <v/>
      </c>
    </row>
    <row r="493" customFormat="false" ht="15" hidden="false" customHeight="false" outlineLevel="0" collapsed="false">
      <c r="A493" s="59"/>
      <c r="B493" s="60"/>
      <c r="C493" s="61"/>
      <c r="D493" s="61"/>
      <c r="E493" s="60"/>
      <c r="F493" s="62" t="str">
        <f aca="false">IF($B493="","",IF(ISNUMBER(MATCH($B493,日別データ!$B$9:$B$28,0)),"✔ OK","⚠ 未登録"))</f>
        <v/>
      </c>
    </row>
    <row r="494" customFormat="false" ht="15" hidden="false" customHeight="false" outlineLevel="0" collapsed="false">
      <c r="A494" s="59"/>
      <c r="B494" s="60"/>
      <c r="C494" s="61"/>
      <c r="D494" s="61"/>
      <c r="E494" s="60"/>
      <c r="F494" s="62" t="str">
        <f aca="false">IF($B494="","",IF(ISNUMBER(MATCH($B494,日別データ!$B$9:$B$28,0)),"✔ OK","⚠ 未登録"))</f>
        <v/>
      </c>
    </row>
    <row r="495" customFormat="false" ht="15" hidden="false" customHeight="false" outlineLevel="0" collapsed="false">
      <c r="A495" s="59"/>
      <c r="B495" s="60"/>
      <c r="C495" s="61"/>
      <c r="D495" s="61"/>
      <c r="E495" s="60"/>
      <c r="F495" s="62" t="str">
        <f aca="false">IF($B495="","",IF(ISNUMBER(MATCH($B495,日別データ!$B$9:$B$28,0)),"✔ OK","⚠ 未登録"))</f>
        <v/>
      </c>
    </row>
    <row r="496" customFormat="false" ht="15" hidden="false" customHeight="false" outlineLevel="0" collapsed="false">
      <c r="A496" s="59"/>
      <c r="B496" s="60"/>
      <c r="C496" s="61"/>
      <c r="D496" s="61"/>
      <c r="E496" s="60"/>
      <c r="F496" s="62" t="str">
        <f aca="false">IF($B496="","",IF(ISNUMBER(MATCH($B496,日別データ!$B$9:$B$28,0)),"✔ OK","⚠ 未登録"))</f>
        <v/>
      </c>
    </row>
    <row r="497" customFormat="false" ht="15" hidden="false" customHeight="false" outlineLevel="0" collapsed="false">
      <c r="A497" s="59"/>
      <c r="B497" s="60"/>
      <c r="C497" s="61"/>
      <c r="D497" s="61"/>
      <c r="E497" s="60"/>
      <c r="F497" s="62" t="str">
        <f aca="false">IF($B497="","",IF(ISNUMBER(MATCH($B497,日別データ!$B$9:$B$28,0)),"✔ OK","⚠ 未登録"))</f>
        <v/>
      </c>
    </row>
    <row r="498" customFormat="false" ht="15" hidden="false" customHeight="false" outlineLevel="0" collapsed="false">
      <c r="A498" s="59"/>
      <c r="B498" s="60"/>
      <c r="C498" s="61"/>
      <c r="D498" s="61"/>
      <c r="E498" s="60"/>
      <c r="F498" s="62" t="str">
        <f aca="false">IF($B498="","",IF(ISNUMBER(MATCH($B498,日別データ!$B$9:$B$28,0)),"✔ OK","⚠ 未登録"))</f>
        <v/>
      </c>
    </row>
    <row r="499" customFormat="false" ht="15" hidden="false" customHeight="false" outlineLevel="0" collapsed="false">
      <c r="A499" s="59"/>
      <c r="B499" s="60"/>
      <c r="C499" s="61"/>
      <c r="D499" s="61"/>
      <c r="E499" s="60"/>
      <c r="F499" s="62" t="str">
        <f aca="false">IF($B499="","",IF(ISNUMBER(MATCH($B499,日別データ!$B$9:$B$28,0)),"✔ OK","⚠ 未登録"))</f>
        <v/>
      </c>
    </row>
    <row r="500" customFormat="false" ht="15" hidden="false" customHeight="false" outlineLevel="0" collapsed="false">
      <c r="A500" s="59"/>
      <c r="B500" s="60"/>
      <c r="C500" s="61"/>
      <c r="D500" s="61"/>
      <c r="E500" s="60"/>
      <c r="F500" s="62" t="str">
        <f aca="false">IF($B500="","",IF(ISNUMBER(MATCH($B500,日別データ!$B$9:$B$28,0)),"✔ OK","⚠ 未登録"))</f>
        <v/>
      </c>
    </row>
    <row r="501" customFormat="false" ht="15" hidden="false" customHeight="false" outlineLevel="0" collapsed="false">
      <c r="A501" s="59"/>
      <c r="B501" s="60"/>
      <c r="C501" s="61"/>
      <c r="D501" s="61"/>
      <c r="E501" s="60"/>
      <c r="F501" s="62" t="str">
        <f aca="false">IF($B501="","",IF(ISNUMBER(MATCH($B501,日別データ!$B$9:$B$28,0)),"✔ OK","⚠ 未登録"))</f>
        <v/>
      </c>
    </row>
    <row r="502" customFormat="false" ht="15" hidden="false" customHeight="false" outlineLevel="0" collapsed="false">
      <c r="A502" s="59"/>
      <c r="B502" s="60"/>
      <c r="C502" s="61"/>
      <c r="D502" s="61"/>
      <c r="E502" s="60"/>
      <c r="F502" s="62" t="str">
        <f aca="false">IF($B502="","",IF(ISNUMBER(MATCH($B502,日別データ!$B$9:$B$28,0)),"✔ OK","⚠ 未登録"))</f>
        <v/>
      </c>
    </row>
    <row r="503" customFormat="false" ht="15" hidden="false" customHeight="false" outlineLevel="0" collapsed="false">
      <c r="A503" s="59"/>
      <c r="B503" s="60"/>
      <c r="C503" s="61"/>
      <c r="D503" s="61"/>
      <c r="E503" s="60"/>
      <c r="F503" s="62" t="str">
        <f aca="false">IF($B503="","",IF(ISNUMBER(MATCH($B503,日別データ!$B$9:$B$28,0)),"✔ OK","⚠ 未登録"))</f>
        <v/>
      </c>
    </row>
    <row r="504" customFormat="false" ht="15" hidden="false" customHeight="false" outlineLevel="0" collapsed="false">
      <c r="A504" s="59"/>
      <c r="B504" s="60"/>
      <c r="C504" s="61"/>
      <c r="D504" s="61"/>
      <c r="E504" s="60"/>
      <c r="F504" s="62" t="str">
        <f aca="false">IF($B504="","",IF(ISNUMBER(MATCH($B504,日別データ!$B$9:$B$28,0)),"✔ OK","⚠ 未登録"))</f>
        <v/>
      </c>
    </row>
  </sheetData>
  <mergeCells count="2">
    <mergeCell ref="A1:I1"/>
    <mergeCell ref="A2:F2"/>
  </mergeCells>
  <conditionalFormatting sqref="I3">
    <cfRule type="expression" priority="2" aboveAverage="0" equalAverage="0" bottom="0" percent="0" rank="0" text="" dxfId="0">
      <formula>$I$3&gt;0</formula>
    </cfRule>
  </conditionalFormatting>
  <conditionalFormatting sqref="F5:F504">
    <cfRule type="expression" priority="3" aboveAverage="0" equalAverage="0" bottom="0" percent="0" rank="0" text="" dxfId="2">
      <formula>ISNUMBER(SEARCH("✔",F5))</formula>
    </cfRule>
    <cfRule type="expression" priority="4" aboveAverage="0" equalAverage="0" bottom="0" percent="0" rank="0" text="" dxfId="3">
      <formula>ISNUMBER(SEARCH("⚠",F5))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2026-08-26T15:43:15Z</dcterms:created>
  <dc:creator>TOHOシネマズ新宿 コンセッション</dc:creator>
  <dc:description/>
  <dc:language>en-US</dc:language>
  <cp:lastModifiedBy/>
  <dcterms:modified xsi:type="dcterms:W3CDTF">2026-08-26T15:43:15Z</dcterms:modified>
  <cp:revision>0</cp:revision>
  <dc:subject/>
  <dc:title>コンセッション事前準備数ツール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